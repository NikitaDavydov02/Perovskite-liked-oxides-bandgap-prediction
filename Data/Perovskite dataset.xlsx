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c converter" sheetId="14" r:id="rId10"/>
  </sheets>
  <calcPr calcId="145621"/>
</workbook>
</file>

<file path=xl/calcChain.xml><?xml version="1.0" encoding="utf-8"?>
<calcChain xmlns="http://schemas.openxmlformats.org/spreadsheetml/2006/main">
  <c r="AC196" i="13" l="1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9" i="14"/>
  <c r="B7" i="14"/>
  <c r="B5" i="14"/>
  <c r="B3" i="14"/>
  <c r="B2" i="14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BO335" i="13"/>
  <c r="BO334" i="13"/>
  <c r="BO333" i="13"/>
  <c r="BO332" i="13"/>
  <c r="AC604" i="13"/>
  <c r="AG604" i="13" s="1"/>
  <c r="AC603" i="13"/>
  <c r="AG603" i="13" s="1"/>
  <c r="AC602" i="13"/>
  <c r="AG602" i="13" s="1"/>
  <c r="AC601" i="13"/>
  <c r="AG601" i="13" s="1"/>
  <c r="AC600" i="13"/>
  <c r="AG600" i="13" s="1"/>
  <c r="AC599" i="13"/>
  <c r="AG599" i="13" s="1"/>
  <c r="AC598" i="13"/>
  <c r="AG598" i="13" s="1"/>
  <c r="AC597" i="13"/>
  <c r="AG597" i="13" s="1"/>
  <c r="AC596" i="13"/>
  <c r="AG596" i="13" s="1"/>
  <c r="AC595" i="13"/>
  <c r="AG595" i="13" s="1"/>
  <c r="AC594" i="13"/>
  <c r="AG594" i="13" s="1"/>
  <c r="AC593" i="13"/>
  <c r="AG593" i="13" s="1"/>
  <c r="AC592" i="13"/>
  <c r="AG592" i="13" s="1"/>
  <c r="AC591" i="13"/>
  <c r="AG591" i="13" s="1"/>
  <c r="AC590" i="13"/>
  <c r="AG590" i="13" s="1"/>
  <c r="AC589" i="13"/>
  <c r="AG589" i="13" s="1"/>
  <c r="AC588" i="13"/>
  <c r="AG588" i="13" s="1"/>
  <c r="AC587" i="13"/>
  <c r="AG587" i="13" s="1"/>
  <c r="AC586" i="13"/>
  <c r="AG586" i="13" s="1"/>
  <c r="AC585" i="13"/>
  <c r="AG585" i="13" s="1"/>
  <c r="AC584" i="13"/>
  <c r="AG584" i="13" s="1"/>
  <c r="AC583" i="13"/>
  <c r="AG583" i="13" s="1"/>
  <c r="AC582" i="13"/>
  <c r="AG582" i="13" s="1"/>
  <c r="AC581" i="13"/>
  <c r="AG581" i="13" s="1"/>
  <c r="AC580" i="13"/>
  <c r="AG580" i="13" s="1"/>
  <c r="AC579" i="13"/>
  <c r="AG579" i="13" s="1"/>
  <c r="AC578" i="13"/>
  <c r="AG578" i="13" s="1"/>
  <c r="AC577" i="13"/>
  <c r="AG577" i="13" s="1"/>
  <c r="AC576" i="13"/>
  <c r="AC575" i="13"/>
  <c r="AC574" i="13"/>
  <c r="AC573" i="13"/>
  <c r="AC572" i="13"/>
  <c r="AJ571" i="13"/>
  <c r="AC571" i="13"/>
  <c r="AJ570" i="13"/>
  <c r="AC570" i="13"/>
  <c r="AC569" i="13"/>
  <c r="AC568" i="13"/>
  <c r="AG568" i="13" s="1"/>
  <c r="O567" i="13"/>
  <c r="AC567" i="13" s="1"/>
  <c r="AG567" i="13" s="1"/>
  <c r="AC566" i="13"/>
  <c r="AC565" i="13"/>
  <c r="AG565" i="13" s="1"/>
  <c r="AC564" i="13"/>
  <c r="AG564" i="13" s="1"/>
  <c r="AC563" i="13"/>
  <c r="AG563" i="13" s="1"/>
  <c r="AC562" i="13"/>
  <c r="AG562" i="13" s="1"/>
  <c r="AC561" i="13"/>
  <c r="AG561" i="13" s="1"/>
  <c r="AC560" i="13"/>
  <c r="AG560" i="13" s="1"/>
  <c r="AC559" i="13"/>
  <c r="AG559" i="13" s="1"/>
  <c r="AC558" i="13"/>
  <c r="AG558" i="13" s="1"/>
  <c r="AC557" i="13"/>
  <c r="AG557" i="13" s="1"/>
  <c r="AC556" i="13"/>
  <c r="AG556" i="13" s="1"/>
  <c r="AC555" i="13"/>
  <c r="AG555" i="13" s="1"/>
  <c r="AC554" i="13"/>
  <c r="AG554" i="13" s="1"/>
  <c r="AC553" i="13"/>
  <c r="AG553" i="13" s="1"/>
  <c r="AC552" i="13"/>
  <c r="AG552" i="13" s="1"/>
  <c r="AC551" i="13"/>
  <c r="AG551" i="13" s="1"/>
  <c r="AC550" i="13"/>
  <c r="AG550" i="13" s="1"/>
  <c r="AC549" i="13"/>
  <c r="AG549" i="13" s="1"/>
  <c r="AC548" i="13"/>
  <c r="AG548" i="13" s="1"/>
  <c r="AC547" i="13"/>
  <c r="AG547" i="13" s="1"/>
  <c r="AC546" i="13"/>
  <c r="AG546" i="13" s="1"/>
  <c r="AC545" i="13"/>
  <c r="AG545" i="13" s="1"/>
  <c r="AC544" i="13"/>
  <c r="AG544" i="13" s="1"/>
  <c r="AC543" i="13"/>
  <c r="AG543" i="13" s="1"/>
  <c r="AC542" i="13"/>
  <c r="AG542" i="13" s="1"/>
  <c r="AC541" i="13"/>
  <c r="AG541" i="13" s="1"/>
  <c r="AC540" i="13"/>
  <c r="AG540" i="13" s="1"/>
  <c r="AC539" i="13"/>
  <c r="AG539" i="13" s="1"/>
  <c r="AC538" i="13"/>
  <c r="AG538" i="13" s="1"/>
  <c r="AC537" i="13"/>
  <c r="AG537" i="13" s="1"/>
  <c r="AC536" i="13"/>
  <c r="AG536" i="13" s="1"/>
  <c r="AC535" i="13"/>
  <c r="AG535" i="13" s="1"/>
  <c r="AC534" i="13"/>
  <c r="AG534" i="13" s="1"/>
  <c r="AC533" i="13"/>
  <c r="AG533" i="13" s="1"/>
  <c r="AC532" i="13"/>
  <c r="AG532" i="13" s="1"/>
  <c r="AC531" i="13"/>
  <c r="AG531" i="13" s="1"/>
  <c r="AC530" i="13"/>
  <c r="AG530" i="13" s="1"/>
  <c r="AC529" i="13"/>
  <c r="AG529" i="13" s="1"/>
  <c r="AC528" i="13"/>
  <c r="AG528" i="13" s="1"/>
  <c r="AC527" i="13"/>
  <c r="AG527" i="13" s="1"/>
  <c r="AC526" i="13"/>
  <c r="AG526" i="13" s="1"/>
  <c r="AC525" i="13"/>
  <c r="AG525" i="13" s="1"/>
  <c r="AC524" i="13"/>
  <c r="AG524" i="13" s="1"/>
  <c r="AC523" i="13"/>
  <c r="AG523" i="13" s="1"/>
  <c r="AC522" i="13"/>
  <c r="AG522" i="13" s="1"/>
  <c r="AC521" i="13"/>
  <c r="AG521" i="13" s="1"/>
  <c r="AC520" i="13"/>
  <c r="AC519" i="13"/>
  <c r="AC518" i="13"/>
  <c r="AG518" i="13" s="1"/>
  <c r="AJ517" i="13"/>
  <c r="AC517" i="13"/>
  <c r="AJ516" i="13"/>
  <c r="AC516" i="13"/>
  <c r="AJ515" i="13"/>
  <c r="AC515" i="13"/>
  <c r="AJ514" i="13"/>
  <c r="AC514" i="13"/>
  <c r="AJ513" i="13"/>
  <c r="AC513" i="13"/>
  <c r="AJ512" i="13"/>
  <c r="AC512" i="13"/>
  <c r="AG512" i="13" s="1"/>
  <c r="AC511" i="13"/>
  <c r="AG511" i="13" s="1"/>
  <c r="AC510" i="13"/>
  <c r="AG510" i="13" s="1"/>
  <c r="AC509" i="13"/>
  <c r="AG509" i="13" s="1"/>
  <c r="AC508" i="13"/>
  <c r="AG508" i="13" s="1"/>
  <c r="AC507" i="13"/>
  <c r="AG507" i="13" s="1"/>
  <c r="AC506" i="13"/>
  <c r="AG506" i="13" s="1"/>
  <c r="AC505" i="13"/>
  <c r="AG505" i="13" s="1"/>
  <c r="AC504" i="13"/>
  <c r="AG504" i="13" s="1"/>
  <c r="AC503" i="13"/>
  <c r="AG503" i="13" s="1"/>
  <c r="AC502" i="13"/>
  <c r="AG502" i="13" s="1"/>
  <c r="AC501" i="13"/>
  <c r="AG501" i="13" s="1"/>
  <c r="AC500" i="13"/>
  <c r="AG500" i="13" s="1"/>
  <c r="AC499" i="13"/>
  <c r="AG499" i="13" s="1"/>
  <c r="AC498" i="13"/>
  <c r="AC497" i="13"/>
  <c r="AG497" i="13" s="1"/>
  <c r="AC496" i="13"/>
  <c r="AG496" i="13" s="1"/>
  <c r="AC495" i="13"/>
  <c r="AG495" i="13" s="1"/>
  <c r="AC494" i="13"/>
  <c r="AG494" i="13" s="1"/>
  <c r="AC493" i="13"/>
  <c r="AG493" i="13" s="1"/>
  <c r="AC492" i="13"/>
  <c r="AG492" i="13" s="1"/>
  <c r="AC491" i="13"/>
  <c r="AG491" i="13" s="1"/>
  <c r="AC490" i="13"/>
  <c r="AG490" i="13" s="1"/>
  <c r="AC489" i="13"/>
  <c r="AG489" i="13" s="1"/>
  <c r="AC488" i="13"/>
  <c r="AG488" i="13" s="1"/>
  <c r="AC487" i="13"/>
  <c r="AG487" i="13" s="1"/>
  <c r="AC486" i="13"/>
  <c r="AG486" i="13" s="1"/>
  <c r="AJ485" i="13"/>
  <c r="AC485" i="13"/>
  <c r="AG485" i="13" s="1"/>
  <c r="AC484" i="13"/>
  <c r="AG484" i="13" s="1"/>
  <c r="AC483" i="13"/>
  <c r="AG483" i="13" s="1"/>
  <c r="AC482" i="13"/>
  <c r="AG482" i="13" s="1"/>
  <c r="AC481" i="13"/>
  <c r="AG481" i="13" s="1"/>
  <c r="AC480" i="13"/>
  <c r="AG480" i="13" s="1"/>
  <c r="AC479" i="13"/>
  <c r="AG479" i="13" s="1"/>
  <c r="AC478" i="13"/>
  <c r="AG478" i="13" s="1"/>
  <c r="AC477" i="13"/>
  <c r="AG477" i="13" s="1"/>
  <c r="AC476" i="13"/>
  <c r="AG476" i="13" s="1"/>
  <c r="AC475" i="13"/>
  <c r="AG475" i="13" s="1"/>
  <c r="AC474" i="13"/>
  <c r="AG474" i="13" s="1"/>
  <c r="AC473" i="13"/>
  <c r="AG473" i="13" s="1"/>
  <c r="AJ472" i="13"/>
  <c r="AC472" i="13"/>
  <c r="AG472" i="13" s="1"/>
  <c r="AC471" i="13"/>
  <c r="AG471" i="13" s="1"/>
  <c r="AC470" i="13"/>
  <c r="AC469" i="13"/>
  <c r="AC468" i="13"/>
  <c r="AC467" i="13"/>
  <c r="AG467" i="13" s="1"/>
  <c r="AC466" i="13"/>
  <c r="AG466" i="13" s="1"/>
  <c r="AC465" i="13"/>
  <c r="AG465" i="13" s="1"/>
  <c r="AC464" i="13"/>
  <c r="AC463" i="13"/>
  <c r="AC462" i="13"/>
  <c r="AC461" i="13"/>
  <c r="AG461" i="13" s="1"/>
  <c r="AC460" i="13"/>
  <c r="AG460" i="13" s="1"/>
  <c r="AC459" i="13"/>
  <c r="AG459" i="13" s="1"/>
  <c r="AJ458" i="13"/>
  <c r="AC458" i="13"/>
  <c r="AC457" i="13"/>
  <c r="AC456" i="13"/>
  <c r="AC455" i="13"/>
  <c r="AC454" i="13"/>
  <c r="AG454" i="13" s="1"/>
  <c r="AC453" i="13"/>
  <c r="AG453" i="13" s="1"/>
  <c r="AC452" i="13"/>
  <c r="AG452" i="13" s="1"/>
  <c r="AC451" i="13"/>
  <c r="AG451" i="13" s="1"/>
  <c r="AC450" i="13"/>
  <c r="AG450" i="13" s="1"/>
  <c r="AC449" i="13"/>
  <c r="AG449" i="13" s="1"/>
  <c r="AC448" i="13"/>
  <c r="AG448" i="13" s="1"/>
  <c r="T448" i="13"/>
  <c r="AJ447" i="13"/>
  <c r="AC447" i="13"/>
  <c r="AG447" i="13" s="1"/>
  <c r="AG446" i="13"/>
  <c r="AG445" i="13"/>
  <c r="AG444" i="13"/>
  <c r="AH443" i="13"/>
  <c r="AG443" i="13"/>
  <c r="AC442" i="13"/>
  <c r="AC441" i="13"/>
  <c r="AC440" i="13"/>
  <c r="AC439" i="13"/>
  <c r="AC438" i="13"/>
  <c r="AC437" i="13"/>
  <c r="AC436" i="13"/>
  <c r="AC435" i="13"/>
  <c r="AC434" i="13"/>
  <c r="AC433" i="13"/>
  <c r="AC432" i="13"/>
  <c r="AC431" i="13"/>
  <c r="AG431" i="13" s="1"/>
  <c r="AC430" i="13"/>
  <c r="AG430" i="13" s="1"/>
  <c r="AC429" i="13"/>
  <c r="AG429" i="13" s="1"/>
  <c r="AC428" i="13"/>
  <c r="AG428" i="13" s="1"/>
  <c r="AC427" i="13"/>
  <c r="AG427" i="13" s="1"/>
  <c r="AC426" i="13"/>
  <c r="AG426" i="13" s="1"/>
  <c r="AC425" i="13"/>
  <c r="AG425" i="13" s="1"/>
  <c r="AC424" i="13"/>
  <c r="AG424" i="13" s="1"/>
  <c r="AC423" i="13"/>
  <c r="AG423" i="13" s="1"/>
  <c r="AC422" i="13"/>
  <c r="AG422" i="13" s="1"/>
  <c r="AC421" i="13"/>
  <c r="AG421" i="13" s="1"/>
  <c r="AC420" i="13"/>
  <c r="AG420" i="13" s="1"/>
  <c r="AC419" i="13"/>
  <c r="AG419" i="13" s="1"/>
  <c r="AC418" i="13"/>
  <c r="AG418" i="13" s="1"/>
  <c r="AC417" i="13"/>
  <c r="AC416" i="13"/>
  <c r="AC415" i="13"/>
  <c r="AJ414" i="13"/>
  <c r="AC414" i="13"/>
  <c r="AC413" i="13"/>
  <c r="AG413" i="13" s="1"/>
  <c r="AC412" i="13"/>
  <c r="AG412" i="13" s="1"/>
  <c r="AC411" i="13"/>
  <c r="AC410" i="13"/>
  <c r="AC409" i="13"/>
  <c r="AC408" i="13"/>
  <c r="AC407" i="13"/>
  <c r="AC406" i="13"/>
  <c r="AC405" i="13"/>
  <c r="AC404" i="13"/>
  <c r="AC403" i="13"/>
  <c r="AC402" i="13"/>
  <c r="AC401" i="13"/>
  <c r="AC400" i="13"/>
  <c r="AC399" i="13"/>
  <c r="AC398" i="13"/>
  <c r="AC397" i="13"/>
  <c r="AJ396" i="13"/>
  <c r="AH396" i="13"/>
  <c r="AC396" i="13"/>
  <c r="AC395" i="13"/>
  <c r="AC394" i="13"/>
  <c r="AC393" i="13"/>
  <c r="AC392" i="13"/>
  <c r="AC391" i="13"/>
  <c r="AC390" i="13"/>
  <c r="AC389" i="13"/>
  <c r="AC388" i="13"/>
  <c r="AC387" i="13"/>
  <c r="AC386" i="13"/>
  <c r="AC385" i="13"/>
  <c r="AF384" i="13"/>
  <c r="AJ384" i="13" s="1"/>
  <c r="AC384" i="13"/>
  <c r="AF383" i="13"/>
  <c r="AJ383" i="13" s="1"/>
  <c r="AC383" i="13"/>
  <c r="AF382" i="13"/>
  <c r="AJ382" i="13" s="1"/>
  <c r="AC382" i="13"/>
  <c r="AF381" i="13"/>
  <c r="AJ381" i="13" s="1"/>
  <c r="AC381" i="13"/>
  <c r="AF380" i="13"/>
  <c r="AJ380" i="13" s="1"/>
  <c r="AC380" i="13"/>
  <c r="AF379" i="13"/>
  <c r="AJ379" i="13" s="1"/>
  <c r="AC379" i="13"/>
  <c r="AC378" i="13"/>
  <c r="AC377" i="13"/>
  <c r="AG377" i="13" s="1"/>
  <c r="AC376" i="13"/>
  <c r="AG376" i="13" s="1"/>
  <c r="AC375" i="13"/>
  <c r="AG375" i="13" s="1"/>
  <c r="AC374" i="13"/>
  <c r="AG374" i="13" s="1"/>
  <c r="AC373" i="13"/>
  <c r="AC372" i="13"/>
  <c r="AC371" i="13"/>
  <c r="AC370" i="13"/>
  <c r="AC369" i="13"/>
  <c r="AC368" i="13"/>
  <c r="AC367" i="13"/>
  <c r="AC366" i="13"/>
  <c r="AC365" i="13"/>
  <c r="AC364" i="13"/>
  <c r="AC363" i="13"/>
  <c r="AC362" i="13"/>
  <c r="AC361" i="13"/>
  <c r="AC360" i="13"/>
  <c r="AC359" i="13"/>
  <c r="AC358" i="13"/>
  <c r="AC357" i="13"/>
  <c r="AC356" i="13"/>
  <c r="AC355" i="13"/>
  <c r="AC354" i="13"/>
  <c r="AG354" i="13" s="1"/>
  <c r="AC353" i="13"/>
  <c r="AG353" i="13" s="1"/>
  <c r="AC352" i="13"/>
  <c r="AC351" i="13"/>
  <c r="AC350" i="13"/>
  <c r="AC349" i="13"/>
  <c r="AC348" i="13"/>
  <c r="AC347" i="13"/>
  <c r="AC346" i="13"/>
  <c r="AC345" i="13"/>
  <c r="AC344" i="13"/>
  <c r="AG344" i="13" s="1"/>
  <c r="AC343" i="13"/>
  <c r="AG343" i="13" s="1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C335" i="13"/>
  <c r="AC334" i="13"/>
  <c r="AC333" i="13"/>
  <c r="AC332" i="13"/>
  <c r="AC331" i="13"/>
  <c r="AC330" i="13"/>
  <c r="AC329" i="13"/>
  <c r="AC328" i="13"/>
  <c r="AC327" i="13"/>
  <c r="AC326" i="13"/>
  <c r="AC325" i="13"/>
  <c r="AC324" i="13"/>
  <c r="AC323" i="13"/>
  <c r="AC322" i="13"/>
  <c r="AC321" i="13"/>
  <c r="AC320" i="13"/>
  <c r="AC319" i="13"/>
  <c r="AC318" i="13"/>
  <c r="AC317" i="13"/>
  <c r="AG317" i="13" s="1"/>
  <c r="AC316" i="13"/>
  <c r="AG316" i="13" s="1"/>
  <c r="AC315" i="13"/>
  <c r="AG315" i="13" s="1"/>
  <c r="AC314" i="13"/>
  <c r="AG314" i="13" s="1"/>
  <c r="AC313" i="13"/>
  <c r="AG313" i="13" s="1"/>
  <c r="AC312" i="13"/>
  <c r="AC311" i="13"/>
  <c r="AG311" i="13" s="1"/>
  <c r="AC310" i="13"/>
  <c r="AG310" i="13" s="1"/>
  <c r="AC309" i="13"/>
  <c r="AG309" i="13" s="1"/>
  <c r="AC308" i="13"/>
  <c r="AG308" i="13" s="1"/>
  <c r="AC307" i="13"/>
  <c r="AG307" i="13" s="1"/>
  <c r="AC306" i="13"/>
  <c r="AG306" i="13" s="1"/>
  <c r="AC305" i="13"/>
  <c r="AG305" i="13" s="1"/>
  <c r="AC304" i="13"/>
  <c r="AG304" i="13" s="1"/>
  <c r="AC303" i="13"/>
  <c r="AC302" i="13"/>
  <c r="AC301" i="13"/>
  <c r="AC300" i="13"/>
  <c r="AC299" i="13"/>
  <c r="AC298" i="13"/>
  <c r="AC297" i="13"/>
  <c r="AC296" i="13"/>
  <c r="AC295" i="13"/>
  <c r="AC294" i="13"/>
  <c r="AC293" i="13"/>
  <c r="AG293" i="13" s="1"/>
  <c r="AC292" i="13"/>
  <c r="AC291" i="13"/>
  <c r="AG291" i="13" s="1"/>
  <c r="AC290" i="13"/>
  <c r="AG290" i="13" s="1"/>
  <c r="AC289" i="13"/>
  <c r="AC288" i="13"/>
  <c r="AC287" i="13"/>
  <c r="AC286" i="13"/>
  <c r="AC285" i="13"/>
  <c r="AC284" i="13"/>
  <c r="AC283" i="13"/>
  <c r="AC282" i="13"/>
  <c r="AC281" i="13"/>
  <c r="AG281" i="13" s="1"/>
  <c r="AC280" i="13"/>
  <c r="AG280" i="13" s="1"/>
  <c r="AC279" i="13"/>
  <c r="AG279" i="13" s="1"/>
  <c r="AC278" i="13"/>
  <c r="AG278" i="13" s="1"/>
  <c r="AC277" i="13"/>
  <c r="AG277" i="13" s="1"/>
  <c r="AC276" i="13"/>
  <c r="AC275" i="13"/>
  <c r="AG275" i="13" s="1"/>
  <c r="AC274" i="13"/>
  <c r="AG274" i="13" s="1"/>
  <c r="AC273" i="13"/>
  <c r="N272" i="13"/>
  <c r="M272" i="13"/>
  <c r="N271" i="13"/>
  <c r="M271" i="13"/>
  <c r="N270" i="13"/>
  <c r="M270" i="13"/>
  <c r="N269" i="13"/>
  <c r="M269" i="13"/>
  <c r="N268" i="13"/>
  <c r="M268" i="13"/>
  <c r="N267" i="13"/>
  <c r="M267" i="13"/>
  <c r="N266" i="13"/>
  <c r="M266" i="13"/>
  <c r="N265" i="13"/>
  <c r="M265" i="13"/>
  <c r="N264" i="13"/>
  <c r="M264" i="13"/>
  <c r="N263" i="13"/>
  <c r="M263" i="13"/>
  <c r="AC262" i="13"/>
  <c r="AG262" i="13" s="1"/>
  <c r="AC261" i="13"/>
  <c r="AG261" i="13" s="1"/>
  <c r="AC260" i="13"/>
  <c r="AG260" i="13" s="1"/>
  <c r="AC259" i="13"/>
  <c r="AG259" i="13" s="1"/>
  <c r="AC258" i="13"/>
  <c r="AG258" i="13" s="1"/>
  <c r="AC257" i="13"/>
  <c r="AC256" i="13"/>
  <c r="AG256" i="13" s="1"/>
  <c r="AC255" i="13"/>
  <c r="AC254" i="13"/>
  <c r="AC253" i="13"/>
  <c r="AC252" i="13"/>
  <c r="AG252" i="13" s="1"/>
  <c r="AC251" i="13"/>
  <c r="AG251" i="13" s="1"/>
  <c r="AC250" i="13"/>
  <c r="AG250" i="13" s="1"/>
  <c r="AC249" i="13"/>
  <c r="AG249" i="13" s="1"/>
  <c r="AC248" i="13"/>
  <c r="AG248" i="13" s="1"/>
  <c r="AC247" i="13"/>
  <c r="AG247" i="13" s="1"/>
  <c r="AC246" i="13"/>
  <c r="AG246" i="13" s="1"/>
  <c r="AC245" i="13"/>
  <c r="AG245" i="13" s="1"/>
  <c r="AC244" i="13"/>
  <c r="AG244" i="13" s="1"/>
  <c r="AC243" i="13"/>
  <c r="AG243" i="13" s="1"/>
  <c r="AC242" i="13"/>
  <c r="AG242" i="13" s="1"/>
  <c r="AC241" i="13"/>
  <c r="AG241" i="13" s="1"/>
  <c r="AC240" i="13"/>
  <c r="AC239" i="13"/>
  <c r="AC238" i="13"/>
  <c r="AC237" i="13"/>
  <c r="AC236" i="13"/>
  <c r="AC235" i="13"/>
  <c r="AC234" i="13"/>
  <c r="AC233" i="13"/>
  <c r="AC232" i="13"/>
  <c r="AC231" i="13"/>
  <c r="Q231" i="13"/>
  <c r="AC230" i="13"/>
  <c r="AC229" i="13"/>
  <c r="AC228" i="13"/>
  <c r="AC227" i="13"/>
  <c r="AC226" i="13"/>
  <c r="AC225" i="13"/>
  <c r="AG225" i="13" s="1"/>
  <c r="AC224" i="13"/>
  <c r="AG224" i="13" s="1"/>
  <c r="AC223" i="13"/>
  <c r="AG223" i="13" s="1"/>
  <c r="AJ222" i="13"/>
  <c r="AC222" i="13"/>
  <c r="AG222" i="13" s="1"/>
  <c r="AC221" i="13"/>
  <c r="AC220" i="13"/>
  <c r="AC219" i="13"/>
  <c r="AC218" i="13"/>
  <c r="AC217" i="13"/>
  <c r="AC216" i="13"/>
  <c r="AC215" i="13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69" i="13" l="1"/>
  <c r="AG269" i="13" s="1"/>
  <c r="AC264" i="13"/>
  <c r="AG264" i="13" s="1"/>
  <c r="AC268" i="13"/>
  <c r="AG268" i="13" s="1"/>
  <c r="AC270" i="13"/>
  <c r="AG270" i="13" s="1"/>
  <c r="AC272" i="13"/>
  <c r="AG272" i="13" s="1"/>
  <c r="AG168" i="13"/>
  <c r="AC263" i="13"/>
  <c r="AG263" i="13" s="1"/>
  <c r="AC265" i="13"/>
  <c r="AG265" i="13" s="1"/>
  <c r="AC271" i="13"/>
  <c r="AG271" i="13" s="1"/>
  <c r="AC267" i="13"/>
  <c r="AG267" i="13" s="1"/>
  <c r="AC266" i="13"/>
  <c r="AG26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<sst xmlns="http://schemas.openxmlformats.org/spreadsheetml/2006/main" count="12296" uniqueCount="1315">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</sst>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4" fillId="0" borderId="0"/>
    <xf numFmtId="0" fontId="13" fillId="0" borderId="0"/>
    <xf numFmtId="0" fontId="9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5" fillId="0" borderId="0" xfId="1"/>
    <xf numFmtId="0" fontId="0" fillId="4" borderId="0" xfId="0" applyFill="1"/>
    <xf numFmtId="0" fontId="0" fillId="5" borderId="0" xfId="0" applyFill="1"/>
    <xf numFmtId="0" fontId="15" fillId="0" borderId="0" xfId="1" applyFill="1"/>
    <xf numFmtId="0" fontId="16" fillId="0" borderId="0" xfId="0" applyFont="1" applyFill="1"/>
    <xf numFmtId="0" fontId="14" fillId="0" borderId="0" xfId="2"/>
    <xf numFmtId="0" fontId="17" fillId="0" borderId="1" xfId="2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3" fillId="0" borderId="0" xfId="2" applyFont="1"/>
    <xf numFmtId="0" fontId="13" fillId="0" borderId="0" xfId="3"/>
    <xf numFmtId="0" fontId="17" fillId="0" borderId="1" xfId="3" applyFont="1" applyBorder="1" applyAlignment="1">
      <alignment horizontal="center" vertical="top"/>
    </xf>
    <xf numFmtId="0" fontId="13" fillId="2" borderId="0" xfId="3" applyFill="1"/>
    <xf numFmtId="0" fontId="17" fillId="0" borderId="0" xfId="3" applyFont="1" applyBorder="1" applyAlignment="1">
      <alignment horizontal="center" vertical="top"/>
    </xf>
    <xf numFmtId="0" fontId="12" fillId="0" borderId="0" xfId="3" applyFont="1"/>
    <xf numFmtId="0" fontId="11" fillId="0" borderId="0" xfId="3" applyFont="1"/>
    <xf numFmtId="0" fontId="17" fillId="0" borderId="2" xfId="0" applyFont="1" applyFill="1" applyBorder="1" applyAlignment="1">
      <alignment horizontal="center" vertical="top"/>
    </xf>
    <xf numFmtId="0" fontId="10" fillId="0" borderId="0" xfId="3" applyFont="1"/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17" fillId="6" borderId="1" xfId="0" applyFont="1" applyFill="1" applyBorder="1" applyAlignment="1">
      <alignment horizontal="center" vertical="top"/>
    </xf>
    <xf numFmtId="0" fontId="0" fillId="6" borderId="0" xfId="0" applyFill="1"/>
    <xf numFmtId="0" fontId="9" fillId="0" borderId="0" xfId="4" applyFill="1"/>
    <xf numFmtId="0" fontId="0" fillId="0" borderId="0" xfId="0" applyFill="1" applyBorder="1"/>
    <xf numFmtId="0" fontId="17" fillId="0" borderId="0" xfId="0" applyFont="1" applyBorder="1" applyAlignment="1">
      <alignment horizontal="center" vertical="top"/>
    </xf>
    <xf numFmtId="0" fontId="14" fillId="2" borderId="0" xfId="2" applyFill="1"/>
    <xf numFmtId="0" fontId="12" fillId="0" borderId="0" xfId="3" applyFont="1" applyFill="1"/>
    <xf numFmtId="0" fontId="13" fillId="0" borderId="0" xfId="3" applyFill="1"/>
    <xf numFmtId="0" fontId="14" fillId="0" borderId="0" xfId="2" applyFill="1"/>
    <xf numFmtId="0" fontId="9" fillId="2" borderId="0" xfId="4" applyFill="1"/>
    <xf numFmtId="0" fontId="8" fillId="0" borderId="0" xfId="3" applyFont="1"/>
    <xf numFmtId="0" fontId="8" fillId="4" borderId="0" xfId="3" applyFont="1" applyFill="1"/>
    <xf numFmtId="0" fontId="13" fillId="4" borderId="0" xfId="3" applyFill="1"/>
    <xf numFmtId="0" fontId="14" fillId="4" borderId="0" xfId="2" applyFill="1"/>
    <xf numFmtId="0" fontId="9" fillId="4" borderId="0" xfId="4" applyFill="1"/>
    <xf numFmtId="0" fontId="0" fillId="7" borderId="0" xfId="0" applyFill="1"/>
    <xf numFmtId="0" fontId="11" fillId="4" borderId="0" xfId="3" applyFont="1" applyFill="1"/>
    <xf numFmtId="0" fontId="0" fillId="8" borderId="0" xfId="0" applyFill="1"/>
    <xf numFmtId="0" fontId="8" fillId="0" borderId="0" xfId="4" applyFont="1"/>
    <xf numFmtId="0" fontId="12" fillId="4" borderId="0" xfId="3" applyFont="1" applyFill="1"/>
    <xf numFmtId="0" fontId="7" fillId="0" borderId="0" xfId="3" applyFont="1" applyFill="1"/>
    <xf numFmtId="0" fontId="11" fillId="0" borderId="0" xfId="3" applyFont="1" applyFill="1"/>
    <xf numFmtId="0" fontId="6" fillId="4" borderId="0" xfId="2" applyFont="1" applyFill="1"/>
    <xf numFmtId="0" fontId="17" fillId="9" borderId="1" xfId="4" applyFont="1" applyFill="1" applyBorder="1" applyAlignment="1">
      <alignment horizontal="center" vertical="top"/>
    </xf>
    <xf numFmtId="0" fontId="9" fillId="9" borderId="0" xfId="4" applyFill="1"/>
    <xf numFmtId="0" fontId="0" fillId="9" borderId="0" xfId="0" applyFill="1"/>
    <xf numFmtId="0" fontId="17" fillId="9" borderId="1" xfId="0" applyFont="1" applyFill="1" applyBorder="1" applyAlignment="1">
      <alignment horizontal="center" vertical="top"/>
    </xf>
    <xf numFmtId="0" fontId="17" fillId="10" borderId="1" xfId="0" applyFont="1" applyFill="1" applyBorder="1" applyAlignment="1">
      <alignment horizontal="center" vertical="top"/>
    </xf>
    <xf numFmtId="0" fontId="0" fillId="10" borderId="0" xfId="0" applyFill="1"/>
    <xf numFmtId="0" fontId="17" fillId="10" borderId="1" xfId="4" applyFont="1" applyFill="1" applyBorder="1" applyAlignment="1">
      <alignment horizontal="center" vertical="top"/>
    </xf>
    <xf numFmtId="0" fontId="9" fillId="10" borderId="0" xfId="4" applyFill="1"/>
    <xf numFmtId="0" fontId="5" fillId="0" borderId="0" xfId="2" applyFont="1"/>
    <xf numFmtId="0" fontId="17" fillId="11" borderId="1" xfId="0" applyFont="1" applyFill="1" applyBorder="1" applyAlignment="1">
      <alignment horizontal="center" vertical="top"/>
    </xf>
    <xf numFmtId="0" fontId="17" fillId="12" borderId="1" xfId="2" applyFont="1" applyFill="1" applyBorder="1" applyAlignment="1">
      <alignment horizontal="center" vertical="top"/>
    </xf>
    <xf numFmtId="0" fontId="17" fillId="12" borderId="1" xfId="0" applyFont="1" applyFill="1" applyBorder="1" applyAlignment="1">
      <alignment horizontal="center" vertical="top"/>
    </xf>
    <xf numFmtId="0" fontId="17" fillId="12" borderId="0" xfId="0" applyFont="1" applyFill="1" applyBorder="1" applyAlignment="1">
      <alignment horizontal="center" vertical="top"/>
    </xf>
    <xf numFmtId="0" fontId="17" fillId="11" borderId="2" xfId="0" applyFont="1" applyFill="1" applyBorder="1" applyAlignment="1">
      <alignment horizontal="center" vertical="top"/>
    </xf>
    <xf numFmtId="0" fontId="17" fillId="11" borderId="1" xfId="4" applyFont="1" applyFill="1" applyBorder="1" applyAlignment="1">
      <alignment horizontal="center" vertical="top"/>
    </xf>
    <xf numFmtId="0" fontId="18" fillId="0" borderId="0" xfId="1" applyFont="1" applyFill="1"/>
    <xf numFmtId="0" fontId="19" fillId="9" borderId="1" xfId="4" applyFont="1" applyFill="1" applyBorder="1" applyAlignment="1">
      <alignment horizontal="center" vertical="top"/>
    </xf>
    <xf numFmtId="0" fontId="0" fillId="13" borderId="0" xfId="0" applyFill="1"/>
    <xf numFmtId="0" fontId="3" fillId="0" borderId="0" xfId="3" applyFont="1"/>
    <xf numFmtId="0" fontId="0" fillId="14" borderId="0" xfId="0" applyFill="1"/>
    <xf numFmtId="0" fontId="3" fillId="0" borderId="0" xfId="2" applyFont="1"/>
    <xf numFmtId="0" fontId="0" fillId="15" borderId="0" xfId="0" applyFill="1"/>
    <xf numFmtId="0" fontId="4" fillId="0" borderId="0" xfId="3" applyFont="1" applyFill="1"/>
    <xf numFmtId="0" fontId="2" fillId="0" borderId="0" xfId="3" applyFont="1"/>
    <xf numFmtId="0" fontId="17" fillId="16" borderId="1" xfId="0" applyFont="1" applyFill="1" applyBorder="1" applyAlignment="1">
      <alignment horizontal="center" vertical="top"/>
    </xf>
    <xf numFmtId="0" fontId="0" fillId="16" borderId="0" xfId="0" applyFill="1"/>
    <xf numFmtId="0" fontId="17" fillId="0" borderId="3" xfId="0" applyFont="1" applyFill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0" fontId="17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7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13" fillId="3" borderId="0" xfId="3" applyFill="1"/>
    <xf numFmtId="0" fontId="14" fillId="3" borderId="0" xfId="2" applyFill="1"/>
    <xf numFmtId="0" fontId="9" fillId="3" borderId="0" xfId="4" applyFill="1"/>
    <xf numFmtId="0" fontId="0" fillId="3" borderId="1" xfId="0" applyFill="1" applyBorder="1"/>
    <xf numFmtId="0" fontId="1" fillId="0" borderId="0" xfId="2" applyFont="1"/>
    <xf numFmtId="0" fontId="1" fillId="2" borderId="0" xfId="2" applyFont="1" applyFill="1"/>
    <xf numFmtId="0" fontId="0" fillId="4" borderId="1" xfId="0" applyFill="1" applyBorder="1"/>
    <xf numFmtId="0" fontId="1" fillId="0" borderId="0" xfId="3" applyFont="1"/>
    <xf numFmtId="0" fontId="0" fillId="0" borderId="1" xfId="0" applyFill="1" applyBorder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604"/>
  <sheetViews>
    <sheetView tabSelected="1" workbookViewId="0">
      <pane ySplit="1" topLeftCell="A194" activePane="bottomLeft" state="frozen"/>
      <selection pane="bottomLeft" activeCell="BZ208" sqref="A207:BZ208"/>
    </sheetView>
  </sheetViews>
  <sheetFormatPr defaultRowHeight="14.4" x14ac:dyDescent="0.3"/>
  <cols>
    <col min="1" max="1" width="21.5546875" customWidth="1"/>
    <col min="2" max="2" width="6.554687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" t="s">
        <v>1145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t="s">
        <v>1147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" t="s">
        <v>1145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t="s">
        <v>1147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2" t="s">
        <v>14</v>
      </c>
      <c r="B57" s="13" t="s">
        <v>699</v>
      </c>
      <c r="C57" s="13"/>
      <c r="D57" s="2">
        <v>4</v>
      </c>
      <c r="E57" s="2" t="s">
        <v>9</v>
      </c>
      <c r="F57" s="58" t="s">
        <v>532</v>
      </c>
      <c r="G57" t="s">
        <v>613</v>
      </c>
      <c r="I57" s="2"/>
      <c r="J57" s="25">
        <v>4</v>
      </c>
      <c r="K57">
        <v>4</v>
      </c>
      <c r="L57">
        <v>0</v>
      </c>
      <c r="M57" s="2"/>
      <c r="N57" s="2"/>
      <c r="O57" s="2"/>
      <c r="P57" s="2"/>
      <c r="Q57" s="2"/>
      <c r="R57" s="25">
        <v>7.8568680000000004</v>
      </c>
      <c r="S57" s="25">
        <v>7.8568680000000004</v>
      </c>
      <c r="T57" s="25">
        <v>7.8568680000000004</v>
      </c>
      <c r="U57">
        <v>7.78</v>
      </c>
      <c r="V57">
        <v>7.78</v>
      </c>
      <c r="W57">
        <v>7.78</v>
      </c>
      <c r="X57">
        <v>0</v>
      </c>
      <c r="AA57" s="2"/>
      <c r="AB57">
        <v>12</v>
      </c>
      <c r="AC57" s="55">
        <f t="shared" si="1"/>
        <v>0</v>
      </c>
      <c r="AD57" s="57">
        <v>485.00740615389492</v>
      </c>
      <c r="AE57" s="55">
        <v>470.91095200000012</v>
      </c>
      <c r="AF57" s="55">
        <v>0</v>
      </c>
      <c r="AG57" s="52"/>
      <c r="AH57" s="51">
        <v>9.896756088868755E-2</v>
      </c>
      <c r="AI57" s="52">
        <v>0.1019300990901566</v>
      </c>
      <c r="AJ57" s="52"/>
      <c r="AK57" s="28">
        <v>2</v>
      </c>
      <c r="AL57" s="28">
        <v>2.666666666666667</v>
      </c>
      <c r="AM57" s="28">
        <v>0.66666666666666663</v>
      </c>
      <c r="AN57" s="28">
        <v>3.1111111111111112</v>
      </c>
      <c r="AO57" s="28">
        <v>0.23684210526315791</v>
      </c>
      <c r="AP57" s="28">
        <v>0.31578947368421051</v>
      </c>
      <c r="AQ57" s="28">
        <v>7.8947368421052627E-2</v>
      </c>
      <c r="AR57" s="28">
        <v>0.36842105263157893</v>
      </c>
      <c r="AS57" s="25">
        <v>1</v>
      </c>
      <c r="AT57" s="25">
        <v>3.44</v>
      </c>
      <c r="AU57" s="25">
        <v>2.44</v>
      </c>
      <c r="AV57" s="25">
        <v>2.7377777777777781</v>
      </c>
      <c r="AW57">
        <v>2.7377777777777781</v>
      </c>
      <c r="AX57">
        <v>6.2421139038888889</v>
      </c>
      <c r="AY57" s="75">
        <v>0.49860192759728061</v>
      </c>
      <c r="AZ57" s="75">
        <v>0.51352729551146459</v>
      </c>
      <c r="BA57" s="75"/>
      <c r="BC57">
        <v>4.9483780444343768E-2</v>
      </c>
      <c r="BD57">
        <v>5.0965049545078307E-2</v>
      </c>
      <c r="BF57">
        <v>0.1004488299894221</v>
      </c>
      <c r="BG57">
        <v>5.0224414994711038E-2</v>
      </c>
      <c r="BH57">
        <v>0.50606461155437255</v>
      </c>
      <c r="BS57" s="79" t="s">
        <v>464</v>
      </c>
      <c r="BT57" s="79" t="s">
        <v>464</v>
      </c>
    </row>
    <row r="58" spans="1:78" x14ac:dyDescent="0.3">
      <c r="A58" s="2" t="s">
        <v>15</v>
      </c>
      <c r="B58" s="13" t="s">
        <v>700</v>
      </c>
      <c r="C58" s="13"/>
      <c r="D58" s="2">
        <v>4.4000000000000004</v>
      </c>
      <c r="E58" s="2" t="s">
        <v>9</v>
      </c>
      <c r="F58" s="9" t="s">
        <v>533</v>
      </c>
      <c r="G58" t="s">
        <v>614</v>
      </c>
      <c r="I58" s="2"/>
      <c r="J58" s="25">
        <v>4</v>
      </c>
      <c r="K58">
        <v>4</v>
      </c>
      <c r="L58">
        <v>0</v>
      </c>
      <c r="M58" s="2"/>
      <c r="N58" s="2"/>
      <c r="O58" s="2"/>
      <c r="P58" s="2"/>
      <c r="Q58" s="2"/>
      <c r="R58" s="25">
        <v>5.63450966</v>
      </c>
      <c r="S58" s="25">
        <v>7.6422105</v>
      </c>
      <c r="T58" s="25">
        <v>11.066420430000001</v>
      </c>
      <c r="U58">
        <v>11.013</v>
      </c>
      <c r="V58">
        <v>7.6319999999999997</v>
      </c>
      <c r="W58">
        <v>5.6210000000000004</v>
      </c>
      <c r="X58">
        <v>0</v>
      </c>
      <c r="AA58" s="2"/>
      <c r="AB58">
        <v>12</v>
      </c>
      <c r="AC58" s="55">
        <f t="shared" si="1"/>
        <v>0</v>
      </c>
      <c r="AD58" s="57">
        <v>476.5212686940929</v>
      </c>
      <c r="AE58" s="55">
        <v>472.45188513599999</v>
      </c>
      <c r="AF58" s="55">
        <v>0</v>
      </c>
      <c r="AG58" s="52"/>
      <c r="AH58" s="51">
        <v>0.1007300264509579</v>
      </c>
      <c r="AI58" s="52">
        <v>0.1015976473163669</v>
      </c>
      <c r="AJ58" s="52"/>
      <c r="AK58" s="28">
        <v>2</v>
      </c>
      <c r="AL58" s="28">
        <v>2.666666666666667</v>
      </c>
      <c r="AM58" s="28">
        <v>0.66666666666666663</v>
      </c>
      <c r="AN58" s="28">
        <v>3.1111111111111112</v>
      </c>
      <c r="AO58" s="28">
        <v>0.23684210526315791</v>
      </c>
      <c r="AP58" s="28">
        <v>0.31578947368421051</v>
      </c>
      <c r="AQ58" s="28">
        <v>7.8947368421052627E-2</v>
      </c>
      <c r="AR58" s="28">
        <v>0.36842105263157893</v>
      </c>
      <c r="AS58" s="25">
        <v>0.95</v>
      </c>
      <c r="AT58" s="25">
        <v>3.44</v>
      </c>
      <c r="AU58" s="25">
        <v>2.4900000000000002</v>
      </c>
      <c r="AV58" s="25">
        <v>2.7322222222222221</v>
      </c>
      <c r="AW58">
        <v>2.7322222222222221</v>
      </c>
      <c r="AX58">
        <v>6.2204042916666662</v>
      </c>
      <c r="AY58" s="75">
        <v>0.5362582325986015</v>
      </c>
      <c r="AZ58" s="75">
        <v>0.54087720122437066</v>
      </c>
      <c r="BA58" s="75"/>
      <c r="BC58">
        <v>5.0365013225478962E-2</v>
      </c>
      <c r="BD58">
        <v>5.0798823658183438E-2</v>
      </c>
      <c r="BF58">
        <v>0.1011638368836624</v>
      </c>
      <c r="BG58">
        <v>5.05819184418312E-2</v>
      </c>
      <c r="BH58">
        <v>0.53856771691148608</v>
      </c>
      <c r="BS58" s="79" t="s">
        <v>464</v>
      </c>
      <c r="BT58" s="79" t="s">
        <v>464</v>
      </c>
    </row>
    <row r="59" spans="1:78" x14ac:dyDescent="0.3">
      <c r="A59" s="2" t="s">
        <v>16</v>
      </c>
      <c r="B59" s="13" t="s">
        <v>701</v>
      </c>
      <c r="C59" s="13"/>
      <c r="D59" s="2">
        <v>4.0999999999999996</v>
      </c>
      <c r="E59" s="2" t="s">
        <v>9</v>
      </c>
      <c r="F59" s="9" t="s">
        <v>534</v>
      </c>
      <c r="G59" t="s">
        <v>615</v>
      </c>
      <c r="I59" s="2"/>
      <c r="J59" s="25">
        <v>6</v>
      </c>
      <c r="K59">
        <v>12</v>
      </c>
      <c r="L59">
        <v>0</v>
      </c>
      <c r="M59" s="2"/>
      <c r="N59" s="2"/>
      <c r="O59" s="2"/>
      <c r="P59" s="2"/>
      <c r="Q59" s="2"/>
      <c r="R59" s="25">
        <v>9.2906580000000005</v>
      </c>
      <c r="S59" s="25">
        <v>9.8537374799999977</v>
      </c>
      <c r="T59" s="25">
        <v>14.19785074</v>
      </c>
      <c r="U59">
        <v>21.14</v>
      </c>
      <c r="V59">
        <v>21.14</v>
      </c>
      <c r="W59">
        <v>3.9169999999999998</v>
      </c>
      <c r="X59">
        <v>0</v>
      </c>
      <c r="AA59" s="2"/>
      <c r="AB59">
        <v>12</v>
      </c>
      <c r="AC59" s="55">
        <f t="shared" si="1"/>
        <v>0</v>
      </c>
      <c r="AD59" s="57">
        <v>1160.7096237378021</v>
      </c>
      <c r="AE59" s="55">
        <v>1515.9824344215051</v>
      </c>
      <c r="AF59" s="55">
        <v>0</v>
      </c>
      <c r="AG59" s="52"/>
      <c r="AH59" s="51">
        <v>6.2031018376620617E-2</v>
      </c>
      <c r="AI59" s="52">
        <v>9.4987907993109438E-2</v>
      </c>
      <c r="AJ59" s="52"/>
      <c r="AK59" s="28">
        <v>2</v>
      </c>
      <c r="AL59" s="28">
        <v>2.666666666666667</v>
      </c>
      <c r="AM59" s="28">
        <v>0.66666666666666663</v>
      </c>
      <c r="AN59" s="28">
        <v>3.1111111111111112</v>
      </c>
      <c r="AO59" s="28">
        <v>0.23684210526315791</v>
      </c>
      <c r="AP59" s="28">
        <v>0.31578947368421051</v>
      </c>
      <c r="AQ59" s="28">
        <v>7.8947368421052627E-2</v>
      </c>
      <c r="AR59" s="28">
        <v>0.36842105263157893</v>
      </c>
      <c r="AS59" s="25">
        <v>0.89</v>
      </c>
      <c r="AT59" s="25">
        <v>3.44</v>
      </c>
      <c r="AU59" s="25">
        <v>2.5499999999999998</v>
      </c>
      <c r="AV59" s="25">
        <v>2.7255555555555562</v>
      </c>
      <c r="AW59">
        <v>2.7255555555555548</v>
      </c>
      <c r="AX59">
        <v>6.1987019111111108</v>
      </c>
      <c r="AY59" s="75">
        <v>0.35206135737794247</v>
      </c>
      <c r="AZ59" s="75">
        <v>0.53911047565759851</v>
      </c>
      <c r="BA59" s="75"/>
      <c r="BC59">
        <v>3.1015509188310308E-2</v>
      </c>
      <c r="BD59">
        <v>4.7493953996554719E-2</v>
      </c>
      <c r="BF59">
        <v>7.8509463184865028E-2</v>
      </c>
      <c r="BG59">
        <v>3.9254731592432507E-2</v>
      </c>
      <c r="BH59">
        <v>0.44558591651777052</v>
      </c>
      <c r="BS59" s="79" t="s">
        <v>464</v>
      </c>
      <c r="BT59" s="79" t="s">
        <v>464</v>
      </c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9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9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9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9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9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9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9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9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9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9" t="s">
        <v>1145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9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t="s">
        <v>1147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9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9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9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  <c r="CA77" s="2"/>
    </row>
    <row r="78" spans="1:79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  <c r="CA78" s="2"/>
    </row>
    <row r="79" spans="1:79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  <c r="CA79" s="2"/>
    </row>
    <row r="80" spans="1:79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 t="s">
        <v>1149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  <c r="CA80" s="2"/>
    </row>
    <row r="81" spans="1:80" x14ac:dyDescent="0.3">
      <c r="A81" s="5" t="s">
        <v>974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  <c r="CA81" s="2"/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s="2"/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s="2"/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  <c r="CA84" s="2"/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A85" s="2"/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A86" s="2"/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A87" s="2"/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A88" s="2"/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 s="2"/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A90" s="2"/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A91" s="2"/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A92" s="2"/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A93" s="2"/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A94" s="2"/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A95" s="2"/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  <c r="CA96" s="2"/>
    </row>
    <row r="97" spans="1:79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  <c r="CA97" s="2"/>
    </row>
    <row r="98" spans="1:79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  <c r="CA98" s="2"/>
    </row>
    <row r="99" spans="1:79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  <c r="CA99" s="2"/>
    </row>
    <row r="100" spans="1:79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9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9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9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9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9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9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9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9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9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9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9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9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1308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1309</v>
      </c>
      <c r="BT115" s="79" t="s">
        <v>464</v>
      </c>
      <c r="BU115" s="79" t="s">
        <v>1306</v>
      </c>
      <c r="BV115" s="79">
        <v>300</v>
      </c>
      <c r="BW115" s="79">
        <v>400</v>
      </c>
      <c r="BY115" s="79">
        <v>293</v>
      </c>
      <c r="BZ115" s="81">
        <v>0</v>
      </c>
      <c r="CA115" s="2"/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1308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1309</v>
      </c>
      <c r="BT116" s="79" t="s">
        <v>464</v>
      </c>
      <c r="BU116" s="79" t="s">
        <v>1306</v>
      </c>
      <c r="BV116" s="79">
        <v>300</v>
      </c>
      <c r="BW116" s="79">
        <v>400</v>
      </c>
      <c r="BY116" s="79">
        <v>293</v>
      </c>
      <c r="BZ116" s="81">
        <v>40</v>
      </c>
      <c r="CA116" s="2"/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1308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1309</v>
      </c>
      <c r="BT117" s="79" t="s">
        <v>464</v>
      </c>
      <c r="BU117" s="79" t="s">
        <v>1306</v>
      </c>
      <c r="BV117" s="79">
        <v>300</v>
      </c>
      <c r="BW117" s="79">
        <v>400</v>
      </c>
      <c r="BY117" s="79">
        <v>293</v>
      </c>
      <c r="BZ117" s="81">
        <v>170</v>
      </c>
      <c r="CA117" s="2"/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75</v>
      </c>
      <c r="CA118" s="2"/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45</v>
      </c>
      <c r="CA119" s="2"/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5" t="s">
        <v>558</v>
      </c>
      <c r="G120" s="2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90" t="s">
        <v>1305</v>
      </c>
      <c r="BJ120" s="90">
        <v>823</v>
      </c>
      <c r="BK120" s="90">
        <v>5</v>
      </c>
      <c r="BL120" s="90" t="s">
        <v>1308</v>
      </c>
      <c r="BM120" s="90" t="s">
        <v>1275</v>
      </c>
      <c r="BN120" s="90" t="s">
        <v>863</v>
      </c>
      <c r="BO120" s="90" t="s">
        <v>464</v>
      </c>
      <c r="BP120" s="90">
        <v>4.2</v>
      </c>
      <c r="BQ120" s="90">
        <v>1</v>
      </c>
      <c r="BR120" s="90">
        <v>0</v>
      </c>
      <c r="BS120" s="90" t="s">
        <v>1309</v>
      </c>
      <c r="BT120" s="90" t="s">
        <v>464</v>
      </c>
      <c r="BU120" s="90" t="s">
        <v>1306</v>
      </c>
      <c r="BV120" s="90">
        <v>300</v>
      </c>
      <c r="BW120" s="90">
        <v>400</v>
      </c>
      <c r="BX120" s="90"/>
      <c r="BY120" s="90">
        <v>293</v>
      </c>
      <c r="BZ120" s="90">
        <v>50</v>
      </c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  <c r="CA121" s="2"/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6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  <c r="CA122" s="2"/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7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  <c r="CA123" s="2"/>
    </row>
    <row r="124" spans="1:79" x14ac:dyDescent="0.3">
      <c r="A124" s="2" t="s">
        <v>1310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  <c r="CA124" s="2"/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  <c r="CA125" s="2"/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  <c r="CA126" s="2"/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7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  <c r="CA127" s="2"/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8"/>
      <c r="BJ128" s="88"/>
      <c r="BK128" s="88"/>
      <c r="BL128" s="88"/>
      <c r="BM128" s="88"/>
      <c r="BN128" s="88"/>
      <c r="BO128" s="88"/>
      <c r="BP128" s="88"/>
      <c r="BQ128" s="88"/>
      <c r="BR128" s="88"/>
      <c r="BS128" s="88" t="s">
        <v>464</v>
      </c>
      <c r="BT128" s="88" t="s">
        <v>464</v>
      </c>
      <c r="BU128" s="88"/>
      <c r="BV128" s="88"/>
      <c r="BW128" s="88"/>
      <c r="BX128" s="88"/>
      <c r="BY128" s="88"/>
      <c r="BZ128" s="8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8"/>
      <c r="BJ129" s="88"/>
      <c r="BK129" s="88"/>
      <c r="BL129" s="88"/>
      <c r="BM129" s="88"/>
      <c r="BN129" s="88"/>
      <c r="BO129" s="88"/>
      <c r="BP129" s="88"/>
      <c r="BQ129" s="88"/>
      <c r="BR129" s="88"/>
      <c r="BS129" s="88" t="s">
        <v>464</v>
      </c>
      <c r="BT129" s="88" t="s">
        <v>464</v>
      </c>
      <c r="BU129" s="88"/>
      <c r="BV129" s="88"/>
      <c r="BW129" s="88"/>
      <c r="BX129" s="88"/>
      <c r="BY129" s="88"/>
      <c r="BZ129" s="88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 t="s">
        <v>464</v>
      </c>
      <c r="BT130" s="88" t="s">
        <v>464</v>
      </c>
      <c r="BU130" s="88"/>
      <c r="BV130" s="88"/>
      <c r="BW130" s="88"/>
      <c r="BX130" s="88"/>
      <c r="BY130" s="88"/>
      <c r="BZ130" s="88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  <c r="CA131" s="2"/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32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  <c r="CA132" s="2"/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32" t="s">
        <v>1154</v>
      </c>
      <c r="G133" s="1" t="s">
        <v>1155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  <c r="CA133" s="2"/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32" t="s">
        <v>1156</v>
      </c>
      <c r="G134" s="1" t="s">
        <v>1157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  <c r="CA134" s="2"/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32" t="s">
        <v>1158</v>
      </c>
      <c r="G135" s="1" t="s">
        <v>1159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  <c r="CA135" s="2"/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32" t="s">
        <v>1160</v>
      </c>
      <c r="G136" s="1" t="s">
        <v>1161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  <c r="CA136" s="2"/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  <c r="CA137" s="2"/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32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  <c r="CA138" s="2"/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32" t="s">
        <v>1154</v>
      </c>
      <c r="G139" s="1" t="s">
        <v>1155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  <c r="CA139" s="2"/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32" t="s">
        <v>1156</v>
      </c>
      <c r="G140" s="1" t="s">
        <v>1157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  <c r="CA140" s="2"/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32" t="s">
        <v>1158</v>
      </c>
      <c r="G141" s="1" t="s">
        <v>1159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  <c r="CA141" s="2"/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32" t="s">
        <v>1160</v>
      </c>
      <c r="G142" s="1" t="s">
        <v>1161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  <c r="CA142" s="2"/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X143" s="79" t="s">
        <v>1311</v>
      </c>
      <c r="BY143" s="79">
        <v>298</v>
      </c>
      <c r="BZ143" s="81">
        <v>4.37</v>
      </c>
      <c r="CA143" s="2"/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>273+1050</f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X144" s="79" t="s">
        <v>1311</v>
      </c>
      <c r="BY144" s="79">
        <v>298</v>
      </c>
      <c r="BZ144" s="81">
        <v>6.27</v>
      </c>
      <c r="CA144" s="2"/>
    </row>
    <row r="145" spans="1:79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4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>273+1050</f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X145" s="79" t="s">
        <v>1311</v>
      </c>
      <c r="BY145" s="79">
        <v>298</v>
      </c>
      <c r="BZ145" s="81">
        <v>22.5</v>
      </c>
      <c r="CA145" s="2"/>
    </row>
    <row r="146" spans="1:79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4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>273+1050</f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X146" s="79" t="s">
        <v>1311</v>
      </c>
      <c r="BY146" s="79">
        <v>298</v>
      </c>
      <c r="BZ146" s="81">
        <v>8.75</v>
      </c>
      <c r="CA146" s="2"/>
    </row>
    <row r="147" spans="1:79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4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>273+1050</f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X147" s="79" t="s">
        <v>1311</v>
      </c>
      <c r="BY147" s="79">
        <v>298</v>
      </c>
      <c r="BZ147" s="81">
        <v>1.25</v>
      </c>
      <c r="CA147" s="2"/>
    </row>
    <row r="148" spans="1:79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4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>273+1050</f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X148" s="79" t="s">
        <v>1311</v>
      </c>
      <c r="BY148" s="79">
        <v>298</v>
      </c>
      <c r="BZ148" s="81">
        <v>0</v>
      </c>
      <c r="CA148" s="5"/>
    </row>
    <row r="149" spans="1:79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4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>273+1050</f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X149" s="79" t="s">
        <v>1311</v>
      </c>
      <c r="BY149" s="79">
        <v>298</v>
      </c>
      <c r="BZ149" s="81">
        <v>10</v>
      </c>
      <c r="CA149" s="2"/>
    </row>
    <row r="150" spans="1:79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4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>273+1050</f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X150" s="79" t="s">
        <v>1311</v>
      </c>
      <c r="BY150" s="79">
        <v>298</v>
      </c>
      <c r="BZ150" s="81">
        <v>2</v>
      </c>
      <c r="CA150" s="2"/>
    </row>
    <row r="151" spans="1:79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5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>273+1050</f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X151" s="79" t="s">
        <v>1311</v>
      </c>
      <c r="BY151" s="79">
        <v>298</v>
      </c>
      <c r="BZ151" s="81">
        <v>0</v>
      </c>
      <c r="CA151" s="2"/>
    </row>
    <row r="152" spans="1:79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5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>273+1050</f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X152" s="79" t="s">
        <v>1311</v>
      </c>
      <c r="BY152" s="79">
        <v>298</v>
      </c>
      <c r="BZ152" s="81">
        <v>0</v>
      </c>
      <c r="CA152" s="2"/>
    </row>
    <row r="153" spans="1:79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5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6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>273+1050</f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X153" s="79" t="s">
        <v>1311</v>
      </c>
      <c r="BY153" s="79">
        <v>298</v>
      </c>
      <c r="BZ153" s="81">
        <v>0.26250000000000001</v>
      </c>
      <c r="CA153" s="2"/>
    </row>
    <row r="154" spans="1:79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5"/>
        <v>438.16588748099997</v>
      </c>
      <c r="AD154" s="57">
        <v>0</v>
      </c>
      <c r="AE154" s="55">
        <v>0</v>
      </c>
      <c r="AF154" s="55">
        <v>0</v>
      </c>
      <c r="AG154" s="52">
        <f t="shared" si="16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>273+1050</f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X154" s="79" t="s">
        <v>1311</v>
      </c>
      <c r="BY154" s="79">
        <v>298</v>
      </c>
      <c r="BZ154" s="81">
        <v>9.375E-2</v>
      </c>
      <c r="CA154" s="2"/>
    </row>
    <row r="155" spans="1:79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5"/>
        <v>494.44948269600002</v>
      </c>
      <c r="AD155" s="57">
        <v>0</v>
      </c>
      <c r="AE155" s="55">
        <v>0</v>
      </c>
      <c r="AF155" s="55">
        <v>0</v>
      </c>
      <c r="AG155" s="52">
        <f t="shared" si="16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>273+1050</f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X155" s="79" t="s">
        <v>1311</v>
      </c>
      <c r="BY155" s="79">
        <v>298</v>
      </c>
      <c r="BZ155" s="81">
        <v>0</v>
      </c>
      <c r="CA155" s="2"/>
    </row>
    <row r="156" spans="1:79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5"/>
        <v>452.85337861199991</v>
      </c>
      <c r="AD156" s="57">
        <v>0</v>
      </c>
      <c r="AE156" s="55">
        <v>0</v>
      </c>
      <c r="AF156" s="55">
        <v>0</v>
      </c>
      <c r="AG156" s="52">
        <f t="shared" si="16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>273+1050</f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X156" s="79" t="s">
        <v>1311</v>
      </c>
      <c r="BY156" s="79">
        <v>298</v>
      </c>
      <c r="BZ156" s="81">
        <v>0</v>
      </c>
      <c r="CA156" s="5"/>
    </row>
    <row r="157" spans="1:79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5"/>
        <v>435.13656298400002</v>
      </c>
      <c r="AD157" s="57">
        <v>0</v>
      </c>
      <c r="AE157" s="55">
        <v>0</v>
      </c>
      <c r="AF157" s="55">
        <v>0</v>
      </c>
      <c r="AG157" s="52">
        <f t="shared" si="16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>273+1050</f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X157" s="79" t="s">
        <v>1311</v>
      </c>
      <c r="BY157" s="79">
        <v>298</v>
      </c>
      <c r="BZ157" s="81">
        <v>6.25E-2</v>
      </c>
      <c r="CA157" s="2"/>
    </row>
    <row r="158" spans="1:79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5"/>
        <v>439.36104476600002</v>
      </c>
      <c r="AD158" s="57">
        <v>0</v>
      </c>
      <c r="AE158" s="55">
        <v>0</v>
      </c>
      <c r="AF158" s="55">
        <v>0</v>
      </c>
      <c r="AG158" s="52">
        <f t="shared" si="16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>273+1050</f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X158" s="79" t="s">
        <v>1311</v>
      </c>
      <c r="BY158" s="79">
        <v>298</v>
      </c>
      <c r="BZ158" s="81">
        <v>1.2500000000000001E-2</v>
      </c>
      <c r="CA158" s="2"/>
    </row>
    <row r="159" spans="1:79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9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9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6" t="s">
        <v>1313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7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9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7" t="s">
        <v>1313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7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9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9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8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1312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  <c r="CA164" s="2"/>
    </row>
    <row r="165" spans="1:79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6" t="s">
        <v>1313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8"/>
        <v>193.87571561907995</v>
      </c>
      <c r="AD165" s="57">
        <v>0</v>
      </c>
      <c r="AE165" s="55">
        <v>0</v>
      </c>
      <c r="AF165" s="55">
        <v>0</v>
      </c>
      <c r="AG165" s="52">
        <f t="shared" ref="AG165" si="19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1312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  <c r="CA165" s="2"/>
    </row>
    <row r="166" spans="1:79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8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1312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  <c r="CA166" s="2"/>
    </row>
    <row r="167" spans="1:79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7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9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7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9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9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9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9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0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1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1312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9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0"/>
        <v>152.378434633952</v>
      </c>
      <c r="AD173" s="57">
        <v>0</v>
      </c>
      <c r="AE173" s="55">
        <v>0</v>
      </c>
      <c r="AF173" s="55">
        <v>0</v>
      </c>
      <c r="AG173" s="52">
        <f t="shared" si="21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1312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9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0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1312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9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0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1312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9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1312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1312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1312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2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79">
        <v>252.5</v>
      </c>
      <c r="BX179" s="79" t="s">
        <v>1311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1314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79">
        <v>252.5</v>
      </c>
      <c r="BX180" s="79" t="s">
        <v>1311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3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3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4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4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5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5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6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7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7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8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9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8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9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29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9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29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9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0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9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1309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9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1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1309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9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1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1309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9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  <c r="CA200" s="2"/>
    </row>
    <row r="201" spans="1:79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  <c r="CA201" s="2"/>
    </row>
    <row r="202" spans="1:79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  <c r="CA202" s="2"/>
    </row>
    <row r="203" spans="1:79" x14ac:dyDescent="0.3">
      <c r="A203" s="2" t="s">
        <v>8</v>
      </c>
      <c r="B203" s="89" t="s">
        <v>694</v>
      </c>
      <c r="C203" s="13"/>
      <c r="D203" s="2"/>
      <c r="E203" s="2" t="s">
        <v>103</v>
      </c>
      <c r="F203" s="86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  <c r="CA203" s="2"/>
    </row>
    <row r="204" spans="1:79" x14ac:dyDescent="0.3">
      <c r="A204" s="2" t="s">
        <v>8</v>
      </c>
      <c r="B204" s="89" t="s">
        <v>694</v>
      </c>
      <c r="C204" s="13"/>
      <c r="D204" s="2"/>
      <c r="E204" s="2" t="s">
        <v>103</v>
      </c>
      <c r="F204" s="86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  <c r="CA204" s="2"/>
    </row>
    <row r="205" spans="1:79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X205" s="79" t="s">
        <v>1311</v>
      </c>
      <c r="BZ205" s="81">
        <v>18</v>
      </c>
      <c r="CA205" s="2"/>
    </row>
    <row r="206" spans="1:79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X206" s="79" t="s">
        <v>1311</v>
      </c>
      <c r="BZ206" s="81">
        <v>1.6</v>
      </c>
      <c r="CA206" s="2"/>
    </row>
    <row r="207" spans="1:79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X207" s="79" t="s">
        <v>1311</v>
      </c>
      <c r="BZ207" s="81">
        <v>0</v>
      </c>
      <c r="CA207" s="2"/>
    </row>
    <row r="208" spans="1:79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X208" s="79" t="s">
        <v>1311</v>
      </c>
      <c r="BZ208" s="81">
        <v>0</v>
      </c>
      <c r="CA208" s="2"/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X209" s="79" t="s">
        <v>1311</v>
      </c>
      <c r="BZ209" s="81">
        <v>0.6</v>
      </c>
      <c r="CA209" s="2"/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X210" s="79" t="s">
        <v>1311</v>
      </c>
      <c r="BZ210" s="81">
        <v>33</v>
      </c>
      <c r="CA210" s="2"/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X211" s="79" t="s">
        <v>1311</v>
      </c>
      <c r="BZ211" s="81">
        <v>0.01</v>
      </c>
      <c r="CA211" s="2"/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75" si="32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X212" s="79" t="s">
        <v>1311</v>
      </c>
      <c r="BZ212" s="81">
        <v>8.1999999999999993</v>
      </c>
      <c r="CA212" s="2"/>
    </row>
    <row r="213" spans="1:79" s="3" customFormat="1" x14ac:dyDescent="0.3">
      <c r="A213" s="3" t="s">
        <v>109</v>
      </c>
      <c r="B213" s="82" t="s">
        <v>752</v>
      </c>
      <c r="C213" s="82"/>
      <c r="D213" s="3">
        <v>2.64</v>
      </c>
      <c r="E213" s="3" t="s">
        <v>114</v>
      </c>
      <c r="F213" s="83" t="s">
        <v>569</v>
      </c>
      <c r="G213" s="3" t="s">
        <v>647</v>
      </c>
      <c r="J213" s="84">
        <v>16</v>
      </c>
      <c r="K213" s="3">
        <v>16</v>
      </c>
      <c r="L213" s="3">
        <v>0</v>
      </c>
      <c r="R213" s="84">
        <v>22.855297</v>
      </c>
      <c r="S213" s="84">
        <v>5.6559619999999997</v>
      </c>
      <c r="T213" s="84">
        <v>17.48922452</v>
      </c>
      <c r="U213" s="3">
        <v>17.24399</v>
      </c>
      <c r="V213" s="3">
        <v>22.428989999999999</v>
      </c>
      <c r="W213" s="3">
        <v>5.5860000000000003</v>
      </c>
      <c r="X213" s="3">
        <v>0</v>
      </c>
      <c r="AB213" s="3">
        <v>12</v>
      </c>
      <c r="AC213" s="3">
        <f t="shared" si="32"/>
        <v>0</v>
      </c>
      <c r="AD213" s="84">
        <v>2260.7115007974689</v>
      </c>
      <c r="AE213" s="3">
        <v>2160.393128160722</v>
      </c>
      <c r="AF213" s="3">
        <v>0</v>
      </c>
      <c r="AH213" s="84">
        <v>8.4929014574514128E-2</v>
      </c>
      <c r="AI213" s="3">
        <v>8.8872713719220939E-2</v>
      </c>
      <c r="AK213" s="3">
        <v>1.8888888888888891</v>
      </c>
      <c r="AL213" s="3">
        <v>3.333333333333333</v>
      </c>
      <c r="AM213" s="3">
        <v>2.7777777777777781</v>
      </c>
      <c r="AN213" s="3">
        <v>3.1111111111111112</v>
      </c>
      <c r="AO213" s="3">
        <v>0.17</v>
      </c>
      <c r="AP213" s="3">
        <v>0.3</v>
      </c>
      <c r="AQ213" s="3">
        <v>0.25</v>
      </c>
      <c r="AR213" s="3">
        <v>0.28000000000000003</v>
      </c>
      <c r="AS213" s="84">
        <v>2.02</v>
      </c>
      <c r="AT213" s="84">
        <v>3.44</v>
      </c>
      <c r="AU213" s="84">
        <v>1.42</v>
      </c>
      <c r="AV213" s="84">
        <v>2.9822222222222221</v>
      </c>
      <c r="AW213" s="3">
        <v>2.9822222222222221</v>
      </c>
      <c r="AX213" s="3">
        <v>6.3761376700000003</v>
      </c>
      <c r="AY213" s="3">
        <v>0.46231169000880379</v>
      </c>
      <c r="AZ213" s="3">
        <v>0.48377924412573098</v>
      </c>
      <c r="BC213" s="3">
        <v>4.2464507287257078E-2</v>
      </c>
      <c r="BD213" s="3">
        <v>4.4436356859610462E-2</v>
      </c>
      <c r="BF213" s="3">
        <v>8.690086414686754E-2</v>
      </c>
      <c r="BG213" s="3">
        <v>4.345043207343377E-2</v>
      </c>
      <c r="BH213" s="3">
        <v>0.47304546706726741</v>
      </c>
      <c r="BI213" s="85"/>
      <c r="BJ213" s="85"/>
      <c r="BK213" s="85"/>
      <c r="BL213" s="85"/>
      <c r="BM213" s="85"/>
      <c r="BN213" s="85"/>
      <c r="BO213" s="85"/>
      <c r="BP213" s="85">
        <v>2.2999999999999998</v>
      </c>
      <c r="BQ213" s="85"/>
      <c r="BR213" s="85"/>
      <c r="BS213" s="85" t="s">
        <v>464</v>
      </c>
      <c r="BT213" s="85" t="s">
        <v>464</v>
      </c>
      <c r="BU213" s="85"/>
      <c r="BV213" s="85"/>
      <c r="BW213" s="85"/>
      <c r="BX213" s="85"/>
      <c r="BY213" s="85"/>
      <c r="BZ213" s="85"/>
    </row>
    <row r="214" spans="1:79" x14ac:dyDescent="0.3">
      <c r="A214" s="2" t="s">
        <v>25</v>
      </c>
      <c r="B214" s="13" t="s">
        <v>708</v>
      </c>
      <c r="C214" s="13"/>
      <c r="D214" s="2">
        <v>2.88</v>
      </c>
      <c r="E214" s="2" t="s">
        <v>115</v>
      </c>
      <c r="F214" s="9" t="s">
        <v>541</v>
      </c>
      <c r="G214" t="s">
        <v>621</v>
      </c>
      <c r="I214" s="2"/>
      <c r="J214" s="25">
        <v>1</v>
      </c>
      <c r="K214">
        <v>4</v>
      </c>
      <c r="L214">
        <v>0</v>
      </c>
      <c r="M214" s="2">
        <v>5.4960000000000004</v>
      </c>
      <c r="N214" s="2">
        <v>5.4960000000000004</v>
      </c>
      <c r="O214" s="2">
        <v>25.55</v>
      </c>
      <c r="P214" s="2" t="s">
        <v>450</v>
      </c>
      <c r="Q214" s="2"/>
      <c r="R214" s="25">
        <v>12.868820120000001</v>
      </c>
      <c r="S214" s="25">
        <v>12.868820120000001</v>
      </c>
      <c r="T214" s="25">
        <v>12.868820120000001</v>
      </c>
      <c r="U214">
        <v>5.5453000000000001</v>
      </c>
      <c r="V214">
        <v>5.5453000000000001</v>
      </c>
      <c r="W214">
        <v>25.686699999999998</v>
      </c>
      <c r="X214">
        <v>0</v>
      </c>
      <c r="AA214" s="2"/>
      <c r="AB214">
        <v>18</v>
      </c>
      <c r="AC214" s="55">
        <f t="shared" si="32"/>
        <v>771.76370880000013</v>
      </c>
      <c r="AD214" s="57">
        <v>197.4403766939285</v>
      </c>
      <c r="AE214" s="55">
        <v>789.87506903020289</v>
      </c>
      <c r="AF214" s="55">
        <v>0</v>
      </c>
      <c r="AG214" s="52"/>
      <c r="AH214" s="51">
        <v>9.1166762854710051E-2</v>
      </c>
      <c r="AI214" s="52">
        <v>9.1153655588092616E-2</v>
      </c>
      <c r="AJ214" s="52"/>
      <c r="AK214" s="28">
        <v>1.857142857142857</v>
      </c>
      <c r="AL214" s="28">
        <v>3.1428571428571428</v>
      </c>
      <c r="AM214" s="28">
        <v>2.714285714285714</v>
      </c>
      <c r="AN214" s="28">
        <v>3</v>
      </c>
      <c r="AO214" s="28">
        <v>0.17333333333333331</v>
      </c>
      <c r="AP214" s="28">
        <v>0.29333333333333328</v>
      </c>
      <c r="AQ214" s="28">
        <v>0.25333333333333341</v>
      </c>
      <c r="AR214" s="28">
        <v>0.28000000000000003</v>
      </c>
      <c r="AS214" s="25">
        <v>1.6</v>
      </c>
      <c r="AT214" s="25">
        <v>3.44</v>
      </c>
      <c r="AU214" s="25">
        <v>1.84</v>
      </c>
      <c r="AV214" s="25">
        <v>2.895</v>
      </c>
      <c r="AW214">
        <v>2.895</v>
      </c>
      <c r="AX214">
        <v>6.260504073571429</v>
      </c>
      <c r="AY214" s="75">
        <v>0.51995616258071919</v>
      </c>
      <c r="AZ214" s="75">
        <v>0.51988140722208986</v>
      </c>
      <c r="BA214" s="75"/>
      <c r="BC214">
        <v>4.5583381427355033E-2</v>
      </c>
      <c r="BD214">
        <v>4.5576827794046308E-2</v>
      </c>
      <c r="BF214">
        <v>9.1160209221401334E-2</v>
      </c>
      <c r="BG214">
        <v>4.5580104610700667E-2</v>
      </c>
      <c r="BH214">
        <v>0.51991878490140453</v>
      </c>
      <c r="BS214" s="79" t="s">
        <v>464</v>
      </c>
      <c r="BT214" s="79" t="s">
        <v>464</v>
      </c>
    </row>
    <row r="215" spans="1:79" x14ac:dyDescent="0.3">
      <c r="A215" s="2" t="s">
        <v>8</v>
      </c>
      <c r="B215" s="13" t="s">
        <v>694</v>
      </c>
      <c r="C215" s="13"/>
      <c r="D215" s="2">
        <v>2.73</v>
      </c>
      <c r="E215" s="2" t="s">
        <v>115</v>
      </c>
      <c r="F215" s="9" t="s">
        <v>530</v>
      </c>
      <c r="G215" t="s">
        <v>612</v>
      </c>
      <c r="I215" s="2"/>
      <c r="J215" s="25">
        <v>30</v>
      </c>
      <c r="K215">
        <v>4</v>
      </c>
      <c r="L215">
        <v>0</v>
      </c>
      <c r="M215" s="2"/>
      <c r="N215" s="2"/>
      <c r="P215" s="2"/>
      <c r="Q215" s="2"/>
      <c r="R215" s="25">
        <v>10.59112378</v>
      </c>
      <c r="S215" s="25">
        <v>10.784736629999999</v>
      </c>
      <c r="T215" s="25">
        <v>10.486176179999999</v>
      </c>
      <c r="U215">
        <v>3.73</v>
      </c>
      <c r="V215">
        <v>3.73</v>
      </c>
      <c r="W215">
        <v>9.3699999999999992</v>
      </c>
      <c r="X215">
        <v>0</v>
      </c>
      <c r="AA215" s="2"/>
      <c r="AB215">
        <v>4</v>
      </c>
      <c r="AC215" s="55">
        <f t="shared" si="32"/>
        <v>0</v>
      </c>
      <c r="AD215" s="57">
        <v>1182.741260108548</v>
      </c>
      <c r="AE215" s="55">
        <v>130.36387300000001</v>
      </c>
      <c r="AF215" s="55">
        <v>0</v>
      </c>
      <c r="AG215" s="52"/>
      <c r="AH215" s="51">
        <v>0.1014592151701775</v>
      </c>
      <c r="AI215" s="52">
        <v>0.1227333894874388</v>
      </c>
      <c r="AJ215" s="52"/>
      <c r="AK215" s="28">
        <v>2</v>
      </c>
      <c r="AL215" s="28">
        <v>2.666666666666667</v>
      </c>
      <c r="AM215" s="28">
        <v>0.66666666666666663</v>
      </c>
      <c r="AN215" s="28">
        <v>0</v>
      </c>
      <c r="AO215" s="28">
        <v>0.375</v>
      </c>
      <c r="AP215" s="28">
        <v>0.5</v>
      </c>
      <c r="AQ215" s="28">
        <v>0.125</v>
      </c>
      <c r="AR215" s="28">
        <v>0</v>
      </c>
      <c r="AS215" s="25">
        <v>1.54</v>
      </c>
      <c r="AT215" s="25">
        <v>3.44</v>
      </c>
      <c r="AU215" s="25">
        <v>1.9</v>
      </c>
      <c r="AV215" s="25">
        <v>2.8066666666666671</v>
      </c>
      <c r="AW215">
        <v>2.8066666666666662</v>
      </c>
      <c r="AX215">
        <v>6.1769976</v>
      </c>
      <c r="AY215" s="75">
        <v>0.46900407026869628</v>
      </c>
      <c r="AZ215" s="75">
        <v>0.56734579634715776</v>
      </c>
      <c r="BA215" s="75"/>
      <c r="BC215">
        <v>5.072960758508873E-2</v>
      </c>
      <c r="BD215">
        <v>6.136669474371937E-2</v>
      </c>
      <c r="BF215">
        <v>0.1120963023288082</v>
      </c>
      <c r="BG215">
        <v>5.604815116440405E-2</v>
      </c>
      <c r="BH215">
        <v>0.51817493330792708</v>
      </c>
      <c r="BN215" s="79" t="s">
        <v>676</v>
      </c>
      <c r="BO215" s="79" t="s">
        <v>1067</v>
      </c>
      <c r="BS215" s="79" t="s">
        <v>464</v>
      </c>
      <c r="BT215" s="79" t="s">
        <v>464</v>
      </c>
    </row>
    <row r="216" spans="1:79" x14ac:dyDescent="0.3">
      <c r="A216" s="2" t="s">
        <v>19</v>
      </c>
      <c r="B216" s="13" t="s">
        <v>705</v>
      </c>
      <c r="C216" s="13"/>
      <c r="D216" s="2">
        <v>3.46</v>
      </c>
      <c r="E216" s="2" t="s">
        <v>116</v>
      </c>
      <c r="F216" s="9" t="s">
        <v>538</v>
      </c>
      <c r="G216">
        <v>-1</v>
      </c>
      <c r="I216" s="2"/>
      <c r="J216" s="25">
        <v>1</v>
      </c>
      <c r="K216">
        <v>0</v>
      </c>
      <c r="L216">
        <v>0</v>
      </c>
      <c r="M216" s="2"/>
      <c r="N216" s="2"/>
      <c r="O216" s="2"/>
      <c r="P216" s="2" t="s">
        <v>450</v>
      </c>
      <c r="Q216" s="2"/>
      <c r="R216" s="25">
        <v>13.83861243</v>
      </c>
      <c r="S216" s="25">
        <v>13.83861243</v>
      </c>
      <c r="T216" s="25">
        <v>13.83861243</v>
      </c>
      <c r="U216">
        <v>0</v>
      </c>
      <c r="X216">
        <v>0</v>
      </c>
      <c r="AA216" s="2"/>
      <c r="AB216">
        <v>18</v>
      </c>
      <c r="AC216" s="55">
        <f t="shared" si="32"/>
        <v>0</v>
      </c>
      <c r="AD216" s="57">
        <v>208.2630581553295</v>
      </c>
      <c r="AE216" s="55">
        <v>0</v>
      </c>
      <c r="AF216" s="55">
        <v>0</v>
      </c>
      <c r="AG216" s="52"/>
      <c r="AH216" s="51">
        <v>8.6429154356194082E-2</v>
      </c>
      <c r="AI216" s="52"/>
      <c r="AJ216" s="52"/>
      <c r="AK216" s="28">
        <v>1.857142857142857</v>
      </c>
      <c r="AL216" s="28">
        <v>3</v>
      </c>
      <c r="AM216" s="28">
        <v>2</v>
      </c>
      <c r="AN216" s="28">
        <v>2</v>
      </c>
      <c r="AO216" s="28">
        <v>0.20967741935483869</v>
      </c>
      <c r="AP216" s="28">
        <v>0.33870967741935482</v>
      </c>
      <c r="AQ216" s="28">
        <v>0.22580645161290319</v>
      </c>
      <c r="AR216" s="28">
        <v>0.22580645161290319</v>
      </c>
      <c r="AS216" s="25">
        <v>1</v>
      </c>
      <c r="AT216" s="25">
        <v>3.44</v>
      </c>
      <c r="AU216" s="25">
        <v>2.44</v>
      </c>
      <c r="AV216" s="25">
        <v>2.8</v>
      </c>
      <c r="AW216">
        <v>2.8</v>
      </c>
      <c r="AX216">
        <v>6.2020864082142868</v>
      </c>
      <c r="AY216" s="75">
        <v>0.47541563854575991</v>
      </c>
      <c r="AZ216" s="75"/>
      <c r="BA216" s="75"/>
      <c r="BC216">
        <v>4.3214577178097048E-2</v>
      </c>
      <c r="BF216">
        <v>8.6429154356194082E-2</v>
      </c>
      <c r="BG216">
        <v>4.3214577178097048E-2</v>
      </c>
      <c r="BH216">
        <v>0.47541563854575991</v>
      </c>
      <c r="BS216" s="79" t="s">
        <v>464</v>
      </c>
      <c r="BT216" s="79" t="s">
        <v>464</v>
      </c>
    </row>
    <row r="217" spans="1:79" x14ac:dyDescent="0.3">
      <c r="A217" s="2" t="s">
        <v>20</v>
      </c>
      <c r="B217" s="13" t="s">
        <v>706</v>
      </c>
      <c r="C217" s="13"/>
      <c r="D217" s="2">
        <v>3.43</v>
      </c>
      <c r="E217" s="2" t="s">
        <v>116</v>
      </c>
      <c r="F217" s="9" t="s">
        <v>539</v>
      </c>
      <c r="G217" t="s">
        <v>619</v>
      </c>
      <c r="I217" s="2"/>
      <c r="J217" s="25">
        <v>2</v>
      </c>
      <c r="K217">
        <v>4</v>
      </c>
      <c r="L217">
        <v>0</v>
      </c>
      <c r="M217" s="2"/>
      <c r="N217" s="2"/>
      <c r="O217" s="2"/>
      <c r="P217" s="2" t="s">
        <v>450</v>
      </c>
      <c r="Q217" s="2"/>
      <c r="R217" s="25">
        <v>13.01244535</v>
      </c>
      <c r="S217" s="25">
        <v>13.01244535</v>
      </c>
      <c r="T217" s="25">
        <v>5.6884839999999999</v>
      </c>
      <c r="U217">
        <v>5.5060000000000002</v>
      </c>
      <c r="V217">
        <v>5.5060000000000002</v>
      </c>
      <c r="W217">
        <v>25</v>
      </c>
      <c r="X217">
        <v>0</v>
      </c>
      <c r="AA217" s="2"/>
      <c r="AB217">
        <v>18</v>
      </c>
      <c r="AC217" s="55">
        <f t="shared" si="32"/>
        <v>0</v>
      </c>
      <c r="AD217" s="57">
        <v>408.08048566890238</v>
      </c>
      <c r="AE217" s="55">
        <v>757.90090000000009</v>
      </c>
      <c r="AF217" s="55">
        <v>0</v>
      </c>
      <c r="AG217" s="52"/>
      <c r="AH217" s="51">
        <v>8.8217891480379992E-2</v>
      </c>
      <c r="AI217" s="52">
        <v>9.4999227471559922E-2</v>
      </c>
      <c r="AJ217" s="52"/>
      <c r="AK217" s="28">
        <v>1.857142857142857</v>
      </c>
      <c r="AL217" s="28">
        <v>3</v>
      </c>
      <c r="AM217" s="28">
        <v>2</v>
      </c>
      <c r="AN217" s="28">
        <v>2</v>
      </c>
      <c r="AO217" s="28">
        <v>0.20967741935483869</v>
      </c>
      <c r="AP217" s="28">
        <v>0.33870967741935482</v>
      </c>
      <c r="AQ217" s="28">
        <v>0.22580645161290319</v>
      </c>
      <c r="AR217" s="28">
        <v>0.22580645161290319</v>
      </c>
      <c r="AS217" s="25">
        <v>0.95</v>
      </c>
      <c r="AT217" s="25">
        <v>3.44</v>
      </c>
      <c r="AU217" s="25">
        <v>2.4900000000000002</v>
      </c>
      <c r="AV217" s="25">
        <v>2.7964285714285722</v>
      </c>
      <c r="AW217">
        <v>2.7964285714285722</v>
      </c>
      <c r="AX217">
        <v>6.1881302289285713</v>
      </c>
      <c r="AY217" s="75">
        <v>0.50205645606923555</v>
      </c>
      <c r="AZ217" s="75">
        <v>0.54064968764634491</v>
      </c>
      <c r="BA217" s="75"/>
      <c r="BC217">
        <v>4.4108945740190003E-2</v>
      </c>
      <c r="BD217">
        <v>4.7499613735779961E-2</v>
      </c>
      <c r="BF217">
        <v>9.1608559475969964E-2</v>
      </c>
      <c r="BG217">
        <v>4.5804279737984982E-2</v>
      </c>
      <c r="BH217">
        <v>0.52135307185779023</v>
      </c>
      <c r="BS217" s="79" t="s">
        <v>464</v>
      </c>
      <c r="BT217" s="79" t="s">
        <v>464</v>
      </c>
    </row>
    <row r="218" spans="1:79" x14ac:dyDescent="0.3">
      <c r="A218" s="2" t="s">
        <v>21</v>
      </c>
      <c r="B218" s="13" t="s">
        <v>707</v>
      </c>
      <c r="C218" s="13"/>
      <c r="D218" s="2">
        <v>3.3</v>
      </c>
      <c r="E218" s="2" t="s">
        <v>116</v>
      </c>
      <c r="F218" s="9" t="s">
        <v>540</v>
      </c>
      <c r="G218" t="s">
        <v>620</v>
      </c>
      <c r="I218" s="2"/>
      <c r="J218" s="25">
        <v>2</v>
      </c>
      <c r="K218">
        <v>2</v>
      </c>
      <c r="L218">
        <v>0</v>
      </c>
      <c r="M218" s="2"/>
      <c r="N218" s="2"/>
      <c r="O218" s="2"/>
      <c r="P218" s="2" t="s">
        <v>440</v>
      </c>
      <c r="Q218" s="2"/>
      <c r="R218" s="25">
        <v>13.052871550000001</v>
      </c>
      <c r="S218" s="25">
        <v>13.052871550000001</v>
      </c>
      <c r="T218" s="25">
        <v>5.7602650000000004</v>
      </c>
      <c r="U218">
        <v>3.9390000000000001</v>
      </c>
      <c r="V218">
        <v>3.9390000000000001</v>
      </c>
      <c r="W218">
        <v>25.636399999999998</v>
      </c>
      <c r="X218">
        <v>0</v>
      </c>
      <c r="AA218" s="2"/>
      <c r="AB218">
        <v>18</v>
      </c>
      <c r="AC218" s="55">
        <f t="shared" si="32"/>
        <v>0</v>
      </c>
      <c r="AD218" s="57">
        <v>419.87909289623292</v>
      </c>
      <c r="AE218" s="55">
        <v>397.76722984439999</v>
      </c>
      <c r="AF218" s="55">
        <v>0</v>
      </c>
      <c r="AG218" s="52"/>
      <c r="AH218" s="51">
        <v>8.5738967738736363E-2</v>
      </c>
      <c r="AI218" s="52">
        <v>9.0505193235960166E-2</v>
      </c>
      <c r="AJ218" s="52"/>
      <c r="AK218" s="28">
        <v>1.857142857142857</v>
      </c>
      <c r="AL218" s="28">
        <v>3</v>
      </c>
      <c r="AM218" s="28">
        <v>2</v>
      </c>
      <c r="AN218" s="28">
        <v>2</v>
      </c>
      <c r="AO218" s="28">
        <v>0.20967741935483869</v>
      </c>
      <c r="AP218" s="28">
        <v>0.33870967741935482</v>
      </c>
      <c r="AQ218" s="28">
        <v>0.22580645161290319</v>
      </c>
      <c r="AR218" s="28">
        <v>0.22580645161290319</v>
      </c>
      <c r="AS218" s="25">
        <v>0.89</v>
      </c>
      <c r="AT218" s="25">
        <v>3.44</v>
      </c>
      <c r="AU218" s="25">
        <v>2.5499999999999998</v>
      </c>
      <c r="AV218" s="25">
        <v>2.7921428571428568</v>
      </c>
      <c r="AW218">
        <v>2.7921428571428568</v>
      </c>
      <c r="AX218">
        <v>6.1741786985714304</v>
      </c>
      <c r="AY218" s="75">
        <v>0.50806026761966716</v>
      </c>
      <c r="AZ218" s="75">
        <v>0</v>
      </c>
      <c r="BA218" s="75"/>
      <c r="BC218">
        <v>4.2869483869368182E-2</v>
      </c>
      <c r="BD218">
        <v>4.5252596617980083E-2</v>
      </c>
      <c r="BF218">
        <v>8.8122080487348264E-2</v>
      </c>
      <c r="BG218">
        <v>4.4061040243674132E-2</v>
      </c>
      <c r="BH218">
        <v>0.25403013380983358</v>
      </c>
      <c r="BS218" s="79" t="s">
        <v>464</v>
      </c>
      <c r="BT218" s="79" t="s">
        <v>464</v>
      </c>
    </row>
    <row r="219" spans="1:79" x14ac:dyDescent="0.3">
      <c r="A219" s="2" t="s">
        <v>17</v>
      </c>
      <c r="B219" s="13" t="s">
        <v>702</v>
      </c>
      <c r="C219" s="13"/>
      <c r="D219" s="2">
        <v>3.67</v>
      </c>
      <c r="E219" s="2" t="s">
        <v>117</v>
      </c>
      <c r="F219" s="9" t="s">
        <v>535</v>
      </c>
      <c r="G219" t="s">
        <v>616</v>
      </c>
      <c r="I219" s="2"/>
      <c r="J219" s="25">
        <v>1</v>
      </c>
      <c r="K219">
        <v>4</v>
      </c>
      <c r="L219">
        <v>0</v>
      </c>
      <c r="M219" s="2">
        <v>5.4669999999999996</v>
      </c>
      <c r="N219" s="2">
        <v>5.4269999999999996</v>
      </c>
      <c r="O219" s="2">
        <v>24.931000000000001</v>
      </c>
      <c r="P219" s="2" t="s">
        <v>450</v>
      </c>
      <c r="Q219" s="2"/>
      <c r="R219" s="25">
        <v>13.46934785</v>
      </c>
      <c r="S219" s="25">
        <v>13.46934785</v>
      </c>
      <c r="T219" s="25">
        <v>13.46934785</v>
      </c>
      <c r="U219">
        <v>5.4659000000000004</v>
      </c>
      <c r="V219">
        <v>5.4318</v>
      </c>
      <c r="W219">
        <v>24.9619</v>
      </c>
      <c r="X219">
        <v>0</v>
      </c>
      <c r="AB219">
        <v>18</v>
      </c>
      <c r="AC219" s="55">
        <f t="shared" si="32"/>
        <v>739.68803577899985</v>
      </c>
      <c r="AD219" s="57">
        <v>189.22149105491849</v>
      </c>
      <c r="AE219" s="55">
        <v>741.11071385887806</v>
      </c>
      <c r="AF219" s="55">
        <v>0</v>
      </c>
      <c r="AG219" s="52"/>
      <c r="AH219" s="51">
        <v>9.5126615373598261E-2</v>
      </c>
      <c r="AI219" s="52">
        <v>9.7151476363233638E-2</v>
      </c>
      <c r="AJ219" s="52"/>
      <c r="AK219" s="28">
        <v>2</v>
      </c>
      <c r="AL219" s="28">
        <v>3</v>
      </c>
      <c r="AM219" s="28">
        <v>1.857142857142857</v>
      </c>
      <c r="AN219" s="28">
        <v>4</v>
      </c>
      <c r="AO219" s="28">
        <v>0.18421052631578949</v>
      </c>
      <c r="AP219" s="28">
        <v>0.27631578947368418</v>
      </c>
      <c r="AQ219" s="28">
        <v>0.1710526315789474</v>
      </c>
      <c r="AR219" s="28">
        <v>0.36842105263157893</v>
      </c>
      <c r="AS219" s="25">
        <v>1</v>
      </c>
      <c r="AT219" s="25">
        <v>3.44</v>
      </c>
      <c r="AU219" s="25">
        <v>2.44</v>
      </c>
      <c r="AV219" s="25">
        <v>2.785714285714286</v>
      </c>
      <c r="AW219">
        <v>2.785714285714286</v>
      </c>
      <c r="AX219">
        <v>6.216117408214286</v>
      </c>
      <c r="AY219" s="75">
        <v>0.52325723799350143</v>
      </c>
      <c r="AZ219" s="75"/>
      <c r="BA219" s="75"/>
      <c r="BC219">
        <v>4.7563307686799138E-2</v>
      </c>
      <c r="BD219">
        <v>4.8575738181616819E-2</v>
      </c>
      <c r="BF219">
        <v>9.6139045868415957E-2</v>
      </c>
      <c r="BG219">
        <v>4.8069522934207978E-2</v>
      </c>
      <c r="BH219">
        <v>0.52325723799350143</v>
      </c>
      <c r="BP219" s="79">
        <v>1.96</v>
      </c>
      <c r="BS219" s="79" t="s">
        <v>464</v>
      </c>
      <c r="BT219" s="79" t="s">
        <v>464</v>
      </c>
    </row>
    <row r="220" spans="1:79" x14ac:dyDescent="0.3">
      <c r="A220" s="2" t="s">
        <v>51</v>
      </c>
      <c r="B220" s="13" t="s">
        <v>703</v>
      </c>
      <c r="C220" s="13"/>
      <c r="D220" s="2">
        <v>3.64</v>
      </c>
      <c r="E220" s="2" t="s">
        <v>117</v>
      </c>
      <c r="F220" s="9" t="s">
        <v>536</v>
      </c>
      <c r="G220" t="s">
        <v>617</v>
      </c>
      <c r="I220" s="2"/>
      <c r="J220" s="25">
        <v>1</v>
      </c>
      <c r="K220">
        <v>4</v>
      </c>
      <c r="L220">
        <v>0</v>
      </c>
      <c r="M220" s="2">
        <v>5.4729999999999999</v>
      </c>
      <c r="N220" s="2">
        <v>5.5270000000000001</v>
      </c>
      <c r="O220" s="2">
        <v>25.030999999999999</v>
      </c>
      <c r="P220" s="2" t="s">
        <v>450</v>
      </c>
      <c r="Q220" s="2"/>
      <c r="R220" s="25">
        <v>12.88926011</v>
      </c>
      <c r="S220" s="25">
        <v>12.88926011</v>
      </c>
      <c r="T220" s="25">
        <v>12.88926011</v>
      </c>
      <c r="U220">
        <v>5.5223699999999996</v>
      </c>
      <c r="V220">
        <v>5.5240799999999997</v>
      </c>
      <c r="W220">
        <v>25.026399999999999</v>
      </c>
      <c r="X220">
        <v>0</v>
      </c>
      <c r="AB220">
        <v>18</v>
      </c>
      <c r="AC220" s="55">
        <f t="shared" si="32"/>
        <v>757.16950240099993</v>
      </c>
      <c r="AD220" s="57">
        <v>195.03203980213701</v>
      </c>
      <c r="AE220" s="55">
        <v>763.45570050087724</v>
      </c>
      <c r="AF220" s="55">
        <v>0</v>
      </c>
      <c r="AG220" s="52"/>
      <c r="AH220" s="51">
        <v>9.2292528029042184E-2</v>
      </c>
      <c r="AI220" s="52">
        <v>9.4308025930991482E-2</v>
      </c>
      <c r="AJ220" s="52"/>
      <c r="AK220" s="28">
        <v>2</v>
      </c>
      <c r="AL220" s="28">
        <v>3</v>
      </c>
      <c r="AM220" s="28">
        <v>1.857142857142857</v>
      </c>
      <c r="AN220" s="28">
        <v>4</v>
      </c>
      <c r="AO220" s="28">
        <v>0.18421052631578949</v>
      </c>
      <c r="AP220" s="28">
        <v>0.27631578947368418</v>
      </c>
      <c r="AQ220" s="28">
        <v>0.1710526315789474</v>
      </c>
      <c r="AR220" s="28">
        <v>0.36842105263157893</v>
      </c>
      <c r="AS220" s="25">
        <v>0.95</v>
      </c>
      <c r="AT220" s="25">
        <v>3.44</v>
      </c>
      <c r="AU220" s="25">
        <v>2.4900000000000002</v>
      </c>
      <c r="AV220" s="25">
        <v>2.782142857142857</v>
      </c>
      <c r="AW220">
        <v>2.7821428571428579</v>
      </c>
      <c r="AX220">
        <v>6.2021612289285706</v>
      </c>
      <c r="AY220" s="75">
        <v>0.52524560229640982</v>
      </c>
      <c r="AZ220" s="75">
        <v>0.53671599358424449</v>
      </c>
      <c r="BA220" s="75"/>
      <c r="BC220">
        <v>4.6146264014521092E-2</v>
      </c>
      <c r="BD220">
        <v>4.7154012965495741E-2</v>
      </c>
      <c r="BF220">
        <v>9.3300276980016833E-2</v>
      </c>
      <c r="BG220">
        <v>4.6650138490008423E-2</v>
      </c>
      <c r="BH220">
        <v>0.53098079794032715</v>
      </c>
      <c r="BP220" s="79">
        <v>2.36</v>
      </c>
      <c r="BS220" s="79" t="s">
        <v>464</v>
      </c>
      <c r="BT220" s="79" t="s">
        <v>464</v>
      </c>
    </row>
    <row r="221" spans="1:79" x14ac:dyDescent="0.3">
      <c r="A221" s="2" t="s">
        <v>18</v>
      </c>
      <c r="B221" s="13" t="s">
        <v>704</v>
      </c>
      <c r="C221" s="13"/>
      <c r="D221" s="2">
        <v>3.52</v>
      </c>
      <c r="E221" s="2" t="s">
        <v>117</v>
      </c>
      <c r="F221" s="9" t="s">
        <v>537</v>
      </c>
      <c r="G221" t="s">
        <v>618</v>
      </c>
      <c r="I221" s="2"/>
      <c r="J221" s="25">
        <v>1</v>
      </c>
      <c r="K221">
        <v>1</v>
      </c>
      <c r="L221">
        <v>0</v>
      </c>
      <c r="M221" s="2">
        <v>3.9540000000000002</v>
      </c>
      <c r="N221" s="2">
        <v>3.9540000000000002</v>
      </c>
      <c r="O221" s="2">
        <v>25.486999999999998</v>
      </c>
      <c r="P221" s="2" t="s">
        <v>440</v>
      </c>
      <c r="Q221" s="2"/>
      <c r="R221" s="25">
        <v>12.939761450000001</v>
      </c>
      <c r="S221" s="25">
        <v>12.939761450000001</v>
      </c>
      <c r="T221" s="25">
        <v>12.939761450000001</v>
      </c>
      <c r="U221">
        <v>3.9355000000000002</v>
      </c>
      <c r="V221">
        <v>3.9355000000000002</v>
      </c>
      <c r="W221">
        <v>25.5686</v>
      </c>
      <c r="X221">
        <v>0</v>
      </c>
      <c r="AB221">
        <v>18</v>
      </c>
      <c r="AC221" s="55">
        <f t="shared" si="32"/>
        <v>398.46671449199999</v>
      </c>
      <c r="AD221" s="57">
        <v>198.96095988642259</v>
      </c>
      <c r="AE221" s="55">
        <v>396.01057416815007</v>
      </c>
      <c r="AF221" s="55">
        <v>0</v>
      </c>
      <c r="AG221" s="52"/>
      <c r="AH221" s="51">
        <v>9.047000984653146E-2</v>
      </c>
      <c r="AI221" s="52">
        <v>4.5453331739462637E-2</v>
      </c>
      <c r="AJ221" s="52"/>
      <c r="AK221" s="28">
        <v>2</v>
      </c>
      <c r="AL221" s="28">
        <v>3</v>
      </c>
      <c r="AM221" s="28">
        <v>1.857142857142857</v>
      </c>
      <c r="AN221" s="28">
        <v>4</v>
      </c>
      <c r="AO221" s="28">
        <v>0.18421052631578949</v>
      </c>
      <c r="AP221" s="28">
        <v>0.27631578947368418</v>
      </c>
      <c r="AQ221" s="28">
        <v>0.1710526315789474</v>
      </c>
      <c r="AR221" s="28">
        <v>0.36842105263157893</v>
      </c>
      <c r="AS221" s="25">
        <v>0.89</v>
      </c>
      <c r="AT221" s="25">
        <v>3.44</v>
      </c>
      <c r="AU221" s="25">
        <v>2.5499999999999998</v>
      </c>
      <c r="AV221" s="25">
        <v>2.777857142857143</v>
      </c>
      <c r="AW221">
        <v>2.777857142857143</v>
      </c>
      <c r="AX221">
        <v>6.1882096985714297</v>
      </c>
      <c r="AY221" s="75">
        <v>0.53609483093200738</v>
      </c>
      <c r="AZ221" s="75"/>
      <c r="BA221" s="75"/>
      <c r="BC221">
        <v>4.5235004923265723E-2</v>
      </c>
      <c r="BD221">
        <v>2.2726665869731318E-2</v>
      </c>
      <c r="BF221">
        <v>6.7961670792997045E-2</v>
      </c>
      <c r="BG221">
        <v>3.3980835396498522E-2</v>
      </c>
      <c r="BH221">
        <v>0.53609483093200738</v>
      </c>
      <c r="BP221" s="79">
        <v>2.1800000000000002</v>
      </c>
      <c r="BS221" s="79" t="s">
        <v>464</v>
      </c>
      <c r="BT221" s="79" t="s">
        <v>464</v>
      </c>
    </row>
    <row r="222" spans="1:79" x14ac:dyDescent="0.3">
      <c r="A222" s="2" t="s">
        <v>118</v>
      </c>
      <c r="B222" s="17" t="s">
        <v>920</v>
      </c>
      <c r="C222" s="13"/>
      <c r="D222" s="2">
        <v>3.44</v>
      </c>
      <c r="E222" s="2" t="s">
        <v>122</v>
      </c>
      <c r="F222" s="9">
        <v>-1</v>
      </c>
      <c r="G222">
        <v>-1</v>
      </c>
      <c r="H222" t="s">
        <v>1218</v>
      </c>
      <c r="I222" s="2">
        <v>4</v>
      </c>
      <c r="J222" s="25">
        <v>0</v>
      </c>
      <c r="K222">
        <v>0</v>
      </c>
      <c r="L222">
        <v>4</v>
      </c>
      <c r="M222" s="2">
        <v>5.492</v>
      </c>
      <c r="N222" s="2">
        <v>5.5650000000000004</v>
      </c>
      <c r="O222" s="2">
        <v>24.88</v>
      </c>
      <c r="P222" s="2" t="s">
        <v>1219</v>
      </c>
      <c r="Q222" s="1"/>
      <c r="R222" s="25">
        <v>0</v>
      </c>
      <c r="S222" s="25"/>
      <c r="T222" s="25"/>
      <c r="U222">
        <v>0</v>
      </c>
      <c r="X222">
        <v>0</v>
      </c>
      <c r="AA222" s="2"/>
      <c r="AB222">
        <v>18</v>
      </c>
      <c r="AC222" s="55">
        <f t="shared" si="32"/>
        <v>760.40694240000005</v>
      </c>
      <c r="AD222" s="57">
        <v>0</v>
      </c>
      <c r="AE222" s="55">
        <v>0</v>
      </c>
      <c r="AF222" s="55">
        <v>760.6</v>
      </c>
      <c r="AG222" s="52">
        <f>I222*AB222/AC222</f>
        <v>9.4686142360501407E-2</v>
      </c>
      <c r="AH222" s="51"/>
      <c r="AI222" s="52"/>
      <c r="AJ222" s="67">
        <f>L222*AB222/AF222</f>
        <v>9.466210886142519E-2</v>
      </c>
      <c r="AK222" s="28">
        <v>1.964285714285714</v>
      </c>
      <c r="AL222" s="28">
        <v>3</v>
      </c>
      <c r="AM222" s="28">
        <v>1.892857142857143</v>
      </c>
      <c r="AN222" s="28">
        <v>4</v>
      </c>
      <c r="AO222" s="28">
        <v>0.1809210526315789</v>
      </c>
      <c r="AP222" s="28">
        <v>0.27631578947368418</v>
      </c>
      <c r="AQ222" s="28">
        <v>0.17434210526315791</v>
      </c>
      <c r="AR222" s="28">
        <v>0.36842105263157893</v>
      </c>
      <c r="AS222" s="25">
        <v>0.82</v>
      </c>
      <c r="AT222" s="25">
        <v>3.44</v>
      </c>
      <c r="AU222" s="25">
        <v>2.62</v>
      </c>
      <c r="AV222" s="25">
        <v>2.7828571428571429</v>
      </c>
      <c r="AW222">
        <v>2.7828571428571429</v>
      </c>
      <c r="AX222">
        <v>6.1929237675000008</v>
      </c>
      <c r="AY222" s="75"/>
      <c r="AZ222" s="75"/>
      <c r="BA222" s="75">
        <v>0</v>
      </c>
      <c r="BB222">
        <v>4.7343071180250697E-2</v>
      </c>
      <c r="BE222">
        <v>4.7331054430712588E-2</v>
      </c>
      <c r="BF222">
        <v>9.4674125610963306E-2</v>
      </c>
      <c r="BG222">
        <v>4.7337062805481639E-2</v>
      </c>
      <c r="BH222">
        <v>0</v>
      </c>
      <c r="BP222" s="79">
        <v>1.3</v>
      </c>
      <c r="BS222" s="79" t="s">
        <v>464</v>
      </c>
      <c r="BT222" s="79" t="s">
        <v>464</v>
      </c>
    </row>
    <row r="223" spans="1:79" x14ac:dyDescent="0.3">
      <c r="A223" s="2" t="s">
        <v>119</v>
      </c>
      <c r="B223" s="17" t="s">
        <v>921</v>
      </c>
      <c r="C223" s="13"/>
      <c r="D223" s="2">
        <v>3.22</v>
      </c>
      <c r="E223" s="2" t="s">
        <v>122</v>
      </c>
      <c r="F223" s="9">
        <v>-1</v>
      </c>
      <c r="G223">
        <v>-1</v>
      </c>
      <c r="I223" s="2">
        <v>4</v>
      </c>
      <c r="J223" s="25">
        <v>0</v>
      </c>
      <c r="K223">
        <v>0</v>
      </c>
      <c r="L223">
        <v>4</v>
      </c>
      <c r="M223" s="2">
        <v>5.5019999999999998</v>
      </c>
      <c r="N223" s="2">
        <v>5.5069999999999997</v>
      </c>
      <c r="O223" s="2">
        <v>25.09</v>
      </c>
      <c r="P223" s="2" t="s">
        <v>1219</v>
      </c>
      <c r="Q223" s="1"/>
      <c r="R223" s="25">
        <v>0</v>
      </c>
      <c r="S223" s="25"/>
      <c r="T223" s="25"/>
      <c r="U223">
        <v>0</v>
      </c>
      <c r="X223">
        <v>0</v>
      </c>
      <c r="AA223" s="2"/>
      <c r="AB223">
        <v>18</v>
      </c>
      <c r="AC223" s="55">
        <f t="shared" si="32"/>
        <v>760.21480625999993</v>
      </c>
      <c r="AD223" s="57">
        <v>0</v>
      </c>
      <c r="AE223" s="55">
        <v>0</v>
      </c>
      <c r="AF223" s="55">
        <v>0</v>
      </c>
      <c r="AG223" s="52">
        <f>I223*AB223/AC223</f>
        <v>9.4710073267601405E-2</v>
      </c>
      <c r="AH223" s="51"/>
      <c r="AI223" s="52"/>
      <c r="AJ223" s="52"/>
      <c r="AK223" s="28">
        <v>1.821428571428571</v>
      </c>
      <c r="AL223" s="28">
        <v>3</v>
      </c>
      <c r="AM223" s="28">
        <v>2.035714285714286</v>
      </c>
      <c r="AN223" s="28">
        <v>2</v>
      </c>
      <c r="AO223" s="28">
        <v>0.20564516129032259</v>
      </c>
      <c r="AP223" s="28">
        <v>0.33870967741935482</v>
      </c>
      <c r="AQ223" s="28">
        <v>0.22983870967741929</v>
      </c>
      <c r="AR223" s="28">
        <v>0.22580645161290319</v>
      </c>
      <c r="AS223" s="25">
        <v>0.82</v>
      </c>
      <c r="AT223" s="25">
        <v>3.44</v>
      </c>
      <c r="AU223" s="25">
        <v>2.62</v>
      </c>
      <c r="AV223" s="25">
        <v>2.7971428571428572</v>
      </c>
      <c r="AW223">
        <v>2.7971428571428572</v>
      </c>
      <c r="AX223">
        <v>6.1788927675000007</v>
      </c>
      <c r="AY223" s="75"/>
      <c r="AZ223" s="75"/>
      <c r="BA223" s="75"/>
      <c r="BB223">
        <v>4.7355036633800703E-2</v>
      </c>
      <c r="BE223" t="s">
        <v>459</v>
      </c>
      <c r="BF223">
        <v>9.4710073267601405E-2</v>
      </c>
      <c r="BG223" t="s">
        <v>459</v>
      </c>
      <c r="BH223">
        <v>0</v>
      </c>
      <c r="BP223" s="79">
        <v>3.2</v>
      </c>
      <c r="BS223" s="79" t="s">
        <v>464</v>
      </c>
      <c r="BT223" s="79" t="s">
        <v>464</v>
      </c>
    </row>
    <row r="224" spans="1:79" x14ac:dyDescent="0.3">
      <c r="A224" s="2" t="s">
        <v>120</v>
      </c>
      <c r="B224" s="17" t="s">
        <v>922</v>
      </c>
      <c r="C224" s="13"/>
      <c r="D224" s="2">
        <v>4</v>
      </c>
      <c r="E224" s="2" t="s">
        <v>122</v>
      </c>
      <c r="F224" s="9">
        <v>-1</v>
      </c>
      <c r="G224">
        <v>-1</v>
      </c>
      <c r="I224" s="2">
        <v>1</v>
      </c>
      <c r="J224" s="25">
        <v>0</v>
      </c>
      <c r="K224">
        <v>0</v>
      </c>
      <c r="L224">
        <v>0</v>
      </c>
      <c r="M224" s="2">
        <v>3.9060000000000001</v>
      </c>
      <c r="N224" s="2">
        <v>3.9060000000000001</v>
      </c>
      <c r="O224" s="2">
        <v>9.8840000000000003</v>
      </c>
      <c r="P224" s="2"/>
      <c r="Q224" s="2"/>
      <c r="R224" s="25">
        <v>0</v>
      </c>
      <c r="S224" s="25"/>
      <c r="T224" s="25"/>
      <c r="U224">
        <v>0</v>
      </c>
      <c r="X224">
        <v>0</v>
      </c>
      <c r="AA224" s="2"/>
      <c r="AB224">
        <v>14</v>
      </c>
      <c r="AC224" s="55">
        <f t="shared" si="32"/>
        <v>150.79856702400002</v>
      </c>
      <c r="AD224" s="57">
        <v>0</v>
      </c>
      <c r="AE224" s="55">
        <v>0</v>
      </c>
      <c r="AF224" s="55">
        <v>0</v>
      </c>
      <c r="AG224" s="52">
        <f>I224*AB224/AC224</f>
        <v>9.2839078489199839E-2</v>
      </c>
      <c r="AH224" s="51"/>
      <c r="AI224" s="52"/>
      <c r="AJ224" s="52"/>
      <c r="AK224" s="28">
        <v>1.8135593220338979</v>
      </c>
      <c r="AL224" s="28">
        <v>2.398305084745763</v>
      </c>
      <c r="AM224" s="28">
        <v>0.63559322033898302</v>
      </c>
      <c r="AN224" s="28">
        <v>2.4915254237288131</v>
      </c>
      <c r="AO224" s="28">
        <v>0.24711316397228639</v>
      </c>
      <c r="AP224" s="28">
        <v>0.32678983833718239</v>
      </c>
      <c r="AQ224" s="28">
        <v>8.6605080831408776E-2</v>
      </c>
      <c r="AR224" s="28">
        <v>0.33949191685912239</v>
      </c>
      <c r="AS224" s="25">
        <v>0.82</v>
      </c>
      <c r="AT224" s="25">
        <v>3.44</v>
      </c>
      <c r="AU224" s="25">
        <v>2.62</v>
      </c>
      <c r="AV224" s="25">
        <v>2.733728813559321</v>
      </c>
      <c r="AW224">
        <v>2.7337288135593218</v>
      </c>
      <c r="AX224">
        <v>6.5217336360353304</v>
      </c>
      <c r="AY224" s="75"/>
      <c r="AZ224" s="75"/>
      <c r="BA224" s="75"/>
      <c r="BB224">
        <v>4.6419539244599919E-2</v>
      </c>
      <c r="BF224">
        <v>9.2839078489199839E-2</v>
      </c>
      <c r="BG224">
        <v>4.6419539244599919E-2</v>
      </c>
      <c r="BH224">
        <v>0</v>
      </c>
      <c r="BP224" s="79">
        <v>3.5</v>
      </c>
      <c r="BS224" s="79" t="s">
        <v>464</v>
      </c>
      <c r="BT224" s="79" t="s">
        <v>464</v>
      </c>
    </row>
    <row r="225" spans="1:72" x14ac:dyDescent="0.3">
      <c r="A225" s="2" t="s">
        <v>121</v>
      </c>
      <c r="B225" s="33" t="s">
        <v>923</v>
      </c>
      <c r="C225" s="34"/>
      <c r="D225" s="2">
        <v>3.49</v>
      </c>
      <c r="E225" s="2" t="s">
        <v>122</v>
      </c>
      <c r="F225" s="35">
        <v>-1</v>
      </c>
      <c r="G225" s="2">
        <v>-1</v>
      </c>
      <c r="I225" s="2">
        <v>1</v>
      </c>
      <c r="J225" s="25">
        <v>0</v>
      </c>
      <c r="K225">
        <v>0</v>
      </c>
      <c r="L225">
        <v>0</v>
      </c>
      <c r="M225" s="2">
        <v>3.903</v>
      </c>
      <c r="N225" s="2">
        <v>3.903</v>
      </c>
      <c r="O225" s="2">
        <v>10.050000000000001</v>
      </c>
      <c r="P225" s="2"/>
      <c r="Q225" s="2"/>
      <c r="R225" s="25">
        <v>0</v>
      </c>
      <c r="S225" s="25"/>
      <c r="T225" s="25"/>
      <c r="U225">
        <v>0</v>
      </c>
      <c r="X225">
        <v>0</v>
      </c>
      <c r="AA225" s="2"/>
      <c r="AB225">
        <v>13</v>
      </c>
      <c r="AC225" s="55">
        <f t="shared" si="32"/>
        <v>153.09576045</v>
      </c>
      <c r="AD225" s="57">
        <v>0</v>
      </c>
      <c r="AE225" s="55">
        <v>0</v>
      </c>
      <c r="AF225" s="55">
        <v>0</v>
      </c>
      <c r="AG225" s="52">
        <f>I225*AB225/AC225</f>
        <v>8.4914173728838874E-2</v>
      </c>
      <c r="AH225" s="51"/>
      <c r="AI225" s="52"/>
      <c r="AJ225" s="52"/>
      <c r="AK225" s="28">
        <v>1.6448598130841121</v>
      </c>
      <c r="AL225" s="28">
        <v>2.457943925233645</v>
      </c>
      <c r="AM225" s="28">
        <v>0.86915887850467299</v>
      </c>
      <c r="AN225" s="28">
        <v>0.13084112149532709</v>
      </c>
      <c r="AO225" s="28">
        <v>0.32234432234432231</v>
      </c>
      <c r="AP225" s="28">
        <v>0.48168498168498158</v>
      </c>
      <c r="AQ225" s="28">
        <v>0.17032967032967031</v>
      </c>
      <c r="AR225" s="28">
        <v>2.564102564102564E-2</v>
      </c>
      <c r="AS225" s="25">
        <v>0.82</v>
      </c>
      <c r="AT225" s="25">
        <v>3.44</v>
      </c>
      <c r="AU225" s="25">
        <v>2.62</v>
      </c>
      <c r="AV225" s="25">
        <v>2.7828037383177571</v>
      </c>
      <c r="AW225">
        <v>2.782803738317758</v>
      </c>
      <c r="AX225">
        <v>6.5403483343235136</v>
      </c>
      <c r="AY225" s="75"/>
      <c r="AZ225" s="75"/>
      <c r="BA225" s="75"/>
      <c r="BB225">
        <v>4.2457086864419437E-2</v>
      </c>
      <c r="BF225">
        <v>8.4914173728838874E-2</v>
      </c>
      <c r="BG225">
        <v>4.2457086864419437E-2</v>
      </c>
      <c r="BH225">
        <v>0</v>
      </c>
      <c r="BP225" s="79">
        <v>7.3</v>
      </c>
      <c r="BS225" s="79" t="s">
        <v>464</v>
      </c>
      <c r="BT225" s="79" t="s">
        <v>464</v>
      </c>
    </row>
    <row r="226" spans="1:72" x14ac:dyDescent="0.3">
      <c r="A226" s="2" t="s">
        <v>1185</v>
      </c>
      <c r="B226" s="47" t="s">
        <v>1186</v>
      </c>
      <c r="C226" s="34"/>
      <c r="D226" s="2">
        <v>4</v>
      </c>
      <c r="E226" s="2" t="s">
        <v>122</v>
      </c>
      <c r="F226" s="35" t="s">
        <v>1188</v>
      </c>
      <c r="G226" s="2">
        <v>-1</v>
      </c>
      <c r="H226" t="s">
        <v>1187</v>
      </c>
      <c r="I226" s="2"/>
      <c r="J226" s="25">
        <v>0</v>
      </c>
      <c r="K226">
        <v>0</v>
      </c>
      <c r="L226">
        <v>2</v>
      </c>
      <c r="M226" s="2"/>
      <c r="N226" s="2"/>
      <c r="O226" s="2"/>
      <c r="P226" s="2"/>
      <c r="Q226" s="2"/>
      <c r="R226" s="25">
        <v>0</v>
      </c>
      <c r="S226" s="25"/>
      <c r="T226" s="25"/>
      <c r="U226">
        <v>0</v>
      </c>
      <c r="X226">
        <v>12.5602</v>
      </c>
      <c r="Y226">
        <v>12.5602</v>
      </c>
      <c r="Z226">
        <v>3.9214000000000002</v>
      </c>
      <c r="AA226" s="2"/>
      <c r="AB226">
        <v>34</v>
      </c>
      <c r="AC226" s="55">
        <f t="shared" si="32"/>
        <v>0</v>
      </c>
      <c r="AD226" s="57">
        <v>0</v>
      </c>
      <c r="AE226" s="55">
        <v>0</v>
      </c>
      <c r="AF226" s="55">
        <v>618.63466831045605</v>
      </c>
      <c r="AG226" s="52"/>
      <c r="AH226" s="51"/>
      <c r="AI226" s="52"/>
      <c r="AJ226" s="52">
        <v>0.10991947830165059</v>
      </c>
      <c r="AK226" s="28">
        <v>1.92</v>
      </c>
      <c r="AL226" s="28">
        <v>2.72</v>
      </c>
      <c r="AM226" s="28">
        <v>0.64</v>
      </c>
      <c r="AN226" s="28">
        <v>2.8</v>
      </c>
      <c r="AO226" s="28">
        <v>0.23762376237623761</v>
      </c>
      <c r="AP226" s="28">
        <v>0.33663366336633671</v>
      </c>
      <c r="AQ226" s="28">
        <v>7.9207920792079209E-2</v>
      </c>
      <c r="AR226" s="28">
        <v>0.34653465346534651</v>
      </c>
      <c r="AS226" s="25">
        <v>0.82</v>
      </c>
      <c r="AT226" s="25">
        <v>3.44</v>
      </c>
      <c r="AU226" s="25">
        <v>2.62</v>
      </c>
      <c r="AV226" s="25">
        <v>2.7488000000000001</v>
      </c>
      <c r="AW226">
        <v>2.7488000000000001</v>
      </c>
      <c r="AX226">
        <v>6.2305574404000001</v>
      </c>
      <c r="AY226" s="75"/>
      <c r="AZ226" s="75"/>
      <c r="BA226" s="75">
        <v>0.5553845310307659</v>
      </c>
      <c r="BE226">
        <v>4.8493887486022333E-2</v>
      </c>
      <c r="BF226">
        <v>0.10991947830165059</v>
      </c>
      <c r="BG226">
        <v>4.8493887486022333E-2</v>
      </c>
      <c r="BH226">
        <v>0.5553845310307659</v>
      </c>
      <c r="BP226" s="79">
        <v>2.1</v>
      </c>
      <c r="BS226" s="79" t="s">
        <v>464</v>
      </c>
      <c r="BT226" s="79" t="s">
        <v>464</v>
      </c>
    </row>
    <row r="227" spans="1:72" x14ac:dyDescent="0.3">
      <c r="A227" s="5" t="s">
        <v>123</v>
      </c>
      <c r="B227" s="17" t="s">
        <v>924</v>
      </c>
      <c r="C227" s="13"/>
      <c r="D227" s="5">
        <v>3.7</v>
      </c>
      <c r="E227" s="5" t="s">
        <v>122</v>
      </c>
      <c r="F227" s="40">
        <v>-2</v>
      </c>
      <c r="G227">
        <v>-1</v>
      </c>
      <c r="I227" s="5"/>
      <c r="J227" s="25">
        <v>0</v>
      </c>
      <c r="K227">
        <v>0</v>
      </c>
      <c r="L227">
        <v>0</v>
      </c>
      <c r="M227" s="2"/>
      <c r="N227" s="2"/>
      <c r="O227" s="2"/>
      <c r="P227" s="2"/>
      <c r="Q227" s="2"/>
      <c r="R227" s="25">
        <v>0</v>
      </c>
      <c r="S227" s="25"/>
      <c r="T227" s="25"/>
      <c r="U227">
        <v>0</v>
      </c>
      <c r="X227">
        <v>0</v>
      </c>
      <c r="AA227" s="2"/>
      <c r="AB227">
        <v>14</v>
      </c>
      <c r="AC227" s="55">
        <f t="shared" si="32"/>
        <v>0</v>
      </c>
      <c r="AD227" s="57">
        <v>0</v>
      </c>
      <c r="AE227" s="55">
        <v>0</v>
      </c>
      <c r="AF227" s="55">
        <v>0</v>
      </c>
      <c r="AG227" s="52"/>
      <c r="AH227" s="51"/>
      <c r="AI227" s="52"/>
      <c r="AJ227" s="52"/>
      <c r="AK227" s="28">
        <v>1.847457627118644</v>
      </c>
      <c r="AL227" s="28">
        <v>2.4237288135593218</v>
      </c>
      <c r="AM227" s="28">
        <v>0.67796610169491522</v>
      </c>
      <c r="AN227" s="28">
        <v>2.610169491525423</v>
      </c>
      <c r="AO227" s="28">
        <v>0.2443946188340807</v>
      </c>
      <c r="AP227" s="28">
        <v>0.32062780269058289</v>
      </c>
      <c r="AQ227" s="28">
        <v>8.9686098654708529E-2</v>
      </c>
      <c r="AR227" s="28">
        <v>0.3452914798206278</v>
      </c>
      <c r="AS227" s="25">
        <v>1</v>
      </c>
      <c r="AT227" s="25">
        <v>3.44</v>
      </c>
      <c r="AU227" s="25">
        <v>2.44</v>
      </c>
      <c r="AV227" s="25">
        <v>2.732542372881356</v>
      </c>
      <c r="AW227">
        <v>2.732542372881356</v>
      </c>
      <c r="AX227">
        <v>6.5123179483671016</v>
      </c>
      <c r="AY227" s="75"/>
      <c r="AZ227" s="75"/>
      <c r="BA227" s="75"/>
      <c r="BF227">
        <v>0</v>
      </c>
      <c r="BG227">
        <v>0</v>
      </c>
      <c r="BH227">
        <v>0</v>
      </c>
      <c r="BS227" s="79" t="s">
        <v>464</v>
      </c>
      <c r="BT227" s="79" t="s">
        <v>464</v>
      </c>
    </row>
    <row r="228" spans="1:72" x14ac:dyDescent="0.3">
      <c r="A228" s="5" t="s">
        <v>124</v>
      </c>
      <c r="B228" s="17" t="s">
        <v>925</v>
      </c>
      <c r="C228" s="13"/>
      <c r="D228" s="5">
        <v>3.9</v>
      </c>
      <c r="E228" s="5" t="s">
        <v>122</v>
      </c>
      <c r="F228" s="40">
        <v>-2</v>
      </c>
      <c r="G228">
        <v>-1</v>
      </c>
      <c r="I228" s="5"/>
      <c r="J228" s="25">
        <v>0</v>
      </c>
      <c r="K228">
        <v>0</v>
      </c>
      <c r="L228">
        <v>0</v>
      </c>
      <c r="M228" s="2"/>
      <c r="N228" s="2"/>
      <c r="O228" s="2"/>
      <c r="P228" s="2"/>
      <c r="Q228" s="2"/>
      <c r="R228" s="25">
        <v>0</v>
      </c>
      <c r="S228" s="25"/>
      <c r="T228" s="25"/>
      <c r="U228">
        <v>0</v>
      </c>
      <c r="X228">
        <v>0</v>
      </c>
      <c r="AA228" s="2"/>
      <c r="AB228">
        <v>14</v>
      </c>
      <c r="AC228" s="55">
        <f t="shared" si="32"/>
        <v>0</v>
      </c>
      <c r="AD228" s="57">
        <v>0</v>
      </c>
      <c r="AE228" s="55">
        <v>0</v>
      </c>
      <c r="AF228" s="55">
        <v>0</v>
      </c>
      <c r="AG228" s="52"/>
      <c r="AH228" s="51"/>
      <c r="AI228" s="52"/>
      <c r="AJ228" s="52"/>
      <c r="AK228" s="28">
        <v>1.85</v>
      </c>
      <c r="AL228" s="28">
        <v>2.3833333333333329</v>
      </c>
      <c r="AM228" s="28">
        <v>0.66666666666666663</v>
      </c>
      <c r="AN228" s="28">
        <v>2.5666666666666669</v>
      </c>
      <c r="AO228" s="28">
        <v>0.24776785714285721</v>
      </c>
      <c r="AP228" s="28">
        <v>0.3191964285714286</v>
      </c>
      <c r="AQ228" s="28">
        <v>8.9285714285714288E-2</v>
      </c>
      <c r="AR228" s="28">
        <v>0.34375000000000011</v>
      </c>
      <c r="AS228" s="25">
        <v>0.95</v>
      </c>
      <c r="AT228" s="25">
        <v>3.44</v>
      </c>
      <c r="AU228" s="25">
        <v>2.4900000000000002</v>
      </c>
      <c r="AV228" s="25">
        <v>2.6995</v>
      </c>
      <c r="AW228">
        <v>2.6995</v>
      </c>
      <c r="AX228">
        <v>6.4386446606443171</v>
      </c>
      <c r="AY228" s="75"/>
      <c r="AZ228" s="75"/>
      <c r="BA228" s="75"/>
      <c r="BF228">
        <v>0</v>
      </c>
      <c r="BG228">
        <v>0</v>
      </c>
      <c r="BH228">
        <v>0</v>
      </c>
      <c r="BS228" s="79" t="s">
        <v>464</v>
      </c>
      <c r="BT228" s="79" t="s">
        <v>464</v>
      </c>
    </row>
    <row r="229" spans="1:72" x14ac:dyDescent="0.3">
      <c r="A229" s="5" t="s">
        <v>125</v>
      </c>
      <c r="B229" s="17" t="s">
        <v>926</v>
      </c>
      <c r="C229" s="13"/>
      <c r="D229" s="5">
        <v>4</v>
      </c>
      <c r="E229" s="5" t="s">
        <v>122</v>
      </c>
      <c r="F229" s="40">
        <v>-2</v>
      </c>
      <c r="G229">
        <v>-1</v>
      </c>
      <c r="I229" s="5"/>
      <c r="J229" s="25">
        <v>0</v>
      </c>
      <c r="K229">
        <v>0</v>
      </c>
      <c r="L229">
        <v>0</v>
      </c>
      <c r="M229" s="2"/>
      <c r="N229" s="2"/>
      <c r="O229" s="2"/>
      <c r="P229" s="2"/>
      <c r="Q229" s="2"/>
      <c r="R229" s="25">
        <v>0</v>
      </c>
      <c r="S229" s="25"/>
      <c r="T229" s="25"/>
      <c r="U229">
        <v>0</v>
      </c>
      <c r="X229">
        <v>0</v>
      </c>
      <c r="AA229" s="2"/>
      <c r="AB229">
        <v>14</v>
      </c>
      <c r="AC229" s="55">
        <f t="shared" si="32"/>
        <v>0</v>
      </c>
      <c r="AD229" s="57">
        <v>0</v>
      </c>
      <c r="AE229" s="55">
        <v>0</v>
      </c>
      <c r="AF229" s="55">
        <v>0</v>
      </c>
      <c r="AG229" s="52"/>
      <c r="AH229" s="51"/>
      <c r="AI229" s="52"/>
      <c r="AJ229" s="52"/>
      <c r="AK229" s="28">
        <v>1.8389830508474569</v>
      </c>
      <c r="AL229" s="28">
        <v>2.398305084745763</v>
      </c>
      <c r="AM229" s="28">
        <v>0.59322033898305082</v>
      </c>
      <c r="AN229" s="28">
        <v>2.4915254237288131</v>
      </c>
      <c r="AO229" s="28">
        <v>0.25115740740740738</v>
      </c>
      <c r="AP229" s="28">
        <v>0.32754629629629628</v>
      </c>
      <c r="AQ229" s="28">
        <v>8.1018518518518517E-2</v>
      </c>
      <c r="AR229" s="28">
        <v>0.34027777777777768</v>
      </c>
      <c r="AS229" s="25">
        <v>0.89</v>
      </c>
      <c r="AT229" s="25">
        <v>3.44</v>
      </c>
      <c r="AU229" s="25">
        <v>2.5499999999999998</v>
      </c>
      <c r="AV229" s="25">
        <v>2.7266101694915248</v>
      </c>
      <c r="AW229">
        <v>2.7266101694915261</v>
      </c>
      <c r="AX229">
        <v>6.5117833191709238</v>
      </c>
      <c r="AY229" s="75"/>
      <c r="AZ229" s="75"/>
      <c r="BA229" s="75"/>
      <c r="BF229">
        <v>0</v>
      </c>
      <c r="BG229">
        <v>0</v>
      </c>
      <c r="BH229">
        <v>0</v>
      </c>
      <c r="BS229" s="79" t="s">
        <v>464</v>
      </c>
      <c r="BT229" s="79" t="s">
        <v>464</v>
      </c>
    </row>
    <row r="230" spans="1:72" x14ac:dyDescent="0.3">
      <c r="A230" s="5" t="s">
        <v>120</v>
      </c>
      <c r="B230" s="17" t="s">
        <v>927</v>
      </c>
      <c r="C230" s="13"/>
      <c r="D230" s="5">
        <v>4.3</v>
      </c>
      <c r="E230" s="5" t="s">
        <v>122</v>
      </c>
      <c r="F230" s="40">
        <v>-2</v>
      </c>
      <c r="G230">
        <v>-1</v>
      </c>
      <c r="I230" s="5"/>
      <c r="J230" s="25">
        <v>0</v>
      </c>
      <c r="K230">
        <v>0</v>
      </c>
      <c r="L230">
        <v>0</v>
      </c>
      <c r="M230" s="2"/>
      <c r="N230" s="2"/>
      <c r="O230" s="2"/>
      <c r="P230" s="2"/>
      <c r="Q230" s="2"/>
      <c r="R230" s="25">
        <v>0</v>
      </c>
      <c r="S230" s="25"/>
      <c r="T230" s="25"/>
      <c r="U230">
        <v>0</v>
      </c>
      <c r="X230">
        <v>0</v>
      </c>
      <c r="AA230" s="2"/>
      <c r="AB230">
        <v>14</v>
      </c>
      <c r="AC230" s="55">
        <f t="shared" si="32"/>
        <v>0</v>
      </c>
      <c r="AD230" s="57">
        <v>0</v>
      </c>
      <c r="AE230" s="55">
        <v>0</v>
      </c>
      <c r="AF230" s="55">
        <v>0</v>
      </c>
      <c r="AG230" s="52"/>
      <c r="AH230" s="51"/>
      <c r="AI230" s="52"/>
      <c r="AJ230" s="52"/>
      <c r="AK230" s="28">
        <v>1.8135593220338979</v>
      </c>
      <c r="AL230" s="28">
        <v>2.398305084745763</v>
      </c>
      <c r="AM230" s="28">
        <v>0.63559322033898302</v>
      </c>
      <c r="AN230" s="28">
        <v>2.4915254237288131</v>
      </c>
      <c r="AO230" s="28">
        <v>0.24711316397228639</v>
      </c>
      <c r="AP230" s="28">
        <v>0.32678983833718239</v>
      </c>
      <c r="AQ230" s="28">
        <v>8.6605080831408776E-2</v>
      </c>
      <c r="AR230" s="28">
        <v>0.33949191685912239</v>
      </c>
      <c r="AS230" s="25">
        <v>0.82</v>
      </c>
      <c r="AT230" s="25">
        <v>3.44</v>
      </c>
      <c r="AU230" s="25">
        <v>2.62</v>
      </c>
      <c r="AV230" s="25">
        <v>2.733728813559321</v>
      </c>
      <c r="AW230">
        <v>2.7337288135593218</v>
      </c>
      <c r="AX230">
        <v>6.5217336360353304</v>
      </c>
      <c r="AY230" s="75"/>
      <c r="AZ230" s="75"/>
      <c r="BA230" s="75"/>
      <c r="BF230">
        <v>0</v>
      </c>
      <c r="BG230">
        <v>0</v>
      </c>
      <c r="BH230">
        <v>0</v>
      </c>
      <c r="BS230" s="79" t="s">
        <v>464</v>
      </c>
      <c r="BT230" s="79" t="s">
        <v>464</v>
      </c>
    </row>
    <row r="231" spans="1:72" x14ac:dyDescent="0.3">
      <c r="A231" s="2" t="s">
        <v>127</v>
      </c>
      <c r="B231" s="13" t="s">
        <v>754</v>
      </c>
      <c r="C231" s="13"/>
      <c r="D231" s="2">
        <v>2.39</v>
      </c>
      <c r="E231" s="2" t="s">
        <v>126</v>
      </c>
      <c r="F231" s="9">
        <v>-1</v>
      </c>
      <c r="G231">
        <v>-1</v>
      </c>
      <c r="I231" s="2"/>
      <c r="J231" s="25">
        <v>0</v>
      </c>
      <c r="K231">
        <v>0</v>
      </c>
      <c r="L231">
        <v>0</v>
      </c>
      <c r="M231" s="2">
        <v>5.4930000000000003</v>
      </c>
      <c r="N231" s="2">
        <v>5.4930000000000003</v>
      </c>
      <c r="O231" s="2">
        <v>28.75</v>
      </c>
      <c r="P231" s="2"/>
      <c r="Q231" s="2">
        <f>O231/2</f>
        <v>14.375</v>
      </c>
      <c r="R231" s="25">
        <v>0</v>
      </c>
      <c r="S231" s="25"/>
      <c r="T231" s="25"/>
      <c r="U231">
        <v>0</v>
      </c>
      <c r="X231">
        <v>0</v>
      </c>
      <c r="AA231" s="2"/>
      <c r="AB231">
        <v>2</v>
      </c>
      <c r="AC231" s="55">
        <f t="shared" si="32"/>
        <v>867.47515875000011</v>
      </c>
      <c r="AD231" s="57">
        <v>0</v>
      </c>
      <c r="AE231" s="55">
        <v>0</v>
      </c>
      <c r="AF231" s="55">
        <v>0</v>
      </c>
      <c r="AG231" s="52"/>
      <c r="AH231" s="51"/>
      <c r="AI231" s="52"/>
      <c r="AJ231" s="52"/>
      <c r="AK231" s="28">
        <v>1.428571428571429</v>
      </c>
      <c r="AL231" s="28">
        <v>1.5</v>
      </c>
      <c r="AM231" s="28">
        <v>5.1428571428571432</v>
      </c>
      <c r="AN231" s="28">
        <v>4</v>
      </c>
      <c r="AO231" s="28">
        <v>0.1183431952662722</v>
      </c>
      <c r="AP231" s="28">
        <v>0.1242603550295858</v>
      </c>
      <c r="AQ231" s="28">
        <v>0.42603550295857989</v>
      </c>
      <c r="AR231" s="28">
        <v>0.33136094674556221</v>
      </c>
      <c r="AS231" s="25">
        <v>1.6</v>
      </c>
      <c r="AT231" s="25">
        <v>3.44</v>
      </c>
      <c r="AU231" s="25">
        <v>1.84</v>
      </c>
      <c r="AV231" s="25">
        <v>1.9628571428571431</v>
      </c>
      <c r="AW231">
        <v>1.9628571428571431</v>
      </c>
      <c r="AX231">
        <v>4.4993245392857144</v>
      </c>
      <c r="AY231" s="75"/>
      <c r="AZ231" s="75"/>
      <c r="BA231" s="75"/>
      <c r="BF231">
        <v>0</v>
      </c>
      <c r="BG231">
        <v>0</v>
      </c>
      <c r="BH231">
        <v>0</v>
      </c>
      <c r="BS231" s="79" t="s">
        <v>464</v>
      </c>
      <c r="BT231" s="79" t="s">
        <v>464</v>
      </c>
    </row>
    <row r="232" spans="1:72" x14ac:dyDescent="0.3">
      <c r="A232" s="2" t="s">
        <v>128</v>
      </c>
      <c r="B232" s="13" t="s">
        <v>755</v>
      </c>
      <c r="C232" s="13"/>
      <c r="D232" s="2">
        <v>3.42</v>
      </c>
      <c r="E232" s="2" t="s">
        <v>126</v>
      </c>
      <c r="F232" s="9" t="s">
        <v>571</v>
      </c>
      <c r="G232" t="s">
        <v>649</v>
      </c>
      <c r="I232" s="2"/>
      <c r="J232" s="25">
        <v>2</v>
      </c>
      <c r="K232">
        <v>2</v>
      </c>
      <c r="L232">
        <v>0</v>
      </c>
      <c r="M232" s="2"/>
      <c r="N232" s="2"/>
      <c r="O232" s="2"/>
      <c r="P232" s="2"/>
      <c r="Q232" s="2"/>
      <c r="R232" s="25">
        <v>3.8933966999999998</v>
      </c>
      <c r="S232" s="25">
        <v>3.8933966999999998</v>
      </c>
      <c r="T232" s="25">
        <v>7.4931887499999998</v>
      </c>
      <c r="U232">
        <v>3.89</v>
      </c>
      <c r="V232">
        <v>3.89</v>
      </c>
      <c r="W232">
        <v>7.37</v>
      </c>
      <c r="X232">
        <v>0</v>
      </c>
      <c r="AA232" s="2"/>
      <c r="AB232">
        <v>2</v>
      </c>
      <c r="AC232" s="55">
        <f t="shared" si="32"/>
        <v>0</v>
      </c>
      <c r="AD232" s="57">
        <v>113.5857853857584</v>
      </c>
      <c r="AE232" s="55">
        <v>111.523577</v>
      </c>
      <c r="AF232" s="55">
        <v>0</v>
      </c>
      <c r="AG232" s="52"/>
      <c r="AH232" s="51">
        <v>3.5215674095268677E-2</v>
      </c>
      <c r="AI232" s="52">
        <v>3.5866855310783291E-2</v>
      </c>
      <c r="AJ232" s="52"/>
      <c r="AK232" s="28">
        <v>2</v>
      </c>
      <c r="AL232" s="28">
        <v>4</v>
      </c>
      <c r="AM232" s="28">
        <v>3.333333333333333</v>
      </c>
      <c r="AN232" s="28">
        <v>4.666666666666667</v>
      </c>
      <c r="AO232" s="28">
        <v>0.14285714285714279</v>
      </c>
      <c r="AP232" s="28">
        <v>0.2857142857142857</v>
      </c>
      <c r="AQ232" s="28">
        <v>0.23809523809523811</v>
      </c>
      <c r="AR232" s="28">
        <v>0.33333333333333343</v>
      </c>
      <c r="AS232" s="25">
        <v>2.02</v>
      </c>
      <c r="AT232" s="25">
        <v>3.44</v>
      </c>
      <c r="AU232" s="25">
        <v>1.42</v>
      </c>
      <c r="AV232" s="25">
        <v>2.8733333333333331</v>
      </c>
      <c r="AW232">
        <v>2.8733333333333331</v>
      </c>
      <c r="AX232">
        <v>6.6478994516666674</v>
      </c>
      <c r="AY232" s="75">
        <v>0.60918030397914924</v>
      </c>
      <c r="AZ232" s="75">
        <v>0.6204447985828746</v>
      </c>
      <c r="BA232" s="75"/>
      <c r="BC232">
        <v>1.7607837047634339E-2</v>
      </c>
      <c r="BD232">
        <v>1.7933427655391649E-2</v>
      </c>
      <c r="BF232">
        <v>3.5541264703025988E-2</v>
      </c>
      <c r="BG232">
        <v>1.777063235151299E-2</v>
      </c>
      <c r="BH232">
        <v>0.61481255128101187</v>
      </c>
      <c r="BS232" s="79" t="s">
        <v>464</v>
      </c>
      <c r="BT232" s="79" t="s">
        <v>464</v>
      </c>
    </row>
    <row r="233" spans="1:72" x14ac:dyDescent="0.3">
      <c r="A233" s="2" t="s">
        <v>129</v>
      </c>
      <c r="B233" s="13" t="s">
        <v>756</v>
      </c>
      <c r="C233" s="13"/>
      <c r="D233" s="2">
        <v>2.39</v>
      </c>
      <c r="E233" s="2" t="s">
        <v>133</v>
      </c>
      <c r="F233" s="9" t="s">
        <v>572</v>
      </c>
      <c r="G233" t="s">
        <v>650</v>
      </c>
      <c r="I233" s="2"/>
      <c r="J233" s="25">
        <v>4</v>
      </c>
      <c r="K233">
        <v>4</v>
      </c>
      <c r="L233">
        <v>0</v>
      </c>
      <c r="M233" s="2"/>
      <c r="N233" s="2"/>
      <c r="O233" s="2"/>
      <c r="P233" s="2"/>
      <c r="Q233" s="2"/>
      <c r="R233" s="25">
        <v>5.5026178200000002</v>
      </c>
      <c r="S233" s="25">
        <v>5.5582516699999998</v>
      </c>
      <c r="T233" s="25">
        <v>28.882220520000001</v>
      </c>
      <c r="U233">
        <v>5.4930000000000003</v>
      </c>
      <c r="V233">
        <v>5.4960000000000004</v>
      </c>
      <c r="W233">
        <v>28.75</v>
      </c>
      <c r="X233">
        <v>0</v>
      </c>
      <c r="AA233" s="2"/>
      <c r="AB233">
        <v>16</v>
      </c>
      <c r="AC233" s="55">
        <f t="shared" si="32"/>
        <v>0</v>
      </c>
      <c r="AD233" s="57">
        <v>883.36082823090169</v>
      </c>
      <c r="AE233" s="55">
        <v>867.94893000000013</v>
      </c>
      <c r="AF233" s="55">
        <v>0</v>
      </c>
      <c r="AG233" s="52"/>
      <c r="AH233" s="51">
        <v>7.2450575070407169E-2</v>
      </c>
      <c r="AI233" s="52">
        <v>7.3737057317416116E-2</v>
      </c>
      <c r="AJ233" s="52"/>
      <c r="AK233" s="28">
        <v>1.928571428571429</v>
      </c>
      <c r="AL233" s="28">
        <v>3.5</v>
      </c>
      <c r="AM233" s="28">
        <v>3.1428571428571428</v>
      </c>
      <c r="AN233" s="28">
        <v>4</v>
      </c>
      <c r="AO233" s="28">
        <v>0.15340909090909091</v>
      </c>
      <c r="AP233" s="28">
        <v>0.27840909090909088</v>
      </c>
      <c r="AQ233" s="28">
        <v>0.25</v>
      </c>
      <c r="AR233" s="28">
        <v>0.31818181818181818</v>
      </c>
      <c r="AS233" s="25">
        <v>1.6</v>
      </c>
      <c r="AT233" s="25">
        <v>3.44</v>
      </c>
      <c r="AU233" s="25">
        <v>1.84</v>
      </c>
      <c r="AV233" s="25">
        <v>2.882857142857143</v>
      </c>
      <c r="AW233">
        <v>2.882857142857143</v>
      </c>
      <c r="AX233">
        <v>6.350050364285714</v>
      </c>
      <c r="AY233" s="75">
        <v>0.52239337321040458</v>
      </c>
      <c r="AZ233" s="75">
        <v>0.53166934928012111</v>
      </c>
      <c r="BA233" s="75"/>
      <c r="BC233">
        <v>3.6225287535203578E-2</v>
      </c>
      <c r="BD233">
        <v>3.6868528658708058E-2</v>
      </c>
      <c r="BF233">
        <v>7.3093816193911643E-2</v>
      </c>
      <c r="BG233">
        <v>3.6546908096955821E-2</v>
      </c>
      <c r="BH233">
        <v>0.52703136124526284</v>
      </c>
      <c r="BS233" s="79" t="s">
        <v>464</v>
      </c>
      <c r="BT233" s="79" t="s">
        <v>464</v>
      </c>
    </row>
    <row r="234" spans="1:72" x14ac:dyDescent="0.3">
      <c r="A234" s="2" t="s">
        <v>130</v>
      </c>
      <c r="B234" s="13" t="s">
        <v>757</v>
      </c>
      <c r="C234" s="13"/>
      <c r="D234" s="2">
        <v>2.2200000000000002</v>
      </c>
      <c r="E234" s="2" t="s">
        <v>133</v>
      </c>
      <c r="F234" s="9" t="s">
        <v>573</v>
      </c>
      <c r="G234">
        <v>-1</v>
      </c>
      <c r="I234" s="2"/>
      <c r="J234" s="25">
        <v>4</v>
      </c>
      <c r="K234">
        <v>0</v>
      </c>
      <c r="L234">
        <v>0</v>
      </c>
      <c r="M234" s="2"/>
      <c r="N234" s="2"/>
      <c r="O234" s="2"/>
      <c r="P234" s="2"/>
      <c r="Q234" s="2"/>
      <c r="R234" s="25">
        <v>5.5809040000000003</v>
      </c>
      <c r="S234" s="25">
        <v>5.6539380000000001</v>
      </c>
      <c r="T234" s="25">
        <v>29.812771999999999</v>
      </c>
      <c r="U234">
        <v>0</v>
      </c>
      <c r="X234">
        <v>0</v>
      </c>
      <c r="AA234" s="2"/>
      <c r="AB234">
        <v>16</v>
      </c>
      <c r="AC234" s="55">
        <f t="shared" si="32"/>
        <v>0</v>
      </c>
      <c r="AD234" s="57">
        <v>940.71474773474347</v>
      </c>
      <c r="AE234" s="55">
        <v>0</v>
      </c>
      <c r="AF234" s="55">
        <v>0</v>
      </c>
      <c r="AG234" s="52"/>
      <c r="AH234" s="51">
        <v>6.8033375849706881E-2</v>
      </c>
      <c r="AI234" s="52"/>
      <c r="AJ234" s="52"/>
      <c r="AK234" s="28">
        <v>1.928571428571429</v>
      </c>
      <c r="AL234" s="28">
        <v>3.5</v>
      </c>
      <c r="AM234" s="28">
        <v>3.8571428571428572</v>
      </c>
      <c r="AN234" s="28">
        <v>4</v>
      </c>
      <c r="AO234" s="28">
        <v>0.1451612903225806</v>
      </c>
      <c r="AP234" s="28">
        <v>0.26344086021505381</v>
      </c>
      <c r="AQ234" s="28">
        <v>0.29032258064516131</v>
      </c>
      <c r="AR234" s="28">
        <v>0.30107526881720431</v>
      </c>
      <c r="AS234" s="25">
        <v>1.6</v>
      </c>
      <c r="AT234" s="25">
        <v>3.44</v>
      </c>
      <c r="AU234" s="25">
        <v>1.84</v>
      </c>
      <c r="AV234" s="25">
        <v>2.8685714285714279</v>
      </c>
      <c r="AW234">
        <v>2.8685714285714279</v>
      </c>
      <c r="AX234">
        <v>6.299944650714286</v>
      </c>
      <c r="AY234" s="75">
        <v>0.51496474224831645</v>
      </c>
      <c r="AZ234" s="75"/>
      <c r="BA234" s="75"/>
      <c r="BC234">
        <v>3.4016687924853441E-2</v>
      </c>
      <c r="BF234">
        <v>6.8033375849706881E-2</v>
      </c>
      <c r="BG234">
        <v>3.4016687924853441E-2</v>
      </c>
      <c r="BH234">
        <v>0.51496474224831645</v>
      </c>
      <c r="BS234" s="79" t="s">
        <v>464</v>
      </c>
      <c r="BT234" s="79" t="s">
        <v>464</v>
      </c>
    </row>
    <row r="235" spans="1:72" x14ac:dyDescent="0.3">
      <c r="A235" s="2" t="s">
        <v>131</v>
      </c>
      <c r="B235" s="13" t="s">
        <v>758</v>
      </c>
      <c r="C235" s="13"/>
      <c r="D235" s="2">
        <v>2.29</v>
      </c>
      <c r="E235" s="2" t="s">
        <v>133</v>
      </c>
      <c r="F235" s="9" t="s">
        <v>574</v>
      </c>
      <c r="G235" t="s">
        <v>651</v>
      </c>
      <c r="I235" s="2"/>
      <c r="J235" s="25">
        <v>1</v>
      </c>
      <c r="K235">
        <v>4</v>
      </c>
      <c r="L235">
        <v>0</v>
      </c>
      <c r="M235" s="2"/>
      <c r="N235" s="2"/>
      <c r="O235" s="2"/>
      <c r="P235" s="2"/>
      <c r="Q235" s="2"/>
      <c r="R235" s="25">
        <v>3.9070640000000001</v>
      </c>
      <c r="S235" s="25">
        <v>3.9070640000000001</v>
      </c>
      <c r="T235" s="25">
        <v>14.317354999999999</v>
      </c>
      <c r="U235">
        <v>5.4588999999999999</v>
      </c>
      <c r="V235">
        <v>5.5044000000000004</v>
      </c>
      <c r="W235">
        <v>28.6998</v>
      </c>
      <c r="X235">
        <v>0</v>
      </c>
      <c r="AA235" s="2"/>
      <c r="AB235">
        <v>16</v>
      </c>
      <c r="AC235" s="55">
        <f t="shared" si="32"/>
        <v>0</v>
      </c>
      <c r="AD235" s="57">
        <v>218.55655879400501</v>
      </c>
      <c r="AE235" s="55">
        <v>862.37070529816799</v>
      </c>
      <c r="AF235" s="55">
        <v>0</v>
      </c>
      <c r="AG235" s="52"/>
      <c r="AH235" s="51">
        <v>7.320759481338833E-2</v>
      </c>
      <c r="AI235" s="52">
        <v>7.4214023745010863E-2</v>
      </c>
      <c r="AJ235" s="52"/>
      <c r="AK235" s="28">
        <v>2</v>
      </c>
      <c r="AL235" s="28">
        <v>3.5</v>
      </c>
      <c r="AM235" s="28">
        <v>3.0714285714285721</v>
      </c>
      <c r="AN235" s="28">
        <v>5</v>
      </c>
      <c r="AO235" s="28">
        <v>0.14736842105263159</v>
      </c>
      <c r="AP235" s="28">
        <v>0.25789473684210529</v>
      </c>
      <c r="AQ235" s="28">
        <v>0.22631578947368419</v>
      </c>
      <c r="AR235" s="28">
        <v>0.36842105263157893</v>
      </c>
      <c r="AS235" s="25">
        <v>1.5</v>
      </c>
      <c r="AT235" s="25">
        <v>3.44</v>
      </c>
      <c r="AU235" s="25">
        <v>1.94</v>
      </c>
      <c r="AV235" s="25">
        <v>2.875714285714285</v>
      </c>
      <c r="AW235">
        <v>2.875714285714285</v>
      </c>
      <c r="AX235">
        <v>6.3570658642857136</v>
      </c>
      <c r="AY235" s="75">
        <v>0.52785174392365897</v>
      </c>
      <c r="AZ235" s="75">
        <v>0.53510844000890001</v>
      </c>
      <c r="BA235" s="75"/>
      <c r="BC235">
        <v>3.6603797406694158E-2</v>
      </c>
      <c r="BD235">
        <v>3.7107011872505431E-2</v>
      </c>
      <c r="BF235">
        <v>7.3710809279199596E-2</v>
      </c>
      <c r="BG235">
        <v>3.6855404639599798E-2</v>
      </c>
      <c r="BH235">
        <v>0.53148009196627943</v>
      </c>
      <c r="BS235" s="79" t="s">
        <v>464</v>
      </c>
      <c r="BT235" s="79" t="s">
        <v>464</v>
      </c>
    </row>
    <row r="236" spans="1:72" x14ac:dyDescent="0.3">
      <c r="A236" s="2" t="s">
        <v>132</v>
      </c>
      <c r="B236" s="13" t="s">
        <v>759</v>
      </c>
      <c r="C236" s="13"/>
      <c r="D236" s="2">
        <v>2.27</v>
      </c>
      <c r="E236" s="2" t="s">
        <v>133</v>
      </c>
      <c r="F236" s="9" t="s">
        <v>575</v>
      </c>
      <c r="G236">
        <v>-1</v>
      </c>
      <c r="I236" s="2"/>
      <c r="J236" s="25">
        <v>4</v>
      </c>
      <c r="K236">
        <v>0</v>
      </c>
      <c r="L236">
        <v>0</v>
      </c>
      <c r="M236" s="2"/>
      <c r="N236" s="2"/>
      <c r="O236" s="2"/>
      <c r="P236" s="2"/>
      <c r="Q236" s="2"/>
      <c r="R236" s="25">
        <v>5.4952131800000004</v>
      </c>
      <c r="S236" s="25">
        <v>5.5421627200000003</v>
      </c>
      <c r="T236" s="25">
        <v>29.451395720000001</v>
      </c>
      <c r="U236">
        <v>0</v>
      </c>
      <c r="X236">
        <v>0</v>
      </c>
      <c r="AA236" s="2"/>
      <c r="AB236">
        <v>16</v>
      </c>
      <c r="AC236" s="55">
        <f t="shared" si="32"/>
        <v>0</v>
      </c>
      <c r="AD236" s="57">
        <v>896.95302480881253</v>
      </c>
      <c r="AE236" s="55">
        <v>0</v>
      </c>
      <c r="AF236" s="55">
        <v>0</v>
      </c>
      <c r="AG236" s="52"/>
      <c r="AH236" s="51">
        <v>7.1352677598296457E-2</v>
      </c>
      <c r="AI236" s="52"/>
      <c r="AJ236" s="52"/>
      <c r="AK236" s="28">
        <v>2</v>
      </c>
      <c r="AL236" s="28">
        <v>3.5</v>
      </c>
      <c r="AM236" s="28">
        <v>3.785714285714286</v>
      </c>
      <c r="AN236" s="28">
        <v>5</v>
      </c>
      <c r="AO236" s="28">
        <v>0.14000000000000001</v>
      </c>
      <c r="AP236" s="28">
        <v>0.245</v>
      </c>
      <c r="AQ236" s="28">
        <v>0.26500000000000001</v>
      </c>
      <c r="AR236" s="28">
        <v>0.35</v>
      </c>
      <c r="AS236" s="25">
        <v>1.5</v>
      </c>
      <c r="AT236" s="25">
        <v>3.44</v>
      </c>
      <c r="AU236" s="25">
        <v>1.94</v>
      </c>
      <c r="AV236" s="25">
        <v>2.8614285714285721</v>
      </c>
      <c r="AW236">
        <v>2.8614285714285712</v>
      </c>
      <c r="AX236">
        <v>6.3069601507142856</v>
      </c>
      <c r="AY236" s="75">
        <v>0.54008951884595136</v>
      </c>
      <c r="AZ236" s="75"/>
      <c r="BA236" s="75"/>
      <c r="BC236">
        <v>3.5676338799148229E-2</v>
      </c>
      <c r="BF236">
        <v>7.1352677598296457E-2</v>
      </c>
      <c r="BG236">
        <v>3.5676338799148229E-2</v>
      </c>
      <c r="BH236">
        <v>0.54008951884595136</v>
      </c>
      <c r="BS236" s="79" t="s">
        <v>464</v>
      </c>
      <c r="BT236" s="79" t="s">
        <v>464</v>
      </c>
    </row>
    <row r="237" spans="1:72" x14ac:dyDescent="0.3">
      <c r="A237" s="2" t="s">
        <v>136</v>
      </c>
      <c r="B237" s="13" t="s">
        <v>760</v>
      </c>
      <c r="C237" s="13"/>
      <c r="D237" s="2">
        <v>3.8</v>
      </c>
      <c r="E237" s="2" t="s">
        <v>135</v>
      </c>
      <c r="F237" s="9">
        <v>-1</v>
      </c>
      <c r="G237">
        <v>-1</v>
      </c>
      <c r="H237" t="s">
        <v>1164</v>
      </c>
      <c r="I237" s="2"/>
      <c r="J237" s="25">
        <v>0</v>
      </c>
      <c r="K237">
        <v>0</v>
      </c>
      <c r="L237">
        <v>1</v>
      </c>
      <c r="M237" s="2">
        <v>3.89</v>
      </c>
      <c r="N237" s="2">
        <v>3.89</v>
      </c>
      <c r="O237" s="2">
        <v>10.34</v>
      </c>
      <c r="P237" s="2" t="s">
        <v>440</v>
      </c>
      <c r="Q237" s="2"/>
      <c r="R237" s="25">
        <v>0</v>
      </c>
      <c r="S237" s="25"/>
      <c r="T237" s="25"/>
      <c r="U237">
        <v>0</v>
      </c>
      <c r="X237">
        <v>3.88</v>
      </c>
      <c r="Y237">
        <v>3.88</v>
      </c>
      <c r="Z237">
        <v>10.66</v>
      </c>
      <c r="AA237" s="2">
        <v>2</v>
      </c>
      <c r="AB237">
        <v>14</v>
      </c>
      <c r="AC237" s="55">
        <f t="shared" si="32"/>
        <v>156.465914</v>
      </c>
      <c r="AD237" s="57">
        <v>0</v>
      </c>
      <c r="AE237" s="55">
        <v>0</v>
      </c>
      <c r="AF237" s="55">
        <v>160.479904</v>
      </c>
      <c r="AG237" s="52"/>
      <c r="AH237" s="51"/>
      <c r="AI237" s="52"/>
      <c r="AJ237" s="52">
        <v>8.7238337331009372E-2</v>
      </c>
      <c r="AK237" s="28">
        <v>1.9090909090909089</v>
      </c>
      <c r="AL237" s="28">
        <v>2.545454545454545</v>
      </c>
      <c r="AM237" s="28">
        <v>0.63636363636363635</v>
      </c>
      <c r="AN237" s="28">
        <v>2.545454545454545</v>
      </c>
      <c r="AO237" s="28">
        <v>0.25</v>
      </c>
      <c r="AP237" s="28">
        <v>0.33333333333333331</v>
      </c>
      <c r="AQ237" s="28">
        <v>8.3333333333333329E-2</v>
      </c>
      <c r="AR237" s="28">
        <v>0.33333333333333331</v>
      </c>
      <c r="AS237" s="25">
        <v>1.1000000000000001</v>
      </c>
      <c r="AT237" s="25">
        <v>3.44</v>
      </c>
      <c r="AU237" s="25">
        <v>2.34</v>
      </c>
      <c r="AV237" s="25">
        <v>2.7618181818181822</v>
      </c>
      <c r="AW237">
        <v>2.7618181818181822</v>
      </c>
      <c r="AX237">
        <v>6.4448628590773636</v>
      </c>
      <c r="AY237" s="75"/>
      <c r="AZ237" s="75"/>
      <c r="BA237" s="75">
        <v>0</v>
      </c>
      <c r="BE237">
        <v>4.3619168665504693E-2</v>
      </c>
      <c r="BF237">
        <v>8.7238337331009372E-2</v>
      </c>
      <c r="BG237">
        <v>4.3619168665504693E-2</v>
      </c>
      <c r="BH237">
        <v>0</v>
      </c>
      <c r="BS237" s="79" t="s">
        <v>464</v>
      </c>
      <c r="BT237" s="79" t="s">
        <v>464</v>
      </c>
    </row>
    <row r="238" spans="1:72" x14ac:dyDescent="0.3">
      <c r="A238" s="2" t="s">
        <v>137</v>
      </c>
      <c r="B238" s="13" t="s">
        <v>761</v>
      </c>
      <c r="C238" s="13"/>
      <c r="D238" s="2">
        <v>3.85</v>
      </c>
      <c r="E238" s="2" t="s">
        <v>135</v>
      </c>
      <c r="F238" s="9" t="s">
        <v>576</v>
      </c>
      <c r="G238" t="s">
        <v>652</v>
      </c>
      <c r="I238" s="2"/>
      <c r="J238" s="25">
        <v>1</v>
      </c>
      <c r="K238">
        <v>2</v>
      </c>
      <c r="L238">
        <v>0</v>
      </c>
      <c r="M238" s="2">
        <v>3.85</v>
      </c>
      <c r="N238" s="2">
        <v>3.85</v>
      </c>
      <c r="O238" s="2">
        <v>12.77</v>
      </c>
      <c r="P238" s="2" t="s">
        <v>440</v>
      </c>
      <c r="Q238" s="2"/>
      <c r="R238" s="25">
        <v>11.210029909999999</v>
      </c>
      <c r="S238" s="25">
        <v>11.210029909999999</v>
      </c>
      <c r="T238" s="25">
        <v>11.210029909999999</v>
      </c>
      <c r="U238">
        <v>3.8955000000000002</v>
      </c>
      <c r="V238">
        <v>3.8955000000000002</v>
      </c>
      <c r="W238">
        <v>21.436</v>
      </c>
      <c r="X238">
        <v>0</v>
      </c>
      <c r="AA238" s="2">
        <v>2</v>
      </c>
      <c r="AB238">
        <v>14</v>
      </c>
      <c r="AC238" s="55">
        <f t="shared" si="32"/>
        <v>189.28332500000002</v>
      </c>
      <c r="AD238" s="57">
        <v>167.3639996655379</v>
      </c>
      <c r="AE238" s="55">
        <v>325.28959047900003</v>
      </c>
      <c r="AF238" s="55">
        <v>0</v>
      </c>
      <c r="AG238" s="52"/>
      <c r="AH238" s="51">
        <v>8.365000853216796E-2</v>
      </c>
      <c r="AI238" s="52">
        <v>8.607714731593176E-2</v>
      </c>
      <c r="AJ238" s="52"/>
      <c r="AK238" s="28">
        <v>1.9090909090909089</v>
      </c>
      <c r="AL238" s="28">
        <v>2.545454545454545</v>
      </c>
      <c r="AM238" s="28">
        <v>0.63636363636363635</v>
      </c>
      <c r="AN238" s="28">
        <v>2.545454545454545</v>
      </c>
      <c r="AO238" s="28">
        <v>0.25</v>
      </c>
      <c r="AP238" s="28">
        <v>0.33333333333333331</v>
      </c>
      <c r="AQ238" s="28">
        <v>8.3333333333333329E-2</v>
      </c>
      <c r="AR238" s="28">
        <v>0.33333333333333331</v>
      </c>
      <c r="AS238" s="25">
        <v>0.93</v>
      </c>
      <c r="AT238" s="25">
        <v>3.44</v>
      </c>
      <c r="AU238" s="25">
        <v>2.5099999999999998</v>
      </c>
      <c r="AV238" s="25">
        <v>2.646363636363636</v>
      </c>
      <c r="AW238">
        <v>2.646363636363636</v>
      </c>
      <c r="AX238">
        <v>6.0509524322727266</v>
      </c>
      <c r="AY238" s="75">
        <v>0.45356967584663088</v>
      </c>
      <c r="AZ238" s="75">
        <v>0</v>
      </c>
      <c r="BA238" s="75"/>
      <c r="BC238">
        <v>4.1825004266083973E-2</v>
      </c>
      <c r="BD238">
        <v>4.303857365796588E-2</v>
      </c>
      <c r="BF238">
        <v>8.486357792404986E-2</v>
      </c>
      <c r="BG238">
        <v>4.243178896202493E-2</v>
      </c>
      <c r="BH238">
        <v>0.22678483792331541</v>
      </c>
      <c r="BS238" s="79" t="s">
        <v>464</v>
      </c>
      <c r="BT238" s="79" t="s">
        <v>464</v>
      </c>
    </row>
    <row r="239" spans="1:72" x14ac:dyDescent="0.3">
      <c r="A239" s="2" t="s">
        <v>10</v>
      </c>
      <c r="B239" s="13" t="s">
        <v>695</v>
      </c>
      <c r="C239" s="13"/>
      <c r="D239" s="2">
        <v>3.9</v>
      </c>
      <c r="E239" s="2" t="s">
        <v>135</v>
      </c>
      <c r="F239" s="9" t="s">
        <v>531</v>
      </c>
      <c r="G239">
        <v>-1</v>
      </c>
      <c r="I239" s="2"/>
      <c r="J239" s="25">
        <v>1</v>
      </c>
      <c r="K239">
        <v>0</v>
      </c>
      <c r="L239">
        <v>0</v>
      </c>
      <c r="M239" s="2">
        <v>3.88</v>
      </c>
      <c r="N239" s="2">
        <v>3.88</v>
      </c>
      <c r="O239" s="2">
        <v>11.07</v>
      </c>
      <c r="P239" s="2" t="s">
        <v>439</v>
      </c>
      <c r="Q239" s="2"/>
      <c r="R239" s="25">
        <v>3.9103940000000001</v>
      </c>
      <c r="S239" s="25">
        <v>3.9103940000000001</v>
      </c>
      <c r="T239" s="25">
        <v>11.314458</v>
      </c>
      <c r="U239">
        <v>0</v>
      </c>
      <c r="X239">
        <v>0</v>
      </c>
      <c r="AA239" s="2">
        <v>2</v>
      </c>
      <c r="AB239">
        <v>14</v>
      </c>
      <c r="AC239" s="55">
        <f t="shared" si="32"/>
        <v>166.652208</v>
      </c>
      <c r="AD239" s="57">
        <v>173.0114278564659</v>
      </c>
      <c r="AE239" s="55">
        <v>0</v>
      </c>
      <c r="AF239" s="55">
        <v>0</v>
      </c>
      <c r="AG239" s="52"/>
      <c r="AH239" s="51">
        <v>8.0919510193365449E-2</v>
      </c>
      <c r="AI239" s="52"/>
      <c r="AJ239" s="52"/>
      <c r="AK239" s="28">
        <v>1.9090909090909089</v>
      </c>
      <c r="AL239" s="28">
        <v>2.545454545454545</v>
      </c>
      <c r="AM239" s="28">
        <v>0.63636363636363635</v>
      </c>
      <c r="AN239" s="28">
        <v>2.545454545454545</v>
      </c>
      <c r="AO239" s="28">
        <v>0.25</v>
      </c>
      <c r="AP239" s="28">
        <v>0.33333333333333331</v>
      </c>
      <c r="AQ239" s="28">
        <v>8.3333333333333329E-2</v>
      </c>
      <c r="AR239" s="28">
        <v>0.33333333333333331</v>
      </c>
      <c r="AS239" s="25">
        <v>0.82</v>
      </c>
      <c r="AT239" s="25">
        <v>3.44</v>
      </c>
      <c r="AU239" s="25">
        <v>2.62</v>
      </c>
      <c r="AV239" s="25">
        <v>2.6363636363636358</v>
      </c>
      <c r="AW239">
        <v>2.6363636363636371</v>
      </c>
      <c r="AX239">
        <v>6.0044088459090901</v>
      </c>
      <c r="AY239" s="75">
        <v>0.5117218936152963</v>
      </c>
      <c r="AZ239" s="75"/>
      <c r="BA239" s="75"/>
      <c r="BC239">
        <v>4.0459755096682717E-2</v>
      </c>
      <c r="BF239">
        <v>8.0919510193365449E-2</v>
      </c>
      <c r="BG239">
        <v>4.0459755096682717E-2</v>
      </c>
      <c r="BH239">
        <v>0.5117218936152963</v>
      </c>
      <c r="BS239" s="79" t="s">
        <v>464</v>
      </c>
      <c r="BT239" s="79" t="s">
        <v>464</v>
      </c>
    </row>
    <row r="240" spans="1:72" x14ac:dyDescent="0.3">
      <c r="A240" s="2" t="s">
        <v>138</v>
      </c>
      <c r="B240" s="13" t="s">
        <v>762</v>
      </c>
      <c r="C240" s="13"/>
      <c r="D240" s="2">
        <v>3.95</v>
      </c>
      <c r="E240" s="2" t="s">
        <v>135</v>
      </c>
      <c r="F240" s="9">
        <v>-1</v>
      </c>
      <c r="G240">
        <v>-1</v>
      </c>
      <c r="H240" t="s">
        <v>1165</v>
      </c>
      <c r="I240" s="2"/>
      <c r="J240" s="25">
        <v>0</v>
      </c>
      <c r="K240">
        <v>0</v>
      </c>
      <c r="L240">
        <v>1</v>
      </c>
      <c r="M240" s="2">
        <v>3.88</v>
      </c>
      <c r="N240" s="2">
        <v>3.88</v>
      </c>
      <c r="O240" s="2">
        <v>11.07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3.899</v>
      </c>
      <c r="Y240">
        <v>3.899</v>
      </c>
      <c r="Z240">
        <v>11.292</v>
      </c>
      <c r="AA240" s="2">
        <v>2</v>
      </c>
      <c r="AB240">
        <v>14</v>
      </c>
      <c r="AC240" s="55">
        <f t="shared" si="32"/>
        <v>166.652208</v>
      </c>
      <c r="AD240" s="57">
        <v>0</v>
      </c>
      <c r="AE240" s="55">
        <v>0</v>
      </c>
      <c r="AF240" s="55">
        <v>171.66325369200001</v>
      </c>
      <c r="AG240" s="52"/>
      <c r="AH240" s="51"/>
      <c r="AI240" s="52"/>
      <c r="AJ240" s="52">
        <v>8.1555019486691915E-2</v>
      </c>
      <c r="AK240" s="28">
        <v>1.9090909090909089</v>
      </c>
      <c r="AL240" s="28">
        <v>2.545454545454545</v>
      </c>
      <c r="AM240" s="28">
        <v>0.63636363636363635</v>
      </c>
      <c r="AN240" s="28">
        <v>2.545454545454545</v>
      </c>
      <c r="AO240" s="28">
        <v>0.25</v>
      </c>
      <c r="AP240" s="28">
        <v>0.33333333333333331</v>
      </c>
      <c r="AQ240" s="28">
        <v>8.3333333333333329E-2</v>
      </c>
      <c r="AR240" s="28">
        <v>0.33333333333333331</v>
      </c>
      <c r="AS240" s="25">
        <v>0.79</v>
      </c>
      <c r="AT240" s="25">
        <v>3.44</v>
      </c>
      <c r="AU240" s="25">
        <v>2.65</v>
      </c>
      <c r="AV240" s="25">
        <v>2.6336363636363629</v>
      </c>
      <c r="AW240">
        <v>2.6336363636363642</v>
      </c>
      <c r="AX240">
        <v>5.9908857398831818</v>
      </c>
      <c r="AY240" s="75"/>
      <c r="AZ240" s="75"/>
      <c r="BA240" s="75">
        <v>0.54881524259093173</v>
      </c>
      <c r="BE240">
        <v>4.0777509743345958E-2</v>
      </c>
      <c r="BF240">
        <v>8.1555019486691915E-2</v>
      </c>
      <c r="BG240">
        <v>4.0777509743345958E-2</v>
      </c>
      <c r="BH240">
        <v>0.54881524259093173</v>
      </c>
      <c r="BS240" s="79" t="s">
        <v>464</v>
      </c>
      <c r="BT240" s="79" t="s">
        <v>464</v>
      </c>
    </row>
    <row r="241" spans="1:72" x14ac:dyDescent="0.3">
      <c r="A241" s="2" t="s">
        <v>139</v>
      </c>
      <c r="B241" s="13" t="s">
        <v>763</v>
      </c>
      <c r="C241" s="13"/>
      <c r="D241" s="2">
        <v>3.55</v>
      </c>
      <c r="E241" s="2" t="s">
        <v>135</v>
      </c>
      <c r="F241" s="9">
        <v>-1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3.9</v>
      </c>
      <c r="N241" s="2">
        <v>3.9</v>
      </c>
      <c r="O241" s="2">
        <v>11.07</v>
      </c>
      <c r="P241" s="2" t="s">
        <v>519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2"/>
        <v>168.37469999999999</v>
      </c>
      <c r="AD241" s="57">
        <v>0</v>
      </c>
      <c r="AE241" s="55">
        <v>0</v>
      </c>
      <c r="AF241" s="55">
        <v>0</v>
      </c>
      <c r="AG241" s="52">
        <f>I241*AB241/AC241</f>
        <v>8.3147883856660179E-2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2.8181818181818179</v>
      </c>
      <c r="AO241" s="28">
        <v>0.2441860465116279</v>
      </c>
      <c r="AP241" s="28">
        <v>0.32558139534883718</v>
      </c>
      <c r="AQ241" s="28">
        <v>6.9767441860465115E-2</v>
      </c>
      <c r="AR241" s="28">
        <v>0.3604651162790698</v>
      </c>
      <c r="AS241" s="25">
        <v>1.1299999999999999</v>
      </c>
      <c r="AT241" s="25">
        <v>3.44</v>
      </c>
      <c r="AU241" s="25">
        <v>2.31</v>
      </c>
      <c r="AV241" s="25">
        <v>2.7645454545454542</v>
      </c>
      <c r="AW241">
        <v>2.7645454545454551</v>
      </c>
      <c r="AX241">
        <v>6.4196350590773639</v>
      </c>
      <c r="AY241" s="75"/>
      <c r="AZ241" s="75"/>
      <c r="BA241" s="75"/>
      <c r="BB241">
        <v>4.157394192833009E-2</v>
      </c>
      <c r="BF241">
        <v>8.3147883856660179E-2</v>
      </c>
      <c r="BG241">
        <v>4.157394192833009E-2</v>
      </c>
      <c r="BH241">
        <v>0</v>
      </c>
      <c r="BS241" s="79" t="s">
        <v>464</v>
      </c>
      <c r="BT241" s="79" t="s">
        <v>464</v>
      </c>
    </row>
    <row r="242" spans="1:72" x14ac:dyDescent="0.3">
      <c r="A242" s="2" t="s">
        <v>140</v>
      </c>
      <c r="B242" s="13" t="s">
        <v>764</v>
      </c>
      <c r="C242" s="13"/>
      <c r="D242" s="2">
        <v>3.55</v>
      </c>
      <c r="E242" s="2" t="s">
        <v>135</v>
      </c>
      <c r="F242" s="9">
        <v>-1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11.297000000000001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2"/>
        <v>170.06955680000002</v>
      </c>
      <c r="AD242" s="57">
        <v>0</v>
      </c>
      <c r="AE242" s="55">
        <v>0</v>
      </c>
      <c r="AF242" s="55">
        <v>0</v>
      </c>
      <c r="AG242" s="52">
        <f>I242*AB242/AC242</f>
        <v>8.2319259621896068E-2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2.8181818181818179</v>
      </c>
      <c r="AO242" s="28">
        <v>0.2441860465116279</v>
      </c>
      <c r="AP242" s="28">
        <v>0.32558139534883718</v>
      </c>
      <c r="AQ242" s="28">
        <v>6.9767441860465115E-2</v>
      </c>
      <c r="AR242" s="28">
        <v>0.3604651162790698</v>
      </c>
      <c r="AS242" s="25">
        <v>0.93</v>
      </c>
      <c r="AT242" s="25">
        <v>3.44</v>
      </c>
      <c r="AU242" s="25">
        <v>2.5099999999999998</v>
      </c>
      <c r="AV242" s="25">
        <v>2.6490909090909089</v>
      </c>
      <c r="AW242">
        <v>2.6490909090909081</v>
      </c>
      <c r="AX242">
        <v>6.0257246322727269</v>
      </c>
      <c r="AY242" s="75"/>
      <c r="AZ242" s="75"/>
      <c r="BA242" s="75"/>
      <c r="BB242">
        <v>4.1159629810948027E-2</v>
      </c>
      <c r="BF242">
        <v>8.2319259621896068E-2</v>
      </c>
      <c r="BG242">
        <v>4.1159629810948027E-2</v>
      </c>
      <c r="BH242">
        <v>0</v>
      </c>
      <c r="BS242" s="79" t="s">
        <v>464</v>
      </c>
      <c r="BT242" s="79" t="s">
        <v>464</v>
      </c>
    </row>
    <row r="243" spans="1:72" x14ac:dyDescent="0.3">
      <c r="A243" s="2" t="s">
        <v>11</v>
      </c>
      <c r="B243" s="13" t="s">
        <v>696</v>
      </c>
      <c r="C243" s="13"/>
      <c r="D243" s="2">
        <v>3.55</v>
      </c>
      <c r="E243" s="2" t="s">
        <v>135</v>
      </c>
      <c r="F243" s="9">
        <v>-1</v>
      </c>
      <c r="G243">
        <v>-1</v>
      </c>
      <c r="H243" t="s">
        <v>1144</v>
      </c>
      <c r="I243" s="2">
        <v>1</v>
      </c>
      <c r="J243" s="25">
        <v>0</v>
      </c>
      <c r="K243">
        <v>0</v>
      </c>
      <c r="L243">
        <v>1</v>
      </c>
      <c r="M243" s="2">
        <v>3.88</v>
      </c>
      <c r="N243" s="2">
        <v>3.88</v>
      </c>
      <c r="O243" s="2">
        <v>10.647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3.8653</v>
      </c>
      <c r="Y243">
        <v>3.8653</v>
      </c>
      <c r="Z243">
        <v>11.0131</v>
      </c>
      <c r="AA243" s="2">
        <v>2</v>
      </c>
      <c r="AB243">
        <v>14</v>
      </c>
      <c r="AC243" s="55">
        <f t="shared" si="32"/>
        <v>160.28419679999999</v>
      </c>
      <c r="AD243" s="57">
        <v>0</v>
      </c>
      <c r="AE243" s="55">
        <v>0</v>
      </c>
      <c r="AF243" s="55">
        <v>164.541706117579</v>
      </c>
      <c r="AG243" s="52">
        <f>I243*AB243/AC243</f>
        <v>8.7344855447408651E-2</v>
      </c>
      <c r="AH243" s="51"/>
      <c r="AI243" s="52"/>
      <c r="AJ243" s="52">
        <v>8.5084811202795069E-2</v>
      </c>
      <c r="AK243" s="28">
        <v>1.9090909090909089</v>
      </c>
      <c r="AL243" s="28">
        <v>2.545454545454545</v>
      </c>
      <c r="AM243" s="28">
        <v>0.54545454545454541</v>
      </c>
      <c r="AN243" s="28">
        <v>2.8181818181818179</v>
      </c>
      <c r="AO243" s="28">
        <v>0.2441860465116279</v>
      </c>
      <c r="AP243" s="28">
        <v>0.32558139534883718</v>
      </c>
      <c r="AQ243" s="28">
        <v>6.9767441860465115E-2</v>
      </c>
      <c r="AR243" s="28">
        <v>0.3604651162790698</v>
      </c>
      <c r="AS243" s="25">
        <v>0.82</v>
      </c>
      <c r="AT243" s="25">
        <v>3.44</v>
      </c>
      <c r="AU243" s="25">
        <v>2.62</v>
      </c>
      <c r="AV243" s="25">
        <v>2.6390909090909092</v>
      </c>
      <c r="AW243">
        <v>2.6390909090909092</v>
      </c>
      <c r="AX243">
        <v>5.9791810459090904</v>
      </c>
      <c r="AY243" s="75"/>
      <c r="AZ243" s="75"/>
      <c r="BA243" s="75">
        <v>0.53381265134868672</v>
      </c>
      <c r="BB243">
        <v>4.3672427723704332E-2</v>
      </c>
      <c r="BE243">
        <v>4.2542405601397527E-2</v>
      </c>
      <c r="BF243">
        <v>8.6214833325101853E-2</v>
      </c>
      <c r="BG243">
        <v>4.3107416662550933E-2</v>
      </c>
      <c r="BH243">
        <v>0.53381265134868672</v>
      </c>
      <c r="BS243" s="79" t="s">
        <v>464</v>
      </c>
      <c r="BT243" s="79" t="s">
        <v>464</v>
      </c>
    </row>
    <row r="244" spans="1:72" x14ac:dyDescent="0.3">
      <c r="A244" s="2" t="s">
        <v>141</v>
      </c>
      <c r="B244" s="13" t="s">
        <v>765</v>
      </c>
      <c r="C244" s="13"/>
      <c r="D244" s="2">
        <v>3.55</v>
      </c>
      <c r="E244" s="2" t="s">
        <v>135</v>
      </c>
      <c r="F244" s="9">
        <v>-1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3.88</v>
      </c>
      <c r="N244" s="2">
        <v>3.88</v>
      </c>
      <c r="O244" s="2">
        <v>11.066000000000001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2"/>
        <v>166.59199040000001</v>
      </c>
      <c r="AD244" s="57">
        <v>0</v>
      </c>
      <c r="AE244" s="55">
        <v>0</v>
      </c>
      <c r="AF244" s="55">
        <v>0</v>
      </c>
      <c r="AG244" s="52">
        <f>I244*AB244/AC244</f>
        <v>8.4037653709430671E-2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2.8181818181818179</v>
      </c>
      <c r="AO244" s="28">
        <v>0.2441860465116279</v>
      </c>
      <c r="AP244" s="28">
        <v>0.32558139534883718</v>
      </c>
      <c r="AQ244" s="28">
        <v>6.9767441860465115E-2</v>
      </c>
      <c r="AR244" s="28">
        <v>0.3604651162790698</v>
      </c>
      <c r="AS244" s="25">
        <v>0.79</v>
      </c>
      <c r="AT244" s="25">
        <v>3.44</v>
      </c>
      <c r="AU244" s="25">
        <v>2.65</v>
      </c>
      <c r="AV244" s="25">
        <v>2.6363636363636358</v>
      </c>
      <c r="AW244">
        <v>2.6363636363636358</v>
      </c>
      <c r="AX244">
        <v>5.9656579398831813</v>
      </c>
      <c r="AY244" s="75"/>
      <c r="AZ244" s="75"/>
      <c r="BA244" s="75"/>
      <c r="BB244">
        <v>4.2018826854715342E-2</v>
      </c>
      <c r="BF244">
        <v>8.4037653709430671E-2</v>
      </c>
      <c r="BG244">
        <v>4.2018826854715342E-2</v>
      </c>
      <c r="BH244">
        <v>0</v>
      </c>
      <c r="BS244" s="79" t="s">
        <v>464</v>
      </c>
      <c r="BT244" s="79" t="s">
        <v>464</v>
      </c>
    </row>
    <row r="245" spans="1:72" x14ac:dyDescent="0.3">
      <c r="A245" s="2" t="s">
        <v>142</v>
      </c>
      <c r="B245" s="13" t="s">
        <v>766</v>
      </c>
      <c r="C245" s="13"/>
      <c r="D245" s="2">
        <v>4.2</v>
      </c>
      <c r="E245" s="2" t="s">
        <v>135</v>
      </c>
      <c r="F245" s="9">
        <v>-1</v>
      </c>
      <c r="G245">
        <v>-1</v>
      </c>
      <c r="I245" s="2">
        <v>1</v>
      </c>
      <c r="J245" s="25">
        <v>0</v>
      </c>
      <c r="K245">
        <v>0</v>
      </c>
      <c r="L245">
        <v>0</v>
      </c>
      <c r="M245" s="2">
        <v>3.92</v>
      </c>
      <c r="N245" s="2">
        <v>3.92</v>
      </c>
      <c r="O245" s="2">
        <v>11.065</v>
      </c>
      <c r="P245" s="2" t="s">
        <v>439</v>
      </c>
      <c r="Q245" s="2"/>
      <c r="R245" s="25">
        <v>0</v>
      </c>
      <c r="S245" s="25"/>
      <c r="T245" s="25"/>
      <c r="U245">
        <v>0</v>
      </c>
      <c r="X245">
        <v>0</v>
      </c>
      <c r="AA245" s="2">
        <v>2</v>
      </c>
      <c r="AB245">
        <v>14</v>
      </c>
      <c r="AC245" s="55">
        <f t="shared" si="32"/>
        <v>170.02921599999999</v>
      </c>
      <c r="AD245" s="57">
        <v>0</v>
      </c>
      <c r="AE245" s="55">
        <v>0</v>
      </c>
      <c r="AF245" s="55">
        <v>0</v>
      </c>
      <c r="AG245" s="52">
        <f t="shared" ref="AG245:AG252" si="33">I245*AB245/AC245</f>
        <v>8.2338790528799485E-2</v>
      </c>
      <c r="AH245" s="51"/>
      <c r="AI245" s="52"/>
      <c r="AJ245" s="52"/>
      <c r="AK245" s="28">
        <v>1.9090909090909089</v>
      </c>
      <c r="AL245" s="28">
        <v>2.545454545454545</v>
      </c>
      <c r="AM245" s="28">
        <v>0.54545454545454541</v>
      </c>
      <c r="AN245" s="28">
        <v>2.9090909090909092</v>
      </c>
      <c r="AO245" s="28">
        <v>0.2413793103448276</v>
      </c>
      <c r="AP245" s="28">
        <v>0.32183908045977011</v>
      </c>
      <c r="AQ245" s="28">
        <v>6.8965517241379309E-2</v>
      </c>
      <c r="AR245" s="28">
        <v>0.36781609195402298</v>
      </c>
      <c r="AS245" s="25">
        <v>1.1399999999999999</v>
      </c>
      <c r="AT245" s="25">
        <v>3.44</v>
      </c>
      <c r="AU245" s="25">
        <v>2.2999999999999998</v>
      </c>
      <c r="AV245" s="25">
        <v>2.7654545454545452</v>
      </c>
      <c r="AW245">
        <v>2.7654545454545461</v>
      </c>
      <c r="AX245">
        <v>6.4215922727137267</v>
      </c>
      <c r="AY245" s="75"/>
      <c r="AZ245" s="75"/>
      <c r="BA245" s="75"/>
      <c r="BB245">
        <v>4.1169395264399743E-2</v>
      </c>
      <c r="BF245">
        <v>8.2338790528799485E-2</v>
      </c>
      <c r="BG245">
        <v>4.1169395264399743E-2</v>
      </c>
      <c r="BH245">
        <v>0</v>
      </c>
      <c r="BS245" s="79" t="s">
        <v>464</v>
      </c>
      <c r="BT245" s="79" t="s">
        <v>464</v>
      </c>
    </row>
    <row r="246" spans="1:72" x14ac:dyDescent="0.3">
      <c r="A246" s="2" t="s">
        <v>143</v>
      </c>
      <c r="B246" s="13" t="s">
        <v>767</v>
      </c>
      <c r="C246" s="13"/>
      <c r="D246" s="2">
        <v>4.1500000000000004</v>
      </c>
      <c r="E246" s="2" t="s">
        <v>135</v>
      </c>
      <c r="F246" s="9">
        <v>-1</v>
      </c>
      <c r="G246">
        <v>-1</v>
      </c>
      <c r="I246" s="2">
        <v>1</v>
      </c>
      <c r="J246" s="25">
        <v>0</v>
      </c>
      <c r="K246">
        <v>0</v>
      </c>
      <c r="L246">
        <v>0</v>
      </c>
      <c r="M246" s="2">
        <v>3.92</v>
      </c>
      <c r="N246" s="2">
        <v>3.92</v>
      </c>
      <c r="O246" s="2">
        <v>11.7911</v>
      </c>
      <c r="P246" s="2" t="s">
        <v>439</v>
      </c>
      <c r="Q246" s="2"/>
      <c r="R246" s="25">
        <v>0</v>
      </c>
      <c r="S246" s="25"/>
      <c r="T246" s="25"/>
      <c r="U246">
        <v>0</v>
      </c>
      <c r="X246">
        <v>0</v>
      </c>
      <c r="AA246" s="2">
        <v>2</v>
      </c>
      <c r="AB246">
        <v>14</v>
      </c>
      <c r="AC246" s="55">
        <f t="shared" si="32"/>
        <v>181.18675904</v>
      </c>
      <c r="AD246" s="57">
        <v>0</v>
      </c>
      <c r="AE246" s="55">
        <v>0</v>
      </c>
      <c r="AF246" s="55">
        <v>0</v>
      </c>
      <c r="AG246" s="52">
        <f t="shared" si="33"/>
        <v>7.7268339442559744E-2</v>
      </c>
      <c r="AH246" s="51"/>
      <c r="AI246" s="52"/>
      <c r="AJ246" s="52"/>
      <c r="AK246" s="28">
        <v>1.9090909090909089</v>
      </c>
      <c r="AL246" s="28">
        <v>2.545454545454545</v>
      </c>
      <c r="AM246" s="28">
        <v>0.54545454545454541</v>
      </c>
      <c r="AN246" s="28">
        <v>2.9090909090909092</v>
      </c>
      <c r="AO246" s="28">
        <v>0.2413793103448276</v>
      </c>
      <c r="AP246" s="28">
        <v>0.32183908045977011</v>
      </c>
      <c r="AQ246" s="28">
        <v>6.8965517241379309E-2</v>
      </c>
      <c r="AR246" s="28">
        <v>0.36781609195402298</v>
      </c>
      <c r="AS246" s="25">
        <v>0.93</v>
      </c>
      <c r="AT246" s="25">
        <v>3.44</v>
      </c>
      <c r="AU246" s="25">
        <v>2.5099999999999998</v>
      </c>
      <c r="AV246" s="25">
        <v>2.65</v>
      </c>
      <c r="AW246">
        <v>2.649999999999999</v>
      </c>
      <c r="AX246">
        <v>6.0276818459090906</v>
      </c>
      <c r="AY246" s="75"/>
      <c r="AZ246" s="75"/>
      <c r="BA246" s="75"/>
      <c r="BB246">
        <v>3.8634169721279872E-2</v>
      </c>
      <c r="BF246">
        <v>7.7268339442559744E-2</v>
      </c>
      <c r="BG246">
        <v>3.8634169721279872E-2</v>
      </c>
      <c r="BH246">
        <v>0</v>
      </c>
      <c r="BS246" s="79" t="s">
        <v>464</v>
      </c>
      <c r="BT246" s="79" t="s">
        <v>464</v>
      </c>
    </row>
    <row r="247" spans="1:72" x14ac:dyDescent="0.3">
      <c r="A247" s="2" t="s">
        <v>12</v>
      </c>
      <c r="B247" s="13" t="s">
        <v>697</v>
      </c>
      <c r="C247" s="13"/>
      <c r="D247" s="2">
        <v>4.1500000000000004</v>
      </c>
      <c r="E247" s="2" t="s">
        <v>135</v>
      </c>
      <c r="F247" s="9">
        <v>-1</v>
      </c>
      <c r="G247">
        <v>-1</v>
      </c>
      <c r="I247" s="2">
        <v>1</v>
      </c>
      <c r="J247" s="25">
        <v>0</v>
      </c>
      <c r="K247">
        <v>0</v>
      </c>
      <c r="L247">
        <v>0</v>
      </c>
      <c r="M247" s="2">
        <v>3.92</v>
      </c>
      <c r="N247" s="2">
        <v>3.92</v>
      </c>
      <c r="O247" s="2">
        <v>11.5395</v>
      </c>
      <c r="P247" s="2" t="s">
        <v>439</v>
      </c>
      <c r="Q247" s="2"/>
      <c r="R247" s="25">
        <v>0</v>
      </c>
      <c r="S247" s="25"/>
      <c r="T247" s="25"/>
      <c r="U247">
        <v>0</v>
      </c>
      <c r="X247">
        <v>0</v>
      </c>
      <c r="AA247" s="2">
        <v>2</v>
      </c>
      <c r="AB247">
        <v>14</v>
      </c>
      <c r="AC247" s="55">
        <f t="shared" si="32"/>
        <v>177.32057279999998</v>
      </c>
      <c r="AD247" s="57">
        <v>0</v>
      </c>
      <c r="AE247" s="55">
        <v>0</v>
      </c>
      <c r="AF247" s="55">
        <v>0</v>
      </c>
      <c r="AG247" s="52">
        <f t="shared" si="33"/>
        <v>7.8953049716293272E-2</v>
      </c>
      <c r="AH247" s="51"/>
      <c r="AI247" s="52"/>
      <c r="AJ247" s="52"/>
      <c r="AK247" s="28">
        <v>1.9090909090909089</v>
      </c>
      <c r="AL247" s="28">
        <v>2.545454545454545</v>
      </c>
      <c r="AM247" s="28">
        <v>0.54545454545454541</v>
      </c>
      <c r="AN247" s="28">
        <v>2.9090909090909092</v>
      </c>
      <c r="AO247" s="28">
        <v>0.2413793103448276</v>
      </c>
      <c r="AP247" s="28">
        <v>0.32183908045977011</v>
      </c>
      <c r="AQ247" s="28">
        <v>6.8965517241379309E-2</v>
      </c>
      <c r="AR247" s="28">
        <v>0.36781609195402298</v>
      </c>
      <c r="AS247" s="25">
        <v>0.82</v>
      </c>
      <c r="AT247" s="25">
        <v>3.44</v>
      </c>
      <c r="AU247" s="25">
        <v>2.62</v>
      </c>
      <c r="AV247" s="25">
        <v>2.64</v>
      </c>
      <c r="AW247">
        <v>2.64</v>
      </c>
      <c r="AX247">
        <v>5.9811382595454541</v>
      </c>
      <c r="AY247" s="75"/>
      <c r="AZ247" s="75"/>
      <c r="BA247" s="75"/>
      <c r="BB247">
        <v>3.9476524858146643E-2</v>
      </c>
      <c r="BF247">
        <v>7.8953049716293272E-2</v>
      </c>
      <c r="BG247">
        <v>3.9476524858146643E-2</v>
      </c>
      <c r="BH247">
        <v>0</v>
      </c>
      <c r="BS247" s="79" t="s">
        <v>464</v>
      </c>
      <c r="BT247" s="79" t="s">
        <v>464</v>
      </c>
    </row>
    <row r="248" spans="1:72" x14ac:dyDescent="0.3">
      <c r="A248" s="2" t="s">
        <v>144</v>
      </c>
      <c r="B248" s="13" t="s">
        <v>768</v>
      </c>
      <c r="C248" s="13"/>
      <c r="D248" s="2">
        <v>4.1500000000000004</v>
      </c>
      <c r="E248" s="2" t="s">
        <v>135</v>
      </c>
      <c r="F248" s="9">
        <v>-1</v>
      </c>
      <c r="G248">
        <v>-1</v>
      </c>
      <c r="I248" s="2">
        <v>1</v>
      </c>
      <c r="J248" s="25">
        <v>0</v>
      </c>
      <c r="K248">
        <v>0</v>
      </c>
      <c r="L248">
        <v>0</v>
      </c>
      <c r="M248" s="2">
        <v>3.84</v>
      </c>
      <c r="N248" s="2">
        <v>3.84</v>
      </c>
      <c r="O248" s="2">
        <v>11.5395</v>
      </c>
      <c r="P248" s="2" t="s">
        <v>439</v>
      </c>
      <c r="Q248" s="2"/>
      <c r="R248" s="25">
        <v>0</v>
      </c>
      <c r="S248" s="25"/>
      <c r="T248" s="25"/>
      <c r="U248">
        <v>0</v>
      </c>
      <c r="X248">
        <v>0</v>
      </c>
      <c r="AA248" s="2">
        <v>2</v>
      </c>
      <c r="AB248">
        <v>14</v>
      </c>
      <c r="AC248" s="55">
        <f t="shared" si="32"/>
        <v>170.15685120000001</v>
      </c>
      <c r="AD248" s="57">
        <v>0</v>
      </c>
      <c r="AE248" s="55">
        <v>0</v>
      </c>
      <c r="AF248" s="55">
        <v>0</v>
      </c>
      <c r="AG248" s="52">
        <f t="shared" si="33"/>
        <v>8.2277027937855962E-2</v>
      </c>
      <c r="AH248" s="51"/>
      <c r="AI248" s="52"/>
      <c r="AJ248" s="52"/>
      <c r="AK248" s="28">
        <v>1.9090909090909089</v>
      </c>
      <c r="AL248" s="28">
        <v>2.545454545454545</v>
      </c>
      <c r="AM248" s="28">
        <v>0.54545454545454541</v>
      </c>
      <c r="AN248" s="28">
        <v>2.9090909090909092</v>
      </c>
      <c r="AO248" s="28">
        <v>0.2413793103448276</v>
      </c>
      <c r="AP248" s="28">
        <v>0.32183908045977011</v>
      </c>
      <c r="AQ248" s="28">
        <v>6.8965517241379309E-2</v>
      </c>
      <c r="AR248" s="28">
        <v>0.36781609195402298</v>
      </c>
      <c r="AS248" s="25">
        <v>0.79</v>
      </c>
      <c r="AT248" s="25">
        <v>3.44</v>
      </c>
      <c r="AU248" s="25">
        <v>2.65</v>
      </c>
      <c r="AV248" s="25">
        <v>2.6372727272727272</v>
      </c>
      <c r="AW248">
        <v>2.6372727272727272</v>
      </c>
      <c r="AX248">
        <v>5.967615153519545</v>
      </c>
      <c r="AY248" s="75"/>
      <c r="AZ248" s="75"/>
      <c r="BA248" s="75"/>
      <c r="BB248">
        <v>4.1138513968927981E-2</v>
      </c>
      <c r="BF248">
        <v>8.2277027937855962E-2</v>
      </c>
      <c r="BG248">
        <v>4.1138513968927981E-2</v>
      </c>
      <c r="BH248">
        <v>0</v>
      </c>
      <c r="BS248" s="79" t="s">
        <v>464</v>
      </c>
      <c r="BT248" s="79" t="s">
        <v>464</v>
      </c>
    </row>
    <row r="249" spans="1:72" x14ac:dyDescent="0.3">
      <c r="A249" s="2" t="s">
        <v>145</v>
      </c>
      <c r="B249" s="13" t="s">
        <v>769</v>
      </c>
      <c r="C249" s="13"/>
      <c r="D249" s="2">
        <v>4.1500000000000004</v>
      </c>
      <c r="E249" s="2" t="s">
        <v>135</v>
      </c>
      <c r="F249" s="9">
        <v>-1</v>
      </c>
      <c r="G249">
        <v>-1</v>
      </c>
      <c r="I249" s="2">
        <v>1</v>
      </c>
      <c r="J249" s="25">
        <v>0</v>
      </c>
      <c r="K249">
        <v>0</v>
      </c>
      <c r="L249">
        <v>0</v>
      </c>
      <c r="M249" s="2">
        <v>3.85</v>
      </c>
      <c r="N249" s="2">
        <v>3.85</v>
      </c>
      <c r="O249" s="2">
        <v>10.95</v>
      </c>
      <c r="P249" s="2" t="s">
        <v>439</v>
      </c>
      <c r="Q249" s="2"/>
      <c r="R249" s="25">
        <v>0</v>
      </c>
      <c r="S249" s="25"/>
      <c r="T249" s="25"/>
      <c r="U249">
        <v>0</v>
      </c>
      <c r="X249">
        <v>0</v>
      </c>
      <c r="AA249" s="2">
        <v>2</v>
      </c>
      <c r="AB249">
        <v>14</v>
      </c>
      <c r="AC249" s="55">
        <f t="shared" si="32"/>
        <v>162.306375</v>
      </c>
      <c r="AD249" s="57">
        <v>0</v>
      </c>
      <c r="AE249" s="55">
        <v>0</v>
      </c>
      <c r="AF249" s="55">
        <v>0</v>
      </c>
      <c r="AG249" s="52">
        <f t="shared" si="33"/>
        <v>8.6256624239189617E-2</v>
      </c>
      <c r="AH249" s="51"/>
      <c r="AI249" s="52"/>
      <c r="AJ249" s="52"/>
      <c r="AK249" s="28">
        <v>1.9090909090909089</v>
      </c>
      <c r="AL249" s="28">
        <v>2.545454545454545</v>
      </c>
      <c r="AM249" s="28">
        <v>0.54545454545454541</v>
      </c>
      <c r="AN249" s="28">
        <v>3.0909090909090908</v>
      </c>
      <c r="AO249" s="28">
        <v>0.2359550561797753</v>
      </c>
      <c r="AP249" s="28">
        <v>0.3146067415730337</v>
      </c>
      <c r="AQ249" s="28">
        <v>6.7415730337078636E-2</v>
      </c>
      <c r="AR249" s="28">
        <v>0.38202247191011229</v>
      </c>
      <c r="AS249" s="25">
        <v>1.17</v>
      </c>
      <c r="AT249" s="25">
        <v>3.44</v>
      </c>
      <c r="AU249" s="25">
        <v>2.27</v>
      </c>
      <c r="AV249" s="25">
        <v>2.7681818181818181</v>
      </c>
      <c r="AW249">
        <v>2.768181818181819</v>
      </c>
      <c r="AX249">
        <v>6.4299203045319091</v>
      </c>
      <c r="AY249" s="75"/>
      <c r="AZ249" s="75"/>
      <c r="BA249" s="75"/>
      <c r="BB249">
        <v>4.3128312119594808E-2</v>
      </c>
      <c r="BF249">
        <v>8.6256624239189617E-2</v>
      </c>
      <c r="BG249">
        <v>4.3128312119594808E-2</v>
      </c>
      <c r="BH249">
        <v>0</v>
      </c>
      <c r="BS249" s="79" t="s">
        <v>464</v>
      </c>
      <c r="BT249" s="79" t="s">
        <v>464</v>
      </c>
    </row>
    <row r="250" spans="1:72" x14ac:dyDescent="0.3">
      <c r="A250" s="2" t="s">
        <v>146</v>
      </c>
      <c r="B250" s="13" t="s">
        <v>770</v>
      </c>
      <c r="C250" s="13"/>
      <c r="D250" s="2">
        <v>4.25</v>
      </c>
      <c r="E250" s="2" t="s">
        <v>135</v>
      </c>
      <c r="F250" s="9">
        <v>-1</v>
      </c>
      <c r="G250">
        <v>-1</v>
      </c>
      <c r="I250" s="2">
        <v>1</v>
      </c>
      <c r="J250" s="25">
        <v>0</v>
      </c>
      <c r="K250">
        <v>0</v>
      </c>
      <c r="L250">
        <v>0</v>
      </c>
      <c r="M250" s="2">
        <v>3.88</v>
      </c>
      <c r="N250" s="2">
        <v>3.88</v>
      </c>
      <c r="O250" s="2">
        <v>11.54</v>
      </c>
      <c r="P250" s="2" t="s">
        <v>439</v>
      </c>
      <c r="Q250" s="2"/>
      <c r="R250" s="25">
        <v>0</v>
      </c>
      <c r="S250" s="25"/>
      <c r="T250" s="25"/>
      <c r="U250">
        <v>0</v>
      </c>
      <c r="X250">
        <v>0</v>
      </c>
      <c r="AA250" s="2">
        <v>2</v>
      </c>
      <c r="AB250">
        <v>14</v>
      </c>
      <c r="AC250" s="55">
        <f t="shared" si="32"/>
        <v>173.72777599999998</v>
      </c>
      <c r="AD250" s="57">
        <v>0</v>
      </c>
      <c r="AE250" s="55">
        <v>0</v>
      </c>
      <c r="AF250" s="55">
        <v>0</v>
      </c>
      <c r="AG250" s="52">
        <f t="shared" si="33"/>
        <v>8.0585847135923747E-2</v>
      </c>
      <c r="AH250" s="51"/>
      <c r="AI250" s="52"/>
      <c r="AJ250" s="52"/>
      <c r="AK250" s="28">
        <v>1.9090909090909089</v>
      </c>
      <c r="AL250" s="28">
        <v>2.545454545454545</v>
      </c>
      <c r="AM250" s="28">
        <v>0.54545454545454541</v>
      </c>
      <c r="AN250" s="28">
        <v>3.0909090909090908</v>
      </c>
      <c r="AO250" s="28">
        <v>0.2359550561797753</v>
      </c>
      <c r="AP250" s="28">
        <v>0.3146067415730337</v>
      </c>
      <c r="AQ250" s="28">
        <v>6.7415730337078636E-2</v>
      </c>
      <c r="AR250" s="28">
        <v>0.38202247191011229</v>
      </c>
      <c r="AS250" s="25">
        <v>0.93</v>
      </c>
      <c r="AT250" s="25">
        <v>3.44</v>
      </c>
      <c r="AU250" s="25">
        <v>2.5099999999999998</v>
      </c>
      <c r="AV250" s="25">
        <v>2.6527272727272728</v>
      </c>
      <c r="AW250">
        <v>2.6527272727272719</v>
      </c>
      <c r="AX250">
        <v>6.0360098777272722</v>
      </c>
      <c r="AY250" s="75"/>
      <c r="AZ250" s="75"/>
      <c r="BA250" s="75"/>
      <c r="BB250">
        <v>4.0292923567961873E-2</v>
      </c>
      <c r="BF250">
        <v>8.0585847135923747E-2</v>
      </c>
      <c r="BG250">
        <v>4.0292923567961873E-2</v>
      </c>
      <c r="BH250">
        <v>0</v>
      </c>
      <c r="BS250" s="79" t="s">
        <v>464</v>
      </c>
      <c r="BT250" s="79" t="s">
        <v>464</v>
      </c>
    </row>
    <row r="251" spans="1:72" x14ac:dyDescent="0.3">
      <c r="A251" s="2" t="s">
        <v>13</v>
      </c>
      <c r="B251" s="13" t="s">
        <v>698</v>
      </c>
      <c r="C251" s="13"/>
      <c r="D251" s="2">
        <v>4.25</v>
      </c>
      <c r="E251" s="2" t="s">
        <v>135</v>
      </c>
      <c r="F251" s="9">
        <v>-1</v>
      </c>
      <c r="G251">
        <v>-1</v>
      </c>
      <c r="I251" s="2">
        <v>1</v>
      </c>
      <c r="J251" s="25">
        <v>0</v>
      </c>
      <c r="K251">
        <v>0</v>
      </c>
      <c r="L251">
        <v>0</v>
      </c>
      <c r="M251" s="2">
        <v>3.85</v>
      </c>
      <c r="N251" s="2">
        <v>3.85</v>
      </c>
      <c r="O251" s="2">
        <v>11.3</v>
      </c>
      <c r="P251" s="2" t="s">
        <v>439</v>
      </c>
      <c r="Q251" s="2"/>
      <c r="R251" s="25">
        <v>0</v>
      </c>
      <c r="S251" s="25"/>
      <c r="T251" s="25"/>
      <c r="U251">
        <v>0</v>
      </c>
      <c r="X251">
        <v>0</v>
      </c>
      <c r="AA251" s="2">
        <v>2</v>
      </c>
      <c r="AB251">
        <v>14</v>
      </c>
      <c r="AC251" s="55">
        <f t="shared" si="32"/>
        <v>167.49425000000002</v>
      </c>
      <c r="AD251" s="57">
        <v>0</v>
      </c>
      <c r="AE251" s="55">
        <v>0</v>
      </c>
      <c r="AF251" s="55">
        <v>0</v>
      </c>
      <c r="AG251" s="52">
        <f t="shared" si="33"/>
        <v>8.3584958886648339E-2</v>
      </c>
      <c r="AH251" s="51"/>
      <c r="AI251" s="52"/>
      <c r="AJ251" s="52"/>
      <c r="AK251" s="28">
        <v>1.9090909090909089</v>
      </c>
      <c r="AL251" s="28">
        <v>2.545454545454545</v>
      </c>
      <c r="AM251" s="28">
        <v>0.54545454545454541</v>
      </c>
      <c r="AN251" s="28">
        <v>3.0909090909090908</v>
      </c>
      <c r="AO251" s="28">
        <v>0.2359550561797753</v>
      </c>
      <c r="AP251" s="28">
        <v>0.3146067415730337</v>
      </c>
      <c r="AQ251" s="28">
        <v>6.7415730337078636E-2</v>
      </c>
      <c r="AR251" s="28">
        <v>0.38202247191011229</v>
      </c>
      <c r="AS251" s="25">
        <v>0.82</v>
      </c>
      <c r="AT251" s="25">
        <v>3.44</v>
      </c>
      <c r="AU251" s="25">
        <v>2.62</v>
      </c>
      <c r="AV251" s="25">
        <v>2.642727272727273</v>
      </c>
      <c r="AW251">
        <v>2.642727272727273</v>
      </c>
      <c r="AX251">
        <v>5.9894662913636356</v>
      </c>
      <c r="AY251" s="75"/>
      <c r="AZ251" s="75"/>
      <c r="BA251" s="75"/>
      <c r="BB251">
        <v>4.1792479443324169E-2</v>
      </c>
      <c r="BF251">
        <v>8.3584958886648339E-2</v>
      </c>
      <c r="BG251">
        <v>4.1792479443324169E-2</v>
      </c>
      <c r="BH251">
        <v>0</v>
      </c>
      <c r="BS251" s="79" t="s">
        <v>464</v>
      </c>
      <c r="BT251" s="79" t="s">
        <v>464</v>
      </c>
    </row>
    <row r="252" spans="1:72" x14ac:dyDescent="0.3">
      <c r="A252" s="2" t="s">
        <v>147</v>
      </c>
      <c r="B252" s="13" t="s">
        <v>771</v>
      </c>
      <c r="C252" s="13"/>
      <c r="D252" s="2">
        <v>4.25</v>
      </c>
      <c r="E252" s="2" t="s">
        <v>135</v>
      </c>
      <c r="F252" s="9">
        <v>-1</v>
      </c>
      <c r="G252">
        <v>-1</v>
      </c>
      <c r="I252" s="2">
        <v>1</v>
      </c>
      <c r="J252" s="25">
        <v>0</v>
      </c>
      <c r="K252">
        <v>0</v>
      </c>
      <c r="L252">
        <v>0</v>
      </c>
      <c r="M252" s="2">
        <v>3.76</v>
      </c>
      <c r="N252" s="2">
        <v>3.76</v>
      </c>
      <c r="O252" s="2">
        <v>11.41</v>
      </c>
      <c r="P252" s="2" t="s">
        <v>439</v>
      </c>
      <c r="Q252" s="2"/>
      <c r="R252" s="25">
        <v>0</v>
      </c>
      <c r="S252" s="25"/>
      <c r="T252" s="25"/>
      <c r="U252">
        <v>0</v>
      </c>
      <c r="X252">
        <v>0</v>
      </c>
      <c r="AA252" s="2">
        <v>2</v>
      </c>
      <c r="AB252">
        <v>14</v>
      </c>
      <c r="AC252" s="55">
        <f t="shared" si="32"/>
        <v>161.31001599999999</v>
      </c>
      <c r="AD252" s="57">
        <v>0</v>
      </c>
      <c r="AE252" s="55">
        <v>0</v>
      </c>
      <c r="AF252" s="55">
        <v>0</v>
      </c>
      <c r="AG252" s="52">
        <f t="shared" si="33"/>
        <v>8.678940308331505E-2</v>
      </c>
      <c r="AH252" s="51"/>
      <c r="AI252" s="52"/>
      <c r="AJ252" s="52"/>
      <c r="AK252" s="28">
        <v>1.9090909090909089</v>
      </c>
      <c r="AL252" s="28">
        <v>2.545454545454545</v>
      </c>
      <c r="AM252" s="28">
        <v>0.54545454545454541</v>
      </c>
      <c r="AN252" s="28">
        <v>3.0909090909090908</v>
      </c>
      <c r="AO252" s="28">
        <v>0.2359550561797753</v>
      </c>
      <c r="AP252" s="28">
        <v>0.3146067415730337</v>
      </c>
      <c r="AQ252" s="28">
        <v>6.7415730337078636E-2</v>
      </c>
      <c r="AR252" s="28">
        <v>0.38202247191011229</v>
      </c>
      <c r="AS252" s="25">
        <v>0.79</v>
      </c>
      <c r="AT252" s="25">
        <v>3.44</v>
      </c>
      <c r="AU252" s="25">
        <v>2.65</v>
      </c>
      <c r="AV252" s="25">
        <v>2.64</v>
      </c>
      <c r="AW252">
        <v>2.64</v>
      </c>
      <c r="AX252">
        <v>5.9759431853377274</v>
      </c>
      <c r="AY252" s="75"/>
      <c r="AZ252" s="75"/>
      <c r="BA252" s="75"/>
      <c r="BB252">
        <v>4.3394701541657532E-2</v>
      </c>
      <c r="BF252">
        <v>8.678940308331505E-2</v>
      </c>
      <c r="BG252">
        <v>4.3394701541657532E-2</v>
      </c>
      <c r="BH252">
        <v>0</v>
      </c>
      <c r="BS252" s="79" t="s">
        <v>464</v>
      </c>
      <c r="BT252" s="79" t="s">
        <v>464</v>
      </c>
    </row>
    <row r="253" spans="1:72" x14ac:dyDescent="0.3">
      <c r="A253" s="2" t="s">
        <v>148</v>
      </c>
      <c r="B253" s="13" t="s">
        <v>772</v>
      </c>
      <c r="C253" s="13"/>
      <c r="D253" s="2">
        <v>3.2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v>28.361999999999998</v>
      </c>
      <c r="P253" s="2" t="s">
        <v>440</v>
      </c>
      <c r="Q253" s="2"/>
      <c r="R253" s="25">
        <v>14.183127929999999</v>
      </c>
      <c r="S253" s="25">
        <v>14.183127929999999</v>
      </c>
      <c r="T253" s="25">
        <v>14.183127929999999</v>
      </c>
      <c r="U253">
        <v>3.8515000000000001</v>
      </c>
      <c r="V253">
        <v>3.8515000000000001</v>
      </c>
      <c r="W253">
        <v>28.338999999999999</v>
      </c>
      <c r="X253">
        <v>0</v>
      </c>
      <c r="AA253" s="2"/>
      <c r="AB253">
        <v>20</v>
      </c>
      <c r="AC253" s="55">
        <f t="shared" si="32"/>
        <v>420.39574500000003</v>
      </c>
      <c r="AD253" s="57">
        <v>215.8165104701838</v>
      </c>
      <c r="AE253" s="55">
        <v>420.38220671275002</v>
      </c>
      <c r="AF253" s="55">
        <v>0</v>
      </c>
      <c r="AG253" s="52"/>
      <c r="AH253" s="51">
        <v>9.2671315815585423E-2</v>
      </c>
      <c r="AI253" s="52">
        <v>9.5151505846992876E-2</v>
      </c>
      <c r="AJ253" s="52"/>
      <c r="AK253" s="28">
        <v>1.9375</v>
      </c>
      <c r="AL253" s="28">
        <v>2.5</v>
      </c>
      <c r="AM253" s="28">
        <v>0.5625</v>
      </c>
      <c r="AN253" s="28">
        <v>2.625</v>
      </c>
      <c r="AO253" s="28">
        <v>0.25409836065573771</v>
      </c>
      <c r="AP253" s="28">
        <v>0.32786885245901642</v>
      </c>
      <c r="AQ253" s="28">
        <v>7.3770491803278687E-2</v>
      </c>
      <c r="AR253" s="28">
        <v>0.34426229508196721</v>
      </c>
      <c r="AS253" s="25">
        <v>0.98</v>
      </c>
      <c r="AT253" s="25">
        <v>3.44</v>
      </c>
      <c r="AU253" s="25">
        <v>2.46</v>
      </c>
      <c r="AV253" s="25">
        <v>2.6175000000000002</v>
      </c>
      <c r="AW253">
        <v>2.6175000000000002</v>
      </c>
      <c r="AX253">
        <v>6.0217141611250007</v>
      </c>
      <c r="AY253" s="75">
        <v>0.48754533225959679</v>
      </c>
      <c r="AZ253" s="75">
        <v>0</v>
      </c>
      <c r="BA253" s="75"/>
      <c r="BC253">
        <v>4.6335657907792711E-2</v>
      </c>
      <c r="BD253">
        <v>4.7575752923496438E-2</v>
      </c>
      <c r="BF253">
        <v>9.3911410831289149E-2</v>
      </c>
      <c r="BG253">
        <v>4.6955705415644568E-2</v>
      </c>
      <c r="BH253">
        <v>0.24377266612979839</v>
      </c>
      <c r="BS253" s="79" t="s">
        <v>464</v>
      </c>
      <c r="BT253" s="79" t="s">
        <v>464</v>
      </c>
    </row>
    <row r="254" spans="1:72" x14ac:dyDescent="0.3">
      <c r="A254" s="2" t="s">
        <v>63</v>
      </c>
      <c r="B254" s="13" t="s">
        <v>773</v>
      </c>
      <c r="C254" s="13"/>
      <c r="D254" s="2">
        <v>3.5</v>
      </c>
      <c r="E254" s="2" t="s">
        <v>150</v>
      </c>
      <c r="F254" s="9">
        <v>-1</v>
      </c>
      <c r="G254">
        <v>-1</v>
      </c>
      <c r="H254" t="s">
        <v>1144</v>
      </c>
      <c r="I254" s="2"/>
      <c r="J254" s="25">
        <v>0</v>
      </c>
      <c r="K254">
        <v>0</v>
      </c>
      <c r="L254">
        <v>1</v>
      </c>
      <c r="M254" s="2"/>
      <c r="N254" s="2"/>
      <c r="O254" s="2"/>
      <c r="P254" s="2"/>
      <c r="Q254" s="2"/>
      <c r="R254" s="25">
        <v>0</v>
      </c>
      <c r="S254" s="25"/>
      <c r="T254" s="25"/>
      <c r="U254">
        <v>0</v>
      </c>
      <c r="X254">
        <v>3.8653</v>
      </c>
      <c r="Y254">
        <v>3.8653</v>
      </c>
      <c r="Z254">
        <v>11.0131</v>
      </c>
      <c r="AA254" s="2"/>
      <c r="AB254">
        <v>20</v>
      </c>
      <c r="AC254" s="55">
        <f t="shared" si="32"/>
        <v>0</v>
      </c>
      <c r="AD254" s="57">
        <v>0</v>
      </c>
      <c r="AE254" s="55">
        <v>0</v>
      </c>
      <c r="AF254" s="55">
        <v>164.541706117579</v>
      </c>
      <c r="AG254" s="52"/>
      <c r="AH254" s="51"/>
      <c r="AI254" s="52"/>
      <c r="AJ254" s="52">
        <v>0.12154973028970729</v>
      </c>
      <c r="AK254" s="28">
        <v>1.75</v>
      </c>
      <c r="AL254" s="28">
        <v>2.5</v>
      </c>
      <c r="AM254" s="28">
        <v>0.75</v>
      </c>
      <c r="AN254" s="28">
        <v>0</v>
      </c>
      <c r="AO254" s="28">
        <v>0.35</v>
      </c>
      <c r="AP254" s="28">
        <v>0.5</v>
      </c>
      <c r="AQ254" s="28">
        <v>0.15</v>
      </c>
      <c r="AR254" s="28">
        <v>0</v>
      </c>
      <c r="AS254" s="25">
        <v>1</v>
      </c>
      <c r="AT254" s="25">
        <v>3.44</v>
      </c>
      <c r="AU254" s="25">
        <v>2.44</v>
      </c>
      <c r="AV254" s="25">
        <v>2.7124999999999999</v>
      </c>
      <c r="AW254">
        <v>2.7124999999999999</v>
      </c>
      <c r="AX254">
        <v>6.264025610615688</v>
      </c>
      <c r="AY254" s="75"/>
      <c r="AZ254" s="75"/>
      <c r="BA254" s="75">
        <v>0.53381265134868672</v>
      </c>
      <c r="BE254">
        <v>6.0774865144853633E-2</v>
      </c>
      <c r="BF254">
        <v>0.12154973028970729</v>
      </c>
      <c r="BG254">
        <v>6.0774865144853633E-2</v>
      </c>
      <c r="BH254">
        <v>0.53381265134868672</v>
      </c>
      <c r="BP254" s="79">
        <v>50</v>
      </c>
      <c r="BS254" s="79" t="s">
        <v>464</v>
      </c>
      <c r="BT254" s="79" t="s">
        <v>464</v>
      </c>
    </row>
    <row r="255" spans="1:72" x14ac:dyDescent="0.3">
      <c r="A255" s="2" t="s">
        <v>63</v>
      </c>
      <c r="B255" s="13" t="s">
        <v>773</v>
      </c>
      <c r="C255" s="13"/>
      <c r="D255" s="2">
        <v>3.5</v>
      </c>
      <c r="E255" s="2" t="s">
        <v>152</v>
      </c>
      <c r="F255" s="9">
        <v>-1</v>
      </c>
      <c r="G255">
        <v>-1</v>
      </c>
      <c r="H255" t="s">
        <v>1144</v>
      </c>
      <c r="I255" s="2"/>
      <c r="J255" s="25">
        <v>0</v>
      </c>
      <c r="K255">
        <v>0</v>
      </c>
      <c r="L255">
        <v>1</v>
      </c>
      <c r="M255" s="2">
        <v>3.85</v>
      </c>
      <c r="N255" s="2">
        <v>3.85</v>
      </c>
      <c r="O255" s="2">
        <v>29.296700000000001</v>
      </c>
      <c r="P255" s="2" t="s">
        <v>519</v>
      </c>
      <c r="R255" s="25">
        <v>0</v>
      </c>
      <c r="S255" s="25"/>
      <c r="T255" s="25"/>
      <c r="U255">
        <v>0</v>
      </c>
      <c r="X255">
        <v>3.8653</v>
      </c>
      <c r="Y255">
        <v>3.8653</v>
      </c>
      <c r="Z255">
        <v>11.0131</v>
      </c>
      <c r="AA255" s="2"/>
      <c r="AB255">
        <v>20</v>
      </c>
      <c r="AC255" s="55">
        <f t="shared" si="32"/>
        <v>434.25033575000009</v>
      </c>
      <c r="AD255" s="57">
        <v>0</v>
      </c>
      <c r="AE255" s="55">
        <v>0</v>
      </c>
      <c r="AF255" s="55">
        <v>164.541706117579</v>
      </c>
      <c r="AG255" s="52"/>
      <c r="AH255" s="51"/>
      <c r="AI255" s="52"/>
      <c r="AJ255" s="52">
        <v>0.12154973028970729</v>
      </c>
      <c r="AK255" s="28">
        <v>1.75</v>
      </c>
      <c r="AL255" s="28">
        <v>2.5</v>
      </c>
      <c r="AM255" s="28">
        <v>0.75</v>
      </c>
      <c r="AN255" s="28">
        <v>0</v>
      </c>
      <c r="AO255" s="28">
        <v>0.35</v>
      </c>
      <c r="AP255" s="28">
        <v>0.5</v>
      </c>
      <c r="AQ255" s="28">
        <v>0.15</v>
      </c>
      <c r="AR255" s="28">
        <v>0</v>
      </c>
      <c r="AS255" s="25">
        <v>1</v>
      </c>
      <c r="AT255" s="25">
        <v>3.44</v>
      </c>
      <c r="AU255" s="25">
        <v>2.44</v>
      </c>
      <c r="AV255" s="25">
        <v>2.7124999999999999</v>
      </c>
      <c r="AW255">
        <v>2.7124999999999999</v>
      </c>
      <c r="AX255">
        <v>6.264025610615688</v>
      </c>
      <c r="AY255" s="75"/>
      <c r="AZ255" s="75"/>
      <c r="BA255" s="75">
        <v>0.53381265134868672</v>
      </c>
      <c r="BE255">
        <v>6.0774865144853633E-2</v>
      </c>
      <c r="BF255">
        <v>0.12154973028970729</v>
      </c>
      <c r="BG255">
        <v>6.0774865144853633E-2</v>
      </c>
      <c r="BH255">
        <v>0.53381265134868672</v>
      </c>
      <c r="BP255" s="79">
        <v>50</v>
      </c>
      <c r="BS255" s="79" t="s">
        <v>464</v>
      </c>
      <c r="BT255" s="79" t="s">
        <v>464</v>
      </c>
    </row>
    <row r="256" spans="1:72" x14ac:dyDescent="0.3">
      <c r="A256" s="2" t="s">
        <v>151</v>
      </c>
      <c r="B256" s="13" t="s">
        <v>774</v>
      </c>
      <c r="C256" s="13"/>
      <c r="D256" s="2">
        <v>3.3</v>
      </c>
      <c r="E256" s="2" t="s">
        <v>152</v>
      </c>
      <c r="F256" s="9">
        <v>-1</v>
      </c>
      <c r="G256">
        <v>-1</v>
      </c>
      <c r="I256" s="2">
        <v>2</v>
      </c>
      <c r="J256" s="25">
        <v>0</v>
      </c>
      <c r="K256">
        <v>0</v>
      </c>
      <c r="L256">
        <v>0</v>
      </c>
      <c r="M256" s="2">
        <v>3.89</v>
      </c>
      <c r="N256" s="2">
        <v>3.89</v>
      </c>
      <c r="O256" s="2">
        <v>33.299999999999997</v>
      </c>
      <c r="P256" s="2" t="s">
        <v>519</v>
      </c>
      <c r="Q256" s="2"/>
      <c r="R256" s="25">
        <v>0</v>
      </c>
      <c r="S256" s="25"/>
      <c r="T256" s="25"/>
      <c r="U256">
        <v>0</v>
      </c>
      <c r="X256">
        <v>0</v>
      </c>
      <c r="AA256" s="2"/>
      <c r="AB256">
        <v>20</v>
      </c>
      <c r="AC256" s="55">
        <f t="shared" si="32"/>
        <v>503.89893000000001</v>
      </c>
      <c r="AD256" s="57">
        <v>0</v>
      </c>
      <c r="AE256" s="55">
        <v>0</v>
      </c>
      <c r="AF256" s="55">
        <v>0</v>
      </c>
      <c r="AG256" s="52">
        <f t="shared" ref="AG256:AG281" si="34">I256*AB256/AC256</f>
        <v>7.9380998090232108E-2</v>
      </c>
      <c r="AH256" s="51"/>
      <c r="AI256" s="52"/>
      <c r="AJ256" s="52"/>
      <c r="AK256" s="28">
        <v>1.75</v>
      </c>
      <c r="AL256" s="28">
        <v>2.5</v>
      </c>
      <c r="AM256" s="28">
        <v>0.75</v>
      </c>
      <c r="AN256" s="28">
        <v>0</v>
      </c>
      <c r="AO256" s="28">
        <v>0.35</v>
      </c>
      <c r="AP256" s="28">
        <v>0.5</v>
      </c>
      <c r="AQ256" s="28">
        <v>0.15</v>
      </c>
      <c r="AR256" s="28">
        <v>0</v>
      </c>
      <c r="AS256" s="25">
        <v>0.95</v>
      </c>
      <c r="AT256" s="25">
        <v>3.44</v>
      </c>
      <c r="AU256" s="25">
        <v>2.4900000000000002</v>
      </c>
      <c r="AV256" s="25">
        <v>2.7062499999999998</v>
      </c>
      <c r="AW256">
        <v>2.7062499999999998</v>
      </c>
      <c r="AX256">
        <v>6.2396022968656872</v>
      </c>
      <c r="AY256" s="75"/>
      <c r="AZ256" s="75"/>
      <c r="BA256" s="75"/>
      <c r="BB256">
        <v>3.9690499045116047E-2</v>
      </c>
      <c r="BF256">
        <v>7.9380998090232108E-2</v>
      </c>
      <c r="BG256">
        <v>3.9690499045116047E-2</v>
      </c>
      <c r="BH256">
        <v>0</v>
      </c>
      <c r="BP256" s="79">
        <v>56</v>
      </c>
      <c r="BS256" s="79" t="s">
        <v>464</v>
      </c>
      <c r="BT256" s="79" t="s">
        <v>464</v>
      </c>
    </row>
    <row r="257" spans="1:72" x14ac:dyDescent="0.3">
      <c r="A257" s="2" t="s">
        <v>153</v>
      </c>
      <c r="B257" s="13" t="s">
        <v>775</v>
      </c>
      <c r="C257" s="13"/>
      <c r="D257" s="2">
        <v>3.23</v>
      </c>
      <c r="E257" s="2" t="s">
        <v>152</v>
      </c>
      <c r="F257" s="9" t="s">
        <v>578</v>
      </c>
      <c r="G257">
        <v>-1</v>
      </c>
      <c r="H257" t="s">
        <v>1166</v>
      </c>
      <c r="I257" s="2"/>
      <c r="J257" s="25">
        <v>1</v>
      </c>
      <c r="K257">
        <v>0</v>
      </c>
      <c r="L257">
        <v>1</v>
      </c>
      <c r="M257" s="2">
        <v>3.89</v>
      </c>
      <c r="N257" s="2">
        <v>3.89</v>
      </c>
      <c r="O257" s="2">
        <v>21.29</v>
      </c>
      <c r="P257" s="2" t="s">
        <v>519</v>
      </c>
      <c r="Q257" s="2"/>
      <c r="R257" s="25">
        <v>3.9263319999999999</v>
      </c>
      <c r="S257" s="25">
        <v>3.9263319999999999</v>
      </c>
      <c r="T257" s="25">
        <v>10.74639</v>
      </c>
      <c r="U257">
        <v>0</v>
      </c>
      <c r="X257">
        <v>3.8913000000000002</v>
      </c>
      <c r="Y257">
        <v>3.8913000000000002</v>
      </c>
      <c r="Z257">
        <v>10.47</v>
      </c>
      <c r="AA257" s="2"/>
      <c r="AB257">
        <v>14</v>
      </c>
      <c r="AC257" s="55">
        <f t="shared" si="32"/>
        <v>322.16240900000003</v>
      </c>
      <c r="AD257" s="57">
        <v>165.66723991337099</v>
      </c>
      <c r="AE257" s="55">
        <v>0</v>
      </c>
      <c r="AF257" s="55">
        <v>158.53899827430001</v>
      </c>
      <c r="AG257" s="52"/>
      <c r="AH257" s="51">
        <v>8.4506749839743392E-2</v>
      </c>
      <c r="AI257" s="52"/>
      <c r="AJ257" s="52">
        <v>8.8306348295310685E-2</v>
      </c>
      <c r="AK257" s="28">
        <v>1.7272727272727271</v>
      </c>
      <c r="AL257" s="28">
        <v>2.545454545454545</v>
      </c>
      <c r="AM257" s="28">
        <v>0.81818181818181823</v>
      </c>
      <c r="AN257" s="28">
        <v>0</v>
      </c>
      <c r="AO257" s="28">
        <v>0.3392857142857143</v>
      </c>
      <c r="AP257" s="28">
        <v>0.5</v>
      </c>
      <c r="AQ257" s="28">
        <v>0.1607142857142857</v>
      </c>
      <c r="AR257" s="28">
        <v>0</v>
      </c>
      <c r="AS257" s="25">
        <v>1.1000000000000001</v>
      </c>
      <c r="AT257" s="25">
        <v>3.44</v>
      </c>
      <c r="AU257" s="25">
        <v>2.34</v>
      </c>
      <c r="AV257" s="25">
        <v>2.78</v>
      </c>
      <c r="AW257">
        <v>2.78</v>
      </c>
      <c r="AX257">
        <v>6.4270052227137269</v>
      </c>
      <c r="AY257" s="75">
        <v>0.41874886813759421</v>
      </c>
      <c r="AZ257" s="75"/>
      <c r="BA257" s="75">
        <v>0</v>
      </c>
      <c r="BC257">
        <v>4.2253374919871717E-2</v>
      </c>
      <c r="BE257">
        <v>4.4153174147655357E-2</v>
      </c>
      <c r="BF257">
        <v>8.6406549067527039E-2</v>
      </c>
      <c r="BG257">
        <v>4.3203274533763533E-2</v>
      </c>
      <c r="BH257">
        <v>0.20937443406879711</v>
      </c>
      <c r="BP257" s="79">
        <v>68</v>
      </c>
      <c r="BS257" s="79" t="s">
        <v>464</v>
      </c>
      <c r="BT257" s="79" t="s">
        <v>464</v>
      </c>
    </row>
    <row r="258" spans="1:72" x14ac:dyDescent="0.3">
      <c r="A258" s="2" t="s">
        <v>7</v>
      </c>
      <c r="B258" s="13" t="s">
        <v>692</v>
      </c>
      <c r="C258" s="13"/>
      <c r="D258" s="2">
        <v>3.47</v>
      </c>
      <c r="E258" s="2" t="s">
        <v>154</v>
      </c>
      <c r="F258" s="9">
        <v>-1</v>
      </c>
      <c r="G258">
        <v>-1</v>
      </c>
      <c r="I258" s="2">
        <v>8</v>
      </c>
      <c r="J258" s="25">
        <v>0</v>
      </c>
      <c r="K258">
        <v>0</v>
      </c>
      <c r="L258">
        <v>0</v>
      </c>
      <c r="M258" s="2">
        <v>7.8209999999999997</v>
      </c>
      <c r="N258" s="2">
        <v>7.7649999999999997</v>
      </c>
      <c r="O258" s="2">
        <v>30.08</v>
      </c>
      <c r="P258" t="s">
        <v>495</v>
      </c>
      <c r="R258" s="25">
        <v>0</v>
      </c>
      <c r="S258" s="25"/>
      <c r="T258" s="25"/>
      <c r="U258">
        <v>0</v>
      </c>
      <c r="X258">
        <v>0</v>
      </c>
      <c r="AA258" s="2"/>
      <c r="AB258">
        <v>20</v>
      </c>
      <c r="AC258" s="55">
        <f t="shared" si="32"/>
        <v>1826.7603551999998</v>
      </c>
      <c r="AD258" s="57">
        <v>0</v>
      </c>
      <c r="AE258" s="55">
        <v>0</v>
      </c>
      <c r="AF258" s="55">
        <v>0</v>
      </c>
      <c r="AG258" s="52">
        <f t="shared" si="34"/>
        <v>8.7586748609115E-2</v>
      </c>
      <c r="AH258" s="51"/>
      <c r="AI258" s="52"/>
      <c r="AJ258" s="52"/>
      <c r="AK258" s="28">
        <v>1.75</v>
      </c>
      <c r="AL258" s="28">
        <v>2.5</v>
      </c>
      <c r="AM258" s="28">
        <v>0.75</v>
      </c>
      <c r="AN258" s="28">
        <v>0</v>
      </c>
      <c r="AO258" s="28">
        <v>0.35</v>
      </c>
      <c r="AP258" s="28">
        <v>0.5</v>
      </c>
      <c r="AQ258" s="28">
        <v>0.15</v>
      </c>
      <c r="AR258" s="28">
        <v>0</v>
      </c>
      <c r="AS258" s="25">
        <v>0.82</v>
      </c>
      <c r="AT258" s="25">
        <v>3.44</v>
      </c>
      <c r="AU258" s="25">
        <v>2.62</v>
      </c>
      <c r="AV258" s="25">
        <v>2.62</v>
      </c>
      <c r="AW258">
        <v>2.62</v>
      </c>
      <c r="AX258">
        <v>5.9423863675000002</v>
      </c>
      <c r="AY258" s="75"/>
      <c r="AZ258" s="75"/>
      <c r="BA258" s="75"/>
      <c r="BB258">
        <v>4.37933743045575E-2</v>
      </c>
      <c r="BF258">
        <v>8.7586748609115E-2</v>
      </c>
      <c r="BG258">
        <v>4.37933743045575E-2</v>
      </c>
      <c r="BH258">
        <v>0</v>
      </c>
      <c r="BS258" s="79" t="s">
        <v>464</v>
      </c>
      <c r="BT258" s="79" t="s">
        <v>464</v>
      </c>
    </row>
    <row r="259" spans="1:72" x14ac:dyDescent="0.3">
      <c r="A259" s="2" t="s">
        <v>155</v>
      </c>
      <c r="B259" s="13" t="s">
        <v>776</v>
      </c>
      <c r="C259" s="13"/>
      <c r="D259" s="2">
        <v>3.76</v>
      </c>
      <c r="E259" s="2" t="s">
        <v>154</v>
      </c>
      <c r="F259" s="9">
        <v>-1</v>
      </c>
      <c r="G259">
        <v>-1</v>
      </c>
      <c r="I259" s="2">
        <v>8</v>
      </c>
      <c r="J259" s="25">
        <v>0</v>
      </c>
      <c r="K259">
        <v>0</v>
      </c>
      <c r="L259">
        <v>0</v>
      </c>
      <c r="M259" s="2">
        <v>7.8209999999999997</v>
      </c>
      <c r="N259" s="2">
        <v>7.7649999999999997</v>
      </c>
      <c r="O259" s="2">
        <v>30.96</v>
      </c>
      <c r="P259" t="s">
        <v>495</v>
      </c>
      <c r="R259" s="25">
        <v>0</v>
      </c>
      <c r="S259" s="25"/>
      <c r="T259" s="25"/>
      <c r="U259">
        <v>0</v>
      </c>
      <c r="X259">
        <v>0</v>
      </c>
      <c r="AA259" s="2"/>
      <c r="AB259">
        <v>20</v>
      </c>
      <c r="AC259" s="55">
        <f t="shared" si="32"/>
        <v>1880.2028123999999</v>
      </c>
      <c r="AD259" s="57">
        <v>0</v>
      </c>
      <c r="AE259" s="55">
        <v>0</v>
      </c>
      <c r="AF259" s="55">
        <v>0</v>
      </c>
      <c r="AG259" s="52">
        <f t="shared" si="34"/>
        <v>8.5097202783016121E-2</v>
      </c>
      <c r="AH259" s="51"/>
      <c r="AI259" s="52"/>
      <c r="AJ259" s="52"/>
      <c r="AK259" s="28">
        <v>1.8125</v>
      </c>
      <c r="AL259" s="28">
        <v>2.5</v>
      </c>
      <c r="AM259" s="28">
        <v>0.6875</v>
      </c>
      <c r="AN259" s="28">
        <v>0.875</v>
      </c>
      <c r="AO259" s="28">
        <v>0.30851063829787229</v>
      </c>
      <c r="AP259" s="28">
        <v>0.42553191489361702</v>
      </c>
      <c r="AQ259" s="28">
        <v>0.1170212765957447</v>
      </c>
      <c r="AR259" s="28">
        <v>0.14893617021276601</v>
      </c>
      <c r="AS259" s="25">
        <v>0.82</v>
      </c>
      <c r="AT259" s="25">
        <v>3.44</v>
      </c>
      <c r="AU259" s="25">
        <v>2.62</v>
      </c>
      <c r="AV259" s="25">
        <v>2.61375</v>
      </c>
      <c r="AW259">
        <v>2.61375</v>
      </c>
      <c r="AX259">
        <v>5.9485249299999996</v>
      </c>
      <c r="AY259" s="75"/>
      <c r="AZ259" s="75"/>
      <c r="BA259" s="75"/>
      <c r="BB259">
        <v>4.254860139150806E-2</v>
      </c>
      <c r="BF259">
        <v>8.5097202783016121E-2</v>
      </c>
      <c r="BG259">
        <v>4.254860139150806E-2</v>
      </c>
      <c r="BH259">
        <v>0</v>
      </c>
      <c r="BS259" s="79" t="s">
        <v>464</v>
      </c>
      <c r="BT259" s="79" t="s">
        <v>464</v>
      </c>
    </row>
    <row r="260" spans="1:72" x14ac:dyDescent="0.3">
      <c r="A260" s="2" t="s">
        <v>156</v>
      </c>
      <c r="B260" s="13" t="s">
        <v>777</v>
      </c>
      <c r="C260" s="13"/>
      <c r="D260" s="2">
        <v>3.76</v>
      </c>
      <c r="E260" s="2" t="s">
        <v>154</v>
      </c>
      <c r="F260" s="9">
        <v>-1</v>
      </c>
      <c r="G260">
        <v>-1</v>
      </c>
      <c r="I260" s="2">
        <v>8</v>
      </c>
      <c r="J260" s="25">
        <v>0</v>
      </c>
      <c r="K260">
        <v>0</v>
      </c>
      <c r="L260">
        <v>0</v>
      </c>
      <c r="M260" s="2">
        <v>7.8209999999999997</v>
      </c>
      <c r="N260" s="2">
        <v>7.7649999999999997</v>
      </c>
      <c r="O260" s="2">
        <v>29.84</v>
      </c>
      <c r="P260" t="s">
        <v>495</v>
      </c>
      <c r="R260" s="25">
        <v>0</v>
      </c>
      <c r="S260" s="25"/>
      <c r="T260" s="25"/>
      <c r="U260">
        <v>0</v>
      </c>
      <c r="X260">
        <v>0</v>
      </c>
      <c r="AA260" s="2"/>
      <c r="AB260">
        <v>20</v>
      </c>
      <c r="AC260" s="55">
        <f t="shared" si="32"/>
        <v>1812.1851396</v>
      </c>
      <c r="AD260" s="57">
        <v>0</v>
      </c>
      <c r="AE260" s="55">
        <v>0</v>
      </c>
      <c r="AF260" s="55">
        <v>0</v>
      </c>
      <c r="AG260" s="52">
        <f t="shared" si="34"/>
        <v>8.8291199670314305E-2</v>
      </c>
      <c r="AH260" s="51"/>
      <c r="AI260" s="52"/>
      <c r="AJ260" s="52"/>
      <c r="AK260" s="28">
        <v>1.8666666666666669</v>
      </c>
      <c r="AL260" s="28">
        <v>2.666666666666667</v>
      </c>
      <c r="AM260" s="28">
        <v>0.46666666666666667</v>
      </c>
      <c r="AN260" s="28">
        <v>0.93333333333333335</v>
      </c>
      <c r="AO260" s="28">
        <v>0.3146067415730337</v>
      </c>
      <c r="AP260" s="28">
        <v>0.44943820224719089</v>
      </c>
      <c r="AQ260" s="28">
        <v>7.8651685393258425E-2</v>
      </c>
      <c r="AR260" s="28">
        <v>0.15730337078651679</v>
      </c>
      <c r="AS260" s="25">
        <v>0.82</v>
      </c>
      <c r="AT260" s="25">
        <v>3.44</v>
      </c>
      <c r="AU260" s="25">
        <v>2.62</v>
      </c>
      <c r="AV260" s="25">
        <v>2.6813333333333329</v>
      </c>
      <c r="AW260">
        <v>2.6813333333333329</v>
      </c>
      <c r="AX260">
        <v>6.0892180253333326</v>
      </c>
      <c r="AY260" s="75"/>
      <c r="AZ260" s="75"/>
      <c r="BA260" s="75"/>
      <c r="BB260">
        <v>4.4145599835157152E-2</v>
      </c>
      <c r="BF260">
        <v>8.8291199670314305E-2</v>
      </c>
      <c r="BG260">
        <v>4.4145599835157152E-2</v>
      </c>
      <c r="BH260">
        <v>0</v>
      </c>
      <c r="BS260" s="79" t="s">
        <v>464</v>
      </c>
      <c r="BT260" s="79" t="s">
        <v>464</v>
      </c>
    </row>
    <row r="261" spans="1:72" x14ac:dyDescent="0.3">
      <c r="A261" s="2" t="s">
        <v>157</v>
      </c>
      <c r="B261" s="13" t="s">
        <v>778</v>
      </c>
      <c r="C261" s="13"/>
      <c r="D261" s="2">
        <v>3.91</v>
      </c>
      <c r="E261" s="2" t="s">
        <v>154</v>
      </c>
      <c r="F261" s="9">
        <v>-1</v>
      </c>
      <c r="G261">
        <v>-1</v>
      </c>
      <c r="I261" s="2">
        <v>8</v>
      </c>
      <c r="J261" s="25">
        <v>0</v>
      </c>
      <c r="K261">
        <v>0</v>
      </c>
      <c r="L261">
        <v>0</v>
      </c>
      <c r="M261" s="2">
        <v>7.8209999999999997</v>
      </c>
      <c r="N261" s="2">
        <v>7.7649999999999997</v>
      </c>
      <c r="O261" s="2">
        <v>30.08</v>
      </c>
      <c r="P261" t="s">
        <v>495</v>
      </c>
      <c r="R261" s="25">
        <v>0</v>
      </c>
      <c r="S261" s="25"/>
      <c r="T261" s="25"/>
      <c r="U261">
        <v>0</v>
      </c>
      <c r="X261">
        <v>0</v>
      </c>
      <c r="AA261" s="2"/>
      <c r="AB261">
        <v>20</v>
      </c>
      <c r="AC261" s="55">
        <f t="shared" si="32"/>
        <v>1826.7603551999998</v>
      </c>
      <c r="AD261" s="57">
        <v>0</v>
      </c>
      <c r="AE261" s="55">
        <v>0</v>
      </c>
      <c r="AF261" s="55">
        <v>0</v>
      </c>
      <c r="AG261" s="52">
        <f t="shared" si="34"/>
        <v>8.7586748609115E-2</v>
      </c>
      <c r="AH261" s="51"/>
      <c r="AI261" s="52"/>
      <c r="AJ261" s="52"/>
      <c r="AK261" s="28">
        <v>1.875</v>
      </c>
      <c r="AL261" s="28">
        <v>2.5</v>
      </c>
      <c r="AM261" s="28">
        <v>0.625</v>
      </c>
      <c r="AN261" s="28">
        <v>1.75</v>
      </c>
      <c r="AO261" s="28">
        <v>0.27777777777777779</v>
      </c>
      <c r="AP261" s="28">
        <v>0.37037037037037029</v>
      </c>
      <c r="AQ261" s="28">
        <v>9.2592592592592587E-2</v>
      </c>
      <c r="AR261" s="28">
        <v>0.25925925925925919</v>
      </c>
      <c r="AS261" s="25">
        <v>0.82</v>
      </c>
      <c r="AT261" s="25">
        <v>3.44</v>
      </c>
      <c r="AU261" s="25">
        <v>2.62</v>
      </c>
      <c r="AV261" s="25">
        <v>2.6074999999999999</v>
      </c>
      <c r="AW261">
        <v>2.6074999999999999</v>
      </c>
      <c r="AX261">
        <v>5.9546634925000008</v>
      </c>
      <c r="AY261" s="75"/>
      <c r="AZ261" s="75"/>
      <c r="BA261" s="75"/>
      <c r="BB261">
        <v>4.37933743045575E-2</v>
      </c>
      <c r="BF261">
        <v>8.7586748609115E-2</v>
      </c>
      <c r="BG261">
        <v>4.37933743045575E-2</v>
      </c>
      <c r="BH261">
        <v>0</v>
      </c>
      <c r="BS261" s="79" t="s">
        <v>464</v>
      </c>
      <c r="BT261" s="79" t="s">
        <v>464</v>
      </c>
    </row>
    <row r="262" spans="1:72" x14ac:dyDescent="0.3">
      <c r="A262" s="2" t="s">
        <v>158</v>
      </c>
      <c r="B262" s="13" t="s">
        <v>779</v>
      </c>
      <c r="C262" s="13"/>
      <c r="D262" s="2">
        <v>4.29</v>
      </c>
      <c r="E262" s="2" t="s">
        <v>154</v>
      </c>
      <c r="F262" s="9">
        <v>-1</v>
      </c>
      <c r="G262">
        <v>-1</v>
      </c>
      <c r="I262" s="2">
        <v>8</v>
      </c>
      <c r="J262" s="25">
        <v>0</v>
      </c>
      <c r="K262">
        <v>0</v>
      </c>
      <c r="L262">
        <v>0</v>
      </c>
      <c r="M262" s="2">
        <v>7.8440000000000003</v>
      </c>
      <c r="N262" s="2">
        <v>7.7690000000000001</v>
      </c>
      <c r="O262" s="2">
        <v>29.72</v>
      </c>
      <c r="P262" t="s">
        <v>495</v>
      </c>
      <c r="R262" s="25">
        <v>0</v>
      </c>
      <c r="S262" s="25"/>
      <c r="T262" s="25"/>
      <c r="U262">
        <v>0</v>
      </c>
      <c r="X262">
        <v>0</v>
      </c>
      <c r="AA262" s="2"/>
      <c r="AB262">
        <v>20</v>
      </c>
      <c r="AC262" s="55">
        <f t="shared" si="32"/>
        <v>1811.1378699200002</v>
      </c>
      <c r="AD262" s="57">
        <v>0</v>
      </c>
      <c r="AE262" s="55">
        <v>0</v>
      </c>
      <c r="AF262" s="55">
        <v>0</v>
      </c>
      <c r="AG262" s="52">
        <f t="shared" si="34"/>
        <v>8.8342253042871535E-2</v>
      </c>
      <c r="AH262" s="51"/>
      <c r="AI262" s="52"/>
      <c r="AJ262" s="52"/>
      <c r="AK262" s="28">
        <v>1.9375</v>
      </c>
      <c r="AL262" s="28">
        <v>2.5</v>
      </c>
      <c r="AM262" s="28">
        <v>0.5625</v>
      </c>
      <c r="AN262" s="28">
        <v>2.625</v>
      </c>
      <c r="AO262" s="28">
        <v>0.25409836065573771</v>
      </c>
      <c r="AP262" s="28">
        <v>0.32786885245901642</v>
      </c>
      <c r="AQ262" s="28">
        <v>7.3770491803278687E-2</v>
      </c>
      <c r="AR262" s="28">
        <v>0.34426229508196721</v>
      </c>
      <c r="AS262" s="25">
        <v>0.82</v>
      </c>
      <c r="AT262" s="25">
        <v>3.44</v>
      </c>
      <c r="AU262" s="25">
        <v>2.62</v>
      </c>
      <c r="AV262" s="25">
        <v>2.6012499999999998</v>
      </c>
      <c r="AW262">
        <v>2.6012499999999998</v>
      </c>
      <c r="AX262">
        <v>5.9608020550000003</v>
      </c>
      <c r="AY262" s="75"/>
      <c r="AZ262" s="75"/>
      <c r="BA262" s="75"/>
      <c r="BB262">
        <v>4.4171126521435768E-2</v>
      </c>
      <c r="BF262">
        <v>8.8342253042871535E-2</v>
      </c>
      <c r="BG262">
        <v>4.4171126521435768E-2</v>
      </c>
      <c r="BH262">
        <v>0</v>
      </c>
      <c r="BS262" s="79" t="s">
        <v>464</v>
      </c>
      <c r="BT262" s="79" t="s">
        <v>464</v>
      </c>
    </row>
    <row r="263" spans="1:72" x14ac:dyDescent="0.3">
      <c r="A263" s="2" t="s">
        <v>151</v>
      </c>
      <c r="B263" s="13" t="s">
        <v>774</v>
      </c>
      <c r="C263" s="13"/>
      <c r="D263" s="2">
        <v>3.5</v>
      </c>
      <c r="E263" s="2" t="s">
        <v>154</v>
      </c>
      <c r="F263" s="9">
        <v>-1</v>
      </c>
      <c r="G263">
        <v>-1</v>
      </c>
      <c r="I263" s="2">
        <v>8</v>
      </c>
      <c r="J263" s="25">
        <v>0</v>
      </c>
      <c r="K263">
        <v>0</v>
      </c>
      <c r="L263">
        <v>0</v>
      </c>
      <c r="M263" s="2">
        <f>3.907*2</f>
        <v>7.8140000000000001</v>
      </c>
      <c r="N263" s="2">
        <f>3.907*2</f>
        <v>7.8140000000000001</v>
      </c>
      <c r="O263" s="2">
        <v>33.06</v>
      </c>
      <c r="P263" s="2"/>
      <c r="Q263" s="2"/>
      <c r="R263" s="25">
        <v>0</v>
      </c>
      <c r="S263" s="25"/>
      <c r="T263" s="25"/>
      <c r="U263">
        <v>0</v>
      </c>
      <c r="X263">
        <v>0</v>
      </c>
      <c r="AA263" s="2"/>
      <c r="AB263">
        <v>20</v>
      </c>
      <c r="AC263" s="55">
        <f t="shared" si="32"/>
        <v>2018.5971837600002</v>
      </c>
      <c r="AD263" s="57">
        <v>0</v>
      </c>
      <c r="AE263" s="55">
        <v>0</v>
      </c>
      <c r="AF263" s="55">
        <v>0</v>
      </c>
      <c r="AG263" s="52">
        <f t="shared" si="34"/>
        <v>7.9262966027710005E-2</v>
      </c>
      <c r="AH263" s="51"/>
      <c r="AI263" s="52"/>
      <c r="AJ263" s="52"/>
      <c r="AK263" s="28">
        <v>1.75</v>
      </c>
      <c r="AL263" s="28">
        <v>2.5</v>
      </c>
      <c r="AM263" s="28">
        <v>0.75</v>
      </c>
      <c r="AN263" s="28">
        <v>0</v>
      </c>
      <c r="AO263" s="28">
        <v>0.35</v>
      </c>
      <c r="AP263" s="28">
        <v>0.5</v>
      </c>
      <c r="AQ263" s="28">
        <v>0.15</v>
      </c>
      <c r="AR263" s="28">
        <v>0</v>
      </c>
      <c r="AS263" s="25">
        <v>0.95</v>
      </c>
      <c r="AT263" s="25">
        <v>3.44</v>
      </c>
      <c r="AU263" s="25">
        <v>2.4900000000000002</v>
      </c>
      <c r="AV263" s="25">
        <v>2.7062499999999998</v>
      </c>
      <c r="AW263">
        <v>2.7062499999999998</v>
      </c>
      <c r="AX263">
        <v>6.2396022968656872</v>
      </c>
      <c r="AY263" s="75"/>
      <c r="AZ263" s="75"/>
      <c r="BA263" s="75"/>
      <c r="BB263">
        <v>3.9631483013855003E-2</v>
      </c>
      <c r="BF263">
        <v>7.9262966027710005E-2</v>
      </c>
      <c r="BG263">
        <v>3.9631483013855003E-2</v>
      </c>
      <c r="BH263">
        <v>0</v>
      </c>
      <c r="BS263" s="79" t="s">
        <v>464</v>
      </c>
      <c r="BT263" s="79" t="s">
        <v>464</v>
      </c>
    </row>
    <row r="264" spans="1:72" x14ac:dyDescent="0.3">
      <c r="A264" s="2" t="s">
        <v>159</v>
      </c>
      <c r="B264" s="13" t="s">
        <v>780</v>
      </c>
      <c r="C264" s="13"/>
      <c r="D264" s="2">
        <v>3.77</v>
      </c>
      <c r="E264" s="2" t="s">
        <v>154</v>
      </c>
      <c r="F264" s="9">
        <v>-1</v>
      </c>
      <c r="G264">
        <v>-1</v>
      </c>
      <c r="I264" s="2">
        <v>8</v>
      </c>
      <c r="J264" s="25">
        <v>0</v>
      </c>
      <c r="K264">
        <v>0</v>
      </c>
      <c r="L264">
        <v>0</v>
      </c>
      <c r="M264" s="2">
        <f t="shared" ref="M264:N267" si="35">3.907*2</f>
        <v>7.8140000000000001</v>
      </c>
      <c r="N264" s="2">
        <f t="shared" si="35"/>
        <v>7.8140000000000001</v>
      </c>
      <c r="O264" s="2">
        <v>32.86</v>
      </c>
      <c r="P264" s="2"/>
      <c r="Q264" s="2"/>
      <c r="R264" s="25">
        <v>0</v>
      </c>
      <c r="S264" s="25"/>
      <c r="T264" s="25"/>
      <c r="U264">
        <v>0</v>
      </c>
      <c r="X264">
        <v>0</v>
      </c>
      <c r="AA264" s="2"/>
      <c r="AB264">
        <v>20</v>
      </c>
      <c r="AC264" s="55">
        <f t="shared" si="32"/>
        <v>2006.3854645599999</v>
      </c>
      <c r="AD264" s="57">
        <v>0</v>
      </c>
      <c r="AE264" s="55">
        <v>0</v>
      </c>
      <c r="AF264" s="55">
        <v>0</v>
      </c>
      <c r="AG264" s="52">
        <f t="shared" si="34"/>
        <v>7.9745394305419756E-2</v>
      </c>
      <c r="AH264" s="51"/>
      <c r="AI264" s="52"/>
      <c r="AJ264" s="52"/>
      <c r="AK264" s="28">
        <v>1.8125</v>
      </c>
      <c r="AL264" s="28">
        <v>2.5</v>
      </c>
      <c r="AM264" s="28">
        <v>0.6875</v>
      </c>
      <c r="AN264" s="28">
        <v>0.875</v>
      </c>
      <c r="AO264" s="28">
        <v>0.30851063829787229</v>
      </c>
      <c r="AP264" s="28">
        <v>0.42553191489361702</v>
      </c>
      <c r="AQ264" s="28">
        <v>0.1170212765957447</v>
      </c>
      <c r="AR264" s="28">
        <v>0.14893617021276601</v>
      </c>
      <c r="AS264" s="25">
        <v>0.95</v>
      </c>
      <c r="AT264" s="25">
        <v>3.44</v>
      </c>
      <c r="AU264" s="25">
        <v>2.4900000000000002</v>
      </c>
      <c r="AV264" s="25">
        <v>2.7</v>
      </c>
      <c r="AW264">
        <v>2.7</v>
      </c>
      <c r="AX264">
        <v>6.2457408593656876</v>
      </c>
      <c r="AY264" s="75"/>
      <c r="AZ264" s="75"/>
      <c r="BA264" s="75"/>
      <c r="BB264">
        <v>3.9872697152709878E-2</v>
      </c>
      <c r="BF264">
        <v>7.9745394305419756E-2</v>
      </c>
      <c r="BG264">
        <v>3.9872697152709878E-2</v>
      </c>
      <c r="BH264">
        <v>0</v>
      </c>
      <c r="BS264" s="79" t="s">
        <v>464</v>
      </c>
      <c r="BT264" s="79" t="s">
        <v>464</v>
      </c>
    </row>
    <row r="265" spans="1:72" x14ac:dyDescent="0.3">
      <c r="A265" s="2" t="s">
        <v>160</v>
      </c>
      <c r="B265" s="13" t="s">
        <v>781</v>
      </c>
      <c r="C265" s="13"/>
      <c r="D265" s="2">
        <v>3.8</v>
      </c>
      <c r="E265" s="2" t="s">
        <v>154</v>
      </c>
      <c r="F265" s="9">
        <v>-1</v>
      </c>
      <c r="G265">
        <v>-1</v>
      </c>
      <c r="I265" s="2">
        <v>8</v>
      </c>
      <c r="J265" s="25">
        <v>0</v>
      </c>
      <c r="K265">
        <v>0</v>
      </c>
      <c r="L265">
        <v>0</v>
      </c>
      <c r="M265" s="2">
        <f t="shared" si="35"/>
        <v>7.8140000000000001</v>
      </c>
      <c r="N265" s="2">
        <f t="shared" si="35"/>
        <v>7.8140000000000001</v>
      </c>
      <c r="O265" s="2">
        <v>32.42</v>
      </c>
      <c r="P265" s="2"/>
      <c r="Q265" s="2"/>
      <c r="R265" s="25">
        <v>0</v>
      </c>
      <c r="S265" s="25"/>
      <c r="T265" s="25"/>
      <c r="U265">
        <v>0</v>
      </c>
      <c r="X265">
        <v>0</v>
      </c>
      <c r="AA265" s="2"/>
      <c r="AB265">
        <v>20</v>
      </c>
      <c r="AC265" s="55">
        <f t="shared" si="32"/>
        <v>1979.5196823200001</v>
      </c>
      <c r="AD265" s="57">
        <v>0</v>
      </c>
      <c r="AE265" s="55">
        <v>0</v>
      </c>
      <c r="AF265" s="55">
        <v>0</v>
      </c>
      <c r="AG265" s="52">
        <f t="shared" si="34"/>
        <v>8.082768836755376E-2</v>
      </c>
      <c r="AH265" s="51"/>
      <c r="AI265" s="52"/>
      <c r="AJ265" s="52"/>
      <c r="AK265" s="28">
        <v>1.8666666666666669</v>
      </c>
      <c r="AL265" s="28">
        <v>2.666666666666667</v>
      </c>
      <c r="AM265" s="28">
        <v>0.46666666666666667</v>
      </c>
      <c r="AN265" s="28">
        <v>0.93333333333333335</v>
      </c>
      <c r="AO265" s="28">
        <v>0.3146067415730337</v>
      </c>
      <c r="AP265" s="28">
        <v>0.44943820224719089</v>
      </c>
      <c r="AQ265" s="28">
        <v>7.8651685393258425E-2</v>
      </c>
      <c r="AR265" s="28">
        <v>0.15730337078651679</v>
      </c>
      <c r="AS265" s="25">
        <v>0.95</v>
      </c>
      <c r="AT265" s="25">
        <v>3.44</v>
      </c>
      <c r="AU265" s="25">
        <v>2.4900000000000002</v>
      </c>
      <c r="AV265" s="25">
        <v>2.773333333333333</v>
      </c>
      <c r="AW265">
        <v>2.773333333333333</v>
      </c>
      <c r="AX265">
        <v>6.4062483499900669</v>
      </c>
      <c r="AY265" s="75"/>
      <c r="AZ265" s="75"/>
      <c r="BA265" s="75"/>
      <c r="BB265">
        <v>4.041384418377688E-2</v>
      </c>
      <c r="BF265">
        <v>8.082768836755376E-2</v>
      </c>
      <c r="BG265">
        <v>4.041384418377688E-2</v>
      </c>
      <c r="BH265">
        <v>0</v>
      </c>
      <c r="BS265" s="79" t="s">
        <v>464</v>
      </c>
      <c r="BT265" s="79" t="s">
        <v>464</v>
      </c>
    </row>
    <row r="266" spans="1:72" x14ac:dyDescent="0.3">
      <c r="A266" s="2" t="s">
        <v>161</v>
      </c>
      <c r="B266" s="13" t="s">
        <v>782</v>
      </c>
      <c r="C266" s="13"/>
      <c r="D266" s="2">
        <v>3.92</v>
      </c>
      <c r="E266" s="2" t="s">
        <v>154</v>
      </c>
      <c r="F266" s="9">
        <v>-1</v>
      </c>
      <c r="G266">
        <v>-1</v>
      </c>
      <c r="I266" s="2">
        <v>8</v>
      </c>
      <c r="J266" s="25">
        <v>0</v>
      </c>
      <c r="K266">
        <v>0</v>
      </c>
      <c r="L266">
        <v>0</v>
      </c>
      <c r="M266" s="2">
        <f t="shared" si="35"/>
        <v>7.8140000000000001</v>
      </c>
      <c r="N266" s="2">
        <f t="shared" si="35"/>
        <v>7.8140000000000001</v>
      </c>
      <c r="O266" s="2">
        <v>32.58</v>
      </c>
      <c r="P266" s="2"/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2"/>
        <v>1989.28905768</v>
      </c>
      <c r="AD266" s="57">
        <v>0</v>
      </c>
      <c r="AE266" s="55">
        <v>0</v>
      </c>
      <c r="AF266" s="55">
        <v>0</v>
      </c>
      <c r="AG266" s="52">
        <f t="shared" si="34"/>
        <v>8.0430744532722323E-2</v>
      </c>
      <c r="AH266" s="51"/>
      <c r="AI266" s="52"/>
      <c r="AJ266" s="52"/>
      <c r="AK266" s="28">
        <v>1.875</v>
      </c>
      <c r="AL266" s="28">
        <v>2.5</v>
      </c>
      <c r="AM266" s="28">
        <v>0.625</v>
      </c>
      <c r="AN266" s="28">
        <v>1.75</v>
      </c>
      <c r="AO266" s="28">
        <v>0.27777777777777779</v>
      </c>
      <c r="AP266" s="28">
        <v>0.37037037037037029</v>
      </c>
      <c r="AQ266" s="28">
        <v>9.2592592592592587E-2</v>
      </c>
      <c r="AR266" s="28">
        <v>0.25925925925925919</v>
      </c>
      <c r="AS266" s="25">
        <v>0.95</v>
      </c>
      <c r="AT266" s="25">
        <v>3.44</v>
      </c>
      <c r="AU266" s="25">
        <v>2.4900000000000002</v>
      </c>
      <c r="AV266" s="25">
        <v>2.6937500000000001</v>
      </c>
      <c r="AW266">
        <v>2.6937500000000001</v>
      </c>
      <c r="AX266">
        <v>6.2518794218656879</v>
      </c>
      <c r="AY266" s="75"/>
      <c r="AZ266" s="75"/>
      <c r="BA266" s="75"/>
      <c r="BB266">
        <v>4.0215372266361162E-2</v>
      </c>
      <c r="BF266">
        <v>8.0430744532722323E-2</v>
      </c>
      <c r="BG266">
        <v>4.0215372266361162E-2</v>
      </c>
      <c r="BH266">
        <v>0</v>
      </c>
      <c r="BS266" s="79" t="s">
        <v>464</v>
      </c>
      <c r="BT266" s="79" t="s">
        <v>464</v>
      </c>
    </row>
    <row r="267" spans="1:72" x14ac:dyDescent="0.3">
      <c r="A267" s="2" t="s">
        <v>162</v>
      </c>
      <c r="B267" s="13" t="s">
        <v>783</v>
      </c>
      <c r="C267" s="13"/>
      <c r="D267" s="2">
        <v>4.25</v>
      </c>
      <c r="E267" s="2" t="s">
        <v>154</v>
      </c>
      <c r="F267" s="9">
        <v>-1</v>
      </c>
      <c r="G267">
        <v>-1</v>
      </c>
      <c r="I267" s="2">
        <v>8</v>
      </c>
      <c r="J267" s="25">
        <v>0</v>
      </c>
      <c r="K267">
        <v>0</v>
      </c>
      <c r="L267">
        <v>0</v>
      </c>
      <c r="M267" s="2">
        <f t="shared" si="35"/>
        <v>7.8140000000000001</v>
      </c>
      <c r="N267" s="2">
        <f t="shared" si="35"/>
        <v>7.8140000000000001</v>
      </c>
      <c r="O267" s="2">
        <v>31.54</v>
      </c>
      <c r="P267" s="2"/>
      <c r="Q267" s="2"/>
      <c r="R267" s="25">
        <v>0</v>
      </c>
      <c r="S267" s="25"/>
      <c r="T267" s="25"/>
      <c r="U267">
        <v>0</v>
      </c>
      <c r="X267">
        <v>0</v>
      </c>
      <c r="AA267" s="2"/>
      <c r="AB267">
        <v>20</v>
      </c>
      <c r="AC267" s="55">
        <f t="shared" si="32"/>
        <v>1925.78811784</v>
      </c>
      <c r="AD267" s="57">
        <v>0</v>
      </c>
      <c r="AE267" s="55">
        <v>0</v>
      </c>
      <c r="AF267" s="55">
        <v>0</v>
      </c>
      <c r="AG267" s="52">
        <f t="shared" si="34"/>
        <v>8.3082868004949059E-2</v>
      </c>
      <c r="AH267" s="51"/>
      <c r="AI267" s="52"/>
      <c r="AJ267" s="52"/>
      <c r="AK267" s="28">
        <v>1.9375</v>
      </c>
      <c r="AL267" s="28">
        <v>2.5</v>
      </c>
      <c r="AM267" s="28">
        <v>0.5625</v>
      </c>
      <c r="AN267" s="28">
        <v>2.625</v>
      </c>
      <c r="AO267" s="28">
        <v>0.25409836065573771</v>
      </c>
      <c r="AP267" s="28">
        <v>0.32786885245901642</v>
      </c>
      <c r="AQ267" s="28">
        <v>7.3770491803278687E-2</v>
      </c>
      <c r="AR267" s="28">
        <v>0.34426229508196721</v>
      </c>
      <c r="AS267" s="25">
        <v>0.95</v>
      </c>
      <c r="AT267" s="25">
        <v>3.44</v>
      </c>
      <c r="AU267" s="25">
        <v>2.4900000000000002</v>
      </c>
      <c r="AV267" s="25">
        <v>2.6875</v>
      </c>
      <c r="AW267">
        <v>2.6875</v>
      </c>
      <c r="AX267">
        <v>6.2580179843656882</v>
      </c>
      <c r="AY267" s="75"/>
      <c r="AZ267" s="75"/>
      <c r="BA267" s="75"/>
      <c r="BB267">
        <v>4.154143400247453E-2</v>
      </c>
      <c r="BF267">
        <v>8.3082868004949059E-2</v>
      </c>
      <c r="BG267">
        <v>4.154143400247453E-2</v>
      </c>
      <c r="BH267">
        <v>0</v>
      </c>
      <c r="BS267" s="79" t="s">
        <v>464</v>
      </c>
      <c r="BT267" s="79" t="s">
        <v>464</v>
      </c>
    </row>
    <row r="268" spans="1:72" x14ac:dyDescent="0.3">
      <c r="A268" s="2" t="s">
        <v>151</v>
      </c>
      <c r="B268" s="17" t="s">
        <v>774</v>
      </c>
      <c r="C268" s="13"/>
      <c r="D268" s="2">
        <v>3.35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f>3.88*2</f>
        <v>7.76</v>
      </c>
      <c r="N268" s="2">
        <f>3.88*2</f>
        <v>7.76</v>
      </c>
      <c r="O268" s="2">
        <v>33</v>
      </c>
      <c r="P268" s="2"/>
      <c r="Q268" s="2"/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2"/>
        <v>1987.1807999999999</v>
      </c>
      <c r="AD268" s="57">
        <v>0</v>
      </c>
      <c r="AE268" s="55">
        <v>0</v>
      </c>
      <c r="AF268" s="55">
        <v>0</v>
      </c>
      <c r="AG268" s="52">
        <f t="shared" si="34"/>
        <v>8.0516075839702161E-2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0.95</v>
      </c>
      <c r="AT268" s="25">
        <v>3.44</v>
      </c>
      <c r="AU268" s="25">
        <v>2.4900000000000002</v>
      </c>
      <c r="AV268" s="25">
        <v>2.7062499999999998</v>
      </c>
      <c r="AW268">
        <v>2.7062499999999998</v>
      </c>
      <c r="AX268">
        <v>6.2396022968656872</v>
      </c>
      <c r="AY268" s="75"/>
      <c r="AZ268" s="75"/>
      <c r="BA268" s="75"/>
      <c r="BB268">
        <v>4.0258037919851081E-2</v>
      </c>
      <c r="BF268">
        <v>8.0516075839702161E-2</v>
      </c>
      <c r="BG268">
        <v>4.0258037919851081E-2</v>
      </c>
      <c r="BH268">
        <v>0</v>
      </c>
      <c r="BN268" s="79" t="s">
        <v>863</v>
      </c>
      <c r="BO268" s="79">
        <v>4</v>
      </c>
      <c r="BS268" s="79" t="s">
        <v>464</v>
      </c>
      <c r="BT268" s="79" t="s">
        <v>464</v>
      </c>
    </row>
    <row r="269" spans="1:72" x14ac:dyDescent="0.3">
      <c r="A269" s="2" t="s">
        <v>159</v>
      </c>
      <c r="B269" s="17" t="s">
        <v>780</v>
      </c>
      <c r="C269" s="13"/>
      <c r="D269" s="2">
        <v>3.74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f t="shared" ref="M269:N272" si="36">3.88*2</f>
        <v>7.76</v>
      </c>
      <c r="N269" s="2">
        <f t="shared" si="36"/>
        <v>7.76</v>
      </c>
      <c r="O269" s="2">
        <v>33.08</v>
      </c>
      <c r="P269" s="2"/>
      <c r="Q269" s="2"/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2"/>
        <v>1991.9982079999997</v>
      </c>
      <c r="AD269" s="57">
        <v>0</v>
      </c>
      <c r="AE269" s="55">
        <v>0</v>
      </c>
      <c r="AF269" s="55">
        <v>0</v>
      </c>
      <c r="AG269" s="52">
        <f t="shared" si="34"/>
        <v>8.0321357397526341E-2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0.95</v>
      </c>
      <c r="AT269" s="25">
        <v>3.44</v>
      </c>
      <c r="AU269" s="25">
        <v>2.4900000000000002</v>
      </c>
      <c r="AV269" s="25">
        <v>2.7</v>
      </c>
      <c r="AW269">
        <v>2.7</v>
      </c>
      <c r="AX269">
        <v>6.2457408593656876</v>
      </c>
      <c r="AY269" s="75"/>
      <c r="AZ269" s="75"/>
      <c r="BA269" s="75"/>
      <c r="BB269">
        <v>4.0160678698763171E-2</v>
      </c>
      <c r="BF269">
        <v>8.0321357397526341E-2</v>
      </c>
      <c r="BG269">
        <v>4.0160678698763171E-2</v>
      </c>
      <c r="BH269">
        <v>0</v>
      </c>
      <c r="BN269" s="79" t="s">
        <v>863</v>
      </c>
      <c r="BO269" s="79">
        <v>4</v>
      </c>
      <c r="BS269" s="79" t="s">
        <v>464</v>
      </c>
      <c r="BT269" s="79" t="s">
        <v>464</v>
      </c>
    </row>
    <row r="270" spans="1:72" x14ac:dyDescent="0.3">
      <c r="A270" s="2" t="s">
        <v>160</v>
      </c>
      <c r="B270" s="17" t="s">
        <v>781</v>
      </c>
      <c r="C270" s="13"/>
      <c r="D270" s="2">
        <v>3.74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f t="shared" si="36"/>
        <v>7.76</v>
      </c>
      <c r="N270" s="2">
        <f t="shared" si="36"/>
        <v>7.76</v>
      </c>
      <c r="O270" s="2">
        <v>33.24</v>
      </c>
      <c r="P270" s="2"/>
      <c r="Q270" s="2"/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2"/>
        <v>2001.633024</v>
      </c>
      <c r="AD270" s="57">
        <v>0</v>
      </c>
      <c r="AE270" s="55">
        <v>0</v>
      </c>
      <c r="AF270" s="55">
        <v>0</v>
      </c>
      <c r="AG270" s="52">
        <f t="shared" si="34"/>
        <v>7.9934732331834277E-2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0.95</v>
      </c>
      <c r="AT270" s="25">
        <v>3.44</v>
      </c>
      <c r="AU270" s="25">
        <v>2.4900000000000002</v>
      </c>
      <c r="AV270" s="25">
        <v>2.773333333333333</v>
      </c>
      <c r="AW270">
        <v>2.773333333333333</v>
      </c>
      <c r="AX270">
        <v>6.4062483499900669</v>
      </c>
      <c r="AY270" s="75"/>
      <c r="AZ270" s="75"/>
      <c r="BA270" s="75"/>
      <c r="BB270">
        <v>3.9967366165917138E-2</v>
      </c>
      <c r="BF270">
        <v>7.9934732331834277E-2</v>
      </c>
      <c r="BG270">
        <v>3.9967366165917138E-2</v>
      </c>
      <c r="BH270">
        <v>0</v>
      </c>
      <c r="BN270" s="79" t="s">
        <v>863</v>
      </c>
      <c r="BO270" s="79">
        <v>4</v>
      </c>
      <c r="BS270" s="79" t="s">
        <v>464</v>
      </c>
      <c r="BT270" s="79" t="s">
        <v>464</v>
      </c>
    </row>
    <row r="271" spans="1:72" x14ac:dyDescent="0.3">
      <c r="A271" s="2" t="s">
        <v>161</v>
      </c>
      <c r="B271" s="17" t="s">
        <v>782</v>
      </c>
      <c r="C271" s="13"/>
      <c r="D271" s="2">
        <v>3.78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f t="shared" si="36"/>
        <v>7.76</v>
      </c>
      <c r="N271" s="2">
        <f t="shared" si="36"/>
        <v>7.76</v>
      </c>
      <c r="O271" s="2">
        <v>33</v>
      </c>
      <c r="P271" s="2"/>
      <c r="Q271" s="2"/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2"/>
        <v>1987.1807999999999</v>
      </c>
      <c r="AD271" s="57">
        <v>0</v>
      </c>
      <c r="AE271" s="55">
        <v>0</v>
      </c>
      <c r="AF271" s="55">
        <v>0</v>
      </c>
      <c r="AG271" s="52">
        <f t="shared" si="34"/>
        <v>8.0516075839702161E-2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0.95</v>
      </c>
      <c r="AT271" s="25">
        <v>3.44</v>
      </c>
      <c r="AU271" s="25">
        <v>2.4900000000000002</v>
      </c>
      <c r="AV271" s="25">
        <v>2.6937500000000001</v>
      </c>
      <c r="AW271">
        <v>2.6937500000000001</v>
      </c>
      <c r="AX271">
        <v>6.2518794218656879</v>
      </c>
      <c r="AY271" s="75"/>
      <c r="AZ271" s="75"/>
      <c r="BA271" s="75"/>
      <c r="BB271">
        <v>4.0258037919851081E-2</v>
      </c>
      <c r="BF271">
        <v>8.0516075839702161E-2</v>
      </c>
      <c r="BG271">
        <v>4.0258037919851081E-2</v>
      </c>
      <c r="BH271">
        <v>0</v>
      </c>
      <c r="BN271" s="79" t="s">
        <v>863</v>
      </c>
      <c r="BO271" s="79">
        <v>4</v>
      </c>
      <c r="BS271" s="79" t="s">
        <v>464</v>
      </c>
      <c r="BT271" s="79" t="s">
        <v>464</v>
      </c>
    </row>
    <row r="272" spans="1:72" x14ac:dyDescent="0.3">
      <c r="A272" s="2" t="s">
        <v>162</v>
      </c>
      <c r="B272" s="17" t="s">
        <v>783</v>
      </c>
      <c r="C272" s="13"/>
      <c r="D272" s="2">
        <v>3.99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f t="shared" si="36"/>
        <v>7.76</v>
      </c>
      <c r="N272" s="2">
        <f t="shared" si="36"/>
        <v>7.76</v>
      </c>
      <c r="O272" s="2">
        <v>29.18</v>
      </c>
      <c r="P272" s="2"/>
      <c r="Q272" s="2"/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2"/>
        <v>1757.1495679999998</v>
      </c>
      <c r="AD272" s="57">
        <v>0</v>
      </c>
      <c r="AE272" s="55">
        <v>0</v>
      </c>
      <c r="AF272" s="55">
        <v>0</v>
      </c>
      <c r="AG272" s="52">
        <f t="shared" si="34"/>
        <v>9.1056562807065505E-2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0.95</v>
      </c>
      <c r="AT272" s="25">
        <v>3.44</v>
      </c>
      <c r="AU272" s="25">
        <v>2.4900000000000002</v>
      </c>
      <c r="AV272" s="25">
        <v>2.6875</v>
      </c>
      <c r="AW272">
        <v>2.6875</v>
      </c>
      <c r="AX272">
        <v>6.2580179843656882</v>
      </c>
      <c r="AY272" s="75"/>
      <c r="AZ272" s="75"/>
      <c r="BA272" s="75"/>
      <c r="BB272">
        <v>4.5528281403532753E-2</v>
      </c>
      <c r="BF272">
        <v>9.1056562807065505E-2</v>
      </c>
      <c r="BG272">
        <v>4.5528281403532753E-2</v>
      </c>
      <c r="BH272">
        <v>0</v>
      </c>
      <c r="BN272" s="79" t="s">
        <v>863</v>
      </c>
      <c r="BO272" s="79">
        <v>4</v>
      </c>
      <c r="BS272" s="79" t="s">
        <v>464</v>
      </c>
      <c r="BT272" s="79" t="s">
        <v>464</v>
      </c>
    </row>
    <row r="273" spans="1:72" x14ac:dyDescent="0.3">
      <c r="A273" s="2" t="s">
        <v>4</v>
      </c>
      <c r="B273" s="13" t="s">
        <v>689</v>
      </c>
      <c r="C273" s="13"/>
      <c r="D273" s="2">
        <v>3.5</v>
      </c>
      <c r="E273" s="2" t="s">
        <v>163</v>
      </c>
      <c r="F273" s="9" t="s">
        <v>527</v>
      </c>
      <c r="G273" t="s">
        <v>609</v>
      </c>
      <c r="I273" s="2"/>
      <c r="J273" s="25">
        <v>4</v>
      </c>
      <c r="K273">
        <v>4</v>
      </c>
      <c r="L273">
        <v>0</v>
      </c>
      <c r="M273" s="2"/>
      <c r="N273" s="2"/>
      <c r="O273" s="2"/>
      <c r="P273" s="2"/>
      <c r="Q273" s="2"/>
      <c r="R273" s="25">
        <v>7.8084429999999996</v>
      </c>
      <c r="S273" s="25">
        <v>7.8548809999999998</v>
      </c>
      <c r="T273" s="25">
        <v>15.19056011</v>
      </c>
      <c r="U273">
        <v>3.8801999999999999</v>
      </c>
      <c r="V273">
        <v>29.507999999999999</v>
      </c>
      <c r="W273">
        <v>7.7140000000000004</v>
      </c>
      <c r="X273">
        <v>0</v>
      </c>
      <c r="AA273" s="2"/>
      <c r="AB273">
        <v>20</v>
      </c>
      <c r="AC273" s="55">
        <f t="shared" si="32"/>
        <v>0</v>
      </c>
      <c r="AD273" s="57">
        <v>924.74694800021894</v>
      </c>
      <c r="AE273" s="55">
        <v>883.22940750240002</v>
      </c>
      <c r="AF273" s="55">
        <v>0</v>
      </c>
      <c r="AG273" s="52"/>
      <c r="AH273" s="51">
        <v>8.6510153045653584E-2</v>
      </c>
      <c r="AI273" s="52">
        <v>9.0576694254581439E-2</v>
      </c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0.82</v>
      </c>
      <c r="AT273" s="25">
        <v>3.44</v>
      </c>
      <c r="AU273" s="25">
        <v>2.62</v>
      </c>
      <c r="AV273" s="25">
        <v>2.6262500000000002</v>
      </c>
      <c r="AW273">
        <v>2.6262500000000002</v>
      </c>
      <c r="AX273">
        <v>5.96680968125</v>
      </c>
      <c r="AY273" s="75">
        <v>0.50555206026575039</v>
      </c>
      <c r="AZ273" s="75">
        <v>0</v>
      </c>
      <c r="BA273" s="75"/>
      <c r="BC273">
        <v>4.3255076522826792E-2</v>
      </c>
      <c r="BD273">
        <v>4.5288347127290719E-2</v>
      </c>
      <c r="BF273">
        <v>8.8543423650117511E-2</v>
      </c>
      <c r="BG273">
        <v>4.4271711825058763E-2</v>
      </c>
      <c r="BH273">
        <v>0.2527760301328752</v>
      </c>
      <c r="BS273" s="79" t="s">
        <v>464</v>
      </c>
      <c r="BT273" s="79" t="s">
        <v>464</v>
      </c>
    </row>
    <row r="274" spans="1:72" x14ac:dyDescent="0.3">
      <c r="A274" s="2" t="s">
        <v>165</v>
      </c>
      <c r="B274" s="13" t="s">
        <v>784</v>
      </c>
      <c r="C274" s="13"/>
      <c r="D274" s="2">
        <v>2.84</v>
      </c>
      <c r="E274" s="2" t="s">
        <v>164</v>
      </c>
      <c r="F274" s="9">
        <v>-1</v>
      </c>
      <c r="G274">
        <v>-1</v>
      </c>
      <c r="I274" s="2">
        <v>2</v>
      </c>
      <c r="J274" s="25">
        <v>0</v>
      </c>
      <c r="K274">
        <v>0</v>
      </c>
      <c r="L274">
        <v>0</v>
      </c>
      <c r="M274" s="2">
        <v>3.97</v>
      </c>
      <c r="N274" s="2">
        <v>3.97</v>
      </c>
      <c r="O274" s="2">
        <v>22.5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18</v>
      </c>
      <c r="AC274" s="55">
        <f t="shared" si="32"/>
        <v>354.62025000000006</v>
      </c>
      <c r="AD274" s="57">
        <v>0</v>
      </c>
      <c r="AE274" s="55">
        <v>0</v>
      </c>
      <c r="AF274" s="55">
        <v>0</v>
      </c>
      <c r="AG274" s="52">
        <f t="shared" si="34"/>
        <v>0.10151704534639518</v>
      </c>
      <c r="AH274" s="51"/>
      <c r="AI274" s="52"/>
      <c r="AJ274" s="52"/>
      <c r="AK274" s="28">
        <v>1.8</v>
      </c>
      <c r="AL274" s="28">
        <v>2.4</v>
      </c>
      <c r="AM274" s="28">
        <v>1.1333333333333331</v>
      </c>
      <c r="AN274" s="28">
        <v>0</v>
      </c>
      <c r="AO274" s="28">
        <v>0.33750000000000002</v>
      </c>
      <c r="AP274" s="28">
        <v>0.45</v>
      </c>
      <c r="AQ274" s="28">
        <v>0.21249999999999999</v>
      </c>
      <c r="AR274" s="28">
        <v>0</v>
      </c>
      <c r="AS274" s="25">
        <v>0.93</v>
      </c>
      <c r="AT274" s="25">
        <v>3.44</v>
      </c>
      <c r="AU274" s="25">
        <v>2.5099999999999998</v>
      </c>
      <c r="AV274" s="25">
        <v>2.6033333333333331</v>
      </c>
      <c r="AW274">
        <v>2.6033333333333331</v>
      </c>
      <c r="AX274">
        <v>5.9143459586666669</v>
      </c>
      <c r="AY274" s="75"/>
      <c r="AZ274" s="75"/>
      <c r="BA274" s="75"/>
      <c r="BB274">
        <v>5.0758522673197588E-2</v>
      </c>
      <c r="BF274">
        <v>0.1015170453463952</v>
      </c>
      <c r="BG274">
        <v>5.0758522673197588E-2</v>
      </c>
      <c r="BH274">
        <v>0</v>
      </c>
      <c r="BP274" s="79">
        <v>1.3</v>
      </c>
      <c r="BS274" s="79" t="s">
        <v>464</v>
      </c>
      <c r="BT274" s="79" t="s">
        <v>464</v>
      </c>
    </row>
    <row r="275" spans="1:72" x14ac:dyDescent="0.3">
      <c r="A275" s="2" t="s">
        <v>166</v>
      </c>
      <c r="B275" s="13" t="s">
        <v>785</v>
      </c>
      <c r="C275" s="13"/>
      <c r="D275" s="2">
        <v>3.48</v>
      </c>
      <c r="E275" s="2" t="s">
        <v>164</v>
      </c>
      <c r="F275" s="9">
        <v>-1</v>
      </c>
      <c r="G275">
        <v>-1</v>
      </c>
      <c r="I275" s="2">
        <v>2</v>
      </c>
      <c r="J275" s="25">
        <v>0</v>
      </c>
      <c r="K275">
        <v>0</v>
      </c>
      <c r="L275">
        <v>0</v>
      </c>
      <c r="M275" s="2">
        <v>3.97</v>
      </c>
      <c r="N275" s="2">
        <v>3.97</v>
      </c>
      <c r="O275" s="2">
        <v>22.5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>
        <v>3</v>
      </c>
      <c r="AB275">
        <v>18</v>
      </c>
      <c r="AC275" s="55">
        <f t="shared" si="32"/>
        <v>354.62025000000006</v>
      </c>
      <c r="AD275" s="57">
        <v>0</v>
      </c>
      <c r="AE275" s="55">
        <v>0</v>
      </c>
      <c r="AF275" s="55">
        <v>0</v>
      </c>
      <c r="AG275" s="52">
        <f t="shared" si="34"/>
        <v>0.10151704534639518</v>
      </c>
      <c r="AH275" s="51"/>
      <c r="AI275" s="52"/>
      <c r="AJ275" s="52"/>
      <c r="AK275" s="28">
        <v>1.8</v>
      </c>
      <c r="AL275" s="28">
        <v>2.4</v>
      </c>
      <c r="AM275" s="28">
        <v>1.1333333333333331</v>
      </c>
      <c r="AN275" s="28">
        <v>0</v>
      </c>
      <c r="AO275" s="28">
        <v>0.33750000000000002</v>
      </c>
      <c r="AP275" s="28">
        <v>0.45</v>
      </c>
      <c r="AQ275" s="28">
        <v>0.21249999999999999</v>
      </c>
      <c r="AR275" s="28">
        <v>0</v>
      </c>
      <c r="AS275" s="25">
        <v>0.79</v>
      </c>
      <c r="AT275" s="25">
        <v>3.44</v>
      </c>
      <c r="AU275" s="25">
        <v>2.65</v>
      </c>
      <c r="AV275" s="25">
        <v>2.5939999999999999</v>
      </c>
      <c r="AW275">
        <v>2.5939999999999999</v>
      </c>
      <c r="AX275">
        <v>5.870297050914334</v>
      </c>
      <c r="AY275" s="75"/>
      <c r="AZ275" s="75"/>
      <c r="BA275" s="75"/>
      <c r="BB275">
        <v>5.0758522673197588E-2</v>
      </c>
      <c r="BF275">
        <v>0.1015170453463952</v>
      </c>
      <c r="BG275">
        <v>5.0758522673197588E-2</v>
      </c>
      <c r="BH275">
        <v>0</v>
      </c>
      <c r="BP275" s="79">
        <v>6.1</v>
      </c>
      <c r="BS275" s="79" t="s">
        <v>464</v>
      </c>
      <c r="BT275" s="79" t="s">
        <v>464</v>
      </c>
    </row>
    <row r="276" spans="1:72" x14ac:dyDescent="0.3">
      <c r="A276" s="5" t="s">
        <v>167</v>
      </c>
      <c r="B276" s="39" t="s">
        <v>786</v>
      </c>
      <c r="C276" s="39"/>
      <c r="D276" s="5">
        <v>3.49</v>
      </c>
      <c r="E276" s="5" t="s">
        <v>164</v>
      </c>
      <c r="F276" s="40">
        <v>-2</v>
      </c>
      <c r="G276" s="5">
        <v>-1</v>
      </c>
      <c r="H276" s="5"/>
      <c r="I276" s="5"/>
      <c r="J276" s="41">
        <v>0</v>
      </c>
      <c r="K276">
        <v>0</v>
      </c>
      <c r="L276">
        <v>0</v>
      </c>
      <c r="M276" s="5"/>
      <c r="N276" s="5"/>
      <c r="O276" s="5"/>
      <c r="P276" s="5"/>
      <c r="Q276" s="5"/>
      <c r="R276" s="41">
        <v>0</v>
      </c>
      <c r="S276" s="41"/>
      <c r="T276" s="41"/>
      <c r="U276">
        <v>0</v>
      </c>
      <c r="X276">
        <v>0</v>
      </c>
      <c r="AA276" s="5"/>
      <c r="AB276" s="5">
        <v>18</v>
      </c>
      <c r="AC276" s="55">
        <f t="shared" ref="AC276:AC339" si="37">M276*N276*O276</f>
        <v>0</v>
      </c>
      <c r="AD276" s="57">
        <v>0</v>
      </c>
      <c r="AE276" s="55">
        <v>0</v>
      </c>
      <c r="AF276" s="55">
        <v>0</v>
      </c>
      <c r="AG276" s="52"/>
      <c r="AH276" s="51"/>
      <c r="AI276" s="52"/>
      <c r="AJ276" s="52"/>
      <c r="AK276" s="5">
        <v>1.8</v>
      </c>
      <c r="AL276" s="5">
        <v>2.4</v>
      </c>
      <c r="AM276" s="5">
        <v>1.1333333333333331</v>
      </c>
      <c r="AN276" s="5">
        <v>0</v>
      </c>
      <c r="AO276" s="5">
        <v>0.33750000000000002</v>
      </c>
      <c r="AP276" s="5">
        <v>0.45</v>
      </c>
      <c r="AQ276" s="5">
        <v>0.21249999999999999</v>
      </c>
      <c r="AR276" s="5">
        <v>0</v>
      </c>
      <c r="AS276" s="41">
        <v>0.95</v>
      </c>
      <c r="AT276" s="41">
        <v>3.44</v>
      </c>
      <c r="AU276" s="41">
        <v>2.4900000000000002</v>
      </c>
      <c r="AV276" s="41">
        <v>2.6880000000000011</v>
      </c>
      <c r="AW276" s="5">
        <v>2.6880000000000002</v>
      </c>
      <c r="AX276" s="5">
        <v>6.2032136049900668</v>
      </c>
      <c r="AY276" s="75"/>
      <c r="AZ276" s="75"/>
      <c r="BA276" s="75"/>
      <c r="BF276">
        <v>0</v>
      </c>
      <c r="BG276">
        <v>0</v>
      </c>
      <c r="BH276">
        <v>0</v>
      </c>
      <c r="BP276" s="79">
        <v>26.7</v>
      </c>
      <c r="BS276" s="79" t="s">
        <v>464</v>
      </c>
      <c r="BT276" s="79" t="s">
        <v>464</v>
      </c>
    </row>
    <row r="277" spans="1:72" x14ac:dyDescent="0.3">
      <c r="A277" s="2" t="s">
        <v>63</v>
      </c>
      <c r="B277" s="68" t="s">
        <v>1222</v>
      </c>
      <c r="C277" s="13"/>
      <c r="D277" s="2">
        <v>3.75</v>
      </c>
      <c r="E277" s="2" t="s">
        <v>168</v>
      </c>
      <c r="F277" s="9">
        <v>-1</v>
      </c>
      <c r="G277">
        <v>-1</v>
      </c>
      <c r="I277" s="2">
        <v>2</v>
      </c>
      <c r="J277" s="25">
        <v>0</v>
      </c>
      <c r="K277">
        <v>0</v>
      </c>
      <c r="L277">
        <v>0</v>
      </c>
      <c r="M277" s="2">
        <v>3.8530000000000002</v>
      </c>
      <c r="N277" s="2">
        <v>3.8530000000000002</v>
      </c>
      <c r="O277" s="2">
        <v>29</v>
      </c>
      <c r="R277" s="25">
        <v>0</v>
      </c>
      <c r="S277" s="25"/>
      <c r="T277" s="25"/>
      <c r="U277">
        <v>0</v>
      </c>
      <c r="X277">
        <v>0</v>
      </c>
      <c r="AA277" s="2">
        <v>3</v>
      </c>
      <c r="AB277">
        <v>20</v>
      </c>
      <c r="AC277" s="55">
        <f t="shared" si="37"/>
        <v>430.52266100000003</v>
      </c>
      <c r="AD277" s="57">
        <v>0</v>
      </c>
      <c r="AE277" s="55">
        <v>0</v>
      </c>
      <c r="AF277" s="55">
        <v>0</v>
      </c>
      <c r="AG277" s="52">
        <f t="shared" si="34"/>
        <v>9.2910324179195758E-2</v>
      </c>
      <c r="AH277" s="51"/>
      <c r="AI277" s="52"/>
      <c r="AJ277" s="52"/>
      <c r="AK277" s="28">
        <v>1.75</v>
      </c>
      <c r="AL277" s="28">
        <v>2.5</v>
      </c>
      <c r="AM277" s="28">
        <v>0.75</v>
      </c>
      <c r="AN277" s="28">
        <v>0</v>
      </c>
      <c r="AO277" s="28">
        <v>0.35</v>
      </c>
      <c r="AP277" s="28">
        <v>0.5</v>
      </c>
      <c r="AQ277" s="28">
        <v>0.15</v>
      </c>
      <c r="AR277" s="28">
        <v>0</v>
      </c>
      <c r="AS277" s="25">
        <v>1</v>
      </c>
      <c r="AT277" s="25">
        <v>3.44</v>
      </c>
      <c r="AU277" s="25">
        <v>2.44</v>
      </c>
      <c r="AV277" s="25">
        <v>2.7124999999999999</v>
      </c>
      <c r="AW277">
        <v>2.7124999999999999</v>
      </c>
      <c r="AX277">
        <v>6.264025610615688</v>
      </c>
      <c r="AY277" s="75"/>
      <c r="AZ277" s="75"/>
      <c r="BA277" s="75"/>
      <c r="BB277">
        <v>4.6455162089597879E-2</v>
      </c>
      <c r="BF277">
        <v>9.2910324179195758E-2</v>
      </c>
      <c r="BG277">
        <v>4.6455162089597879E-2</v>
      </c>
      <c r="BH277">
        <v>0</v>
      </c>
      <c r="BP277" s="79">
        <v>2.83</v>
      </c>
      <c r="BS277" s="79" t="s">
        <v>464</v>
      </c>
      <c r="BT277" s="79" t="s">
        <v>464</v>
      </c>
    </row>
    <row r="278" spans="1:72" x14ac:dyDescent="0.3">
      <c r="A278" s="2" t="s">
        <v>232</v>
      </c>
      <c r="B278" s="68" t="s">
        <v>1223</v>
      </c>
      <c r="C278" s="13"/>
      <c r="D278" s="2">
        <v>3.86</v>
      </c>
      <c r="E278" s="2" t="s">
        <v>168</v>
      </c>
      <c r="F278" s="9">
        <v>-1</v>
      </c>
      <c r="G278">
        <v>-1</v>
      </c>
      <c r="I278" s="2">
        <v>2</v>
      </c>
      <c r="J278" s="25">
        <v>0</v>
      </c>
      <c r="K278">
        <v>0</v>
      </c>
      <c r="L278">
        <v>0</v>
      </c>
      <c r="M278" s="2">
        <v>3.8530000000000002</v>
      </c>
      <c r="N278" s="2">
        <v>3.8530000000000002</v>
      </c>
      <c r="O278" s="2">
        <v>31.24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>
        <v>3</v>
      </c>
      <c r="AB278">
        <v>20</v>
      </c>
      <c r="AC278" s="55">
        <f t="shared" si="37"/>
        <v>463.77682516000004</v>
      </c>
      <c r="AD278" s="57">
        <v>0</v>
      </c>
      <c r="AE278" s="55">
        <v>0</v>
      </c>
      <c r="AF278" s="55">
        <v>0</v>
      </c>
      <c r="AG278" s="52">
        <f t="shared" si="34"/>
        <v>8.6248380319996057E-2</v>
      </c>
      <c r="AH278" s="51"/>
      <c r="AI278" s="52"/>
      <c r="AJ278" s="52"/>
      <c r="AK278" s="28">
        <v>1.8125</v>
      </c>
      <c r="AL278" s="28">
        <v>2.5</v>
      </c>
      <c r="AM278" s="28">
        <v>0.6875</v>
      </c>
      <c r="AN278" s="28">
        <v>0.875</v>
      </c>
      <c r="AO278" s="28">
        <v>0.30851063829787229</v>
      </c>
      <c r="AP278" s="28">
        <v>0.42553191489361702</v>
      </c>
      <c r="AQ278" s="28">
        <v>0.1170212765957447</v>
      </c>
      <c r="AR278" s="28">
        <v>0.14893617021276601</v>
      </c>
      <c r="AS278" s="25">
        <v>1</v>
      </c>
      <c r="AT278" s="25">
        <v>3.44</v>
      </c>
      <c r="AU278" s="25">
        <v>2.44</v>
      </c>
      <c r="AV278" s="25">
        <v>2.7062499999999998</v>
      </c>
      <c r="AW278">
        <v>2.7062499999999998</v>
      </c>
      <c r="AX278">
        <v>6.2701641731156874</v>
      </c>
      <c r="AY278" s="75"/>
      <c r="AZ278" s="75"/>
      <c r="BA278" s="75"/>
      <c r="BB278">
        <v>4.3124190159998028E-2</v>
      </c>
      <c r="BF278">
        <v>8.6248380319996057E-2</v>
      </c>
      <c r="BG278">
        <v>4.3124190159998028E-2</v>
      </c>
      <c r="BH278">
        <v>0</v>
      </c>
      <c r="BP278" s="79">
        <v>6.46</v>
      </c>
      <c r="BS278" s="79" t="s">
        <v>464</v>
      </c>
      <c r="BT278" s="79" t="s">
        <v>464</v>
      </c>
    </row>
    <row r="279" spans="1:72" x14ac:dyDescent="0.3">
      <c r="A279" s="2" t="s">
        <v>1220</v>
      </c>
      <c r="B279" s="68" t="s">
        <v>1224</v>
      </c>
      <c r="C279" s="13"/>
      <c r="D279" s="2">
        <v>4.01</v>
      </c>
      <c r="E279" s="2" t="s">
        <v>168</v>
      </c>
      <c r="F279" s="9">
        <v>-1</v>
      </c>
      <c r="G279">
        <v>-1</v>
      </c>
      <c r="I279" s="2">
        <v>2</v>
      </c>
      <c r="J279" s="25">
        <v>0</v>
      </c>
      <c r="K279">
        <v>0</v>
      </c>
      <c r="L279">
        <v>0</v>
      </c>
      <c r="M279" s="2">
        <v>3.8530000000000002</v>
      </c>
      <c r="N279" s="2">
        <v>3.8530000000000002</v>
      </c>
      <c r="O279" s="2">
        <v>31.54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>
        <v>3</v>
      </c>
      <c r="AB279">
        <v>20</v>
      </c>
      <c r="AC279" s="55">
        <f t="shared" si="37"/>
        <v>468.23050786000005</v>
      </c>
      <c r="AD279" s="57">
        <v>0</v>
      </c>
      <c r="AE279" s="55">
        <v>0</v>
      </c>
      <c r="AF279" s="55">
        <v>0</v>
      </c>
      <c r="AG279" s="52">
        <f t="shared" si="34"/>
        <v>8.5428008915557282E-2</v>
      </c>
      <c r="AH279" s="51"/>
      <c r="AI279" s="52"/>
      <c r="AJ279" s="52"/>
      <c r="AK279" s="28">
        <v>1.84375</v>
      </c>
      <c r="AL279" s="28">
        <v>2.5</v>
      </c>
      <c r="AM279" s="28">
        <v>0.65625</v>
      </c>
      <c r="AN279" s="28">
        <v>1.3125</v>
      </c>
      <c r="AO279" s="28">
        <v>0.29207920792079212</v>
      </c>
      <c r="AP279" s="28">
        <v>0.39603960396039611</v>
      </c>
      <c r="AQ279" s="28">
        <v>0.103960396039604</v>
      </c>
      <c r="AR279" s="28">
        <v>0.20792079207920791</v>
      </c>
      <c r="AS279" s="25">
        <v>1</v>
      </c>
      <c r="AT279" s="25">
        <v>3.44</v>
      </c>
      <c r="AU279" s="25">
        <v>2.44</v>
      </c>
      <c r="AV279" s="25">
        <v>2.703125</v>
      </c>
      <c r="AW279">
        <v>2.703125</v>
      </c>
      <c r="AX279">
        <v>6.2732334543656876</v>
      </c>
      <c r="AY279" s="75"/>
      <c r="AZ279" s="75"/>
      <c r="BA279" s="75"/>
      <c r="BB279">
        <v>4.2714004457778641E-2</v>
      </c>
      <c r="BF279">
        <v>8.5428008915557282E-2</v>
      </c>
      <c r="BG279">
        <v>4.2714004457778641E-2</v>
      </c>
      <c r="BH279">
        <v>0</v>
      </c>
      <c r="BP279" s="79">
        <v>6.64</v>
      </c>
      <c r="BS279" s="79" t="s">
        <v>464</v>
      </c>
      <c r="BT279" s="79" t="s">
        <v>464</v>
      </c>
    </row>
    <row r="280" spans="1:72" x14ac:dyDescent="0.3">
      <c r="A280" s="2" t="s">
        <v>1221</v>
      </c>
      <c r="B280" s="68" t="s">
        <v>1225</v>
      </c>
      <c r="C280" s="13"/>
      <c r="D280" s="2">
        <v>4.16</v>
      </c>
      <c r="E280" s="2" t="s">
        <v>168</v>
      </c>
      <c r="F280" s="9">
        <v>-1</v>
      </c>
      <c r="G280">
        <v>-1</v>
      </c>
      <c r="I280" s="2">
        <v>2</v>
      </c>
      <c r="J280" s="25">
        <v>0</v>
      </c>
      <c r="K280">
        <v>0</v>
      </c>
      <c r="L280">
        <v>0</v>
      </c>
      <c r="M280" s="2">
        <v>3.8530000000000002</v>
      </c>
      <c r="N280" s="2">
        <v>3.8530000000000002</v>
      </c>
      <c r="O280" s="2">
        <v>32.4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>
        <v>3</v>
      </c>
      <c r="AB280">
        <v>20</v>
      </c>
      <c r="AC280" s="55">
        <f t="shared" si="37"/>
        <v>480.99773160000001</v>
      </c>
      <c r="AD280" s="57">
        <v>0</v>
      </c>
      <c r="AE280" s="55">
        <v>0</v>
      </c>
      <c r="AF280" s="55">
        <v>0</v>
      </c>
      <c r="AG280" s="52">
        <f t="shared" si="34"/>
        <v>8.3160475345576454E-2</v>
      </c>
      <c r="AH280" s="51"/>
      <c r="AI280" s="52"/>
      <c r="AJ280" s="52"/>
      <c r="AK280" s="28">
        <v>1.875</v>
      </c>
      <c r="AL280" s="28">
        <v>2.5</v>
      </c>
      <c r="AM280" s="28">
        <v>0.625</v>
      </c>
      <c r="AN280" s="28">
        <v>1.75</v>
      </c>
      <c r="AO280" s="28">
        <v>0.27777777777777779</v>
      </c>
      <c r="AP280" s="28">
        <v>0.37037037037037029</v>
      </c>
      <c r="AQ280" s="28">
        <v>9.2592592592592587E-2</v>
      </c>
      <c r="AR280" s="28">
        <v>0.25925925925925919</v>
      </c>
      <c r="AS280" s="25">
        <v>1</v>
      </c>
      <c r="AT280" s="25">
        <v>3.44</v>
      </c>
      <c r="AU280" s="25">
        <v>2.44</v>
      </c>
      <c r="AV280" s="25">
        <v>2.7</v>
      </c>
      <c r="AW280">
        <v>2.7</v>
      </c>
      <c r="AX280">
        <v>6.2763027356156877</v>
      </c>
      <c r="AY280" s="75"/>
      <c r="AZ280" s="75"/>
      <c r="BA280" s="75"/>
      <c r="BB280">
        <v>4.1580237672788227E-2</v>
      </c>
      <c r="BF280">
        <v>8.3160475345576454E-2</v>
      </c>
      <c r="BG280">
        <v>4.1580237672788227E-2</v>
      </c>
      <c r="BH280">
        <v>0</v>
      </c>
      <c r="BP280" s="79">
        <v>5.75</v>
      </c>
      <c r="BS280" s="79" t="s">
        <v>464</v>
      </c>
      <c r="BT280" s="79" t="s">
        <v>464</v>
      </c>
    </row>
    <row r="281" spans="1:72" x14ac:dyDescent="0.3">
      <c r="A281" s="2" t="s">
        <v>855</v>
      </c>
      <c r="B281" s="68" t="s">
        <v>1226</v>
      </c>
      <c r="C281" s="13"/>
      <c r="D281" s="2">
        <v>4.59</v>
      </c>
      <c r="E281" s="2" t="s">
        <v>168</v>
      </c>
      <c r="F281" s="9">
        <v>-1</v>
      </c>
      <c r="G281">
        <v>-1</v>
      </c>
      <c r="I281" s="2">
        <v>2</v>
      </c>
      <c r="J281" s="25">
        <v>0</v>
      </c>
      <c r="K281">
        <v>0</v>
      </c>
      <c r="L281">
        <v>0</v>
      </c>
      <c r="M281" s="2">
        <v>3.8530000000000002</v>
      </c>
      <c r="N281" s="2">
        <v>3.8530000000000002</v>
      </c>
      <c r="O281" s="2">
        <v>32.64</v>
      </c>
      <c r="P281" t="s">
        <v>496</v>
      </c>
      <c r="R281" s="25">
        <v>0</v>
      </c>
      <c r="S281" s="25"/>
      <c r="T281" s="25"/>
      <c r="U281">
        <v>0</v>
      </c>
      <c r="X281">
        <v>0</v>
      </c>
      <c r="AA281" s="2">
        <v>3</v>
      </c>
      <c r="AB281">
        <v>20</v>
      </c>
      <c r="AC281" s="55">
        <f t="shared" si="37"/>
        <v>484.56067776000003</v>
      </c>
      <c r="AD281" s="57">
        <v>0</v>
      </c>
      <c r="AE281" s="55">
        <v>0</v>
      </c>
      <c r="AF281" s="55">
        <v>0</v>
      </c>
      <c r="AG281" s="52">
        <f t="shared" si="34"/>
        <v>8.2549001262153088E-2</v>
      </c>
      <c r="AH281" s="51"/>
      <c r="AI281" s="52"/>
      <c r="AJ281" s="52"/>
      <c r="AK281" s="28">
        <v>1.9375</v>
      </c>
      <c r="AL281" s="28">
        <v>2.5</v>
      </c>
      <c r="AM281" s="28">
        <v>0.5625</v>
      </c>
      <c r="AN281" s="28">
        <v>2.625</v>
      </c>
      <c r="AO281" s="28">
        <v>0.25409836065573771</v>
      </c>
      <c r="AP281" s="28">
        <v>0.32786885245901642</v>
      </c>
      <c r="AQ281" s="28">
        <v>7.3770491803278687E-2</v>
      </c>
      <c r="AR281" s="28">
        <v>0.34426229508196721</v>
      </c>
      <c r="AS281" s="25">
        <v>1</v>
      </c>
      <c r="AT281" s="25">
        <v>3.44</v>
      </c>
      <c r="AU281" s="25">
        <v>2.44</v>
      </c>
      <c r="AV281" s="25">
        <v>2.6937500000000001</v>
      </c>
      <c r="AW281">
        <v>2.6937500000000001</v>
      </c>
      <c r="AX281">
        <v>6.2824412981156881</v>
      </c>
      <c r="AY281" s="75"/>
      <c r="AZ281" s="75"/>
      <c r="BA281" s="75"/>
      <c r="BB281">
        <v>4.1274500631076537E-2</v>
      </c>
      <c r="BF281">
        <v>8.2549001262153088E-2</v>
      </c>
      <c r="BG281">
        <v>4.1274500631076537E-2</v>
      </c>
      <c r="BH281">
        <v>0</v>
      </c>
      <c r="BP281" s="79">
        <v>7.41</v>
      </c>
      <c r="BS281" s="79" t="s">
        <v>464</v>
      </c>
      <c r="BT281" s="79" t="s">
        <v>464</v>
      </c>
    </row>
    <row r="282" spans="1:72" x14ac:dyDescent="0.3">
      <c r="A282" s="2" t="s">
        <v>2</v>
      </c>
      <c r="B282" s="13" t="s">
        <v>687</v>
      </c>
      <c r="C282" s="13"/>
      <c r="D282" s="2">
        <v>3.3</v>
      </c>
      <c r="E282" s="2" t="s">
        <v>174</v>
      </c>
      <c r="F282" s="9" t="s">
        <v>525</v>
      </c>
      <c r="G282">
        <v>-1</v>
      </c>
      <c r="I282" s="2"/>
      <c r="J282" s="25">
        <v>2</v>
      </c>
      <c r="K282">
        <v>0</v>
      </c>
      <c r="L282">
        <v>0</v>
      </c>
      <c r="M282" s="2">
        <v>5.4763999999999999</v>
      </c>
      <c r="N282" s="2">
        <v>22.404199999999999</v>
      </c>
      <c r="O282" s="2">
        <v>5.1576000000000004</v>
      </c>
      <c r="P282" s="2" t="s">
        <v>515</v>
      </c>
      <c r="Q282" s="2"/>
      <c r="R282" s="25">
        <v>11.92921406</v>
      </c>
      <c r="S282" s="25">
        <v>11.92921406</v>
      </c>
      <c r="T282" s="25">
        <v>11.92921406</v>
      </c>
      <c r="U282">
        <v>0</v>
      </c>
      <c r="X282">
        <v>0</v>
      </c>
      <c r="AA282" s="2"/>
      <c r="AB282">
        <v>14</v>
      </c>
      <c r="AC282" s="55">
        <f t="shared" si="37"/>
        <v>632.80843567468798</v>
      </c>
      <c r="AD282" s="57">
        <v>349.00875366799971</v>
      </c>
      <c r="AE282" s="55">
        <v>0</v>
      </c>
      <c r="AF282" s="55">
        <v>0</v>
      </c>
      <c r="AG282" s="52"/>
      <c r="AH282" s="51">
        <v>8.0227214090553903E-2</v>
      </c>
      <c r="AI282" s="52"/>
      <c r="AJ282" s="52"/>
      <c r="AK282" s="28">
        <v>1.7272727272727271</v>
      </c>
      <c r="AL282" s="28">
        <v>2.545454545454545</v>
      </c>
      <c r="AM282" s="28">
        <v>0.81818181818181823</v>
      </c>
      <c r="AN282" s="28">
        <v>0</v>
      </c>
      <c r="AO282" s="28">
        <v>0.3392857142857143</v>
      </c>
      <c r="AP282" s="28">
        <v>0.5</v>
      </c>
      <c r="AQ282" s="28">
        <v>0.1607142857142857</v>
      </c>
      <c r="AR282" s="28">
        <v>0</v>
      </c>
      <c r="AS282" s="25">
        <v>0.82</v>
      </c>
      <c r="AT282" s="25">
        <v>3.44</v>
      </c>
      <c r="AU282" s="25">
        <v>2.62</v>
      </c>
      <c r="AV282" s="25">
        <v>2.6545454545454539</v>
      </c>
      <c r="AW282">
        <v>2.6545454545454552</v>
      </c>
      <c r="AX282">
        <v>5.9865512095454543</v>
      </c>
      <c r="AY282" s="75">
        <v>0.50734392504100967</v>
      </c>
      <c r="AZ282" s="75"/>
      <c r="BA282" s="75"/>
      <c r="BC282">
        <v>4.0113607045276937E-2</v>
      </c>
      <c r="BF282">
        <v>8.0227214090553903E-2</v>
      </c>
      <c r="BG282">
        <v>4.0113607045276937E-2</v>
      </c>
      <c r="BH282">
        <v>0.50734392504100967</v>
      </c>
      <c r="BS282" s="79" t="s">
        <v>464</v>
      </c>
      <c r="BT282" s="79" t="s">
        <v>464</v>
      </c>
    </row>
    <row r="283" spans="1:72" x14ac:dyDescent="0.3">
      <c r="A283" s="2" t="s">
        <v>175</v>
      </c>
      <c r="B283" s="13" t="s">
        <v>792</v>
      </c>
      <c r="C283" s="13"/>
      <c r="D283" s="2">
        <v>2.98</v>
      </c>
      <c r="E283" s="2" t="s">
        <v>174</v>
      </c>
      <c r="F283" s="9" t="s">
        <v>579</v>
      </c>
      <c r="G283" t="s">
        <v>654</v>
      </c>
      <c r="I283" s="2"/>
      <c r="J283" s="25">
        <v>1</v>
      </c>
      <c r="K283">
        <v>2</v>
      </c>
      <c r="L283">
        <v>0</v>
      </c>
      <c r="M283" s="2">
        <v>7.7803000000000004</v>
      </c>
      <c r="N283" s="2">
        <v>7.7803000000000004</v>
      </c>
      <c r="O283" s="2">
        <v>42.569200000000002</v>
      </c>
      <c r="P283" s="2" t="s">
        <v>516</v>
      </c>
      <c r="Q283" s="2"/>
      <c r="R283" s="25">
        <v>11.30538971</v>
      </c>
      <c r="S283" s="25">
        <v>11.30538971</v>
      </c>
      <c r="T283" s="25">
        <v>11.30538971</v>
      </c>
      <c r="U283">
        <v>3.8996</v>
      </c>
      <c r="V283">
        <v>3.8996</v>
      </c>
      <c r="W283">
        <v>21.687999999999999</v>
      </c>
      <c r="X283">
        <v>0</v>
      </c>
      <c r="AA283" s="2"/>
      <c r="AB283">
        <v>14</v>
      </c>
      <c r="AC283" s="55">
        <f t="shared" si="37"/>
        <v>2576.8442821368285</v>
      </c>
      <c r="AD283" s="57">
        <v>169.7295487154349</v>
      </c>
      <c r="AE283" s="55">
        <v>329.80681691007999</v>
      </c>
      <c r="AF283" s="55">
        <v>0</v>
      </c>
      <c r="AG283" s="52"/>
      <c r="AH283" s="51">
        <v>8.248416440128592E-2</v>
      </c>
      <c r="AI283" s="52">
        <v>8.4898184526107132E-2</v>
      </c>
      <c r="AJ283" s="52"/>
      <c r="AK283" s="28">
        <v>1.7272727272727271</v>
      </c>
      <c r="AL283" s="28">
        <v>2.545454545454545</v>
      </c>
      <c r="AM283" s="28">
        <v>1.7272727272727271</v>
      </c>
      <c r="AN283" s="28">
        <v>0</v>
      </c>
      <c r="AO283" s="28">
        <v>0.2878787878787879</v>
      </c>
      <c r="AP283" s="28">
        <v>0.42424242424242431</v>
      </c>
      <c r="AQ283" s="28">
        <v>0.2878787878787879</v>
      </c>
      <c r="AR283" s="28">
        <v>0</v>
      </c>
      <c r="AS283" s="25">
        <v>1.1000000000000001</v>
      </c>
      <c r="AT283" s="25">
        <v>3.44</v>
      </c>
      <c r="AU283" s="25">
        <v>2.34</v>
      </c>
      <c r="AV283" s="25">
        <v>2.7554545454545449</v>
      </c>
      <c r="AW283">
        <v>2.7554545454545449</v>
      </c>
      <c r="AX283">
        <v>6.1782631499999994</v>
      </c>
      <c r="AY283" s="75">
        <v>0.46170510468104309</v>
      </c>
      <c r="AZ283" s="75">
        <v>0</v>
      </c>
      <c r="BA283" s="75"/>
      <c r="BC283">
        <v>4.124208220064296E-2</v>
      </c>
      <c r="BD283">
        <v>4.2449092263053573E-2</v>
      </c>
      <c r="BF283">
        <v>8.3691174463696533E-2</v>
      </c>
      <c r="BG283">
        <v>4.1845587231848273E-2</v>
      </c>
      <c r="BH283">
        <v>0.23085255234052149</v>
      </c>
      <c r="BS283" s="79" t="s">
        <v>464</v>
      </c>
      <c r="BT283" s="79" t="s">
        <v>464</v>
      </c>
    </row>
    <row r="284" spans="1:72" x14ac:dyDescent="0.3">
      <c r="A284" s="2" t="s">
        <v>2</v>
      </c>
      <c r="B284" s="13" t="s">
        <v>687</v>
      </c>
      <c r="C284" s="13"/>
      <c r="D284" s="2">
        <v>3.3</v>
      </c>
      <c r="E284" s="2" t="s">
        <v>176</v>
      </c>
      <c r="F284" s="9" t="s">
        <v>525</v>
      </c>
      <c r="G284">
        <v>-1</v>
      </c>
      <c r="I284" s="2"/>
      <c r="J284" s="25">
        <v>2</v>
      </c>
      <c r="K284">
        <v>0</v>
      </c>
      <c r="L284">
        <v>0</v>
      </c>
      <c r="M284" s="2">
        <v>5.5339999999999998</v>
      </c>
      <c r="N284" s="2">
        <v>22.083300000000001</v>
      </c>
      <c r="O284" s="2">
        <v>5.5033000000000003</v>
      </c>
      <c r="P284" s="2" t="s">
        <v>515</v>
      </c>
      <c r="Q284" s="2"/>
      <c r="R284" s="25">
        <v>11.92921406</v>
      </c>
      <c r="S284" s="25">
        <v>11.92921406</v>
      </c>
      <c r="T284" s="25">
        <v>11.92921406</v>
      </c>
      <c r="U284">
        <v>0</v>
      </c>
      <c r="X284">
        <v>0</v>
      </c>
      <c r="AA284" s="2"/>
      <c r="AB284">
        <v>14</v>
      </c>
      <c r="AC284" s="55">
        <f t="shared" si="37"/>
        <v>672.55269174126011</v>
      </c>
      <c r="AD284" s="57">
        <v>349.00875366799971</v>
      </c>
      <c r="AE284" s="55">
        <v>0</v>
      </c>
      <c r="AF284" s="55">
        <v>0</v>
      </c>
      <c r="AG284" s="52"/>
      <c r="AH284" s="51">
        <v>8.0227214090553903E-2</v>
      </c>
      <c r="AI284" s="52"/>
      <c r="AJ284" s="52"/>
      <c r="AK284" s="28">
        <v>1.7272727272727271</v>
      </c>
      <c r="AL284" s="28">
        <v>2.545454545454545</v>
      </c>
      <c r="AM284" s="28">
        <v>0.81818181818181823</v>
      </c>
      <c r="AN284" s="28">
        <v>0</v>
      </c>
      <c r="AO284" s="28">
        <v>0.3392857142857143</v>
      </c>
      <c r="AP284" s="28">
        <v>0.5</v>
      </c>
      <c r="AQ284" s="28">
        <v>0.1607142857142857</v>
      </c>
      <c r="AR284" s="28">
        <v>0</v>
      </c>
      <c r="AS284" s="25">
        <v>0.82</v>
      </c>
      <c r="AT284" s="25">
        <v>3.44</v>
      </c>
      <c r="AU284" s="25">
        <v>2.62</v>
      </c>
      <c r="AV284" s="25">
        <v>2.6545454545454539</v>
      </c>
      <c r="AW284">
        <v>2.6545454545454552</v>
      </c>
      <c r="AX284">
        <v>5.9865512095454543</v>
      </c>
      <c r="AY284" s="75">
        <v>0.50734392504100967</v>
      </c>
      <c r="AZ284" s="75"/>
      <c r="BA284" s="75"/>
      <c r="BC284">
        <v>4.0113607045276937E-2</v>
      </c>
      <c r="BF284">
        <v>8.0227214090553903E-2</v>
      </c>
      <c r="BG284">
        <v>4.0113607045276937E-2</v>
      </c>
      <c r="BH284">
        <v>0.50734392504100967</v>
      </c>
      <c r="BP284" s="79">
        <v>1.5</v>
      </c>
      <c r="BS284" s="79" t="s">
        <v>464</v>
      </c>
      <c r="BT284" s="79" t="s">
        <v>464</v>
      </c>
    </row>
    <row r="285" spans="1:72" x14ac:dyDescent="0.3">
      <c r="A285" s="2" t="s">
        <v>175</v>
      </c>
      <c r="B285" s="13" t="s">
        <v>792</v>
      </c>
      <c r="C285" s="13"/>
      <c r="D285" s="2">
        <v>2.85</v>
      </c>
      <c r="E285" s="2" t="s">
        <v>176</v>
      </c>
      <c r="F285" s="9" t="s">
        <v>579</v>
      </c>
      <c r="G285" t="s">
        <v>654</v>
      </c>
      <c r="I285" s="2"/>
      <c r="J285" s="25">
        <v>1</v>
      </c>
      <c r="K285">
        <v>2</v>
      </c>
      <c r="L285">
        <v>0</v>
      </c>
      <c r="M285" s="2">
        <v>3.9045000000000001</v>
      </c>
      <c r="N285" s="2">
        <v>3.9045000000000001</v>
      </c>
      <c r="O285" s="2">
        <v>21.652100000000001</v>
      </c>
      <c r="P285" s="2" t="s">
        <v>516</v>
      </c>
      <c r="Q285" s="2"/>
      <c r="R285" s="25">
        <v>11.30538971</v>
      </c>
      <c r="S285" s="25">
        <v>11.30538971</v>
      </c>
      <c r="T285" s="25">
        <v>11.30538971</v>
      </c>
      <c r="U285">
        <v>3.8996</v>
      </c>
      <c r="V285">
        <v>3.8996</v>
      </c>
      <c r="W285">
        <v>21.687999999999999</v>
      </c>
      <c r="X285">
        <v>0</v>
      </c>
      <c r="AA285" s="2"/>
      <c r="AB285">
        <v>14</v>
      </c>
      <c r="AC285" s="55">
        <f t="shared" si="37"/>
        <v>330.08886816502502</v>
      </c>
      <c r="AD285" s="57">
        <v>169.7295487154349</v>
      </c>
      <c r="AE285" s="55">
        <v>329.80681691007999</v>
      </c>
      <c r="AF285" s="55">
        <v>0</v>
      </c>
      <c r="AG285" s="52"/>
      <c r="AH285" s="51">
        <v>8.248416440128592E-2</v>
      </c>
      <c r="AI285" s="52">
        <v>8.4898184526107132E-2</v>
      </c>
      <c r="AJ285" s="52"/>
      <c r="AK285" s="28">
        <v>1.7272727272727271</v>
      </c>
      <c r="AL285" s="28">
        <v>2.545454545454545</v>
      </c>
      <c r="AM285" s="28">
        <v>1.7272727272727271</v>
      </c>
      <c r="AN285" s="28">
        <v>0</v>
      </c>
      <c r="AO285" s="28">
        <v>0.2878787878787879</v>
      </c>
      <c r="AP285" s="28">
        <v>0.42424242424242431</v>
      </c>
      <c r="AQ285" s="28">
        <v>0.2878787878787879</v>
      </c>
      <c r="AR285" s="28">
        <v>0</v>
      </c>
      <c r="AS285" s="25">
        <v>1.1000000000000001</v>
      </c>
      <c r="AT285" s="25">
        <v>3.44</v>
      </c>
      <c r="AU285" s="25">
        <v>2.34</v>
      </c>
      <c r="AV285" s="25">
        <v>2.7554545454545449</v>
      </c>
      <c r="AW285">
        <v>2.7554545454545449</v>
      </c>
      <c r="AX285">
        <v>6.1782631499999994</v>
      </c>
      <c r="AY285" s="75">
        <v>0.46170510468104309</v>
      </c>
      <c r="AZ285" s="75">
        <v>0</v>
      </c>
      <c r="BA285" s="75"/>
      <c r="BC285">
        <v>4.124208220064296E-2</v>
      </c>
      <c r="BD285">
        <v>4.2449092263053573E-2</v>
      </c>
      <c r="BF285">
        <v>8.3691174463696533E-2</v>
      </c>
      <c r="BG285">
        <v>4.1845587231848273E-2</v>
      </c>
      <c r="BH285">
        <v>0.23085255234052149</v>
      </c>
      <c r="BP285" s="79">
        <v>4.2</v>
      </c>
      <c r="BS285" s="79" t="s">
        <v>464</v>
      </c>
      <c r="BT285" s="79" t="s">
        <v>464</v>
      </c>
    </row>
    <row r="286" spans="1:72" x14ac:dyDescent="0.3">
      <c r="A286" s="2" t="s">
        <v>5</v>
      </c>
      <c r="B286" s="13" t="s">
        <v>690</v>
      </c>
      <c r="C286" s="13"/>
      <c r="D286" s="2">
        <v>3.5</v>
      </c>
      <c r="E286" s="2" t="s">
        <v>176</v>
      </c>
      <c r="F286" s="9" t="s">
        <v>528</v>
      </c>
      <c r="G286" t="s">
        <v>610</v>
      </c>
      <c r="I286" s="2"/>
      <c r="J286" s="25">
        <v>1</v>
      </c>
      <c r="K286">
        <v>1</v>
      </c>
      <c r="L286">
        <v>0</v>
      </c>
      <c r="M286" s="2">
        <v>3.8650000000000002</v>
      </c>
      <c r="N286" s="2">
        <v>3.8650000000000002</v>
      </c>
      <c r="O286" s="2">
        <v>14.974299999999999</v>
      </c>
      <c r="P286" s="2" t="s">
        <v>439</v>
      </c>
      <c r="Q286" s="2"/>
      <c r="R286" s="25">
        <v>3.9661010000000001</v>
      </c>
      <c r="S286" s="25">
        <v>3.9661010000000001</v>
      </c>
      <c r="T286" s="25">
        <v>15.283337</v>
      </c>
      <c r="U286">
        <v>3.8586499999999999</v>
      </c>
      <c r="V286">
        <v>3.8586499999999999</v>
      </c>
      <c r="W286">
        <v>14.9108</v>
      </c>
      <c r="X286">
        <v>0</v>
      </c>
      <c r="AA286" s="2"/>
      <c r="AB286">
        <v>20</v>
      </c>
      <c r="AC286" s="55">
        <f t="shared" si="37"/>
        <v>223.6894626175</v>
      </c>
      <c r="AD286" s="57">
        <v>240.40623599981481</v>
      </c>
      <c r="AE286" s="55">
        <v>222.00958249733301</v>
      </c>
      <c r="AF286" s="55">
        <v>0</v>
      </c>
      <c r="AG286" s="52"/>
      <c r="AH286" s="51">
        <v>8.3192517518619641E-2</v>
      </c>
      <c r="AI286" s="52">
        <v>9.0086201573034624E-2</v>
      </c>
      <c r="AJ286" s="52"/>
      <c r="AK286" s="28">
        <v>1.75</v>
      </c>
      <c r="AL286" s="28">
        <v>2.5</v>
      </c>
      <c r="AM286" s="28">
        <v>0.75</v>
      </c>
      <c r="AN286" s="28">
        <v>0</v>
      </c>
      <c r="AO286" s="28">
        <v>0.35</v>
      </c>
      <c r="AP286" s="28">
        <v>0.5</v>
      </c>
      <c r="AQ286" s="28">
        <v>0.15</v>
      </c>
      <c r="AR286" s="28">
        <v>0</v>
      </c>
      <c r="AS286" s="25">
        <v>0.82</v>
      </c>
      <c r="AT286" s="25">
        <v>3.44</v>
      </c>
      <c r="AU286" s="25">
        <v>2.62</v>
      </c>
      <c r="AV286" s="25">
        <v>2.6262500000000002</v>
      </c>
      <c r="AW286">
        <v>2.6262500000000002</v>
      </c>
      <c r="AX286">
        <v>5.9612134765624996</v>
      </c>
      <c r="AY286" s="75">
        <v>0.50467688585120674</v>
      </c>
      <c r="AZ286" s="75">
        <v>0.54649654829675798</v>
      </c>
      <c r="BA286" s="75"/>
      <c r="BC286">
        <v>4.159625875930982E-2</v>
      </c>
      <c r="BD286">
        <v>4.5043100786517312E-2</v>
      </c>
      <c r="BF286">
        <v>8.6639359545827133E-2</v>
      </c>
      <c r="BG286">
        <v>4.3319679772913573E-2</v>
      </c>
      <c r="BH286">
        <v>0.5255867170739823</v>
      </c>
      <c r="BP286" s="79">
        <v>1.9</v>
      </c>
      <c r="BS286" s="79" t="s">
        <v>464</v>
      </c>
      <c r="BT286" s="79" t="s">
        <v>464</v>
      </c>
    </row>
    <row r="287" spans="1:72" x14ac:dyDescent="0.3">
      <c r="A287" s="5" t="s">
        <v>177</v>
      </c>
      <c r="B287" s="39" t="s">
        <v>793</v>
      </c>
      <c r="C287" s="39"/>
      <c r="D287" s="5">
        <v>2.65</v>
      </c>
      <c r="E287" s="5" t="s">
        <v>176</v>
      </c>
      <c r="F287" s="40">
        <v>-2</v>
      </c>
      <c r="G287" s="5">
        <v>-1</v>
      </c>
      <c r="H287" s="5"/>
      <c r="I287" s="5"/>
      <c r="J287" s="41">
        <v>0</v>
      </c>
      <c r="K287">
        <v>0</v>
      </c>
      <c r="L287">
        <v>0</v>
      </c>
      <c r="M287" s="5"/>
      <c r="N287" s="5"/>
      <c r="O287" s="5"/>
      <c r="P287" s="5"/>
      <c r="Q287" s="5"/>
      <c r="R287" s="41">
        <v>0</v>
      </c>
      <c r="S287" s="41"/>
      <c r="T287" s="41"/>
      <c r="U287">
        <v>0</v>
      </c>
      <c r="X287">
        <v>0</v>
      </c>
      <c r="AA287" s="5"/>
      <c r="AB287" s="5">
        <v>20</v>
      </c>
      <c r="AC287" s="55">
        <f t="shared" si="37"/>
        <v>0</v>
      </c>
      <c r="AD287" s="57">
        <v>0</v>
      </c>
      <c r="AE287" s="55">
        <v>0</v>
      </c>
      <c r="AF287" s="55">
        <v>0</v>
      </c>
      <c r="AG287" s="52"/>
      <c r="AH287" s="51"/>
      <c r="AI287" s="52"/>
      <c r="AJ287" s="52"/>
      <c r="AK287" s="5">
        <v>1.75</v>
      </c>
      <c r="AL287" s="5">
        <v>2.5</v>
      </c>
      <c r="AM287" s="5">
        <v>1.375</v>
      </c>
      <c r="AN287" s="5">
        <v>0</v>
      </c>
      <c r="AO287" s="5">
        <v>0.31111111111111112</v>
      </c>
      <c r="AP287" s="5">
        <v>0.44444444444444442</v>
      </c>
      <c r="AQ287" s="5">
        <v>0.24444444444444441</v>
      </c>
      <c r="AR287" s="5">
        <v>0</v>
      </c>
      <c r="AS287" s="41">
        <v>1</v>
      </c>
      <c r="AT287" s="41">
        <v>3.44</v>
      </c>
      <c r="AU287" s="41">
        <v>2.44</v>
      </c>
      <c r="AV287" s="41">
        <v>2.6956250000000002</v>
      </c>
      <c r="AW287" s="5">
        <v>2.6956250000000002</v>
      </c>
      <c r="AX287" s="5">
        <v>6.0930154356250004</v>
      </c>
      <c r="AY287" s="75"/>
      <c r="AZ287" s="75"/>
      <c r="BA287" s="75"/>
      <c r="BF287">
        <v>0</v>
      </c>
      <c r="BG287">
        <v>0</v>
      </c>
      <c r="BH287">
        <v>0</v>
      </c>
      <c r="BP287" s="79">
        <v>2.1</v>
      </c>
      <c r="BS287" s="79" t="s">
        <v>464</v>
      </c>
      <c r="BT287" s="79" t="s">
        <v>464</v>
      </c>
    </row>
    <row r="288" spans="1:72" x14ac:dyDescent="0.3">
      <c r="A288" s="2" t="s">
        <v>178</v>
      </c>
      <c r="B288" s="13" t="s">
        <v>794</v>
      </c>
      <c r="C288" s="13"/>
      <c r="D288" s="2">
        <v>3.1</v>
      </c>
      <c r="E288" s="2" t="s">
        <v>176</v>
      </c>
      <c r="F288" s="9" t="s">
        <v>580</v>
      </c>
      <c r="G288" t="s">
        <v>655</v>
      </c>
      <c r="I288" s="2"/>
      <c r="J288" s="25">
        <v>1</v>
      </c>
      <c r="K288">
        <v>1</v>
      </c>
      <c r="L288">
        <v>0</v>
      </c>
      <c r="M288" s="2">
        <v>3.9007999999999998</v>
      </c>
      <c r="N288" s="2">
        <v>3.9007999999999998</v>
      </c>
      <c r="O288" s="2">
        <v>15.317</v>
      </c>
      <c r="P288" s="2" t="s">
        <v>439</v>
      </c>
      <c r="Q288" s="2"/>
      <c r="R288" s="25">
        <v>3.9860820000000001</v>
      </c>
      <c r="S288" s="25">
        <v>3.9860820000000001</v>
      </c>
      <c r="T288" s="25">
        <v>15.440419</v>
      </c>
      <c r="U288">
        <v>3.8944000000000001</v>
      </c>
      <c r="V288">
        <v>3.8944000000000001</v>
      </c>
      <c r="W288">
        <v>15.271000000000001</v>
      </c>
      <c r="X288">
        <v>0</v>
      </c>
      <c r="AA288" s="2"/>
      <c r="AB288">
        <v>20</v>
      </c>
      <c r="AC288" s="55">
        <f t="shared" si="37"/>
        <v>233.06715788288</v>
      </c>
      <c r="AD288" s="57">
        <v>245.33049696160739</v>
      </c>
      <c r="AE288" s="55">
        <v>231.60535161856001</v>
      </c>
      <c r="AF288" s="55">
        <v>0</v>
      </c>
      <c r="AG288" s="52"/>
      <c r="AH288" s="51">
        <v>8.1522681638434333E-2</v>
      </c>
      <c r="AI288" s="52">
        <v>8.6353790446685313E-2</v>
      </c>
      <c r="AJ288" s="52"/>
      <c r="AK288" s="28">
        <v>1.75</v>
      </c>
      <c r="AL288" s="28">
        <v>2.5</v>
      </c>
      <c r="AM288" s="28">
        <v>0.75</v>
      </c>
      <c r="AN288" s="28">
        <v>0</v>
      </c>
      <c r="AO288" s="28">
        <v>0.35</v>
      </c>
      <c r="AP288" s="28">
        <v>0.5</v>
      </c>
      <c r="AQ288" s="28">
        <v>0.15</v>
      </c>
      <c r="AR288" s="28">
        <v>0</v>
      </c>
      <c r="AS288" s="25">
        <v>0.82</v>
      </c>
      <c r="AT288" s="25">
        <v>3.44</v>
      </c>
      <c r="AU288" s="25">
        <v>2.62</v>
      </c>
      <c r="AV288" s="25">
        <v>2.62</v>
      </c>
      <c r="AW288">
        <v>2.62</v>
      </c>
      <c r="AX288">
        <v>5.9367901628125006</v>
      </c>
      <c r="AY288" s="75">
        <v>0.52249469585014929</v>
      </c>
      <c r="AZ288" s="75">
        <v>0.55345821025686881</v>
      </c>
      <c r="BA288" s="75"/>
      <c r="BC288">
        <v>4.0761340819217173E-2</v>
      </c>
      <c r="BD288">
        <v>4.3176895223342657E-2</v>
      </c>
      <c r="BF288">
        <v>8.3938236042559816E-2</v>
      </c>
      <c r="BG288">
        <v>4.1969118021279922E-2</v>
      </c>
      <c r="BH288">
        <v>0.53797645305350905</v>
      </c>
      <c r="BP288" s="79">
        <v>2.7</v>
      </c>
      <c r="BS288" s="79" t="s">
        <v>464</v>
      </c>
      <c r="BT288" s="79" t="s">
        <v>464</v>
      </c>
    </row>
    <row r="289" spans="1:72" x14ac:dyDescent="0.3">
      <c r="A289" s="5" t="s">
        <v>179</v>
      </c>
      <c r="B289" s="39" t="s">
        <v>795</v>
      </c>
      <c r="C289" s="39"/>
      <c r="D289" s="5">
        <v>2.66</v>
      </c>
      <c r="E289" s="5" t="s">
        <v>176</v>
      </c>
      <c r="F289" s="40">
        <v>-2</v>
      </c>
      <c r="G289" s="5">
        <v>-1</v>
      </c>
      <c r="H289" s="5"/>
      <c r="I289" s="5"/>
      <c r="J289" s="41">
        <v>0</v>
      </c>
      <c r="K289">
        <v>0</v>
      </c>
      <c r="L289">
        <v>0</v>
      </c>
      <c r="M289" s="5"/>
      <c r="N289" s="5"/>
      <c r="O289" s="5"/>
      <c r="P289" s="5"/>
      <c r="Q289" s="5"/>
      <c r="R289" s="41">
        <v>0</v>
      </c>
      <c r="S289" s="41"/>
      <c r="T289" s="41"/>
      <c r="U289">
        <v>0</v>
      </c>
      <c r="X289">
        <v>0</v>
      </c>
      <c r="AA289" s="5"/>
      <c r="AB289" s="5">
        <v>20</v>
      </c>
      <c r="AC289" s="55">
        <f t="shared" si="37"/>
        <v>0</v>
      </c>
      <c r="AD289" s="57">
        <v>0</v>
      </c>
      <c r="AE289" s="55">
        <v>0</v>
      </c>
      <c r="AF289" s="55">
        <v>0</v>
      </c>
      <c r="AG289" s="52"/>
      <c r="AH289" s="51"/>
      <c r="AI289" s="52"/>
      <c r="AJ289" s="52"/>
      <c r="AK289" s="5">
        <v>1.75</v>
      </c>
      <c r="AL289" s="5">
        <v>2.5</v>
      </c>
      <c r="AM289" s="5">
        <v>1.375</v>
      </c>
      <c r="AN289" s="5">
        <v>0</v>
      </c>
      <c r="AO289" s="5">
        <v>0.31111111111111112</v>
      </c>
      <c r="AP289" s="5">
        <v>0.44444444444444442</v>
      </c>
      <c r="AQ289" s="5">
        <v>0.24444444444444441</v>
      </c>
      <c r="AR289" s="5">
        <v>0</v>
      </c>
      <c r="AS289" s="41">
        <v>0.95</v>
      </c>
      <c r="AT289" s="41">
        <v>3.44</v>
      </c>
      <c r="AU289" s="41">
        <v>2.4900000000000002</v>
      </c>
      <c r="AV289" s="41">
        <v>2.6893750000000001</v>
      </c>
      <c r="AW289" s="5">
        <v>2.6893750000000001</v>
      </c>
      <c r="AX289" s="5">
        <v>6.0685921218750014</v>
      </c>
      <c r="AY289" s="75"/>
      <c r="AZ289" s="75"/>
      <c r="BA289" s="75"/>
      <c r="BF289">
        <v>0</v>
      </c>
      <c r="BG289">
        <v>0</v>
      </c>
      <c r="BH289">
        <v>0</v>
      </c>
      <c r="BP289" s="79">
        <v>3</v>
      </c>
      <c r="BS289" s="79" t="s">
        <v>464</v>
      </c>
      <c r="BT289" s="79" t="s">
        <v>464</v>
      </c>
    </row>
    <row r="290" spans="1:72" x14ac:dyDescent="0.3">
      <c r="A290" s="2" t="s">
        <v>180</v>
      </c>
      <c r="B290" s="13" t="s">
        <v>796</v>
      </c>
      <c r="C290" s="13"/>
      <c r="D290" s="2">
        <v>3.6</v>
      </c>
      <c r="E290" s="2" t="s">
        <v>176</v>
      </c>
      <c r="F290" s="9">
        <v>-1</v>
      </c>
      <c r="G290">
        <v>-1</v>
      </c>
      <c r="I290" s="2">
        <v>2</v>
      </c>
      <c r="J290" s="25">
        <v>0</v>
      </c>
      <c r="K290">
        <v>0</v>
      </c>
      <c r="L290">
        <v>0</v>
      </c>
      <c r="M290" s="2">
        <v>3.9287999999999998</v>
      </c>
      <c r="N290" s="2">
        <v>3.9287999999999998</v>
      </c>
      <c r="O290" s="2">
        <v>30.2698</v>
      </c>
      <c r="P290" s="2" t="s">
        <v>439</v>
      </c>
      <c r="Q290" s="2"/>
      <c r="R290" s="25">
        <v>0</v>
      </c>
      <c r="S290" s="25"/>
      <c r="T290" s="25"/>
      <c r="U290">
        <v>0</v>
      </c>
      <c r="X290">
        <v>0</v>
      </c>
      <c r="AA290" s="2"/>
      <c r="AB290">
        <v>20</v>
      </c>
      <c r="AC290" s="55">
        <f t="shared" si="37"/>
        <v>467.22857285491193</v>
      </c>
      <c r="AD290" s="57">
        <v>0</v>
      </c>
      <c r="AE290" s="55">
        <v>0</v>
      </c>
      <c r="AF290" s="55">
        <v>0</v>
      </c>
      <c r="AG290" s="52">
        <f t="shared" ref="AG290:AG293" si="38">I290*AB290/AC290</f>
        <v>8.5611202576048706E-2</v>
      </c>
      <c r="AH290" s="51"/>
      <c r="AI290" s="52"/>
      <c r="AJ290" s="52"/>
      <c r="AK290" s="28">
        <v>1.882352941176471</v>
      </c>
      <c r="AL290" s="28">
        <v>2.3529411764705879</v>
      </c>
      <c r="AM290" s="28">
        <v>0.47058823529411759</v>
      </c>
      <c r="AN290" s="28">
        <v>0</v>
      </c>
      <c r="AO290" s="28">
        <v>0.4</v>
      </c>
      <c r="AP290" s="28">
        <v>0.5</v>
      </c>
      <c r="AQ290" s="28">
        <v>9.9999999999999992E-2</v>
      </c>
      <c r="AR290" s="28">
        <v>0</v>
      </c>
      <c r="AS290" s="25">
        <v>0.82</v>
      </c>
      <c r="AT290" s="25">
        <v>3.44</v>
      </c>
      <c r="AU290" s="25">
        <v>2.62</v>
      </c>
      <c r="AV290" s="25">
        <v>2.5211764705882351</v>
      </c>
      <c r="AW290">
        <v>2.521176470588236</v>
      </c>
      <c r="AX290">
        <v>5.6793405594117647</v>
      </c>
      <c r="AY290" s="75"/>
      <c r="AZ290" s="75"/>
      <c r="BA290" s="75"/>
      <c r="BB290">
        <v>4.2805601288024353E-2</v>
      </c>
      <c r="BF290">
        <v>8.5611202576048706E-2</v>
      </c>
      <c r="BG290">
        <v>4.2805601288024353E-2</v>
      </c>
      <c r="BH290">
        <v>0</v>
      </c>
      <c r="BP290" s="79">
        <v>2.2999999999999998</v>
      </c>
      <c r="BS290" s="79" t="s">
        <v>464</v>
      </c>
      <c r="BT290" s="79" t="s">
        <v>464</v>
      </c>
    </row>
    <row r="291" spans="1:72" x14ac:dyDescent="0.3">
      <c r="A291" s="2" t="s">
        <v>181</v>
      </c>
      <c r="B291" s="13" t="s">
        <v>797</v>
      </c>
      <c r="C291" s="13"/>
      <c r="D291" s="2">
        <v>2.4</v>
      </c>
      <c r="E291" s="2" t="s">
        <v>176</v>
      </c>
      <c r="F291" s="9" t="s">
        <v>581</v>
      </c>
      <c r="G291" t="s">
        <v>656</v>
      </c>
      <c r="I291" s="2">
        <v>2</v>
      </c>
      <c r="J291" s="25">
        <v>1</v>
      </c>
      <c r="K291">
        <v>2</v>
      </c>
      <c r="L291">
        <v>0</v>
      </c>
      <c r="M291" s="2">
        <v>3.8313999999999999</v>
      </c>
      <c r="N291" s="2">
        <v>3.8313999999999999</v>
      </c>
      <c r="O291" s="2">
        <v>28.871400000000001</v>
      </c>
      <c r="P291" s="2" t="s">
        <v>440</v>
      </c>
      <c r="Q291" s="2"/>
      <c r="R291" s="25">
        <v>14.88329339</v>
      </c>
      <c r="S291" s="25">
        <v>14.88329339</v>
      </c>
      <c r="T291" s="25">
        <v>14.88329339</v>
      </c>
      <c r="U291">
        <v>3.8250999999999999</v>
      </c>
      <c r="V291">
        <v>3.8250999999999999</v>
      </c>
      <c r="W291">
        <v>28.884</v>
      </c>
      <c r="X291">
        <v>0</v>
      </c>
      <c r="AA291" s="2"/>
      <c r="AB291">
        <v>20</v>
      </c>
      <c r="AC291" s="55">
        <f t="shared" si="37"/>
        <v>423.82135294154398</v>
      </c>
      <c r="AD291" s="57">
        <v>218.43262216091571</v>
      </c>
      <c r="AE291" s="55">
        <v>422.61306904883998</v>
      </c>
      <c r="AF291" s="55">
        <v>0</v>
      </c>
      <c r="AG291" s="52">
        <f t="shared" si="38"/>
        <v>9.4379388207741013E-2</v>
      </c>
      <c r="AH291" s="51">
        <v>9.1561415150097566E-2</v>
      </c>
      <c r="AI291" s="52">
        <v>9.4649226276950119E-2</v>
      </c>
      <c r="AJ291" s="52"/>
      <c r="AK291" s="28">
        <v>1.882352941176471</v>
      </c>
      <c r="AL291" s="28">
        <v>2.3529411764705879</v>
      </c>
      <c r="AM291" s="28">
        <v>1.6470588235294119</v>
      </c>
      <c r="AN291" s="28">
        <v>0</v>
      </c>
      <c r="AO291" s="28">
        <v>0.32</v>
      </c>
      <c r="AP291" s="28">
        <v>0.4</v>
      </c>
      <c r="AQ291" s="28">
        <v>0.28000000000000003</v>
      </c>
      <c r="AR291" s="28">
        <v>0</v>
      </c>
      <c r="AS291" s="25">
        <v>1.1000000000000001</v>
      </c>
      <c r="AT291" s="25">
        <v>3.44</v>
      </c>
      <c r="AU291" s="25">
        <v>2.34</v>
      </c>
      <c r="AV291" s="25">
        <v>2.651764705882353</v>
      </c>
      <c r="AW291">
        <v>2.651764705882353</v>
      </c>
      <c r="AX291">
        <v>5.9274383647058819</v>
      </c>
      <c r="AY291" s="75">
        <v>0.55146660057091235</v>
      </c>
      <c r="AZ291" s="75">
        <v>0.57006422384419775</v>
      </c>
      <c r="BA291" s="75"/>
      <c r="BB291">
        <v>4.7189694103870507E-2</v>
      </c>
      <c r="BC291">
        <v>4.5780707575048769E-2</v>
      </c>
      <c r="BD291">
        <v>4.7324613138475059E-2</v>
      </c>
      <c r="BF291">
        <v>9.353000987826289E-2</v>
      </c>
      <c r="BG291">
        <v>4.6765004939131452E-2</v>
      </c>
      <c r="BH291">
        <v>0.56076541220755505</v>
      </c>
      <c r="BP291" s="79">
        <v>3.1</v>
      </c>
      <c r="BS291" s="79" t="s">
        <v>464</v>
      </c>
      <c r="BT291" s="79" t="s">
        <v>464</v>
      </c>
    </row>
    <row r="292" spans="1:72" x14ac:dyDescent="0.3">
      <c r="A292" s="2" t="s">
        <v>175</v>
      </c>
      <c r="B292" s="17" t="s">
        <v>792</v>
      </c>
      <c r="C292" s="13"/>
      <c r="D292" s="2">
        <v>3.15</v>
      </c>
      <c r="E292" s="2" t="s">
        <v>176</v>
      </c>
      <c r="F292" s="9" t="s">
        <v>579</v>
      </c>
      <c r="G292" t="s">
        <v>654</v>
      </c>
      <c r="I292" s="2"/>
      <c r="J292" s="25">
        <v>1</v>
      </c>
      <c r="K292">
        <v>2</v>
      </c>
      <c r="L292">
        <v>0</v>
      </c>
      <c r="M292" s="2">
        <v>7.7803000000000004</v>
      </c>
      <c r="N292" s="2">
        <v>7.7803000000000004</v>
      </c>
      <c r="O292" s="2">
        <v>42.569200000000002</v>
      </c>
      <c r="P292" s="2" t="s">
        <v>516</v>
      </c>
      <c r="Q292" s="2"/>
      <c r="R292" s="25">
        <v>11.30538971</v>
      </c>
      <c r="S292" s="25">
        <v>11.30538971</v>
      </c>
      <c r="T292" s="25">
        <v>11.30538971</v>
      </c>
      <c r="U292">
        <v>3.8996</v>
      </c>
      <c r="V292">
        <v>3.8996</v>
      </c>
      <c r="W292">
        <v>21.687999999999999</v>
      </c>
      <c r="X292">
        <v>0</v>
      </c>
      <c r="AA292" s="2"/>
      <c r="AB292">
        <v>14</v>
      </c>
      <c r="AC292" s="55">
        <f t="shared" si="37"/>
        <v>2576.8442821368285</v>
      </c>
      <c r="AD292" s="57">
        <v>169.7295487154349</v>
      </c>
      <c r="AE292" s="55">
        <v>329.80681691007999</v>
      </c>
      <c r="AF292" s="55">
        <v>0</v>
      </c>
      <c r="AG292" s="52"/>
      <c r="AH292" s="51">
        <v>8.248416440128592E-2</v>
      </c>
      <c r="AI292" s="52">
        <v>8.4898184526107132E-2</v>
      </c>
      <c r="AJ292" s="52"/>
      <c r="AK292" s="28">
        <v>1.7272727272727271</v>
      </c>
      <c r="AL292" s="28">
        <v>2.545454545454545</v>
      </c>
      <c r="AM292" s="28">
        <v>1.7272727272727271</v>
      </c>
      <c r="AN292" s="28">
        <v>0</v>
      </c>
      <c r="AO292" s="28">
        <v>0.2878787878787879</v>
      </c>
      <c r="AP292" s="28">
        <v>0.42424242424242431</v>
      </c>
      <c r="AQ292" s="28">
        <v>0.2878787878787879</v>
      </c>
      <c r="AR292" s="28">
        <v>0</v>
      </c>
      <c r="AS292" s="25">
        <v>1.1000000000000001</v>
      </c>
      <c r="AT292" s="25">
        <v>3.44</v>
      </c>
      <c r="AU292" s="25">
        <v>2.34</v>
      </c>
      <c r="AV292" s="25">
        <v>2.7554545454545449</v>
      </c>
      <c r="AW292">
        <v>2.7554545454545449</v>
      </c>
      <c r="AX292">
        <v>6.1782631499999994</v>
      </c>
      <c r="AY292" s="75">
        <v>0.46170510468104309</v>
      </c>
      <c r="AZ292" s="75">
        <v>0</v>
      </c>
      <c r="BA292" s="75"/>
      <c r="BC292">
        <v>4.124208220064296E-2</v>
      </c>
      <c r="BD292">
        <v>4.2449092263053573E-2</v>
      </c>
      <c r="BF292">
        <v>8.3691174463696533E-2</v>
      </c>
      <c r="BG292">
        <v>4.1845587231848273E-2</v>
      </c>
      <c r="BH292">
        <v>0.23085255234052149</v>
      </c>
      <c r="BN292" s="79" t="s">
        <v>863</v>
      </c>
      <c r="BO292" s="79">
        <v>1</v>
      </c>
      <c r="BS292" s="79" t="s">
        <v>464</v>
      </c>
      <c r="BT292" s="79" t="s">
        <v>464</v>
      </c>
    </row>
    <row r="293" spans="1:72" x14ac:dyDescent="0.3">
      <c r="A293" s="2" t="s">
        <v>177</v>
      </c>
      <c r="B293" s="17" t="s">
        <v>793</v>
      </c>
      <c r="C293" s="13"/>
      <c r="D293" s="2">
        <v>3.14</v>
      </c>
      <c r="E293" s="2" t="s">
        <v>176</v>
      </c>
      <c r="F293" s="9">
        <v>-1</v>
      </c>
      <c r="G293">
        <v>-1</v>
      </c>
      <c r="I293" s="2">
        <v>1</v>
      </c>
      <c r="J293" s="25">
        <v>0</v>
      </c>
      <c r="K293">
        <v>0</v>
      </c>
      <c r="L293">
        <v>0</v>
      </c>
      <c r="M293" s="2">
        <v>3.84</v>
      </c>
      <c r="N293" s="2">
        <v>3.84</v>
      </c>
      <c r="O293" s="2">
        <v>15.007</v>
      </c>
      <c r="P293" s="2"/>
      <c r="Q293" s="2"/>
      <c r="R293" s="25">
        <v>0</v>
      </c>
      <c r="S293" s="25"/>
      <c r="T293" s="25"/>
      <c r="U293">
        <v>0</v>
      </c>
      <c r="X293">
        <v>0</v>
      </c>
      <c r="AA293" s="2"/>
      <c r="AB293">
        <v>20</v>
      </c>
      <c r="AC293" s="55">
        <f t="shared" si="37"/>
        <v>221.28721919999998</v>
      </c>
      <c r="AD293" s="57">
        <v>0</v>
      </c>
      <c r="AE293" s="55">
        <v>0</v>
      </c>
      <c r="AF293" s="55">
        <v>0</v>
      </c>
      <c r="AG293" s="52">
        <f t="shared" si="38"/>
        <v>9.0380276241457697E-2</v>
      </c>
      <c r="AH293" s="51"/>
      <c r="AI293" s="52"/>
      <c r="AJ293" s="52"/>
      <c r="AK293" s="28">
        <v>1.75</v>
      </c>
      <c r="AL293" s="28">
        <v>2.5</v>
      </c>
      <c r="AM293" s="28">
        <v>1.375</v>
      </c>
      <c r="AN293" s="28">
        <v>0</v>
      </c>
      <c r="AO293" s="28">
        <v>0.31111111111111112</v>
      </c>
      <c r="AP293" s="28">
        <v>0.44444444444444442</v>
      </c>
      <c r="AQ293" s="28">
        <v>0.24444444444444441</v>
      </c>
      <c r="AR293" s="28">
        <v>0</v>
      </c>
      <c r="AS293" s="25">
        <v>1</v>
      </c>
      <c r="AT293" s="25">
        <v>3.44</v>
      </c>
      <c r="AU293" s="25">
        <v>2.44</v>
      </c>
      <c r="AV293" s="25">
        <v>2.6956250000000002</v>
      </c>
      <c r="AW293">
        <v>2.6956250000000002</v>
      </c>
      <c r="AX293">
        <v>6.0930154356250004</v>
      </c>
      <c r="AY293" s="75"/>
      <c r="AZ293" s="75"/>
      <c r="BA293" s="75"/>
      <c r="BB293">
        <v>4.5190138120728848E-2</v>
      </c>
      <c r="BF293">
        <v>9.0380276241457697E-2</v>
      </c>
      <c r="BG293">
        <v>4.5190138120728848E-2</v>
      </c>
      <c r="BH293">
        <v>0</v>
      </c>
      <c r="BN293" s="79" t="s">
        <v>863</v>
      </c>
      <c r="BO293" s="79">
        <v>1</v>
      </c>
      <c r="BS293" s="79" t="s">
        <v>464</v>
      </c>
      <c r="BT293" s="79" t="s">
        <v>464</v>
      </c>
    </row>
    <row r="294" spans="1:72" x14ac:dyDescent="0.3">
      <c r="A294" s="5" t="s">
        <v>179</v>
      </c>
      <c r="B294" s="46" t="s">
        <v>795</v>
      </c>
      <c r="C294" s="39"/>
      <c r="D294" s="5">
        <v>3.22</v>
      </c>
      <c r="E294" s="5" t="s">
        <v>176</v>
      </c>
      <c r="F294" s="40">
        <v>-2</v>
      </c>
      <c r="G294" s="5">
        <v>-1</v>
      </c>
      <c r="H294" s="5"/>
      <c r="I294" s="5"/>
      <c r="J294" s="41">
        <v>0</v>
      </c>
      <c r="K294">
        <v>0</v>
      </c>
      <c r="L294">
        <v>0</v>
      </c>
      <c r="M294" s="5"/>
      <c r="N294" s="5"/>
      <c r="O294" s="5"/>
      <c r="P294" s="5"/>
      <c r="Q294" s="5"/>
      <c r="R294" s="41">
        <v>0</v>
      </c>
      <c r="S294" s="41"/>
      <c r="T294" s="41"/>
      <c r="U294">
        <v>0</v>
      </c>
      <c r="X294">
        <v>0</v>
      </c>
      <c r="AA294" s="5"/>
      <c r="AB294" s="5">
        <v>20</v>
      </c>
      <c r="AC294" s="55">
        <f t="shared" si="37"/>
        <v>0</v>
      </c>
      <c r="AD294" s="57">
        <v>0</v>
      </c>
      <c r="AE294" s="55">
        <v>0</v>
      </c>
      <c r="AF294" s="55">
        <v>0</v>
      </c>
      <c r="AG294" s="52"/>
      <c r="AH294" s="51"/>
      <c r="AI294" s="52"/>
      <c r="AJ294" s="52"/>
      <c r="AK294" s="5">
        <v>1.75</v>
      </c>
      <c r="AL294" s="5">
        <v>2.5</v>
      </c>
      <c r="AM294" s="5">
        <v>1.375</v>
      </c>
      <c r="AN294" s="5">
        <v>0</v>
      </c>
      <c r="AO294" s="5">
        <v>0.31111111111111112</v>
      </c>
      <c r="AP294" s="5">
        <v>0.44444444444444442</v>
      </c>
      <c r="AQ294" s="5">
        <v>0.24444444444444441</v>
      </c>
      <c r="AR294" s="5">
        <v>0</v>
      </c>
      <c r="AS294" s="41">
        <v>0.95</v>
      </c>
      <c r="AT294" s="41">
        <v>3.44</v>
      </c>
      <c r="AU294" s="41">
        <v>2.4900000000000002</v>
      </c>
      <c r="AV294" s="41">
        <v>2.6893750000000001</v>
      </c>
      <c r="AW294" s="5">
        <v>2.6893750000000001</v>
      </c>
      <c r="AX294" s="5">
        <v>6.0685921218750014</v>
      </c>
      <c r="AY294" s="75"/>
      <c r="AZ294" s="75"/>
      <c r="BA294" s="75"/>
      <c r="BF294">
        <v>0</v>
      </c>
      <c r="BG294">
        <v>0</v>
      </c>
      <c r="BH294">
        <v>0</v>
      </c>
      <c r="BN294" s="79" t="s">
        <v>863</v>
      </c>
      <c r="BO294" s="79">
        <v>1</v>
      </c>
      <c r="BS294" s="79" t="s">
        <v>464</v>
      </c>
      <c r="BT294" s="79" t="s">
        <v>464</v>
      </c>
    </row>
    <row r="295" spans="1:72" x14ac:dyDescent="0.3">
      <c r="A295" s="2" t="s">
        <v>181</v>
      </c>
      <c r="B295" s="17" t="s">
        <v>797</v>
      </c>
      <c r="C295" s="13"/>
      <c r="D295" s="2">
        <v>3.42</v>
      </c>
      <c r="E295" s="2" t="s">
        <v>176</v>
      </c>
      <c r="F295" s="9" t="s">
        <v>581</v>
      </c>
      <c r="G295" t="s">
        <v>656</v>
      </c>
      <c r="I295" s="2"/>
      <c r="J295" s="25">
        <v>1</v>
      </c>
      <c r="K295">
        <v>2</v>
      </c>
      <c r="L295">
        <v>0</v>
      </c>
      <c r="M295" s="2">
        <v>7.7803000000000004</v>
      </c>
      <c r="N295" s="2">
        <v>7.7803000000000004</v>
      </c>
      <c r="O295" s="2">
        <v>42.569200000000002</v>
      </c>
      <c r="P295" s="2" t="s">
        <v>516</v>
      </c>
      <c r="Q295" s="2"/>
      <c r="R295" s="25">
        <v>14.88329339</v>
      </c>
      <c r="S295" s="25">
        <v>14.88329339</v>
      </c>
      <c r="T295" s="25">
        <v>14.88329339</v>
      </c>
      <c r="U295">
        <v>3.8250999999999999</v>
      </c>
      <c r="V295">
        <v>3.8250999999999999</v>
      </c>
      <c r="W295">
        <v>28.884</v>
      </c>
      <c r="X295">
        <v>0</v>
      </c>
      <c r="AA295" s="2"/>
      <c r="AB295">
        <v>20</v>
      </c>
      <c r="AC295" s="55">
        <f t="shared" si="37"/>
        <v>2576.8442821368285</v>
      </c>
      <c r="AD295" s="57">
        <v>218.43262216091571</v>
      </c>
      <c r="AE295" s="55">
        <v>422.61306904883998</v>
      </c>
      <c r="AF295" s="55">
        <v>0</v>
      </c>
      <c r="AG295" s="52"/>
      <c r="AH295" s="51">
        <v>9.1561415150097566E-2</v>
      </c>
      <c r="AI295" s="52">
        <v>9.4649226276950119E-2</v>
      </c>
      <c r="AJ295" s="52"/>
      <c r="AK295" s="28">
        <v>1.882352941176471</v>
      </c>
      <c r="AL295" s="28">
        <v>2.3529411764705879</v>
      </c>
      <c r="AM295" s="28">
        <v>1.6470588235294119</v>
      </c>
      <c r="AN295" s="28">
        <v>0</v>
      </c>
      <c r="AO295" s="28">
        <v>0.32</v>
      </c>
      <c r="AP295" s="28">
        <v>0.4</v>
      </c>
      <c r="AQ295" s="28">
        <v>0.28000000000000003</v>
      </c>
      <c r="AR295" s="28">
        <v>0</v>
      </c>
      <c r="AS295" s="25">
        <v>1.1000000000000001</v>
      </c>
      <c r="AT295" s="25">
        <v>3.44</v>
      </c>
      <c r="AU295" s="25">
        <v>2.34</v>
      </c>
      <c r="AV295" s="25">
        <v>2.651764705882353</v>
      </c>
      <c r="AW295">
        <v>2.651764705882353</v>
      </c>
      <c r="AX295">
        <v>5.9274383647058819</v>
      </c>
      <c r="AY295" s="75">
        <v>0.55146660057091235</v>
      </c>
      <c r="AZ295" s="75">
        <v>0.57006422384419775</v>
      </c>
      <c r="BA295" s="75"/>
      <c r="BC295">
        <v>4.5780707575048769E-2</v>
      </c>
      <c r="BD295">
        <v>4.7324613138475059E-2</v>
      </c>
      <c r="BF295">
        <v>9.3105320713523843E-2</v>
      </c>
      <c r="BG295">
        <v>4.6552660356761907E-2</v>
      </c>
      <c r="BH295">
        <v>0.56076541220755505</v>
      </c>
      <c r="BN295" s="79" t="s">
        <v>863</v>
      </c>
      <c r="BO295" s="79">
        <v>1</v>
      </c>
      <c r="BS295" s="79" t="s">
        <v>464</v>
      </c>
      <c r="BT295" s="79" t="s">
        <v>464</v>
      </c>
    </row>
    <row r="296" spans="1:72" x14ac:dyDescent="0.3">
      <c r="A296" s="2" t="s">
        <v>38</v>
      </c>
      <c r="B296" s="13" t="s">
        <v>714</v>
      </c>
      <c r="C296" s="13"/>
      <c r="D296" s="2">
        <v>3.9</v>
      </c>
      <c r="E296" s="2" t="s">
        <v>182</v>
      </c>
      <c r="F296" s="9" t="s">
        <v>545</v>
      </c>
      <c r="G296" t="s">
        <v>626</v>
      </c>
      <c r="I296" s="2"/>
      <c r="J296" s="25">
        <v>1</v>
      </c>
      <c r="K296">
        <v>1</v>
      </c>
      <c r="L296">
        <v>0</v>
      </c>
      <c r="M296" s="2"/>
      <c r="N296" s="2"/>
      <c r="O296" s="2"/>
      <c r="P296" s="2"/>
      <c r="Q296" s="2"/>
      <c r="R296" s="25">
        <v>5.8532381300000003</v>
      </c>
      <c r="S296" s="25">
        <v>5.8532371599999999</v>
      </c>
      <c r="T296" s="25">
        <v>11.912811489999999</v>
      </c>
      <c r="U296">
        <v>5.7946</v>
      </c>
      <c r="V296">
        <v>5.7946</v>
      </c>
      <c r="W296">
        <v>11.787599999999999</v>
      </c>
      <c r="X296">
        <v>0</v>
      </c>
      <c r="AA296" s="2"/>
      <c r="AB296">
        <v>30</v>
      </c>
      <c r="AC296" s="55">
        <f t="shared" si="37"/>
        <v>0</v>
      </c>
      <c r="AD296" s="57">
        <v>353.45760058531442</v>
      </c>
      <c r="AE296" s="55">
        <v>342.77011164986573</v>
      </c>
      <c r="AF296" s="55">
        <v>0</v>
      </c>
      <c r="AG296" s="52"/>
      <c r="AH296" s="51">
        <v>8.487580957467307E-2</v>
      </c>
      <c r="AI296" s="52">
        <v>8.752221672887435E-2</v>
      </c>
      <c r="AJ296" s="52"/>
      <c r="AK296" s="28">
        <v>1.833333333333333</v>
      </c>
      <c r="AL296" s="28">
        <v>2.5</v>
      </c>
      <c r="AM296" s="28">
        <v>0.66666666666666663</v>
      </c>
      <c r="AN296" s="28">
        <v>0</v>
      </c>
      <c r="AO296" s="28">
        <v>0.36666666666666659</v>
      </c>
      <c r="AP296" s="28">
        <v>0.5</v>
      </c>
      <c r="AQ296" s="28">
        <v>0.1333333333333333</v>
      </c>
      <c r="AR296" s="28">
        <v>0</v>
      </c>
      <c r="AS296" s="25">
        <v>0.89</v>
      </c>
      <c r="AT296" s="25">
        <v>3.44</v>
      </c>
      <c r="AU296" s="25">
        <v>2.5499999999999998</v>
      </c>
      <c r="AV296" s="25">
        <v>2.6020833333333329</v>
      </c>
      <c r="AW296">
        <v>2.6020833333333329</v>
      </c>
      <c r="AX296">
        <v>5.9098726145833336</v>
      </c>
      <c r="AY296" s="75">
        <v>0.57410011132036598</v>
      </c>
      <c r="AZ296" s="75">
        <v>0.59200041353179045</v>
      </c>
      <c r="BA296" s="75"/>
      <c r="BC296">
        <v>4.2437904787336528E-2</v>
      </c>
      <c r="BD296">
        <v>4.3761108364437168E-2</v>
      </c>
      <c r="BF296">
        <v>8.619901315177371E-2</v>
      </c>
      <c r="BG296">
        <v>4.3099506575886848E-2</v>
      </c>
      <c r="BH296">
        <v>0.58305026242607827</v>
      </c>
      <c r="BP296" s="79">
        <v>0.7</v>
      </c>
      <c r="BS296" s="79" t="s">
        <v>464</v>
      </c>
      <c r="BT296" s="79" t="s">
        <v>464</v>
      </c>
    </row>
    <row r="297" spans="1:72" x14ac:dyDescent="0.3">
      <c r="A297" s="2" t="s">
        <v>48</v>
      </c>
      <c r="B297" s="13" t="s">
        <v>724</v>
      </c>
      <c r="C297" s="13"/>
      <c r="D297" s="2">
        <v>4.3</v>
      </c>
      <c r="E297" s="2" t="s">
        <v>183</v>
      </c>
      <c r="F297" s="9" t="s">
        <v>552</v>
      </c>
      <c r="G297" t="s">
        <v>630</v>
      </c>
      <c r="I297" s="2"/>
      <c r="J297" s="25">
        <v>2</v>
      </c>
      <c r="K297">
        <v>8</v>
      </c>
      <c r="L297">
        <v>0</v>
      </c>
      <c r="M297" s="2"/>
      <c r="N297" s="2"/>
      <c r="O297" s="2"/>
      <c r="P297" s="2"/>
      <c r="Q297" s="2"/>
      <c r="R297" s="25">
        <v>7.4836094600000003</v>
      </c>
      <c r="S297" s="25">
        <v>7.4836094600000003</v>
      </c>
      <c r="T297" s="25">
        <v>7.4836094600000003</v>
      </c>
      <c r="U297">
        <v>10.34</v>
      </c>
      <c r="V297">
        <v>10.34</v>
      </c>
      <c r="W297">
        <v>10.34</v>
      </c>
      <c r="X297">
        <v>0</v>
      </c>
      <c r="AA297" s="2"/>
      <c r="AB297">
        <v>14</v>
      </c>
      <c r="AC297" s="55">
        <f t="shared" si="37"/>
        <v>0</v>
      </c>
      <c r="AD297" s="57">
        <v>296.35915518228359</v>
      </c>
      <c r="AE297" s="55">
        <v>1105.507304</v>
      </c>
      <c r="AF297" s="55">
        <v>0</v>
      </c>
      <c r="AG297" s="52"/>
      <c r="AH297" s="51">
        <v>9.4479956196318104E-2</v>
      </c>
      <c r="AI297" s="52">
        <v>0.1013109543417363</v>
      </c>
      <c r="AJ297" s="52"/>
      <c r="AK297" s="28">
        <v>1.8181818181818179</v>
      </c>
      <c r="AL297" s="28">
        <v>2.545454545454545</v>
      </c>
      <c r="AM297" s="28">
        <v>0.72727272727272729</v>
      </c>
      <c r="AN297" s="28">
        <v>0</v>
      </c>
      <c r="AO297" s="28">
        <v>0.35714285714285721</v>
      </c>
      <c r="AP297" s="28">
        <v>0.5</v>
      </c>
      <c r="AQ297" s="28">
        <v>0.1428571428571429</v>
      </c>
      <c r="AR297" s="28">
        <v>0</v>
      </c>
      <c r="AS297" s="25">
        <v>1</v>
      </c>
      <c r="AT297" s="25">
        <v>3.44</v>
      </c>
      <c r="AU297" s="25">
        <v>2.44</v>
      </c>
      <c r="AV297" s="25">
        <v>2.6618181818181821</v>
      </c>
      <c r="AW297">
        <v>2.6618181818181821</v>
      </c>
      <c r="AX297">
        <v>6.0537295018181814</v>
      </c>
      <c r="AY297" s="75">
        <v>0.50642227837041764</v>
      </c>
      <c r="AZ297" s="75">
        <v>0.5430371307011983</v>
      </c>
      <c r="BA297" s="75"/>
      <c r="BC297">
        <v>4.7239978098159073E-2</v>
      </c>
      <c r="BD297">
        <v>5.0655477170868157E-2</v>
      </c>
      <c r="BF297">
        <v>9.789545526902721E-2</v>
      </c>
      <c r="BG297">
        <v>4.8947727634513619E-2</v>
      </c>
      <c r="BH297">
        <v>0.52472970453580792</v>
      </c>
      <c r="BP297" s="79">
        <v>4.2</v>
      </c>
      <c r="BS297" s="79" t="s">
        <v>464</v>
      </c>
      <c r="BT297" s="79" t="s">
        <v>464</v>
      </c>
    </row>
    <row r="298" spans="1:72" x14ac:dyDescent="0.3">
      <c r="A298" s="2" t="s">
        <v>49</v>
      </c>
      <c r="B298" s="13" t="s">
        <v>725</v>
      </c>
      <c r="C298" s="13"/>
      <c r="D298" s="2">
        <v>4.0999999999999996</v>
      </c>
      <c r="E298" s="2" t="s">
        <v>183</v>
      </c>
      <c r="F298" s="9" t="s">
        <v>553</v>
      </c>
      <c r="G298" t="s">
        <v>631</v>
      </c>
      <c r="I298" s="2"/>
      <c r="J298" s="25">
        <v>8</v>
      </c>
      <c r="K298">
        <v>8</v>
      </c>
      <c r="L298">
        <v>0</v>
      </c>
      <c r="M298" s="2"/>
      <c r="N298" s="2"/>
      <c r="O298" s="2"/>
      <c r="P298" s="2"/>
      <c r="Q298" s="2"/>
      <c r="R298" s="25">
        <v>5.8017180100000001</v>
      </c>
      <c r="S298" s="25">
        <v>7.9756520899999996</v>
      </c>
      <c r="T298" s="25">
        <v>27.352093400000001</v>
      </c>
      <c r="U298">
        <v>26.646989999999999</v>
      </c>
      <c r="V298">
        <v>7.9359999999999999</v>
      </c>
      <c r="W298">
        <v>5.7050000000000001</v>
      </c>
      <c r="X298">
        <v>0</v>
      </c>
      <c r="AA298" s="2"/>
      <c r="AB298">
        <v>14</v>
      </c>
      <c r="AC298" s="55">
        <f t="shared" si="37"/>
        <v>0</v>
      </c>
      <c r="AD298" s="57">
        <v>1265.6493143942739</v>
      </c>
      <c r="AE298" s="55">
        <v>1206.4392746112001</v>
      </c>
      <c r="AF298" s="55">
        <v>0</v>
      </c>
      <c r="AG298" s="52"/>
      <c r="AH298" s="51">
        <v>8.8492127105210025E-2</v>
      </c>
      <c r="AI298" s="52">
        <v>9.2835174017436004E-2</v>
      </c>
      <c r="AJ298" s="52"/>
      <c r="AK298" s="28">
        <v>1.8181818181818179</v>
      </c>
      <c r="AL298" s="28">
        <v>2.545454545454545</v>
      </c>
      <c r="AM298" s="28">
        <v>0.72727272727272729</v>
      </c>
      <c r="AN298" s="28">
        <v>0</v>
      </c>
      <c r="AO298" s="28">
        <v>0.35714285714285721</v>
      </c>
      <c r="AP298" s="28">
        <v>0.5</v>
      </c>
      <c r="AQ298" s="28">
        <v>0.1428571428571429</v>
      </c>
      <c r="AR298" s="28">
        <v>0</v>
      </c>
      <c r="AS298" s="25">
        <v>0.95</v>
      </c>
      <c r="AT298" s="25">
        <v>3.44</v>
      </c>
      <c r="AU298" s="25">
        <v>2.4900000000000002</v>
      </c>
      <c r="AV298" s="25">
        <v>2.6527272727272719</v>
      </c>
      <c r="AW298">
        <v>2.6527272727272728</v>
      </c>
      <c r="AX298">
        <v>6.0182046818181814</v>
      </c>
      <c r="AY298" s="75">
        <v>0.5176653673612065</v>
      </c>
      <c r="AZ298" s="75">
        <v>0.54307152550012683</v>
      </c>
      <c r="BA298" s="75"/>
      <c r="BC298">
        <v>4.4246063552605013E-2</v>
      </c>
      <c r="BD298">
        <v>4.6417587008717988E-2</v>
      </c>
      <c r="BF298">
        <v>9.0663650561323014E-2</v>
      </c>
      <c r="BG298">
        <v>4.53318252806615E-2</v>
      </c>
      <c r="BH298">
        <v>0.53036844643066661</v>
      </c>
      <c r="BP298" s="79">
        <v>5.0999999999999996</v>
      </c>
      <c r="BS298" s="79" t="s">
        <v>464</v>
      </c>
      <c r="BT298" s="79" t="s">
        <v>464</v>
      </c>
    </row>
    <row r="299" spans="1:72" x14ac:dyDescent="0.3">
      <c r="A299" s="2" t="s">
        <v>46</v>
      </c>
      <c r="B299" s="13" t="s">
        <v>722</v>
      </c>
      <c r="C299" s="13"/>
      <c r="D299" s="2">
        <v>3.2</v>
      </c>
      <c r="E299" s="2" t="s">
        <v>183</v>
      </c>
      <c r="F299" s="9" t="s">
        <v>551</v>
      </c>
      <c r="G299" t="s">
        <v>629</v>
      </c>
      <c r="I299" s="2"/>
      <c r="J299" s="25">
        <v>2</v>
      </c>
      <c r="K299">
        <v>4</v>
      </c>
      <c r="L299">
        <v>0</v>
      </c>
      <c r="M299" s="2"/>
      <c r="N299" s="2"/>
      <c r="O299" s="2"/>
      <c r="P299" s="2"/>
      <c r="Q299" s="2"/>
      <c r="R299" s="25">
        <v>7.41544296</v>
      </c>
      <c r="S299" s="25">
        <v>7.4154429599999991</v>
      </c>
      <c r="T299" s="25">
        <v>7.41544296</v>
      </c>
      <c r="U299">
        <v>7.8</v>
      </c>
      <c r="V299">
        <v>13.010999999999999</v>
      </c>
      <c r="W299">
        <v>5.5460000000000003</v>
      </c>
      <c r="X299">
        <v>0</v>
      </c>
      <c r="AA299" s="2"/>
      <c r="AB299">
        <v>14</v>
      </c>
      <c r="AC299" s="55">
        <f t="shared" si="37"/>
        <v>0</v>
      </c>
      <c r="AD299" s="57">
        <v>288.33429290182369</v>
      </c>
      <c r="AE299" s="55">
        <v>556.51188553357167</v>
      </c>
      <c r="AF299" s="55">
        <v>0</v>
      </c>
      <c r="AG299" s="52"/>
      <c r="AH299" s="51">
        <v>9.7109503410799117E-2</v>
      </c>
      <c r="AI299" s="52">
        <v>0.10062678166578309</v>
      </c>
      <c r="AJ299" s="52"/>
      <c r="AK299" s="28">
        <v>2</v>
      </c>
      <c r="AL299" s="28">
        <v>2.545454545454545</v>
      </c>
      <c r="AM299" s="28">
        <v>0.54545454545454541</v>
      </c>
      <c r="AN299" s="28">
        <v>0</v>
      </c>
      <c r="AO299" s="28">
        <v>0.39285714285714279</v>
      </c>
      <c r="AP299" s="28">
        <v>0.5</v>
      </c>
      <c r="AQ299" s="28">
        <v>0.1071428571428571</v>
      </c>
      <c r="AR299" s="28">
        <v>0</v>
      </c>
      <c r="AS299" s="25">
        <v>1.1000000000000001</v>
      </c>
      <c r="AT299" s="25">
        <v>3.44</v>
      </c>
      <c r="AU299" s="25">
        <v>2.34</v>
      </c>
      <c r="AV299" s="25">
        <v>2.669090909090909</v>
      </c>
      <c r="AW299">
        <v>2.669090909090909</v>
      </c>
      <c r="AX299">
        <v>5.9831974772727277</v>
      </c>
      <c r="AY299" s="75">
        <v>0.52442413903612473</v>
      </c>
      <c r="AZ299" s="75">
        <v>0.54341863036636606</v>
      </c>
      <c r="BA299" s="75"/>
      <c r="BC299">
        <v>4.8554751705399558E-2</v>
      </c>
      <c r="BD299">
        <v>5.0313390832891547E-2</v>
      </c>
      <c r="BF299">
        <v>9.8868142538291098E-2</v>
      </c>
      <c r="BG299">
        <v>4.9434071269145549E-2</v>
      </c>
      <c r="BH299">
        <v>0.53392138470124539</v>
      </c>
      <c r="BP299" s="79">
        <v>5.2</v>
      </c>
      <c r="BS299" s="79" t="s">
        <v>464</v>
      </c>
      <c r="BT299" s="79" t="s">
        <v>464</v>
      </c>
    </row>
    <row r="300" spans="1:72" x14ac:dyDescent="0.3">
      <c r="A300" s="2" t="s">
        <v>47</v>
      </c>
      <c r="B300" s="13" t="s">
        <v>723</v>
      </c>
      <c r="C300" s="13"/>
      <c r="D300" s="2">
        <v>3.8</v>
      </c>
      <c r="E300" s="2" t="s">
        <v>183</v>
      </c>
      <c r="F300" s="9">
        <v>-1</v>
      </c>
      <c r="G300">
        <v>-1</v>
      </c>
      <c r="H300" t="s">
        <v>1152</v>
      </c>
      <c r="I300" s="2"/>
      <c r="J300" s="25">
        <v>0</v>
      </c>
      <c r="K300">
        <v>0</v>
      </c>
      <c r="L300">
        <v>2</v>
      </c>
      <c r="M300" s="2"/>
      <c r="N300" s="2"/>
      <c r="O300" s="2"/>
      <c r="P300" s="2"/>
      <c r="Q300" s="2"/>
      <c r="R300" s="25">
        <v>0</v>
      </c>
      <c r="S300" s="25"/>
      <c r="T300" s="25"/>
      <c r="U300">
        <v>0</v>
      </c>
      <c r="X300">
        <v>5.5170000000000003</v>
      </c>
      <c r="Y300">
        <v>31.274999999999999</v>
      </c>
      <c r="Z300">
        <v>3.8942000000000001</v>
      </c>
      <c r="AA300" s="2"/>
      <c r="AB300">
        <v>34</v>
      </c>
      <c r="AC300" s="55">
        <f t="shared" si="37"/>
        <v>0</v>
      </c>
      <c r="AD300" s="57">
        <v>0</v>
      </c>
      <c r="AE300" s="55">
        <v>0</v>
      </c>
      <c r="AF300" s="55">
        <v>671.92152628500003</v>
      </c>
      <c r="AG300" s="52"/>
      <c r="AH300" s="51"/>
      <c r="AI300" s="52"/>
      <c r="AJ300" s="52">
        <v>0.1012022942261822</v>
      </c>
      <c r="AK300" s="28">
        <v>2</v>
      </c>
      <c r="AL300" s="28">
        <v>2.518518518518519</v>
      </c>
      <c r="AM300" s="28">
        <v>0.51851851851851849</v>
      </c>
      <c r="AN300" s="28">
        <v>0</v>
      </c>
      <c r="AO300" s="28">
        <v>0.39705882352941169</v>
      </c>
      <c r="AP300" s="28">
        <v>0.5</v>
      </c>
      <c r="AQ300" s="28">
        <v>0.1029411764705882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2.6511111111111112</v>
      </c>
      <c r="AW300">
        <v>2.6511111111111112</v>
      </c>
      <c r="AX300">
        <v>5.9544359512962952</v>
      </c>
      <c r="AY300" s="75"/>
      <c r="AZ300" s="75"/>
      <c r="BA300" s="75"/>
      <c r="BE300">
        <v>5.0601147113091112E-2</v>
      </c>
      <c r="BF300">
        <v>0.1012022942261822</v>
      </c>
      <c r="BG300">
        <v>5.0601147113091112E-2</v>
      </c>
      <c r="BH300">
        <v>0</v>
      </c>
      <c r="BP300" s="79">
        <v>4.9000000000000004</v>
      </c>
      <c r="BS300" s="79" t="s">
        <v>464</v>
      </c>
      <c r="BT300" s="79" t="s">
        <v>464</v>
      </c>
    </row>
    <row r="301" spans="1:72" x14ac:dyDescent="0.3">
      <c r="A301" s="2" t="s">
        <v>8</v>
      </c>
      <c r="B301" s="13" t="s">
        <v>694</v>
      </c>
      <c r="C301" s="13"/>
      <c r="D301" s="2">
        <v>3.1</v>
      </c>
      <c r="E301" s="2" t="s">
        <v>183</v>
      </c>
      <c r="F301" s="9" t="s">
        <v>530</v>
      </c>
      <c r="G301" t="s">
        <v>612</v>
      </c>
      <c r="I301" s="2"/>
      <c r="J301" s="25">
        <v>30</v>
      </c>
      <c r="K301">
        <v>4</v>
      </c>
      <c r="L301">
        <v>0</v>
      </c>
      <c r="M301" s="2"/>
      <c r="N301" s="2"/>
      <c r="O301" s="2"/>
      <c r="P301" s="2"/>
      <c r="Q301" s="2"/>
      <c r="R301" s="25">
        <v>10.59112378</v>
      </c>
      <c r="S301" s="25">
        <v>10.784736629999999</v>
      </c>
      <c r="T301" s="25">
        <v>10.486176179999999</v>
      </c>
      <c r="U301">
        <v>3.73</v>
      </c>
      <c r="V301">
        <v>3.73</v>
      </c>
      <c r="W301">
        <v>9.3699999999999992</v>
      </c>
      <c r="X301">
        <v>0</v>
      </c>
      <c r="AA301" s="2"/>
      <c r="AB301">
        <v>4</v>
      </c>
      <c r="AC301" s="55">
        <f t="shared" si="37"/>
        <v>0</v>
      </c>
      <c r="AD301" s="57">
        <v>1182.741260108548</v>
      </c>
      <c r="AE301" s="55">
        <v>130.36387300000001</v>
      </c>
      <c r="AF301" s="55">
        <v>0</v>
      </c>
      <c r="AG301" s="52"/>
      <c r="AH301" s="51">
        <v>0.1014592151701775</v>
      </c>
      <c r="AI301" s="52">
        <v>0.1227333894874388</v>
      </c>
      <c r="AJ301" s="52"/>
      <c r="AK301" s="28">
        <v>2</v>
      </c>
      <c r="AL301" s="28">
        <v>2.666666666666667</v>
      </c>
      <c r="AM301" s="28">
        <v>0.66666666666666663</v>
      </c>
      <c r="AN301" s="28">
        <v>0</v>
      </c>
      <c r="AO301" s="28">
        <v>0.375</v>
      </c>
      <c r="AP301" s="28">
        <v>0.5</v>
      </c>
      <c r="AQ301" s="28">
        <v>0.125</v>
      </c>
      <c r="AR301" s="28">
        <v>0</v>
      </c>
      <c r="AS301" s="25">
        <v>1.54</v>
      </c>
      <c r="AT301" s="25">
        <v>3.44</v>
      </c>
      <c r="AU301" s="25">
        <v>1.9</v>
      </c>
      <c r="AV301" s="25">
        <v>2.8066666666666671</v>
      </c>
      <c r="AW301">
        <v>2.8066666666666662</v>
      </c>
      <c r="AX301">
        <v>6.1769976</v>
      </c>
      <c r="AY301" s="75">
        <v>0.46900407026869628</v>
      </c>
      <c r="AZ301" s="75">
        <v>0.56734579634715776</v>
      </c>
      <c r="BA301" s="75"/>
      <c r="BC301">
        <v>5.072960758508873E-2</v>
      </c>
      <c r="BD301">
        <v>6.136669474371937E-2</v>
      </c>
      <c r="BF301">
        <v>0.1120963023288082</v>
      </c>
      <c r="BG301">
        <v>5.604815116440405E-2</v>
      </c>
      <c r="BH301">
        <v>0.51817493330792708</v>
      </c>
      <c r="BP301" s="79">
        <v>50</v>
      </c>
      <c r="BS301" s="79" t="s">
        <v>464</v>
      </c>
      <c r="BT301" s="79" t="s">
        <v>464</v>
      </c>
    </row>
    <row r="302" spans="1:72" x14ac:dyDescent="0.3">
      <c r="A302" s="2" t="s">
        <v>0</v>
      </c>
      <c r="B302" s="13" t="s">
        <v>685</v>
      </c>
      <c r="C302" s="13"/>
      <c r="D302" s="2">
        <v>3.3</v>
      </c>
      <c r="E302" s="2" t="s">
        <v>183</v>
      </c>
      <c r="F302" s="9" t="s">
        <v>523</v>
      </c>
      <c r="G302" t="s">
        <v>606</v>
      </c>
      <c r="I302" s="2"/>
      <c r="J302" s="25">
        <v>4</v>
      </c>
      <c r="K302">
        <v>4</v>
      </c>
      <c r="L302">
        <v>0</v>
      </c>
      <c r="M302" s="2"/>
      <c r="N302" s="2"/>
      <c r="O302" s="2"/>
      <c r="P302" s="2"/>
      <c r="Q302" s="2"/>
      <c r="R302" s="25">
        <v>6.6040679999999998</v>
      </c>
      <c r="S302" s="25">
        <v>7.9389519999999996</v>
      </c>
      <c r="T302" s="25">
        <v>33.703336</v>
      </c>
      <c r="U302">
        <v>7.83</v>
      </c>
      <c r="V302">
        <v>33.209989999999998</v>
      </c>
      <c r="W302">
        <v>6.46</v>
      </c>
      <c r="X302">
        <v>0</v>
      </c>
      <c r="AA302" s="2"/>
      <c r="AB302">
        <v>34</v>
      </c>
      <c r="AC302" s="55">
        <f t="shared" si="37"/>
        <v>0</v>
      </c>
      <c r="AD302" s="57">
        <v>1767.0449718798691</v>
      </c>
      <c r="AE302" s="55">
        <v>1679.8210721820001</v>
      </c>
      <c r="AF302" s="55">
        <v>0</v>
      </c>
      <c r="AG302" s="52"/>
      <c r="AH302" s="51">
        <v>7.6964651247849417E-2</v>
      </c>
      <c r="AI302" s="52">
        <v>8.0961003676030277E-2</v>
      </c>
      <c r="AJ302" s="52"/>
      <c r="AK302" s="28">
        <v>1.62962962962963</v>
      </c>
      <c r="AL302" s="28">
        <v>2.518518518518519</v>
      </c>
      <c r="AM302" s="28">
        <v>0.88888888888888884</v>
      </c>
      <c r="AN302" s="28">
        <v>0</v>
      </c>
      <c r="AO302" s="28">
        <v>0.32352941176470579</v>
      </c>
      <c r="AP302" s="28">
        <v>0.5</v>
      </c>
      <c r="AQ302" s="28">
        <v>0.1764705882352941</v>
      </c>
      <c r="AR302" s="28">
        <v>0</v>
      </c>
      <c r="AS302" s="25">
        <v>0.82</v>
      </c>
      <c r="AT302" s="25">
        <v>3.44</v>
      </c>
      <c r="AU302" s="25">
        <v>2.62</v>
      </c>
      <c r="AV302" s="25">
        <v>2.642962962962963</v>
      </c>
      <c r="AW302">
        <v>2.642962962962963</v>
      </c>
      <c r="AX302">
        <v>5.9587362692592576</v>
      </c>
      <c r="AY302" s="75">
        <v>0.48264383878002159</v>
      </c>
      <c r="AZ302" s="75">
        <v>0.50770488753139842</v>
      </c>
      <c r="BA302" s="75"/>
      <c r="BC302">
        <v>3.8482325623924708E-2</v>
      </c>
      <c r="BD302">
        <v>4.0480501838015132E-2</v>
      </c>
      <c r="BF302">
        <v>7.8962827461939847E-2</v>
      </c>
      <c r="BG302">
        <v>3.9481413730969923E-2</v>
      </c>
      <c r="BH302">
        <v>0.49517436315571001</v>
      </c>
      <c r="BP302" s="79">
        <v>4.5</v>
      </c>
      <c r="BS302" s="79" t="s">
        <v>464</v>
      </c>
      <c r="BT302" s="79" t="s">
        <v>464</v>
      </c>
    </row>
    <row r="303" spans="1:72" x14ac:dyDescent="0.3">
      <c r="A303" s="5" t="s">
        <v>184</v>
      </c>
      <c r="B303" s="39" t="s">
        <v>798</v>
      </c>
      <c r="C303" s="39"/>
      <c r="D303" s="5">
        <v>3.5</v>
      </c>
      <c r="E303" s="5" t="s">
        <v>183</v>
      </c>
      <c r="F303" s="40">
        <v>-2</v>
      </c>
      <c r="G303" s="5">
        <v>-1</v>
      </c>
      <c r="H303" s="5"/>
      <c r="I303" s="5"/>
      <c r="J303" s="41">
        <v>0</v>
      </c>
      <c r="K303">
        <v>0</v>
      </c>
      <c r="L303">
        <v>0</v>
      </c>
      <c r="M303" s="5"/>
      <c r="N303" s="5"/>
      <c r="O303" s="5"/>
      <c r="P303" s="5"/>
      <c r="Q303" s="5"/>
      <c r="R303" s="41">
        <v>0</v>
      </c>
      <c r="S303" s="41"/>
      <c r="T303" s="41"/>
      <c r="U303">
        <v>0</v>
      </c>
      <c r="X303">
        <v>0</v>
      </c>
      <c r="AA303" s="5"/>
      <c r="AB303" s="5">
        <v>20</v>
      </c>
      <c r="AC303" s="55">
        <f t="shared" si="37"/>
        <v>0</v>
      </c>
      <c r="AD303" s="57">
        <v>0</v>
      </c>
      <c r="AE303" s="55">
        <v>0</v>
      </c>
      <c r="AF303" s="55">
        <v>0</v>
      </c>
      <c r="AG303" s="52"/>
      <c r="AH303" s="51"/>
      <c r="AI303" s="52"/>
      <c r="AJ303" s="52"/>
      <c r="AK303" s="5">
        <v>1.9375</v>
      </c>
      <c r="AL303" s="5">
        <v>2.5</v>
      </c>
      <c r="AM303" s="5">
        <v>0.5625</v>
      </c>
      <c r="AN303" s="5">
        <v>2.625</v>
      </c>
      <c r="AO303" s="5">
        <v>0.25409836065573771</v>
      </c>
      <c r="AP303" s="5">
        <v>0.32786885245901642</v>
      </c>
      <c r="AQ303" s="5">
        <v>7.3770491803278687E-2</v>
      </c>
      <c r="AR303" s="5">
        <v>0.34426229508196721</v>
      </c>
      <c r="AS303" s="41">
        <v>0.82</v>
      </c>
      <c r="AT303" s="41">
        <v>3.44</v>
      </c>
      <c r="AU303" s="41">
        <v>2.62</v>
      </c>
      <c r="AV303" s="41">
        <v>2.59375</v>
      </c>
      <c r="AW303" s="5">
        <v>2.59375</v>
      </c>
      <c r="AX303" s="5">
        <v>5.9363868768750008</v>
      </c>
      <c r="AY303" s="75"/>
      <c r="AZ303" s="75"/>
      <c r="BA303" s="75"/>
      <c r="BF303">
        <v>0</v>
      </c>
      <c r="BG303">
        <v>0</v>
      </c>
      <c r="BH303">
        <v>0</v>
      </c>
      <c r="BP303" s="79">
        <v>4.2</v>
      </c>
      <c r="BS303" s="79" t="s">
        <v>464</v>
      </c>
      <c r="BT303" s="79" t="s">
        <v>464</v>
      </c>
    </row>
    <row r="304" spans="1:72" x14ac:dyDescent="0.3">
      <c r="A304" s="2" t="s">
        <v>185</v>
      </c>
      <c r="B304" s="13" t="s">
        <v>729</v>
      </c>
      <c r="C304" s="13"/>
      <c r="D304" s="2">
        <v>4.55</v>
      </c>
      <c r="E304" s="2" t="s">
        <v>192</v>
      </c>
      <c r="F304" s="9" t="s">
        <v>556</v>
      </c>
      <c r="G304" t="s">
        <v>633</v>
      </c>
      <c r="I304" s="2">
        <v>4</v>
      </c>
      <c r="J304" s="25">
        <v>2</v>
      </c>
      <c r="K304">
        <v>4</v>
      </c>
      <c r="L304">
        <v>0</v>
      </c>
      <c r="M304" s="2">
        <v>3.9369999999999998</v>
      </c>
      <c r="N304" s="2">
        <v>27.198</v>
      </c>
      <c r="O304" s="2">
        <v>5.6920000000000002</v>
      </c>
      <c r="P304" s="2"/>
      <c r="Q304" s="2"/>
      <c r="R304" s="25">
        <v>13.81974189</v>
      </c>
      <c r="S304" s="25">
        <v>13.81974189</v>
      </c>
      <c r="T304" s="25">
        <v>5.7110870199999999</v>
      </c>
      <c r="U304">
        <v>3.94</v>
      </c>
      <c r="V304">
        <v>27.15</v>
      </c>
      <c r="W304">
        <v>5.6920000000000002</v>
      </c>
      <c r="X304">
        <v>0</v>
      </c>
      <c r="AA304" s="2"/>
      <c r="AB304">
        <v>14</v>
      </c>
      <c r="AC304" s="55">
        <f t="shared" si="37"/>
        <v>609.49096999200003</v>
      </c>
      <c r="AD304" s="57">
        <v>309.44138863753989</v>
      </c>
      <c r="AE304" s="55">
        <v>608.87893199999996</v>
      </c>
      <c r="AF304" s="55">
        <v>0</v>
      </c>
      <c r="AG304" s="52">
        <f t="shared" ref="AG304:AG317" si="39">I304*AB304/AC304</f>
        <v>9.1879950248869205E-2</v>
      </c>
      <c r="AH304" s="51">
        <v>9.0485633235046756E-2</v>
      </c>
      <c r="AI304" s="52">
        <v>9.1972306901891634E-2</v>
      </c>
      <c r="AJ304" s="52"/>
      <c r="AK304" s="28">
        <v>2</v>
      </c>
      <c r="AL304" s="28">
        <v>2.545454545454545</v>
      </c>
      <c r="AM304" s="28">
        <v>0.54545454545454541</v>
      </c>
      <c r="AN304" s="28">
        <v>2.545454545454545</v>
      </c>
      <c r="AO304" s="28">
        <v>0.26190476190476192</v>
      </c>
      <c r="AP304" s="28">
        <v>0.33333333333333331</v>
      </c>
      <c r="AQ304" s="28">
        <v>7.1428571428571425E-2</v>
      </c>
      <c r="AR304" s="28">
        <v>0.33333333333333331</v>
      </c>
      <c r="AS304" s="25">
        <v>0.95</v>
      </c>
      <c r="AT304" s="25">
        <v>3.44</v>
      </c>
      <c r="AU304" s="25">
        <v>2.4900000000000002</v>
      </c>
      <c r="AV304" s="25">
        <v>2.6345454545454539</v>
      </c>
      <c r="AW304">
        <v>2.6345454545454552</v>
      </c>
      <c r="AX304">
        <v>6.036062318181818</v>
      </c>
      <c r="AY304" s="75">
        <v>0.52932707238284982</v>
      </c>
      <c r="AZ304" s="75">
        <v>0.53802388525275069</v>
      </c>
      <c r="BA304" s="75"/>
      <c r="BB304">
        <v>4.5939975124434602E-2</v>
      </c>
      <c r="BC304">
        <v>4.5242816617523378E-2</v>
      </c>
      <c r="BD304">
        <v>4.5986153450945817E-2</v>
      </c>
      <c r="BF304">
        <v>9.1445963461935856E-2</v>
      </c>
      <c r="BG304">
        <v>4.5722981730967928E-2</v>
      </c>
      <c r="BH304">
        <v>0.5336754788178002</v>
      </c>
      <c r="BP304" s="79">
        <v>0.9</v>
      </c>
      <c r="BS304" s="79" t="s">
        <v>464</v>
      </c>
      <c r="BT304" s="79" t="s">
        <v>464</v>
      </c>
    </row>
    <row r="305" spans="1:72" x14ac:dyDescent="0.3">
      <c r="A305" s="2" t="s">
        <v>1227</v>
      </c>
      <c r="B305" s="68" t="s">
        <v>1234</v>
      </c>
      <c r="C305" s="13"/>
      <c r="D305" s="2">
        <v>4.43</v>
      </c>
      <c r="E305" s="2" t="s">
        <v>192</v>
      </c>
      <c r="F305" s="9">
        <v>-1</v>
      </c>
      <c r="G305">
        <v>-1</v>
      </c>
      <c r="I305" s="2">
        <v>4</v>
      </c>
      <c r="J305" s="25">
        <v>0</v>
      </c>
      <c r="K305">
        <v>0</v>
      </c>
      <c r="L305">
        <v>0</v>
      </c>
      <c r="M305" s="1">
        <v>3.9369999999999998</v>
      </c>
      <c r="N305" s="1">
        <v>27.198</v>
      </c>
      <c r="O305" s="1">
        <v>5.6920000000000002</v>
      </c>
      <c r="P305" s="2"/>
      <c r="Q305" s="2"/>
      <c r="R305" s="25">
        <v>0</v>
      </c>
      <c r="S305" s="25"/>
      <c r="T305" s="25"/>
      <c r="U305">
        <v>0</v>
      </c>
      <c r="X305">
        <v>0</v>
      </c>
      <c r="AA305" s="2"/>
      <c r="AB305">
        <v>14</v>
      </c>
      <c r="AC305" s="55">
        <f t="shared" si="37"/>
        <v>609.49096999200003</v>
      </c>
      <c r="AD305" s="57">
        <v>0</v>
      </c>
      <c r="AE305" s="55">
        <v>0</v>
      </c>
      <c r="AF305" s="55">
        <v>0</v>
      </c>
      <c r="AG305" s="52">
        <f t="shared" si="39"/>
        <v>9.1879950248869205E-2</v>
      </c>
      <c r="AH305" s="51"/>
      <c r="AI305" s="52"/>
      <c r="AJ305" s="52"/>
      <c r="AK305" s="28">
        <v>1.9950000000000001</v>
      </c>
      <c r="AL305" s="28">
        <v>2.8</v>
      </c>
      <c r="AM305" s="28">
        <v>0.30499999999999999</v>
      </c>
      <c r="AN305" s="28">
        <v>1.33</v>
      </c>
      <c r="AO305" s="28">
        <v>0.31026438569206838</v>
      </c>
      <c r="AP305" s="28">
        <v>0.43545878693623641</v>
      </c>
      <c r="AQ305" s="28">
        <v>4.7433903576982892E-2</v>
      </c>
      <c r="AR305" s="28">
        <v>0.20684292379471231</v>
      </c>
      <c r="AS305" s="25">
        <v>0.95</v>
      </c>
      <c r="AT305" s="25">
        <v>3.44</v>
      </c>
      <c r="AU305" s="25">
        <v>2.4900000000000002</v>
      </c>
      <c r="AV305" s="25">
        <v>2.7484999999999991</v>
      </c>
      <c r="AW305">
        <v>2.7484999999999999</v>
      </c>
      <c r="AX305">
        <v>6.2455429149999997</v>
      </c>
      <c r="AY305" s="75"/>
      <c r="AZ305" s="75"/>
      <c r="BA305" s="75"/>
      <c r="BB305">
        <v>4.5939975124434602E-2</v>
      </c>
      <c r="BF305">
        <v>9.1879950248869205E-2</v>
      </c>
      <c r="BG305">
        <v>4.5939975124434602E-2</v>
      </c>
      <c r="BH305">
        <v>0</v>
      </c>
      <c r="BP305" s="79">
        <v>1.2</v>
      </c>
      <c r="BS305" s="79" t="s">
        <v>464</v>
      </c>
      <c r="BT305" s="79" t="s">
        <v>464</v>
      </c>
    </row>
    <row r="306" spans="1:72" x14ac:dyDescent="0.3">
      <c r="A306" s="2" t="s">
        <v>1228</v>
      </c>
      <c r="B306" s="68" t="s">
        <v>1235</v>
      </c>
      <c r="C306" s="13"/>
      <c r="D306" s="2">
        <v>4.34</v>
      </c>
      <c r="E306" s="2" t="s">
        <v>192</v>
      </c>
      <c r="F306" s="9">
        <v>-1</v>
      </c>
      <c r="G306">
        <v>-1</v>
      </c>
      <c r="I306" s="2">
        <v>4</v>
      </c>
      <c r="J306" s="25">
        <v>0</v>
      </c>
      <c r="K306">
        <v>0</v>
      </c>
      <c r="L306">
        <v>0</v>
      </c>
      <c r="M306" s="1">
        <v>3.9369999999999998</v>
      </c>
      <c r="N306" s="1">
        <v>27.198</v>
      </c>
      <c r="O306" s="1">
        <v>5.6920000000000002</v>
      </c>
      <c r="P306" s="2"/>
      <c r="Q306" s="2"/>
      <c r="R306" s="25">
        <v>0</v>
      </c>
      <c r="S306" s="25"/>
      <c r="T306" s="25"/>
      <c r="U306">
        <v>0</v>
      </c>
      <c r="X306">
        <v>0</v>
      </c>
      <c r="AA306" s="2"/>
      <c r="AB306">
        <v>14</v>
      </c>
      <c r="AC306" s="55">
        <f t="shared" si="37"/>
        <v>609.49096999200003</v>
      </c>
      <c r="AD306" s="57">
        <v>0</v>
      </c>
      <c r="AE306" s="55">
        <v>0</v>
      </c>
      <c r="AF306" s="55">
        <v>0</v>
      </c>
      <c r="AG306" s="52">
        <f t="shared" si="39"/>
        <v>9.1879950248869205E-2</v>
      </c>
      <c r="AH306" s="51"/>
      <c r="AI306" s="52"/>
      <c r="AJ306" s="52"/>
      <c r="AK306" s="28">
        <v>1.99</v>
      </c>
      <c r="AL306" s="28">
        <v>2.8</v>
      </c>
      <c r="AM306" s="28">
        <v>0.31</v>
      </c>
      <c r="AN306" s="28">
        <v>1.26</v>
      </c>
      <c r="AO306" s="28">
        <v>0.31289308176100628</v>
      </c>
      <c r="AP306" s="28">
        <v>0.44025157232704398</v>
      </c>
      <c r="AQ306" s="28">
        <v>4.874213836477987E-2</v>
      </c>
      <c r="AR306" s="28">
        <v>0.1981132075471698</v>
      </c>
      <c r="AS306" s="25">
        <v>0.95</v>
      </c>
      <c r="AT306" s="25">
        <v>3.44</v>
      </c>
      <c r="AU306" s="25">
        <v>2.4900000000000002</v>
      </c>
      <c r="AV306" s="25">
        <v>2.7490000000000001</v>
      </c>
      <c r="AW306">
        <v>2.7490000000000001</v>
      </c>
      <c r="AX306">
        <v>6.2450518300000004</v>
      </c>
      <c r="AY306" s="75"/>
      <c r="AZ306" s="75"/>
      <c r="BA306" s="75"/>
      <c r="BB306">
        <v>4.5939975124434602E-2</v>
      </c>
      <c r="BF306">
        <v>9.1879950248869205E-2</v>
      </c>
      <c r="BG306">
        <v>4.5939975124434602E-2</v>
      </c>
      <c r="BH306">
        <v>0</v>
      </c>
      <c r="BP306" s="79">
        <v>1.3</v>
      </c>
      <c r="BS306" s="79" t="s">
        <v>464</v>
      </c>
      <c r="BT306" s="79" t="s">
        <v>464</v>
      </c>
    </row>
    <row r="307" spans="1:72" x14ac:dyDescent="0.3">
      <c r="A307" s="2" t="s">
        <v>1229</v>
      </c>
      <c r="B307" s="68" t="s">
        <v>1236</v>
      </c>
      <c r="C307" s="13"/>
      <c r="D307" s="2">
        <v>4.2699999999999996</v>
      </c>
      <c r="E307" s="2" t="s">
        <v>192</v>
      </c>
      <c r="F307" s="9">
        <v>-1</v>
      </c>
      <c r="G307">
        <v>-1</v>
      </c>
      <c r="I307" s="2">
        <v>4</v>
      </c>
      <c r="J307" s="25">
        <v>0</v>
      </c>
      <c r="K307">
        <v>0</v>
      </c>
      <c r="L307">
        <v>0</v>
      </c>
      <c r="M307" s="1">
        <v>3.9369999999999998</v>
      </c>
      <c r="N307" s="1">
        <v>27.198</v>
      </c>
      <c r="O307" s="1">
        <v>5.6920000000000002</v>
      </c>
      <c r="P307" s="2"/>
      <c r="Q307" s="2"/>
      <c r="R307" s="25">
        <v>0</v>
      </c>
      <c r="S307" s="25"/>
      <c r="T307" s="25"/>
      <c r="U307">
        <v>0</v>
      </c>
      <c r="X307">
        <v>0</v>
      </c>
      <c r="AA307" s="2"/>
      <c r="AB307">
        <v>14</v>
      </c>
      <c r="AC307" s="55">
        <f t="shared" si="37"/>
        <v>609.49096999200003</v>
      </c>
      <c r="AD307" s="57">
        <v>0</v>
      </c>
      <c r="AE307" s="55">
        <v>0</v>
      </c>
      <c r="AF307" s="55">
        <v>0</v>
      </c>
      <c r="AG307" s="52">
        <f t="shared" si="39"/>
        <v>9.1879950248869205E-2</v>
      </c>
      <c r="AH307" s="51"/>
      <c r="AI307" s="52"/>
      <c r="AJ307" s="52"/>
      <c r="AK307" s="28">
        <v>1.9850000000000001</v>
      </c>
      <c r="AL307" s="28">
        <v>2.8</v>
      </c>
      <c r="AM307" s="28">
        <v>0.315</v>
      </c>
      <c r="AN307" s="28">
        <v>1.19</v>
      </c>
      <c r="AO307" s="28">
        <v>0.31558028616852152</v>
      </c>
      <c r="AP307" s="28">
        <v>0.4451510333863275</v>
      </c>
      <c r="AQ307" s="28">
        <v>5.0079491255961853E-2</v>
      </c>
      <c r="AR307" s="28">
        <v>0.1891891891891892</v>
      </c>
      <c r="AS307" s="25">
        <v>0.95</v>
      </c>
      <c r="AT307" s="25">
        <v>3.44</v>
      </c>
      <c r="AU307" s="25">
        <v>2.4900000000000002</v>
      </c>
      <c r="AV307" s="25">
        <v>2.7494999999999989</v>
      </c>
      <c r="AW307">
        <v>2.7494999999999998</v>
      </c>
      <c r="AX307">
        <v>6.2445607449999994</v>
      </c>
      <c r="AY307" s="75"/>
      <c r="AZ307" s="75"/>
      <c r="BA307" s="75"/>
      <c r="BB307">
        <v>4.5939975124434602E-2</v>
      </c>
      <c r="BF307">
        <v>9.1879950248869205E-2</v>
      </c>
      <c r="BG307">
        <v>4.5939975124434602E-2</v>
      </c>
      <c r="BH307">
        <v>0</v>
      </c>
      <c r="BP307" s="79">
        <v>1</v>
      </c>
      <c r="BS307" s="79" t="s">
        <v>464</v>
      </c>
      <c r="BT307" s="79" t="s">
        <v>464</v>
      </c>
    </row>
    <row r="308" spans="1:72" x14ac:dyDescent="0.3">
      <c r="A308" s="2" t="s">
        <v>1230</v>
      </c>
      <c r="B308" s="68" t="s">
        <v>1237</v>
      </c>
      <c r="C308" s="13"/>
      <c r="D308" s="2">
        <v>4.13</v>
      </c>
      <c r="E308" s="2" t="s">
        <v>192</v>
      </c>
      <c r="F308" s="9">
        <v>-1</v>
      </c>
      <c r="G308">
        <v>-1</v>
      </c>
      <c r="I308" s="2">
        <v>4</v>
      </c>
      <c r="J308" s="25">
        <v>0</v>
      </c>
      <c r="K308">
        <v>0</v>
      </c>
      <c r="L308">
        <v>0</v>
      </c>
      <c r="M308" s="1">
        <v>3.9369999999999998</v>
      </c>
      <c r="N308" s="1">
        <v>27.198</v>
      </c>
      <c r="O308" s="1">
        <v>5.6920000000000002</v>
      </c>
      <c r="P308" s="2"/>
      <c r="Q308" s="2"/>
      <c r="R308" s="25">
        <v>0</v>
      </c>
      <c r="S308" s="25"/>
      <c r="T308" s="25"/>
      <c r="U308">
        <v>0</v>
      </c>
      <c r="X308">
        <v>0</v>
      </c>
      <c r="AA308" s="2"/>
      <c r="AB308">
        <v>14</v>
      </c>
      <c r="AC308" s="55">
        <f t="shared" si="37"/>
        <v>609.49096999200003</v>
      </c>
      <c r="AD308" s="57">
        <v>0</v>
      </c>
      <c r="AE308" s="55">
        <v>0</v>
      </c>
      <c r="AF308" s="55">
        <v>0</v>
      </c>
      <c r="AG308" s="52">
        <f t="shared" si="39"/>
        <v>9.1879950248869205E-2</v>
      </c>
      <c r="AH308" s="51"/>
      <c r="AI308" s="52"/>
      <c r="AJ308" s="52"/>
      <c r="AK308" s="28">
        <v>1.9750000000000001</v>
      </c>
      <c r="AL308" s="28">
        <v>2.8</v>
      </c>
      <c r="AM308" s="28">
        <v>0.32500000000000001</v>
      </c>
      <c r="AN308" s="28">
        <v>1.05</v>
      </c>
      <c r="AO308" s="28">
        <v>0.32113821138211379</v>
      </c>
      <c r="AP308" s="28">
        <v>0.45528455284552838</v>
      </c>
      <c r="AQ308" s="28">
        <v>5.2845528455284549E-2</v>
      </c>
      <c r="AR308" s="28">
        <v>0.17073170731707321</v>
      </c>
      <c r="AS308" s="25">
        <v>0.95</v>
      </c>
      <c r="AT308" s="25">
        <v>3.44</v>
      </c>
      <c r="AU308" s="25">
        <v>2.4900000000000002</v>
      </c>
      <c r="AV308" s="25">
        <v>2.7505000000000002</v>
      </c>
      <c r="AW308">
        <v>2.7505000000000002</v>
      </c>
      <c r="AX308">
        <v>6.2435785749999999</v>
      </c>
      <c r="AY308" s="75"/>
      <c r="AZ308" s="75"/>
      <c r="BA308" s="75"/>
      <c r="BB308">
        <v>4.5939975124434602E-2</v>
      </c>
      <c r="BF308">
        <v>9.1879950248869205E-2</v>
      </c>
      <c r="BG308">
        <v>4.5939975124434602E-2</v>
      </c>
      <c r="BH308">
        <v>0</v>
      </c>
      <c r="BP308" s="79">
        <v>1.2</v>
      </c>
      <c r="BS308" s="79" t="s">
        <v>464</v>
      </c>
      <c r="BT308" s="79" t="s">
        <v>464</v>
      </c>
    </row>
    <row r="309" spans="1:72" x14ac:dyDescent="0.3">
      <c r="A309" s="2" t="s">
        <v>1231</v>
      </c>
      <c r="B309" s="68" t="s">
        <v>1238</v>
      </c>
      <c r="C309" s="13"/>
      <c r="D309" s="2">
        <v>4.07</v>
      </c>
      <c r="E309" s="2" t="s">
        <v>192</v>
      </c>
      <c r="F309" s="9">
        <v>-1</v>
      </c>
      <c r="G309">
        <v>-1</v>
      </c>
      <c r="I309" s="2">
        <v>4</v>
      </c>
      <c r="J309" s="25">
        <v>0</v>
      </c>
      <c r="K309">
        <v>0</v>
      </c>
      <c r="L309">
        <v>0</v>
      </c>
      <c r="M309" s="1">
        <v>3.9369999999999998</v>
      </c>
      <c r="N309" s="1">
        <v>27.198</v>
      </c>
      <c r="O309" s="1">
        <v>5.6920000000000002</v>
      </c>
      <c r="P309" s="2"/>
      <c r="Q309" s="2"/>
      <c r="R309" s="25">
        <v>0</v>
      </c>
      <c r="S309" s="25"/>
      <c r="T309" s="25"/>
      <c r="U309">
        <v>0</v>
      </c>
      <c r="X309">
        <v>0</v>
      </c>
      <c r="AA309" s="2"/>
      <c r="AB309">
        <v>14</v>
      </c>
      <c r="AC309" s="55">
        <f t="shared" si="37"/>
        <v>609.49096999200003</v>
      </c>
      <c r="AD309" s="57">
        <v>0</v>
      </c>
      <c r="AE309" s="55">
        <v>0</v>
      </c>
      <c r="AF309" s="55">
        <v>0</v>
      </c>
      <c r="AG309" s="52">
        <f t="shared" si="39"/>
        <v>9.1879950248869205E-2</v>
      </c>
      <c r="AH309" s="51"/>
      <c r="AI309" s="52"/>
      <c r="AJ309" s="52"/>
      <c r="AK309" s="28">
        <v>1.9650000000000001</v>
      </c>
      <c r="AL309" s="28">
        <v>2.8</v>
      </c>
      <c r="AM309" s="28">
        <v>0.33500000000000002</v>
      </c>
      <c r="AN309" s="28">
        <v>0.90999999999999992</v>
      </c>
      <c r="AO309" s="28">
        <v>0.32695507487520797</v>
      </c>
      <c r="AP309" s="28">
        <v>0.46589018302828622</v>
      </c>
      <c r="AQ309" s="28">
        <v>5.5740432612312818E-2</v>
      </c>
      <c r="AR309" s="28">
        <v>0.15141430948419299</v>
      </c>
      <c r="AS309" s="25">
        <v>0.95</v>
      </c>
      <c r="AT309" s="25">
        <v>3.44</v>
      </c>
      <c r="AU309" s="25">
        <v>2.4900000000000002</v>
      </c>
      <c r="AV309" s="25">
        <v>2.7515000000000001</v>
      </c>
      <c r="AW309">
        <v>2.7515000000000001</v>
      </c>
      <c r="AX309">
        <v>6.2425964049999996</v>
      </c>
      <c r="AY309" s="75"/>
      <c r="AZ309" s="75"/>
      <c r="BA309" s="75"/>
      <c r="BB309">
        <v>4.5939975124434602E-2</v>
      </c>
      <c r="BF309">
        <v>9.1879950248869205E-2</v>
      </c>
      <c r="BG309">
        <v>4.5939975124434602E-2</v>
      </c>
      <c r="BH309">
        <v>0</v>
      </c>
      <c r="BP309" s="79">
        <v>1</v>
      </c>
      <c r="BS309" s="79" t="s">
        <v>464</v>
      </c>
      <c r="BT309" s="79" t="s">
        <v>464</v>
      </c>
    </row>
    <row r="310" spans="1:72" x14ac:dyDescent="0.3">
      <c r="A310" s="2" t="s">
        <v>1232</v>
      </c>
      <c r="B310" s="68" t="s">
        <v>1239</v>
      </c>
      <c r="C310" s="13"/>
      <c r="D310" s="2">
        <v>4.03</v>
      </c>
      <c r="E310" s="2" t="s">
        <v>192</v>
      </c>
      <c r="F310" s="9">
        <v>-1</v>
      </c>
      <c r="G310">
        <v>-1</v>
      </c>
      <c r="I310" s="2">
        <v>4</v>
      </c>
      <c r="J310" s="25">
        <v>0</v>
      </c>
      <c r="K310">
        <v>0</v>
      </c>
      <c r="L310">
        <v>0</v>
      </c>
      <c r="M310" s="1">
        <v>3.9369999999999998</v>
      </c>
      <c r="N310" s="1">
        <v>27.198</v>
      </c>
      <c r="O310" s="1">
        <v>5.6920000000000002</v>
      </c>
      <c r="P310" s="2"/>
      <c r="Q310" s="2"/>
      <c r="R310" s="25">
        <v>0</v>
      </c>
      <c r="S310" s="25"/>
      <c r="T310" s="25"/>
      <c r="U310">
        <v>0</v>
      </c>
      <c r="X310">
        <v>0</v>
      </c>
      <c r="AA310" s="2"/>
      <c r="AB310">
        <v>14</v>
      </c>
      <c r="AC310" s="55">
        <f t="shared" si="37"/>
        <v>609.49096999200003</v>
      </c>
      <c r="AD310" s="57">
        <v>0</v>
      </c>
      <c r="AE310" s="55">
        <v>0</v>
      </c>
      <c r="AF310" s="55">
        <v>0</v>
      </c>
      <c r="AG310" s="52">
        <f t="shared" si="39"/>
        <v>9.1879950248869205E-2</v>
      </c>
      <c r="AH310" s="51"/>
      <c r="AI310" s="52"/>
      <c r="AJ310" s="52"/>
      <c r="AK310" s="28">
        <v>1.95</v>
      </c>
      <c r="AL310" s="28">
        <v>2.8</v>
      </c>
      <c r="AM310" s="28">
        <v>0.35</v>
      </c>
      <c r="AN310" s="28">
        <v>0.7</v>
      </c>
      <c r="AO310" s="28">
        <v>0.33620689655172409</v>
      </c>
      <c r="AP310" s="28">
        <v>0.48275862068965508</v>
      </c>
      <c r="AQ310" s="28">
        <v>6.0344827586206892E-2</v>
      </c>
      <c r="AR310" s="28">
        <v>0.1206896551724138</v>
      </c>
      <c r="AS310" s="25">
        <v>0.95</v>
      </c>
      <c r="AT310" s="25">
        <v>3.44</v>
      </c>
      <c r="AU310" s="25">
        <v>2.4900000000000002</v>
      </c>
      <c r="AV310" s="25">
        <v>2.7530000000000001</v>
      </c>
      <c r="AW310">
        <v>2.7530000000000001</v>
      </c>
      <c r="AX310">
        <v>6.24112315</v>
      </c>
      <c r="AY310" s="75"/>
      <c r="AZ310" s="75"/>
      <c r="BA310" s="75"/>
      <c r="BB310">
        <v>4.5939975124434602E-2</v>
      </c>
      <c r="BF310">
        <v>9.1879950248869205E-2</v>
      </c>
      <c r="BG310">
        <v>4.5939975124434602E-2</v>
      </c>
      <c r="BH310">
        <v>0</v>
      </c>
      <c r="BP310" s="79">
        <v>1.2</v>
      </c>
      <c r="BS310" s="79" t="s">
        <v>464</v>
      </c>
      <c r="BT310" s="79" t="s">
        <v>464</v>
      </c>
    </row>
    <row r="311" spans="1:72" x14ac:dyDescent="0.3">
      <c r="A311" s="2" t="s">
        <v>1233</v>
      </c>
      <c r="B311" s="68" t="s">
        <v>1240</v>
      </c>
      <c r="C311" s="13"/>
      <c r="D311" s="2">
        <v>3.96</v>
      </c>
      <c r="E311" s="2" t="s">
        <v>192</v>
      </c>
      <c r="F311" s="9">
        <v>-1</v>
      </c>
      <c r="G311">
        <v>-1</v>
      </c>
      <c r="I311" s="2">
        <v>4</v>
      </c>
      <c r="J311" s="25">
        <v>0</v>
      </c>
      <c r="K311">
        <v>0</v>
      </c>
      <c r="L311">
        <v>0</v>
      </c>
      <c r="M311" s="1">
        <v>3.9369999999999998</v>
      </c>
      <c r="N311" s="1">
        <v>27.198</v>
      </c>
      <c r="O311" s="1">
        <v>5.6920000000000002</v>
      </c>
      <c r="P311" s="2"/>
      <c r="Q311" s="2"/>
      <c r="R311" s="25">
        <v>0</v>
      </c>
      <c r="S311" s="25"/>
      <c r="T311" s="25"/>
      <c r="U311">
        <v>0</v>
      </c>
      <c r="X311">
        <v>0</v>
      </c>
      <c r="AA311" s="2"/>
      <c r="AB311">
        <v>14</v>
      </c>
      <c r="AC311" s="55">
        <f t="shared" si="37"/>
        <v>609.49096999200003</v>
      </c>
      <c r="AD311" s="57">
        <v>0</v>
      </c>
      <c r="AE311" s="55">
        <v>0</v>
      </c>
      <c r="AF311" s="55">
        <v>0</v>
      </c>
      <c r="AG311" s="52">
        <f t="shared" si="39"/>
        <v>9.1879950248869205E-2</v>
      </c>
      <c r="AH311" s="51"/>
      <c r="AI311" s="52"/>
      <c r="AJ311" s="52"/>
      <c r="AK311" s="28">
        <v>1.92</v>
      </c>
      <c r="AL311" s="28">
        <v>2.8</v>
      </c>
      <c r="AM311" s="28">
        <v>0.38</v>
      </c>
      <c r="AN311" s="28">
        <v>0.28000000000000003</v>
      </c>
      <c r="AO311" s="28">
        <v>0.35687732342007428</v>
      </c>
      <c r="AP311" s="28">
        <v>0.5204460966542751</v>
      </c>
      <c r="AQ311" s="28">
        <v>7.0631970260223054E-2</v>
      </c>
      <c r="AR311" s="28">
        <v>5.2044609665427517E-2</v>
      </c>
      <c r="AS311" s="25">
        <v>0.95</v>
      </c>
      <c r="AT311" s="25">
        <v>3.44</v>
      </c>
      <c r="AU311" s="25">
        <v>2.4900000000000002</v>
      </c>
      <c r="AV311" s="25">
        <v>2.7559999999999998</v>
      </c>
      <c r="AW311">
        <v>2.7559999999999998</v>
      </c>
      <c r="AX311">
        <v>6.2381766400000007</v>
      </c>
      <c r="AY311" s="75"/>
      <c r="AZ311" s="75"/>
      <c r="BA311" s="75"/>
      <c r="BB311">
        <v>4.5939975124434602E-2</v>
      </c>
      <c r="BF311">
        <v>9.1879950248869205E-2</v>
      </c>
      <c r="BG311">
        <v>4.5939975124434602E-2</v>
      </c>
      <c r="BH311">
        <v>0</v>
      </c>
      <c r="BP311" s="79">
        <v>0.8</v>
      </c>
      <c r="BS311" s="79" t="s">
        <v>464</v>
      </c>
      <c r="BT311" s="79" t="s">
        <v>464</v>
      </c>
    </row>
    <row r="312" spans="1:72" x14ac:dyDescent="0.3">
      <c r="A312" s="2" t="s">
        <v>49</v>
      </c>
      <c r="B312" s="13" t="s">
        <v>725</v>
      </c>
      <c r="C312" s="13"/>
      <c r="D312" s="2">
        <v>3.92</v>
      </c>
      <c r="E312" s="2" t="s">
        <v>192</v>
      </c>
      <c r="F312" s="9" t="s">
        <v>553</v>
      </c>
      <c r="G312" t="s">
        <v>631</v>
      </c>
      <c r="I312" s="2"/>
      <c r="J312" s="25">
        <v>8</v>
      </c>
      <c r="K312">
        <v>8</v>
      </c>
      <c r="L312">
        <v>0</v>
      </c>
      <c r="M312" s="2">
        <v>3.9329999999999998</v>
      </c>
      <c r="N312" s="2">
        <v>26.725999999999999</v>
      </c>
      <c r="O312" s="2">
        <v>5.8630000000000004</v>
      </c>
      <c r="P312" s="2" t="s">
        <v>1095</v>
      </c>
      <c r="Q312" s="2"/>
      <c r="R312" s="25">
        <v>5.8017180100000001</v>
      </c>
      <c r="S312" s="25">
        <v>7.9756520899999996</v>
      </c>
      <c r="T312" s="25">
        <v>27.352093400000001</v>
      </c>
      <c r="U312">
        <v>26.646989999999999</v>
      </c>
      <c r="V312">
        <v>7.9359999999999999</v>
      </c>
      <c r="W312">
        <v>5.7050000000000001</v>
      </c>
      <c r="X312">
        <v>0</v>
      </c>
      <c r="AA312" s="2"/>
      <c r="AB312">
        <v>14</v>
      </c>
      <c r="AC312" s="55">
        <f t="shared" si="37"/>
        <v>616.27961795399995</v>
      </c>
      <c r="AD312" s="57">
        <v>1265.6493143942739</v>
      </c>
      <c r="AE312" s="55">
        <v>1206.4392746112001</v>
      </c>
      <c r="AF312" s="55">
        <v>0</v>
      </c>
      <c r="AG312" s="52"/>
      <c r="AH312" s="51">
        <v>8.8492127105210025E-2</v>
      </c>
      <c r="AI312" s="52">
        <v>9.2835174017436004E-2</v>
      </c>
      <c r="AJ312" s="52"/>
      <c r="AK312" s="28">
        <v>1.8181818181818179</v>
      </c>
      <c r="AL312" s="28">
        <v>2.545454545454545</v>
      </c>
      <c r="AM312" s="28">
        <v>0.72727272727272729</v>
      </c>
      <c r="AN312" s="28">
        <v>0</v>
      </c>
      <c r="AO312" s="28">
        <v>0.35714285714285721</v>
      </c>
      <c r="AP312" s="28">
        <v>0.5</v>
      </c>
      <c r="AQ312" s="28">
        <v>0.1428571428571429</v>
      </c>
      <c r="AR312" s="28">
        <v>0</v>
      </c>
      <c r="AS312" s="25">
        <v>0.95</v>
      </c>
      <c r="AT312" s="25">
        <v>3.44</v>
      </c>
      <c r="AU312" s="25">
        <v>2.4900000000000002</v>
      </c>
      <c r="AV312" s="25">
        <v>2.6527272727272719</v>
      </c>
      <c r="AW312">
        <v>2.6527272727272728</v>
      </c>
      <c r="AX312">
        <v>6.0182046818181814</v>
      </c>
      <c r="AY312" s="75">
        <v>0.5176653673612065</v>
      </c>
      <c r="AZ312" s="75">
        <v>0.54307152550012683</v>
      </c>
      <c r="BA312" s="75"/>
      <c r="BC312">
        <v>4.4246063552605013E-2</v>
      </c>
      <c r="BD312">
        <v>4.6417587008717988E-2</v>
      </c>
      <c r="BF312">
        <v>9.0663650561323014E-2</v>
      </c>
      <c r="BG312">
        <v>4.53318252806615E-2</v>
      </c>
      <c r="BH312">
        <v>0.53036844643066661</v>
      </c>
      <c r="BP312" s="79">
        <v>0.6</v>
      </c>
      <c r="BS312" s="79" t="s">
        <v>464</v>
      </c>
      <c r="BT312" s="79" t="s">
        <v>464</v>
      </c>
    </row>
    <row r="313" spans="1:72" x14ac:dyDescent="0.3">
      <c r="A313" s="2" t="s">
        <v>46</v>
      </c>
      <c r="B313" s="13" t="s">
        <v>722</v>
      </c>
      <c r="C313" s="13"/>
      <c r="D313" s="2">
        <v>3.82</v>
      </c>
      <c r="E313" s="2" t="s">
        <v>197</v>
      </c>
      <c r="F313" s="9" t="s">
        <v>551</v>
      </c>
      <c r="G313" t="s">
        <v>629</v>
      </c>
      <c r="I313" s="2">
        <v>4</v>
      </c>
      <c r="J313" s="25">
        <v>2</v>
      </c>
      <c r="K313">
        <v>4</v>
      </c>
      <c r="L313">
        <v>0</v>
      </c>
      <c r="M313" s="2">
        <v>13.01</v>
      </c>
      <c r="N313" s="2">
        <v>5.5439999999999996</v>
      </c>
      <c r="O313" s="2">
        <v>7.81</v>
      </c>
      <c r="P313" s="2" t="s">
        <v>1095</v>
      </c>
      <c r="Q313" s="2"/>
      <c r="R313" s="25">
        <v>7.41544296</v>
      </c>
      <c r="S313" s="25">
        <v>7.4154429599999991</v>
      </c>
      <c r="T313" s="25">
        <v>7.41544296</v>
      </c>
      <c r="U313">
        <v>7.8</v>
      </c>
      <c r="V313">
        <v>13.010999999999999</v>
      </c>
      <c r="W313">
        <v>5.5460000000000003</v>
      </c>
      <c r="X313">
        <v>0</v>
      </c>
      <c r="AA313" s="2"/>
      <c r="AB313">
        <v>14</v>
      </c>
      <c r="AC313" s="55">
        <f t="shared" si="37"/>
        <v>563.31530639999994</v>
      </c>
      <c r="AD313" s="57">
        <v>288.33429290182369</v>
      </c>
      <c r="AE313" s="55">
        <v>556.51188553357167</v>
      </c>
      <c r="AF313" s="55">
        <v>0</v>
      </c>
      <c r="AG313" s="52">
        <f t="shared" si="39"/>
        <v>9.9411465237614932E-2</v>
      </c>
      <c r="AH313" s="51">
        <v>9.7109503410799117E-2</v>
      </c>
      <c r="AI313" s="52">
        <v>0.10062678166578309</v>
      </c>
      <c r="AJ313" s="52"/>
      <c r="AK313" s="28">
        <v>2</v>
      </c>
      <c r="AL313" s="28">
        <v>2.545454545454545</v>
      </c>
      <c r="AM313" s="28">
        <v>0.54545454545454541</v>
      </c>
      <c r="AN313" s="28">
        <v>0</v>
      </c>
      <c r="AO313" s="28">
        <v>0.39285714285714279</v>
      </c>
      <c r="AP313" s="28">
        <v>0.5</v>
      </c>
      <c r="AQ313" s="28">
        <v>0.1071428571428571</v>
      </c>
      <c r="AR313" s="28">
        <v>0</v>
      </c>
      <c r="AS313" s="25">
        <v>1.1000000000000001</v>
      </c>
      <c r="AT313" s="25">
        <v>3.44</v>
      </c>
      <c r="AU313" s="25">
        <v>2.34</v>
      </c>
      <c r="AV313" s="25">
        <v>2.669090909090909</v>
      </c>
      <c r="AW313">
        <v>2.669090909090909</v>
      </c>
      <c r="AX313">
        <v>5.9831974772727277</v>
      </c>
      <c r="AY313" s="75">
        <v>0.52442413903612473</v>
      </c>
      <c r="AZ313" s="75">
        <v>0.54341863036636606</v>
      </c>
      <c r="BA313" s="75"/>
      <c r="BB313">
        <v>4.9705732618807473E-2</v>
      </c>
      <c r="BC313">
        <v>4.8554751705399558E-2</v>
      </c>
      <c r="BD313">
        <v>5.0313390832891547E-2</v>
      </c>
      <c r="BF313">
        <v>9.9049250104732381E-2</v>
      </c>
      <c r="BG313">
        <v>4.952462505236619E-2</v>
      </c>
      <c r="BH313">
        <v>0.53392138470124539</v>
      </c>
      <c r="BS313" s="79" t="s">
        <v>464</v>
      </c>
      <c r="BT313" s="79" t="s">
        <v>464</v>
      </c>
    </row>
    <row r="314" spans="1:72" x14ac:dyDescent="0.3">
      <c r="A314" s="2" t="s">
        <v>193</v>
      </c>
      <c r="B314" s="13" t="s">
        <v>799</v>
      </c>
      <c r="C314" s="13"/>
      <c r="D314" s="2">
        <v>3.68</v>
      </c>
      <c r="E314" s="2" t="s">
        <v>197</v>
      </c>
      <c r="F314" s="9">
        <v>-1</v>
      </c>
      <c r="G314">
        <v>-1</v>
      </c>
      <c r="I314" s="2">
        <v>4</v>
      </c>
      <c r="J314" s="25">
        <v>0</v>
      </c>
      <c r="K314">
        <v>0</v>
      </c>
      <c r="L314">
        <v>0</v>
      </c>
      <c r="M314" s="2">
        <v>13.02</v>
      </c>
      <c r="N314" s="2">
        <v>5.5119999999999996</v>
      </c>
      <c r="O314" s="2">
        <v>7.7450000000000001</v>
      </c>
      <c r="P314" s="2" t="s">
        <v>1095</v>
      </c>
      <c r="Q314" s="2"/>
      <c r="R314" s="25">
        <v>0</v>
      </c>
      <c r="S314" s="25"/>
      <c r="T314" s="25"/>
      <c r="U314">
        <v>0</v>
      </c>
      <c r="X314">
        <v>0</v>
      </c>
      <c r="AA314" s="2"/>
      <c r="AB314">
        <v>14</v>
      </c>
      <c r="AC314" s="55">
        <f t="shared" si="37"/>
        <v>555.82952879999993</v>
      </c>
      <c r="AD314" s="57">
        <v>0</v>
      </c>
      <c r="AE314" s="55">
        <v>0</v>
      </c>
      <c r="AF314" s="55">
        <v>0</v>
      </c>
      <c r="AG314" s="52">
        <f t="shared" si="39"/>
        <v>0.10075031479687735</v>
      </c>
      <c r="AH314" s="51"/>
      <c r="AI314" s="52"/>
      <c r="AJ314" s="52"/>
      <c r="AK314" s="28">
        <v>2</v>
      </c>
      <c r="AL314" s="28">
        <v>2.545454545454545</v>
      </c>
      <c r="AM314" s="28">
        <v>0.45454545454545447</v>
      </c>
      <c r="AN314" s="28">
        <v>0.36363636363636359</v>
      </c>
      <c r="AO314" s="28">
        <v>0.3728813559322034</v>
      </c>
      <c r="AP314" s="28">
        <v>0.47457627118644069</v>
      </c>
      <c r="AQ314" s="28">
        <v>8.4745762711864403E-2</v>
      </c>
      <c r="AR314" s="28">
        <v>6.7796610169491525E-2</v>
      </c>
      <c r="AS314" s="25">
        <v>1.1000000000000001</v>
      </c>
      <c r="AT314" s="25">
        <v>3.44</v>
      </c>
      <c r="AU314" s="25">
        <v>2.34</v>
      </c>
      <c r="AV314" s="25">
        <v>2.672727272727272</v>
      </c>
      <c r="AW314">
        <v>2.6727272727272728</v>
      </c>
      <c r="AX314">
        <v>5.9599268909090908</v>
      </c>
      <c r="AY314" s="75"/>
      <c r="AZ314" s="75"/>
      <c r="BA314" s="75"/>
      <c r="BB314">
        <v>5.0375157398438668E-2</v>
      </c>
      <c r="BF314">
        <v>0.10075031479687729</v>
      </c>
      <c r="BG314">
        <v>5.0375157398438668E-2</v>
      </c>
      <c r="BH314">
        <v>0</v>
      </c>
      <c r="BS314" s="79" t="s">
        <v>464</v>
      </c>
      <c r="BT314" s="79" t="s">
        <v>464</v>
      </c>
    </row>
    <row r="315" spans="1:72" x14ac:dyDescent="0.3">
      <c r="A315" s="2" t="s">
        <v>194</v>
      </c>
      <c r="B315" s="13" t="s">
        <v>800</v>
      </c>
      <c r="C315" s="13"/>
      <c r="D315" s="2">
        <v>3.65</v>
      </c>
      <c r="E315" s="2" t="s">
        <v>197</v>
      </c>
      <c r="F315" s="9" t="s">
        <v>582</v>
      </c>
      <c r="G315" t="s">
        <v>657</v>
      </c>
      <c r="I315" s="2">
        <v>4</v>
      </c>
      <c r="J315" s="25">
        <v>2</v>
      </c>
      <c r="K315">
        <v>8</v>
      </c>
      <c r="L315">
        <v>0</v>
      </c>
      <c r="M315" s="2">
        <v>13.02</v>
      </c>
      <c r="N315" s="2">
        <v>5.48</v>
      </c>
      <c r="O315" s="2">
        <v>7.68</v>
      </c>
      <c r="P315" s="2" t="s">
        <v>1095</v>
      </c>
      <c r="Q315" s="2"/>
      <c r="R315" s="25">
        <v>7.2854997800000012</v>
      </c>
      <c r="S315" s="25">
        <v>7.2855000099999998</v>
      </c>
      <c r="T315" s="25">
        <v>7.28550129</v>
      </c>
      <c r="U315">
        <v>7.6769999999999996</v>
      </c>
      <c r="V315">
        <v>5.4560000000000004</v>
      </c>
      <c r="W315">
        <v>26.012989999999999</v>
      </c>
      <c r="X315">
        <v>0</v>
      </c>
      <c r="AA315" s="2"/>
      <c r="AB315">
        <v>14</v>
      </c>
      <c r="AC315" s="55">
        <f t="shared" si="37"/>
        <v>547.9649280000001</v>
      </c>
      <c r="AD315" s="57">
        <v>273.44070809730869</v>
      </c>
      <c r="AE315" s="55">
        <v>1077.884035254056</v>
      </c>
      <c r="AF315" s="55">
        <v>0</v>
      </c>
      <c r="AG315" s="52">
        <f t="shared" si="39"/>
        <v>0.10219632158647933</v>
      </c>
      <c r="AH315" s="51">
        <v>0.1023987986091511</v>
      </c>
      <c r="AI315" s="52">
        <v>0.1039072816155049</v>
      </c>
      <c r="AJ315" s="52"/>
      <c r="AK315" s="28">
        <v>2</v>
      </c>
      <c r="AL315" s="28">
        <v>2.545454545454545</v>
      </c>
      <c r="AM315" s="28">
        <v>0.36363636363636359</v>
      </c>
      <c r="AN315" s="28">
        <v>0.72727272727272729</v>
      </c>
      <c r="AO315" s="28">
        <v>0.35483870967741932</v>
      </c>
      <c r="AP315" s="28">
        <v>0.45161290322580638</v>
      </c>
      <c r="AQ315" s="28">
        <v>6.4516129032258063E-2</v>
      </c>
      <c r="AR315" s="28">
        <v>0.1290322580645161</v>
      </c>
      <c r="AS315" s="25">
        <v>1.1399999999999999</v>
      </c>
      <c r="AT315" s="25">
        <v>3.44</v>
      </c>
      <c r="AU315" s="25">
        <v>2.2999999999999998</v>
      </c>
      <c r="AV315" s="25">
        <v>2.6763636363636358</v>
      </c>
      <c r="AW315">
        <v>2.6763636363636358</v>
      </c>
      <c r="AX315">
        <v>5.9366563045454548</v>
      </c>
      <c r="AY315" s="75">
        <v>0.5411256777060568</v>
      </c>
      <c r="AZ315" s="75">
        <v>0.54909724475770694</v>
      </c>
      <c r="BA315" s="75"/>
      <c r="BB315">
        <v>5.1098160793239672E-2</v>
      </c>
      <c r="BC315">
        <v>5.119939930457558E-2</v>
      </c>
      <c r="BD315">
        <v>5.1953640807752437E-2</v>
      </c>
      <c r="BF315">
        <v>0.1028341339370451</v>
      </c>
      <c r="BG315">
        <v>5.1417066968522558E-2</v>
      </c>
      <c r="BH315">
        <v>0.54511146123188192</v>
      </c>
      <c r="BS315" s="79" t="s">
        <v>464</v>
      </c>
      <c r="BT315" s="79" t="s">
        <v>464</v>
      </c>
    </row>
    <row r="316" spans="1:72" x14ac:dyDescent="0.3">
      <c r="A316" s="2" t="s">
        <v>195</v>
      </c>
      <c r="B316" s="13" t="s">
        <v>801</v>
      </c>
      <c r="C316" s="13"/>
      <c r="D316" s="2">
        <v>2.99</v>
      </c>
      <c r="E316" s="2" t="s">
        <v>197</v>
      </c>
      <c r="F316" s="9" t="s">
        <v>583</v>
      </c>
      <c r="G316">
        <v>-1</v>
      </c>
      <c r="I316" s="2">
        <v>4</v>
      </c>
      <c r="J316" s="25">
        <v>4</v>
      </c>
      <c r="K316">
        <v>0</v>
      </c>
      <c r="L316">
        <v>0</v>
      </c>
      <c r="M316" s="2">
        <v>12.996</v>
      </c>
      <c r="N316" s="2">
        <v>5.4850000000000003</v>
      </c>
      <c r="O316" s="2">
        <v>7.7039999999999997</v>
      </c>
      <c r="P316" s="2" t="s">
        <v>1095</v>
      </c>
      <c r="Q316" s="2"/>
      <c r="R316" s="25">
        <v>5.5191434299999997</v>
      </c>
      <c r="S316" s="25">
        <v>7.7203982699999987</v>
      </c>
      <c r="T316" s="25">
        <v>13.117043880000001</v>
      </c>
      <c r="U316">
        <v>0</v>
      </c>
      <c r="X316">
        <v>0</v>
      </c>
      <c r="AA316" s="2"/>
      <c r="AB316">
        <v>14</v>
      </c>
      <c r="AC316" s="55">
        <f t="shared" si="37"/>
        <v>549.16469424000002</v>
      </c>
      <c r="AD316" s="57">
        <v>552.74712386171507</v>
      </c>
      <c r="AE316" s="55">
        <v>0</v>
      </c>
      <c r="AF316" s="55">
        <v>0</v>
      </c>
      <c r="AG316" s="52">
        <f t="shared" si="39"/>
        <v>0.1019730521414883</v>
      </c>
      <c r="AH316" s="51">
        <v>0.1013121508598025</v>
      </c>
      <c r="AI316" s="52"/>
      <c r="AJ316" s="52"/>
      <c r="AK316" s="28">
        <v>2</v>
      </c>
      <c r="AL316" s="28">
        <v>2.545454545454545</v>
      </c>
      <c r="AM316" s="28">
        <v>0.36363636363636359</v>
      </c>
      <c r="AN316" s="28">
        <v>0.54545454545454541</v>
      </c>
      <c r="AO316" s="28">
        <v>0.3666666666666667</v>
      </c>
      <c r="AP316" s="28">
        <v>0.46666666666666667</v>
      </c>
      <c r="AQ316" s="28">
        <v>6.666666666666668E-2</v>
      </c>
      <c r="AR316" s="28">
        <v>0.1</v>
      </c>
      <c r="AS316" s="25">
        <v>1.1299999999999999</v>
      </c>
      <c r="AT316" s="25">
        <v>3.44</v>
      </c>
      <c r="AU316" s="25">
        <v>2.31</v>
      </c>
      <c r="AV316" s="25">
        <v>2.6745454545454539</v>
      </c>
      <c r="AW316">
        <v>2.6745454545454548</v>
      </c>
      <c r="AX316">
        <v>5.9327418772727274</v>
      </c>
      <c r="AY316" s="75">
        <v>0.53699890088551772</v>
      </c>
      <c r="AZ316" s="75"/>
      <c r="BA316" s="75"/>
      <c r="BB316">
        <v>5.0986526070744151E-2</v>
      </c>
      <c r="BC316">
        <v>5.0656075429901228E-2</v>
      </c>
      <c r="BF316">
        <v>0.1016426015006454</v>
      </c>
      <c r="BG316">
        <v>5.0821300750322693E-2</v>
      </c>
      <c r="BH316">
        <v>0.53699890088551772</v>
      </c>
      <c r="BS316" s="79" t="s">
        <v>464</v>
      </c>
      <c r="BT316" s="79" t="s">
        <v>464</v>
      </c>
    </row>
    <row r="317" spans="1:72" x14ac:dyDescent="0.3">
      <c r="A317" s="2" t="s">
        <v>196</v>
      </c>
      <c r="B317" s="13" t="s">
        <v>802</v>
      </c>
      <c r="C317" s="13"/>
      <c r="D317" s="2">
        <v>2.98</v>
      </c>
      <c r="E317" s="2" t="s">
        <v>197</v>
      </c>
      <c r="F317" s="9">
        <v>-1</v>
      </c>
      <c r="G317">
        <v>-1</v>
      </c>
      <c r="I317" s="2">
        <v>4</v>
      </c>
      <c r="J317" s="25">
        <v>0</v>
      </c>
      <c r="K317">
        <v>0</v>
      </c>
      <c r="L317">
        <v>0</v>
      </c>
      <c r="M317" s="2">
        <v>13.003</v>
      </c>
      <c r="N317" s="2">
        <v>5.5149999999999997</v>
      </c>
      <c r="O317" s="2">
        <v>7.7569999999999997</v>
      </c>
      <c r="P317" s="2" t="s">
        <v>1095</v>
      </c>
      <c r="Q317" s="2"/>
      <c r="R317" s="25">
        <v>0</v>
      </c>
      <c r="S317" s="25"/>
      <c r="T317" s="25"/>
      <c r="U317">
        <v>0</v>
      </c>
      <c r="X317">
        <v>0</v>
      </c>
      <c r="AA317" s="2"/>
      <c r="AB317">
        <v>14</v>
      </c>
      <c r="AC317" s="55">
        <f t="shared" si="37"/>
        <v>556.266454565</v>
      </c>
      <c r="AD317" s="57">
        <v>0</v>
      </c>
      <c r="AE317" s="55">
        <v>0</v>
      </c>
      <c r="AF317" s="55">
        <v>0</v>
      </c>
      <c r="AG317" s="52">
        <f t="shared" si="39"/>
        <v>0.10067117932500884</v>
      </c>
      <c r="AH317" s="51"/>
      <c r="AI317" s="52"/>
      <c r="AJ317" s="52"/>
      <c r="AK317" s="28">
        <v>2</v>
      </c>
      <c r="AL317" s="28">
        <v>2.545454545454545</v>
      </c>
      <c r="AM317" s="28">
        <v>0.45454545454545447</v>
      </c>
      <c r="AN317" s="28">
        <v>0.27272727272727271</v>
      </c>
      <c r="AO317" s="28">
        <v>0.37931034482758619</v>
      </c>
      <c r="AP317" s="28">
        <v>0.48275862068965519</v>
      </c>
      <c r="AQ317" s="28">
        <v>8.6206896551724144E-2</v>
      </c>
      <c r="AR317" s="28">
        <v>5.1724137931034482E-2</v>
      </c>
      <c r="AS317" s="25">
        <v>1.1000000000000001</v>
      </c>
      <c r="AT317" s="25">
        <v>3.44</v>
      </c>
      <c r="AU317" s="25">
        <v>2.34</v>
      </c>
      <c r="AV317" s="25">
        <v>2.6718181818181819</v>
      </c>
      <c r="AW317">
        <v>2.6718181818181819</v>
      </c>
      <c r="AX317">
        <v>5.9579696772727271</v>
      </c>
      <c r="AY317" s="75"/>
      <c r="AZ317" s="75"/>
      <c r="BA317" s="75"/>
      <c r="BB317">
        <v>5.0335589662504419E-2</v>
      </c>
      <c r="BF317">
        <v>0.1006711793250088</v>
      </c>
      <c r="BG317">
        <v>5.0335589662504419E-2</v>
      </c>
      <c r="BH317">
        <v>0</v>
      </c>
      <c r="BS317" s="79" t="s">
        <v>464</v>
      </c>
      <c r="BT317" s="79" t="s">
        <v>464</v>
      </c>
    </row>
    <row r="318" spans="1:72" x14ac:dyDescent="0.3">
      <c r="A318" s="2" t="s">
        <v>44</v>
      </c>
      <c r="B318" s="13" t="s">
        <v>720</v>
      </c>
      <c r="C318" s="13"/>
      <c r="D318" s="2">
        <v>2.1</v>
      </c>
      <c r="E318" s="2" t="s">
        <v>198</v>
      </c>
      <c r="F318" s="9" t="s">
        <v>549</v>
      </c>
      <c r="G318">
        <v>-1</v>
      </c>
      <c r="I318" s="2"/>
      <c r="J318" s="25">
        <v>1</v>
      </c>
      <c r="K318">
        <v>0</v>
      </c>
      <c r="L318">
        <v>0</v>
      </c>
      <c r="M318" s="2">
        <v>3.871</v>
      </c>
      <c r="N318" s="2">
        <v>3.871</v>
      </c>
      <c r="O318" s="2">
        <v>29.783999999999999</v>
      </c>
      <c r="P318" s="2" t="s">
        <v>440</v>
      </c>
      <c r="Q318" s="2"/>
      <c r="R318" s="25">
        <v>15.28115725</v>
      </c>
      <c r="S318" s="25">
        <v>15.28115725</v>
      </c>
      <c r="T318" s="25">
        <v>15.28115725</v>
      </c>
      <c r="U318">
        <v>0</v>
      </c>
      <c r="X318">
        <v>0</v>
      </c>
      <c r="AA318" s="2"/>
      <c r="AB318">
        <v>20</v>
      </c>
      <c r="AC318" s="55">
        <f t="shared" si="37"/>
        <v>446.30254754399999</v>
      </c>
      <c r="AD318" s="57">
        <v>229.90248606119221</v>
      </c>
      <c r="AE318" s="55">
        <v>0</v>
      </c>
      <c r="AF318" s="55">
        <v>0</v>
      </c>
      <c r="AG318" s="52"/>
      <c r="AH318" s="51">
        <v>8.6993404650164072E-2</v>
      </c>
      <c r="AI318" s="52"/>
      <c r="AJ318" s="52"/>
      <c r="AK318" s="28">
        <v>1.882352941176471</v>
      </c>
      <c r="AL318" s="28">
        <v>2.3529411764705879</v>
      </c>
      <c r="AM318" s="28">
        <v>0.47058823529411759</v>
      </c>
      <c r="AN318" s="28">
        <v>0</v>
      </c>
      <c r="AO318" s="28">
        <v>0.4</v>
      </c>
      <c r="AP318" s="28">
        <v>0.5</v>
      </c>
      <c r="AQ318" s="28">
        <v>9.9999999999999992E-2</v>
      </c>
      <c r="AR318" s="28">
        <v>0</v>
      </c>
      <c r="AS318" s="25">
        <v>0.82</v>
      </c>
      <c r="AT318" s="25">
        <v>3.44</v>
      </c>
      <c r="AU318" s="25">
        <v>2.62</v>
      </c>
      <c r="AV318" s="25">
        <v>2.5211764705882351</v>
      </c>
      <c r="AW318">
        <v>2.521176470588236</v>
      </c>
      <c r="AX318">
        <v>5.6898745917647062</v>
      </c>
      <c r="AY318" s="75">
        <v>0.57369840599679445</v>
      </c>
      <c r="AZ318" s="75"/>
      <c r="BA318" s="75"/>
      <c r="BC318">
        <v>4.3496702325082043E-2</v>
      </c>
      <c r="BF318">
        <v>8.6993404650164072E-2</v>
      </c>
      <c r="BG318">
        <v>4.3496702325082043E-2</v>
      </c>
      <c r="BH318">
        <v>0.57369840599679445</v>
      </c>
      <c r="BS318" s="79" t="s">
        <v>464</v>
      </c>
      <c r="BT318" s="79" t="s">
        <v>464</v>
      </c>
    </row>
    <row r="319" spans="1:72" x14ac:dyDescent="0.3">
      <c r="A319" s="2" t="s">
        <v>199</v>
      </c>
      <c r="B319" s="13" t="s">
        <v>867</v>
      </c>
      <c r="C319" s="13"/>
      <c r="D319" s="2">
        <v>2</v>
      </c>
      <c r="E319" s="2" t="s">
        <v>207</v>
      </c>
      <c r="F319" s="9">
        <v>-1</v>
      </c>
      <c r="G319">
        <v>-1</v>
      </c>
      <c r="I319" s="2"/>
      <c r="J319" s="25">
        <v>0</v>
      </c>
      <c r="K319">
        <v>0</v>
      </c>
      <c r="L319">
        <v>0</v>
      </c>
      <c r="M319" s="1">
        <v>3.871</v>
      </c>
      <c r="N319" s="1">
        <v>3.871</v>
      </c>
      <c r="O319" s="2">
        <v>29.297000000000001</v>
      </c>
      <c r="P319" s="2"/>
      <c r="Q319" s="2"/>
      <c r="R319" s="25">
        <v>0</v>
      </c>
      <c r="S319" s="25"/>
      <c r="T319" s="25"/>
      <c r="U319">
        <v>0</v>
      </c>
      <c r="X319">
        <v>0</v>
      </c>
      <c r="AA319" s="2"/>
      <c r="AB319">
        <v>20</v>
      </c>
      <c r="AC319" s="55">
        <f t="shared" si="37"/>
        <v>439.00502737700003</v>
      </c>
      <c r="AD319" s="57">
        <v>0</v>
      </c>
      <c r="AE319" s="55">
        <v>0</v>
      </c>
      <c r="AF319" s="55">
        <v>0</v>
      </c>
      <c r="AG319" s="52"/>
      <c r="AH319" s="51"/>
      <c r="AI319" s="52"/>
      <c r="AJ319" s="52"/>
      <c r="AK319" s="28">
        <v>1.882352941176471</v>
      </c>
      <c r="AL319" s="28">
        <v>2.3529411764705879</v>
      </c>
      <c r="AM319" s="28">
        <v>1.6470588235294119</v>
      </c>
      <c r="AN319" s="28">
        <v>0</v>
      </c>
      <c r="AO319" s="28">
        <v>0.32</v>
      </c>
      <c r="AP319" s="28">
        <v>0.4</v>
      </c>
      <c r="AQ319" s="28">
        <v>0.28000000000000003</v>
      </c>
      <c r="AR319" s="28">
        <v>0</v>
      </c>
      <c r="AS319" s="25">
        <v>1.1000000000000001</v>
      </c>
      <c r="AT319" s="25">
        <v>3.44</v>
      </c>
      <c r="AU319" s="25">
        <v>2.34</v>
      </c>
      <c r="AV319" s="25">
        <v>2.6482352941176468</v>
      </c>
      <c r="AW319">
        <v>2.6482352941176468</v>
      </c>
      <c r="AX319">
        <v>5.9322299529411762</v>
      </c>
      <c r="AY319" s="75"/>
      <c r="AZ319" s="75"/>
      <c r="BA319" s="75"/>
      <c r="BF319">
        <v>0</v>
      </c>
      <c r="BG319">
        <v>0</v>
      </c>
      <c r="BH319">
        <v>0</v>
      </c>
      <c r="BS319" s="79" t="s">
        <v>464</v>
      </c>
      <c r="BT319" s="79" t="s">
        <v>464</v>
      </c>
    </row>
    <row r="320" spans="1:72" x14ac:dyDescent="0.3">
      <c r="A320" s="2" t="s">
        <v>200</v>
      </c>
      <c r="B320" s="13" t="s">
        <v>868</v>
      </c>
      <c r="C320" s="13"/>
      <c r="D320" s="2">
        <v>2.2000000000000002</v>
      </c>
      <c r="E320" s="2" t="s">
        <v>207</v>
      </c>
      <c r="F320" s="9">
        <v>-1</v>
      </c>
      <c r="G320">
        <v>-1</v>
      </c>
      <c r="I320" s="2"/>
      <c r="J320" s="25">
        <v>0</v>
      </c>
      <c r="K320">
        <v>0</v>
      </c>
      <c r="L320">
        <v>0</v>
      </c>
      <c r="M320" s="1">
        <v>6.6040679999999998</v>
      </c>
      <c r="N320" s="1">
        <v>7.93</v>
      </c>
      <c r="O320" s="2">
        <v>31.28</v>
      </c>
      <c r="P320" s="2"/>
      <c r="Q320" s="2"/>
      <c r="R320" s="25">
        <v>0</v>
      </c>
      <c r="S320" s="25"/>
      <c r="T320" s="25"/>
      <c r="U320">
        <v>0</v>
      </c>
      <c r="X320">
        <v>0</v>
      </c>
      <c r="AA320" s="2"/>
      <c r="AB320">
        <v>34</v>
      </c>
      <c r="AC320" s="55">
        <f t="shared" si="37"/>
        <v>1638.1417090272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28">
        <v>1.62962962962963</v>
      </c>
      <c r="AL320" s="28">
        <v>2.518518518518519</v>
      </c>
      <c r="AM320" s="28">
        <v>1.911111111111111</v>
      </c>
      <c r="AN320" s="28">
        <v>0</v>
      </c>
      <c r="AO320" s="28">
        <v>0.26894865525672368</v>
      </c>
      <c r="AP320" s="28">
        <v>0.41564792176039123</v>
      </c>
      <c r="AQ320" s="28">
        <v>0.31540342298288498</v>
      </c>
      <c r="AR320" s="28">
        <v>0</v>
      </c>
      <c r="AS320" s="25">
        <v>0.82</v>
      </c>
      <c r="AT320" s="25">
        <v>3.44</v>
      </c>
      <c r="AU320" s="25">
        <v>2.62</v>
      </c>
      <c r="AV320" s="25">
        <v>2.7533629629629628</v>
      </c>
      <c r="AW320">
        <v>2.7533629629629628</v>
      </c>
      <c r="AX320">
        <v>6.1693161497481483</v>
      </c>
      <c r="AY320" s="75"/>
      <c r="AZ320" s="75"/>
      <c r="BA320" s="75"/>
      <c r="BF320">
        <v>0</v>
      </c>
      <c r="BG320">
        <v>0</v>
      </c>
      <c r="BH320">
        <v>0</v>
      </c>
      <c r="BS320" s="79" t="s">
        <v>464</v>
      </c>
      <c r="BT320" s="79" t="s">
        <v>464</v>
      </c>
    </row>
    <row r="321" spans="1:72" x14ac:dyDescent="0.3">
      <c r="A321" s="2" t="s">
        <v>0</v>
      </c>
      <c r="B321" s="13" t="s">
        <v>685</v>
      </c>
      <c r="C321" s="13"/>
      <c r="D321" s="2">
        <v>3.3</v>
      </c>
      <c r="E321" s="2" t="s">
        <v>207</v>
      </c>
      <c r="F321" s="9" t="s">
        <v>523</v>
      </c>
      <c r="G321" t="s">
        <v>606</v>
      </c>
      <c r="I321" s="2"/>
      <c r="J321" s="25">
        <v>4</v>
      </c>
      <c r="K321">
        <v>4</v>
      </c>
      <c r="L321">
        <v>0</v>
      </c>
      <c r="M321" s="1">
        <v>6.6040679999999998</v>
      </c>
      <c r="N321" s="1">
        <v>7.93</v>
      </c>
      <c r="O321" s="2">
        <v>32.700000000000003</v>
      </c>
      <c r="P321" s="2"/>
      <c r="Q321" s="2"/>
      <c r="R321" s="25">
        <v>6.6040679999999998</v>
      </c>
      <c r="S321" s="25">
        <v>7.9389519999999996</v>
      </c>
      <c r="T321" s="25">
        <v>33.703336</v>
      </c>
      <c r="U321">
        <v>7.83</v>
      </c>
      <c r="V321">
        <v>33.209989999999998</v>
      </c>
      <c r="W321">
        <v>6.46</v>
      </c>
      <c r="X321">
        <v>0</v>
      </c>
      <c r="AA321" s="2"/>
      <c r="AB321">
        <v>34</v>
      </c>
      <c r="AC321" s="55">
        <f t="shared" si="37"/>
        <v>1712.5074771479999</v>
      </c>
      <c r="AD321" s="57">
        <v>1767.0449718798691</v>
      </c>
      <c r="AE321" s="55">
        <v>1679.8210721820001</v>
      </c>
      <c r="AF321" s="55">
        <v>0</v>
      </c>
      <c r="AG321" s="52"/>
      <c r="AH321" s="51">
        <v>7.6964651247849417E-2</v>
      </c>
      <c r="AI321" s="52">
        <v>8.0961003676030277E-2</v>
      </c>
      <c r="AJ321" s="52"/>
      <c r="AK321" s="28">
        <v>1.62962962962963</v>
      </c>
      <c r="AL321" s="28">
        <v>2.518518518518519</v>
      </c>
      <c r="AM321" s="28">
        <v>0.88888888888888884</v>
      </c>
      <c r="AN321" s="28">
        <v>0</v>
      </c>
      <c r="AO321" s="28">
        <v>0.32352941176470579</v>
      </c>
      <c r="AP321" s="28">
        <v>0.5</v>
      </c>
      <c r="AQ321" s="28">
        <v>0.1764705882352941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2.642962962962963</v>
      </c>
      <c r="AW321">
        <v>2.642962962962963</v>
      </c>
      <c r="AX321">
        <v>5.9587362692592576</v>
      </c>
      <c r="AY321" s="75">
        <v>0.48264383878002159</v>
      </c>
      <c r="AZ321" s="75">
        <v>0.50770488753139842</v>
      </c>
      <c r="BA321" s="75"/>
      <c r="BC321">
        <v>3.8482325623924708E-2</v>
      </c>
      <c r="BD321">
        <v>4.0480501838015132E-2</v>
      </c>
      <c r="BF321">
        <v>7.8962827461939847E-2</v>
      </c>
      <c r="BG321">
        <v>3.9481413730969923E-2</v>
      </c>
      <c r="BH321">
        <v>0.49517436315571001</v>
      </c>
      <c r="BS321" s="79" t="s">
        <v>464</v>
      </c>
      <c r="BT321" s="79" t="s">
        <v>464</v>
      </c>
    </row>
    <row r="322" spans="1:72" x14ac:dyDescent="0.3">
      <c r="A322" s="2" t="s">
        <v>201</v>
      </c>
      <c r="B322" s="13" t="s">
        <v>869</v>
      </c>
      <c r="C322" s="13"/>
      <c r="D322" s="2">
        <v>2.2999999999999998</v>
      </c>
      <c r="E322" s="2" t="s">
        <v>207</v>
      </c>
      <c r="F322" s="32" t="s">
        <v>524</v>
      </c>
      <c r="G322" s="1" t="s">
        <v>607</v>
      </c>
      <c r="I322" s="2"/>
      <c r="J322" s="25">
        <v>0</v>
      </c>
      <c r="K322">
        <v>1</v>
      </c>
      <c r="L322">
        <v>0</v>
      </c>
      <c r="M322" s="2">
        <v>-1</v>
      </c>
      <c r="N322" s="2"/>
      <c r="O322" s="2"/>
      <c r="P322" s="2"/>
      <c r="Q322" s="2"/>
      <c r="R322" s="25">
        <v>0</v>
      </c>
      <c r="S322" s="25"/>
      <c r="T322" s="25"/>
      <c r="U322">
        <v>3.9060000000000001</v>
      </c>
      <c r="V322">
        <v>21.603000000000002</v>
      </c>
      <c r="W322">
        <v>3.8879000000000001</v>
      </c>
      <c r="X322">
        <v>0</v>
      </c>
      <c r="AA322" s="2"/>
      <c r="AB322">
        <v>14</v>
      </c>
      <c r="AC322" s="55">
        <f t="shared" si="37"/>
        <v>0</v>
      </c>
      <c r="AD322" s="57">
        <v>0</v>
      </c>
      <c r="AE322" s="55">
        <v>328.06612625219998</v>
      </c>
      <c r="AF322" s="55">
        <v>0</v>
      </c>
      <c r="AG322" s="52"/>
      <c r="AH322" s="51"/>
      <c r="AI322" s="52">
        <v>4.2674323496713393E-2</v>
      </c>
      <c r="AJ322" s="52"/>
      <c r="AK322" s="28">
        <v>1.7272727272727271</v>
      </c>
      <c r="AL322" s="28">
        <v>2.545454545454545</v>
      </c>
      <c r="AM322" s="28">
        <v>1.4090909090909089</v>
      </c>
      <c r="AN322" s="28">
        <v>0</v>
      </c>
      <c r="AO322" s="28">
        <v>0.30399999999999999</v>
      </c>
      <c r="AP322" s="28">
        <v>0.44800000000000001</v>
      </c>
      <c r="AQ322" s="28">
        <v>0.248</v>
      </c>
      <c r="AR322" s="28">
        <v>0</v>
      </c>
      <c r="AS322" s="25">
        <v>0.82</v>
      </c>
      <c r="AT322" s="25">
        <v>3.44</v>
      </c>
      <c r="AU322" s="25">
        <v>2.62</v>
      </c>
      <c r="AV322" s="25">
        <v>2.7183636363636361</v>
      </c>
      <c r="AW322">
        <v>2.718363636363637</v>
      </c>
      <c r="AX322">
        <v>6.1164196318636357</v>
      </c>
      <c r="AY322" s="75">
        <v>0.48450364842179561</v>
      </c>
      <c r="AZ322" s="75"/>
      <c r="BA322" s="75"/>
      <c r="BD322">
        <v>2.13371617483567E-2</v>
      </c>
      <c r="BF322">
        <v>4.2674323496713393E-2</v>
      </c>
      <c r="BG322">
        <v>2.13371617483567E-2</v>
      </c>
      <c r="BH322">
        <v>0.48450364842179561</v>
      </c>
      <c r="BS322" s="79" t="s">
        <v>464</v>
      </c>
      <c r="BT322" s="79" t="s">
        <v>464</v>
      </c>
    </row>
    <row r="323" spans="1:72" x14ac:dyDescent="0.3">
      <c r="A323" s="2" t="s">
        <v>1</v>
      </c>
      <c r="B323" s="13" t="s">
        <v>686</v>
      </c>
      <c r="C323" s="13"/>
      <c r="D323" s="2">
        <v>3.2</v>
      </c>
      <c r="E323" s="2" t="s">
        <v>207</v>
      </c>
      <c r="F323" s="9" t="s">
        <v>524</v>
      </c>
      <c r="G323" t="s">
        <v>607</v>
      </c>
      <c r="I323" s="2"/>
      <c r="J323" s="25">
        <v>1</v>
      </c>
      <c r="K323">
        <v>1</v>
      </c>
      <c r="L323">
        <v>0</v>
      </c>
      <c r="M323" s="2">
        <v>-1</v>
      </c>
      <c r="N323" s="2"/>
      <c r="O323" s="2"/>
      <c r="P323" s="2"/>
      <c r="Q323" s="2"/>
      <c r="R323" s="25">
        <v>3.9327019999999999</v>
      </c>
      <c r="S323" s="25">
        <v>3.9458000000000002</v>
      </c>
      <c r="T323" s="25">
        <v>11.356398779999999</v>
      </c>
      <c r="U323">
        <v>3.9060000000000001</v>
      </c>
      <c r="V323">
        <v>21.603000000000002</v>
      </c>
      <c r="W323">
        <v>3.8879000000000001</v>
      </c>
      <c r="X323">
        <v>0</v>
      </c>
      <c r="AA323" s="2"/>
      <c r="AB323">
        <v>14</v>
      </c>
      <c r="AC323" s="55">
        <f t="shared" si="37"/>
        <v>0</v>
      </c>
      <c r="AD323" s="57">
        <v>173.54502164551991</v>
      </c>
      <c r="AE323" s="55">
        <v>328.06612625219998</v>
      </c>
      <c r="AF323" s="55">
        <v>0</v>
      </c>
      <c r="AG323" s="52"/>
      <c r="AH323" s="51">
        <v>8.0670709348241429E-2</v>
      </c>
      <c r="AI323" s="52">
        <v>4.2674323496713393E-2</v>
      </c>
      <c r="AJ323" s="52"/>
      <c r="AK323" s="28">
        <v>1.7272727272727271</v>
      </c>
      <c r="AL323" s="28">
        <v>2.545454545454545</v>
      </c>
      <c r="AM323" s="28">
        <v>0.81818181818181823</v>
      </c>
      <c r="AN323" s="28">
        <v>0</v>
      </c>
      <c r="AO323" s="28">
        <v>0.3392857142857143</v>
      </c>
      <c r="AP323" s="28">
        <v>0.5</v>
      </c>
      <c r="AQ323" s="28">
        <v>0.1607142857142857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2.6545454545454539</v>
      </c>
      <c r="AW323">
        <v>2.6545454545454539</v>
      </c>
      <c r="AX323">
        <v>5.9946911436363637</v>
      </c>
      <c r="AY323" s="75">
        <v>0.48450364842179561</v>
      </c>
      <c r="AZ323" s="75"/>
      <c r="BA323" s="75"/>
      <c r="BC323">
        <v>4.0335354674120701E-2</v>
      </c>
      <c r="BD323">
        <v>2.13371617483567E-2</v>
      </c>
      <c r="BF323">
        <v>6.1672516422477411E-2</v>
      </c>
      <c r="BG323">
        <v>3.0836258211238698E-2</v>
      </c>
      <c r="BH323">
        <v>0.48450364842179561</v>
      </c>
      <c r="BS323" s="79" t="s">
        <v>464</v>
      </c>
      <c r="BT323" s="79" t="s">
        <v>464</v>
      </c>
    </row>
    <row r="324" spans="1:72" x14ac:dyDescent="0.3">
      <c r="A324" s="2" t="s">
        <v>202</v>
      </c>
      <c r="B324" s="13" t="s">
        <v>870</v>
      </c>
      <c r="C324" s="13"/>
      <c r="D324" s="2">
        <v>2.8</v>
      </c>
      <c r="E324" s="2" t="s">
        <v>207</v>
      </c>
      <c r="F324" s="32" t="s">
        <v>584</v>
      </c>
      <c r="G324" s="1" t="s">
        <v>658</v>
      </c>
      <c r="I324" s="2"/>
      <c r="J324" s="25">
        <v>0</v>
      </c>
      <c r="K324">
        <v>1</v>
      </c>
      <c r="L324">
        <v>0</v>
      </c>
      <c r="M324" s="2">
        <v>-1</v>
      </c>
      <c r="N324" s="2"/>
      <c r="O324" s="2"/>
      <c r="P324" s="2"/>
      <c r="Q324" s="2"/>
      <c r="R324" s="25">
        <v>0</v>
      </c>
      <c r="S324" s="25"/>
      <c r="T324" s="25"/>
      <c r="U324">
        <v>3.8573</v>
      </c>
      <c r="V324">
        <v>3.8573</v>
      </c>
      <c r="W324">
        <v>15.044</v>
      </c>
      <c r="X324">
        <v>0</v>
      </c>
      <c r="AA324" s="2"/>
      <c r="AB324">
        <v>20</v>
      </c>
      <c r="AC324" s="55">
        <f t="shared" si="37"/>
        <v>0</v>
      </c>
      <c r="AD324" s="57">
        <v>0</v>
      </c>
      <c r="AE324" s="55">
        <v>223.83611493475999</v>
      </c>
      <c r="AF324" s="55">
        <v>0</v>
      </c>
      <c r="AG324" s="52"/>
      <c r="AH324" s="51"/>
      <c r="AI324" s="52">
        <v>8.9351086199066954E-2</v>
      </c>
      <c r="AJ324" s="52"/>
      <c r="AK324" s="28">
        <v>1.9375</v>
      </c>
      <c r="AL324" s="28">
        <v>2.5</v>
      </c>
      <c r="AM324" s="28">
        <v>0.625</v>
      </c>
      <c r="AN324" s="28">
        <v>2.625</v>
      </c>
      <c r="AO324" s="28">
        <v>0.25203252032520318</v>
      </c>
      <c r="AP324" s="28">
        <v>0.32520325203252032</v>
      </c>
      <c r="AQ324" s="28">
        <v>8.1300813008130079E-2</v>
      </c>
      <c r="AR324" s="28">
        <v>0.34146341463414642</v>
      </c>
      <c r="AS324" s="25">
        <v>0.82</v>
      </c>
      <c r="AT324" s="25">
        <v>3.44</v>
      </c>
      <c r="AU324" s="25">
        <v>2.62</v>
      </c>
      <c r="AV324" s="25">
        <v>2.6142500000000002</v>
      </c>
      <c r="AW324">
        <v>2.6142500000000002</v>
      </c>
      <c r="AX324">
        <v>5.9930639130937511</v>
      </c>
      <c r="AY324" s="75">
        <v>0.5100369583648936</v>
      </c>
      <c r="AZ324" s="75">
        <v>0.54203706385343264</v>
      </c>
      <c r="BA324" s="75"/>
      <c r="BD324">
        <v>4.4675543099533477E-2</v>
      </c>
      <c r="BF324">
        <v>8.9351086199066954E-2</v>
      </c>
      <c r="BG324">
        <v>4.4675543099533477E-2</v>
      </c>
      <c r="BH324">
        <v>0.52603701110916312</v>
      </c>
      <c r="BS324" s="79" t="s">
        <v>464</v>
      </c>
      <c r="BT324" s="79" t="s">
        <v>464</v>
      </c>
    </row>
    <row r="325" spans="1:72" x14ac:dyDescent="0.3">
      <c r="A325" s="2" t="s">
        <v>203</v>
      </c>
      <c r="B325" s="13" t="s">
        <v>803</v>
      </c>
      <c r="C325" s="13"/>
      <c r="D325" s="2">
        <v>4.5</v>
      </c>
      <c r="E325" s="2" t="s">
        <v>207</v>
      </c>
      <c r="F325" s="9" t="s">
        <v>584</v>
      </c>
      <c r="G325" t="s">
        <v>658</v>
      </c>
      <c r="I325" s="2"/>
      <c r="J325" s="25">
        <v>1</v>
      </c>
      <c r="K325">
        <v>1</v>
      </c>
      <c r="L325">
        <v>0</v>
      </c>
      <c r="M325" s="2">
        <v>-1</v>
      </c>
      <c r="N325" s="2"/>
      <c r="O325" s="2">
        <v>15.05</v>
      </c>
      <c r="P325" s="2"/>
      <c r="Q325" s="2"/>
      <c r="R325" s="25">
        <v>3.9414189999999998</v>
      </c>
      <c r="S325" s="25">
        <v>3.9414189999999998</v>
      </c>
      <c r="T325" s="25">
        <v>15.312718</v>
      </c>
      <c r="U325">
        <v>3.8573</v>
      </c>
      <c r="V325">
        <v>3.8573</v>
      </c>
      <c r="W325">
        <v>15.044</v>
      </c>
      <c r="X325">
        <v>0</v>
      </c>
      <c r="AA325" s="2"/>
      <c r="AB325">
        <v>20</v>
      </c>
      <c r="AC325" s="55">
        <f t="shared" si="37"/>
        <v>0</v>
      </c>
      <c r="AD325" s="57">
        <v>237.8797625030067</v>
      </c>
      <c r="AE325" s="55">
        <v>223.83611493475999</v>
      </c>
      <c r="AF325" s="55">
        <v>0</v>
      </c>
      <c r="AG325" s="52"/>
      <c r="AH325" s="51">
        <v>8.4076088648975381E-2</v>
      </c>
      <c r="AI325" s="52">
        <v>8.9351086199066954E-2</v>
      </c>
      <c r="AJ325" s="52"/>
      <c r="AK325" s="28">
        <v>1.9375</v>
      </c>
      <c r="AL325" s="28">
        <v>2.5</v>
      </c>
      <c r="AM325" s="28">
        <v>0.5625</v>
      </c>
      <c r="AN325" s="28">
        <v>2.625</v>
      </c>
      <c r="AO325" s="28">
        <v>0.25409836065573771</v>
      </c>
      <c r="AP325" s="28">
        <v>0.32786885245901642</v>
      </c>
      <c r="AQ325" s="28">
        <v>7.3770491803278687E-2</v>
      </c>
      <c r="AR325" s="28">
        <v>0.34426229508196721</v>
      </c>
      <c r="AS325" s="25">
        <v>0.82</v>
      </c>
      <c r="AT325" s="25">
        <v>3.44</v>
      </c>
      <c r="AU325" s="25">
        <v>2.62</v>
      </c>
      <c r="AV325" s="25">
        <v>2.6074999999999999</v>
      </c>
      <c r="AW325">
        <v>2.6074999999999999</v>
      </c>
      <c r="AX325">
        <v>5.9796291640625006</v>
      </c>
      <c r="AY325" s="75">
        <v>0.5100369583648936</v>
      </c>
      <c r="AZ325" s="75">
        <v>0.54203706385343264</v>
      </c>
      <c r="BA325" s="75"/>
      <c r="BC325">
        <v>4.203804432448769E-2</v>
      </c>
      <c r="BD325">
        <v>4.4675543099533477E-2</v>
      </c>
      <c r="BF325">
        <v>8.671358742402116E-2</v>
      </c>
      <c r="BG325">
        <v>4.335679371201058E-2</v>
      </c>
      <c r="BH325">
        <v>0.52603701110916312</v>
      </c>
      <c r="BS325" s="79" t="s">
        <v>464</v>
      </c>
      <c r="BT325" s="79" t="s">
        <v>464</v>
      </c>
    </row>
    <row r="326" spans="1:72" x14ac:dyDescent="0.3">
      <c r="A326" s="2" t="s">
        <v>204</v>
      </c>
      <c r="B326" s="13" t="s">
        <v>804</v>
      </c>
      <c r="C326" s="13"/>
      <c r="D326" s="2">
        <v>4.8</v>
      </c>
      <c r="E326" s="2" t="s">
        <v>207</v>
      </c>
      <c r="F326" s="9" t="s">
        <v>585</v>
      </c>
      <c r="G326" t="s">
        <v>659</v>
      </c>
      <c r="I326" s="2"/>
      <c r="J326" s="25">
        <v>2</v>
      </c>
      <c r="K326">
        <v>6</v>
      </c>
      <c r="L326">
        <v>0</v>
      </c>
      <c r="M326" s="2">
        <v>-1</v>
      </c>
      <c r="N326" s="2"/>
      <c r="O326" s="2"/>
      <c r="P326" s="2"/>
      <c r="Q326" s="2"/>
      <c r="R326" s="25">
        <v>5.4445069999999998</v>
      </c>
      <c r="S326" s="25">
        <v>5.4445069999999998</v>
      </c>
      <c r="T326" s="25">
        <v>3.9426230000000002</v>
      </c>
      <c r="U326">
        <v>5.15428</v>
      </c>
      <c r="V326">
        <v>5.1542800000000009</v>
      </c>
      <c r="W326">
        <v>13.7835</v>
      </c>
      <c r="X326">
        <v>0</v>
      </c>
      <c r="AA326" s="2"/>
      <c r="AB326">
        <v>6</v>
      </c>
      <c r="AC326" s="55">
        <f t="shared" si="37"/>
        <v>0</v>
      </c>
      <c r="AD326" s="57">
        <v>116.8698191917419</v>
      </c>
      <c r="AE326" s="55">
        <v>317.12184318337751</v>
      </c>
      <c r="AF326" s="55">
        <v>0</v>
      </c>
      <c r="AG326" s="52"/>
      <c r="AH326" s="51">
        <v>0.10267834829377349</v>
      </c>
      <c r="AI326" s="52">
        <v>0.1135210354437263</v>
      </c>
      <c r="AJ326" s="52"/>
      <c r="AK326" s="28">
        <v>1.8</v>
      </c>
      <c r="AL326" s="28">
        <v>2.4</v>
      </c>
      <c r="AM326" s="28">
        <v>0.6</v>
      </c>
      <c r="AN326" s="28">
        <v>2.8</v>
      </c>
      <c r="AO326" s="28">
        <v>0.23684210526315791</v>
      </c>
      <c r="AP326" s="28">
        <v>0.31578947368421051</v>
      </c>
      <c r="AQ326" s="28">
        <v>7.8947368421052627E-2</v>
      </c>
      <c r="AR326" s="28">
        <v>0.36842105263157893</v>
      </c>
      <c r="AS326" s="25">
        <v>0.98</v>
      </c>
      <c r="AT326" s="25">
        <v>3.44</v>
      </c>
      <c r="AU326" s="25">
        <v>2.46</v>
      </c>
      <c r="AV326" s="25">
        <v>2.56</v>
      </c>
      <c r="AW326">
        <v>2.56</v>
      </c>
      <c r="AX326">
        <v>5.9119936115999998</v>
      </c>
      <c r="AY326" s="75">
        <v>0.51645314797839414</v>
      </c>
      <c r="AZ326" s="75">
        <v>0</v>
      </c>
      <c r="BA326" s="75"/>
      <c r="BC326">
        <v>5.1339174146886712E-2</v>
      </c>
      <c r="BD326">
        <v>5.6760517721863142E-2</v>
      </c>
      <c r="BF326">
        <v>0.1080996918687499</v>
      </c>
      <c r="BG326">
        <v>5.4049845934374917E-2</v>
      </c>
      <c r="BH326">
        <v>0.25822657398919707</v>
      </c>
      <c r="BS326" s="79" t="s">
        <v>464</v>
      </c>
      <c r="BT326" s="79" t="s">
        <v>464</v>
      </c>
    </row>
    <row r="327" spans="1:72" x14ac:dyDescent="0.3">
      <c r="A327" s="2" t="s">
        <v>28</v>
      </c>
      <c r="B327" s="13" t="s">
        <v>805</v>
      </c>
      <c r="C327" s="13"/>
      <c r="D327" s="2">
        <v>4</v>
      </c>
      <c r="E327" s="2" t="s">
        <v>207</v>
      </c>
      <c r="F327" s="9" t="s">
        <v>586</v>
      </c>
      <c r="G327" t="s">
        <v>660</v>
      </c>
      <c r="I327" s="2"/>
      <c r="J327" s="25">
        <v>8</v>
      </c>
      <c r="K327">
        <v>4</v>
      </c>
      <c r="L327">
        <v>0</v>
      </c>
      <c r="M327" s="2">
        <v>-1</v>
      </c>
      <c r="N327" s="2"/>
      <c r="O327" s="2"/>
      <c r="P327" s="2"/>
      <c r="Q327" s="2"/>
      <c r="R327" s="25">
        <v>7.5714817599999993</v>
      </c>
      <c r="S327" s="25">
        <v>7.4441355800000002</v>
      </c>
      <c r="T327" s="25">
        <v>14.785262019999999</v>
      </c>
      <c r="U327">
        <v>5.4767999999999999</v>
      </c>
      <c r="V327">
        <v>5.5212000000000003</v>
      </c>
      <c r="W327">
        <v>7.7889999999999997</v>
      </c>
      <c r="X327">
        <v>0</v>
      </c>
      <c r="AA327" s="2"/>
      <c r="AB327">
        <v>6</v>
      </c>
      <c r="AC327" s="55">
        <f t="shared" si="37"/>
        <v>0</v>
      </c>
      <c r="AD327" s="57">
        <v>583.54908217201648</v>
      </c>
      <c r="AE327" s="55">
        <v>235.52774005824</v>
      </c>
      <c r="AF327" s="55">
        <v>0</v>
      </c>
      <c r="AG327" s="52"/>
      <c r="AH327" s="51">
        <v>8.2255291742281814E-2</v>
      </c>
      <c r="AI327" s="52">
        <v>0.10189882514078979</v>
      </c>
      <c r="AJ327" s="52"/>
      <c r="AK327" s="28">
        <v>1.8</v>
      </c>
      <c r="AL327" s="28">
        <v>2.4</v>
      </c>
      <c r="AM327" s="28">
        <v>0.6</v>
      </c>
      <c r="AN327" s="28">
        <v>2.8</v>
      </c>
      <c r="AO327" s="28">
        <v>0.23684210526315791</v>
      </c>
      <c r="AP327" s="28">
        <v>0.31578947368421051</v>
      </c>
      <c r="AQ327" s="28">
        <v>7.8947368421052627E-2</v>
      </c>
      <c r="AR327" s="28">
        <v>0.36842105263157893</v>
      </c>
      <c r="AS327" s="25">
        <v>0.93</v>
      </c>
      <c r="AT327" s="25">
        <v>3.44</v>
      </c>
      <c r="AU327" s="25">
        <v>2.5099999999999998</v>
      </c>
      <c r="AV327" s="25">
        <v>2.5499999999999998</v>
      </c>
      <c r="AW327">
        <v>2.5499999999999998</v>
      </c>
      <c r="AX327">
        <v>5.8797175109999991</v>
      </c>
      <c r="AY327" s="75">
        <v>0.46150059156666667</v>
      </c>
      <c r="AZ327" s="75">
        <v>0.57171237359127625</v>
      </c>
      <c r="BA327" s="75"/>
      <c r="BC327">
        <v>4.1127645871140907E-2</v>
      </c>
      <c r="BD327">
        <v>5.0949412570394918E-2</v>
      </c>
      <c r="BF327">
        <v>9.2077058441535797E-2</v>
      </c>
      <c r="BG327">
        <v>4.6038529220767913E-2</v>
      </c>
      <c r="BH327">
        <v>0.51660648257897146</v>
      </c>
      <c r="BS327" s="79" t="s">
        <v>464</v>
      </c>
      <c r="BT327" s="79" t="s">
        <v>464</v>
      </c>
    </row>
    <row r="328" spans="1:72" x14ac:dyDescent="0.3">
      <c r="A328" s="2" t="s">
        <v>205</v>
      </c>
      <c r="B328" s="13" t="s">
        <v>871</v>
      </c>
      <c r="C328" s="13"/>
      <c r="D328" s="2">
        <v>2.8</v>
      </c>
      <c r="E328" s="2" t="s">
        <v>207</v>
      </c>
      <c r="F328" s="32" t="s">
        <v>585</v>
      </c>
      <c r="G328" s="1" t="s">
        <v>659</v>
      </c>
      <c r="I328" s="2"/>
      <c r="J328" s="25">
        <v>0</v>
      </c>
      <c r="K328">
        <v>6</v>
      </c>
      <c r="L328">
        <v>0</v>
      </c>
      <c r="M328" s="2">
        <v>-1</v>
      </c>
      <c r="N328" s="2"/>
      <c r="O328" s="2"/>
      <c r="P328" s="2"/>
      <c r="Q328" s="2"/>
      <c r="R328" s="25">
        <v>0</v>
      </c>
      <c r="S328" s="25"/>
      <c r="T328" s="25"/>
      <c r="U328">
        <v>5.15428</v>
      </c>
      <c r="V328">
        <v>5.1542800000000009</v>
      </c>
      <c r="W328">
        <v>13.7835</v>
      </c>
      <c r="X328">
        <v>0</v>
      </c>
      <c r="AA328" s="2"/>
      <c r="AB328">
        <v>6</v>
      </c>
      <c r="AC328" s="55">
        <f t="shared" si="37"/>
        <v>0</v>
      </c>
      <c r="AD328" s="57">
        <v>0</v>
      </c>
      <c r="AE328" s="55">
        <v>317.12184318337751</v>
      </c>
      <c r="AF328" s="55">
        <v>0</v>
      </c>
      <c r="AG328" s="52"/>
      <c r="AH328" s="51"/>
      <c r="AI328" s="52">
        <v>0.1135210354437263</v>
      </c>
      <c r="AJ328" s="52"/>
      <c r="AK328" s="28">
        <v>1.8</v>
      </c>
      <c r="AL328" s="28">
        <v>2.4</v>
      </c>
      <c r="AM328" s="28">
        <v>0.64</v>
      </c>
      <c r="AN328" s="28">
        <v>2.8</v>
      </c>
      <c r="AO328" s="28">
        <v>0.2356020942408377</v>
      </c>
      <c r="AP328" s="28">
        <v>0.3141361256544502</v>
      </c>
      <c r="AQ328" s="28">
        <v>8.3769633507853394E-2</v>
      </c>
      <c r="AR328" s="28">
        <v>0.36649214659685858</v>
      </c>
      <c r="AS328" s="25">
        <v>0.98</v>
      </c>
      <c r="AT328" s="25">
        <v>3.44</v>
      </c>
      <c r="AU328" s="25">
        <v>2.46</v>
      </c>
      <c r="AV328" s="25">
        <v>2.5636800000000002</v>
      </c>
      <c r="AW328">
        <v>2.5636800000000002</v>
      </c>
      <c r="AX328">
        <v>5.9178984111680002</v>
      </c>
      <c r="AY328" s="75">
        <v>0.51645314797839414</v>
      </c>
      <c r="AZ328" s="75">
        <v>0</v>
      </c>
      <c r="BA328" s="75"/>
      <c r="BD328">
        <v>5.6760517721863142E-2</v>
      </c>
      <c r="BF328">
        <v>0.1135210354437263</v>
      </c>
      <c r="BG328">
        <v>5.6760517721863142E-2</v>
      </c>
      <c r="BH328">
        <v>0.25822657398919707</v>
      </c>
      <c r="BS328" s="79" t="s">
        <v>464</v>
      </c>
      <c r="BT328" s="79" t="s">
        <v>464</v>
      </c>
    </row>
    <row r="329" spans="1:72" x14ac:dyDescent="0.3">
      <c r="A329" s="2" t="s">
        <v>206</v>
      </c>
      <c r="B329" s="13" t="s">
        <v>872</v>
      </c>
      <c r="C329" s="13"/>
      <c r="D329" s="2">
        <v>2</v>
      </c>
      <c r="E329" s="2" t="s">
        <v>207</v>
      </c>
      <c r="F329" s="32" t="s">
        <v>586</v>
      </c>
      <c r="G329" s="1" t="s">
        <v>660</v>
      </c>
      <c r="I329" s="2"/>
      <c r="J329" s="25">
        <v>0</v>
      </c>
      <c r="K329">
        <v>4</v>
      </c>
      <c r="L329">
        <v>0</v>
      </c>
      <c r="M329" s="2">
        <v>-1</v>
      </c>
      <c r="N329" s="2"/>
      <c r="O329" s="2"/>
      <c r="P329" s="2"/>
      <c r="Q329" s="2"/>
      <c r="R329" s="25">
        <v>0</v>
      </c>
      <c r="S329" s="25"/>
      <c r="T329" s="25"/>
      <c r="U329">
        <v>5.4767999999999999</v>
      </c>
      <c r="V329">
        <v>5.5212000000000003</v>
      </c>
      <c r="W329">
        <v>7.7889999999999997</v>
      </c>
      <c r="X329">
        <v>0</v>
      </c>
      <c r="AA329" s="2"/>
      <c r="AB329">
        <v>6</v>
      </c>
      <c r="AC329" s="55">
        <f t="shared" si="37"/>
        <v>0</v>
      </c>
      <c r="AD329" s="57">
        <v>0</v>
      </c>
      <c r="AE329" s="55">
        <v>235.52774005824</v>
      </c>
      <c r="AF329" s="55">
        <v>0</v>
      </c>
      <c r="AG329" s="52"/>
      <c r="AH329" s="51"/>
      <c r="AI329" s="52">
        <v>0.10189882514078979</v>
      </c>
      <c r="AJ329" s="52"/>
      <c r="AK329" s="28">
        <v>1.8</v>
      </c>
      <c r="AL329" s="28">
        <v>2.4</v>
      </c>
      <c r="AM329" s="28">
        <v>0.78</v>
      </c>
      <c r="AN329" s="28">
        <v>2.8</v>
      </c>
      <c r="AO329" s="28">
        <v>0.23136246786632389</v>
      </c>
      <c r="AP329" s="28">
        <v>0.30848329048843193</v>
      </c>
      <c r="AQ329" s="28">
        <v>0.10025706940874041</v>
      </c>
      <c r="AR329" s="28">
        <v>0.35989717223650391</v>
      </c>
      <c r="AS329" s="25">
        <v>0.93</v>
      </c>
      <c r="AT329" s="25">
        <v>3.44</v>
      </c>
      <c r="AU329" s="25">
        <v>2.5099999999999998</v>
      </c>
      <c r="AV329" s="25">
        <v>2.5674600000000001</v>
      </c>
      <c r="AW329">
        <v>2.5674600000000001</v>
      </c>
      <c r="AX329">
        <v>5.9091939581100004</v>
      </c>
      <c r="AY329" s="75">
        <v>0.46150059156666667</v>
      </c>
      <c r="AZ329" s="75">
        <v>0.57171237359127625</v>
      </c>
      <c r="BA329" s="75"/>
      <c r="BD329">
        <v>5.0949412570394918E-2</v>
      </c>
      <c r="BF329">
        <v>0.10189882514078979</v>
      </c>
      <c r="BG329">
        <v>5.0949412570394918E-2</v>
      </c>
      <c r="BH329">
        <v>0.51660648257897146</v>
      </c>
      <c r="BS329" s="79" t="s">
        <v>464</v>
      </c>
      <c r="BT329" s="79" t="s">
        <v>464</v>
      </c>
    </row>
    <row r="330" spans="1:72" x14ac:dyDescent="0.3">
      <c r="A330" s="2" t="s">
        <v>153</v>
      </c>
      <c r="B330" s="13" t="s">
        <v>775</v>
      </c>
      <c r="C330" s="13"/>
      <c r="D330" s="2">
        <v>3.36</v>
      </c>
      <c r="E330" s="2" t="s">
        <v>208</v>
      </c>
      <c r="F330" s="9" t="s">
        <v>578</v>
      </c>
      <c r="G330">
        <v>-1</v>
      </c>
      <c r="I330" s="2">
        <v>1</v>
      </c>
      <c r="J330" s="25">
        <v>1</v>
      </c>
      <c r="K330">
        <v>0</v>
      </c>
      <c r="L330">
        <v>0</v>
      </c>
      <c r="M330" s="2">
        <v>3.8860000000000001</v>
      </c>
      <c r="N330" s="2">
        <v>3.8860000000000001</v>
      </c>
      <c r="O330" s="2">
        <v>10.548299999999999</v>
      </c>
      <c r="P330" s="2" t="s">
        <v>1097</v>
      </c>
      <c r="Q330" s="2"/>
      <c r="R330" s="25">
        <v>3.9263319999999999</v>
      </c>
      <c r="S330" s="25">
        <v>3.9263319999999999</v>
      </c>
      <c r="T330" s="25">
        <v>10.74639</v>
      </c>
      <c r="U330">
        <v>0</v>
      </c>
      <c r="X330">
        <v>0</v>
      </c>
      <c r="AA330" s="2"/>
      <c r="AB330">
        <v>14</v>
      </c>
      <c r="AC330" s="55">
        <f t="shared" si="37"/>
        <v>159.28983610679998</v>
      </c>
      <c r="AD330" s="57">
        <v>165.66723991337099</v>
      </c>
      <c r="AE330" s="55">
        <v>0</v>
      </c>
      <c r="AF330" s="55">
        <v>0</v>
      </c>
      <c r="AG330" s="52"/>
      <c r="AH330" s="51">
        <v>8.4506749839743392E-2</v>
      </c>
      <c r="AI330" s="52"/>
      <c r="AJ330" s="52"/>
      <c r="AK330" s="28">
        <v>1.7272727272727271</v>
      </c>
      <c r="AL330" s="28">
        <v>2.545454545454545</v>
      </c>
      <c r="AM330" s="28">
        <v>0.81818181818181823</v>
      </c>
      <c r="AN330" s="28">
        <v>0</v>
      </c>
      <c r="AO330" s="28">
        <v>0.3392857142857143</v>
      </c>
      <c r="AP330" s="28">
        <v>0.5</v>
      </c>
      <c r="AQ330" s="28">
        <v>0.1607142857142857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2.78</v>
      </c>
      <c r="AW330">
        <v>2.78</v>
      </c>
      <c r="AX330">
        <v>6.4270052227137269</v>
      </c>
      <c r="AY330" s="75">
        <v>0.41874886813759421</v>
      </c>
      <c r="AZ330" s="75"/>
      <c r="BA330" s="75"/>
      <c r="BB330">
        <v>4.3945051178950742E-2</v>
      </c>
      <c r="BC330">
        <v>4.2253374919871717E-2</v>
      </c>
      <c r="BF330">
        <v>8.4506749839743392E-2</v>
      </c>
      <c r="BG330">
        <v>4.3099213049411229E-2</v>
      </c>
      <c r="BH330">
        <v>0.41874886813759421</v>
      </c>
      <c r="BS330" s="79" t="s">
        <v>464</v>
      </c>
      <c r="BT330" s="79" t="s">
        <v>464</v>
      </c>
    </row>
    <row r="331" spans="1:72" x14ac:dyDescent="0.3">
      <c r="A331" s="2" t="s">
        <v>153</v>
      </c>
      <c r="B331" s="13" t="s">
        <v>775</v>
      </c>
      <c r="C331" s="13"/>
      <c r="D331" s="2">
        <v>3.48</v>
      </c>
      <c r="E331" s="2" t="s">
        <v>208</v>
      </c>
      <c r="F331" s="9" t="s">
        <v>578</v>
      </c>
      <c r="G331">
        <v>-1</v>
      </c>
      <c r="I331" s="2">
        <v>1</v>
      </c>
      <c r="J331" s="25">
        <v>1</v>
      </c>
      <c r="K331">
        <v>0</v>
      </c>
      <c r="L331">
        <v>0</v>
      </c>
      <c r="M331" s="2">
        <v>3.8860000000000001</v>
      </c>
      <c r="N331" s="2">
        <v>3.8860000000000001</v>
      </c>
      <c r="O331" s="2">
        <v>10.548299999999999</v>
      </c>
      <c r="P331" s="2" t="s">
        <v>1097</v>
      </c>
      <c r="Q331" s="2"/>
      <c r="R331" s="25">
        <v>3.9263319999999999</v>
      </c>
      <c r="S331" s="25">
        <v>3.9263319999999999</v>
      </c>
      <c r="T331" s="25">
        <v>10.74639</v>
      </c>
      <c r="U331">
        <v>0</v>
      </c>
      <c r="X331">
        <v>0</v>
      </c>
      <c r="AA331" s="2"/>
      <c r="AB331">
        <v>14</v>
      </c>
      <c r="AC331" s="55">
        <f t="shared" si="37"/>
        <v>159.28983610679998</v>
      </c>
      <c r="AD331" s="57">
        <v>165.66723991337099</v>
      </c>
      <c r="AE331" s="55">
        <v>0</v>
      </c>
      <c r="AF331" s="55">
        <v>0</v>
      </c>
      <c r="AG331" s="52"/>
      <c r="AH331" s="51">
        <v>8.4506749839743392E-2</v>
      </c>
      <c r="AI331" s="52"/>
      <c r="AJ331" s="52"/>
      <c r="AK331" s="28">
        <v>1.7272727272727271</v>
      </c>
      <c r="AL331" s="28">
        <v>2.545454545454545</v>
      </c>
      <c r="AM331" s="28">
        <v>0.81818181818181823</v>
      </c>
      <c r="AN331" s="28">
        <v>0</v>
      </c>
      <c r="AO331" s="28">
        <v>0.3392857142857143</v>
      </c>
      <c r="AP331" s="28">
        <v>0.5</v>
      </c>
      <c r="AQ331" s="28">
        <v>0.1607142857142857</v>
      </c>
      <c r="AR331" s="28">
        <v>0</v>
      </c>
      <c r="AS331" s="25">
        <v>1.1000000000000001</v>
      </c>
      <c r="AT331" s="25">
        <v>3.44</v>
      </c>
      <c r="AU331" s="25">
        <v>2.34</v>
      </c>
      <c r="AV331" s="25">
        <v>2.78</v>
      </c>
      <c r="AW331">
        <v>2.78</v>
      </c>
      <c r="AX331">
        <v>6.4270052227137269</v>
      </c>
      <c r="AY331" s="75">
        <v>0.41874886813759421</v>
      </c>
      <c r="AZ331" s="75"/>
      <c r="BA331" s="75"/>
      <c r="BB331">
        <v>4.3945051178950742E-2</v>
      </c>
      <c r="BC331">
        <v>4.2253374919871717E-2</v>
      </c>
      <c r="BF331">
        <v>8.4506749839743392E-2</v>
      </c>
      <c r="BG331">
        <v>4.3099213049411229E-2</v>
      </c>
      <c r="BH331">
        <v>0.41874886813759421</v>
      </c>
      <c r="BN331" s="79" t="s">
        <v>964</v>
      </c>
      <c r="BO331" s="79">
        <v>0.66</v>
      </c>
      <c r="BS331" s="79" t="s">
        <v>464</v>
      </c>
      <c r="BT331" s="79" t="s">
        <v>464</v>
      </c>
    </row>
    <row r="332" spans="1:72" x14ac:dyDescent="0.3">
      <c r="A332" s="2" t="s">
        <v>153</v>
      </c>
      <c r="B332" s="13" t="s">
        <v>775</v>
      </c>
      <c r="C332" s="13"/>
      <c r="D332" s="2">
        <v>3.47</v>
      </c>
      <c r="E332" s="2" t="s">
        <v>208</v>
      </c>
      <c r="F332" s="9" t="s">
        <v>578</v>
      </c>
      <c r="G332">
        <v>-1</v>
      </c>
      <c r="I332" s="2">
        <v>1</v>
      </c>
      <c r="J332" s="25">
        <v>1</v>
      </c>
      <c r="K332">
        <v>0</v>
      </c>
      <c r="L332">
        <v>0</v>
      </c>
      <c r="M332" s="2">
        <v>3.8860000000000001</v>
      </c>
      <c r="N332" s="2">
        <v>3.8860000000000001</v>
      </c>
      <c r="O332" s="2">
        <v>10.548299999999999</v>
      </c>
      <c r="P332" s="2" t="s">
        <v>1097</v>
      </c>
      <c r="Q332" s="2"/>
      <c r="R332" s="25">
        <v>3.9263319999999999</v>
      </c>
      <c r="S332" s="25">
        <v>3.9263319999999999</v>
      </c>
      <c r="T332" s="25">
        <v>10.74639</v>
      </c>
      <c r="U332">
        <v>0</v>
      </c>
      <c r="X332">
        <v>0</v>
      </c>
      <c r="AA332" s="2"/>
      <c r="AB332">
        <v>14</v>
      </c>
      <c r="AC332" s="55">
        <f t="shared" si="37"/>
        <v>159.28983610679998</v>
      </c>
      <c r="AD332" s="57">
        <v>165.66723991337099</v>
      </c>
      <c r="AE332" s="55">
        <v>0</v>
      </c>
      <c r="AF332" s="55">
        <v>0</v>
      </c>
      <c r="AG332" s="52"/>
      <c r="AH332" s="51">
        <v>8.4506749839743392E-2</v>
      </c>
      <c r="AI332" s="52"/>
      <c r="AJ332" s="52"/>
      <c r="AK332" s="28">
        <v>1.7272727272727271</v>
      </c>
      <c r="AL332" s="28">
        <v>2.545454545454545</v>
      </c>
      <c r="AM332" s="28">
        <v>0.81818181818181823</v>
      </c>
      <c r="AN332" s="28">
        <v>0</v>
      </c>
      <c r="AO332" s="28">
        <v>0.3392857142857143</v>
      </c>
      <c r="AP332" s="28">
        <v>0.5</v>
      </c>
      <c r="AQ332" s="28">
        <v>0.1607142857142857</v>
      </c>
      <c r="AR332" s="28">
        <v>0</v>
      </c>
      <c r="AS332" s="25">
        <v>1.1000000000000001</v>
      </c>
      <c r="AT332" s="25">
        <v>3.44</v>
      </c>
      <c r="AU332" s="25">
        <v>2.34</v>
      </c>
      <c r="AV332" s="25">
        <v>2.78</v>
      </c>
      <c r="AW332">
        <v>2.78</v>
      </c>
      <c r="AX332">
        <v>6.4270052227137269</v>
      </c>
      <c r="AY332" s="75">
        <v>0.41874886813759421</v>
      </c>
      <c r="AZ332" s="75"/>
      <c r="BA332" s="75"/>
      <c r="BB332">
        <v>4.3945051178950742E-2</v>
      </c>
      <c r="BC332">
        <v>4.2253374919871717E-2</v>
      </c>
      <c r="BF332">
        <v>8.4506749839743392E-2</v>
      </c>
      <c r="BG332">
        <v>4.3099213049411229E-2</v>
      </c>
      <c r="BH332">
        <v>0.41874886813759421</v>
      </c>
      <c r="BN332" s="79" t="s">
        <v>964</v>
      </c>
      <c r="BO332" s="79">
        <f>BO331*2</f>
        <v>1.32</v>
      </c>
      <c r="BS332" s="79" t="s">
        <v>464</v>
      </c>
      <c r="BT332" s="79" t="s">
        <v>464</v>
      </c>
    </row>
    <row r="333" spans="1:72" x14ac:dyDescent="0.3">
      <c r="A333" s="2" t="s">
        <v>153</v>
      </c>
      <c r="B333" s="13" t="s">
        <v>775</v>
      </c>
      <c r="C333" s="13"/>
      <c r="D333" s="2">
        <v>3.41</v>
      </c>
      <c r="E333" s="2" t="s">
        <v>208</v>
      </c>
      <c r="F333" s="9" t="s">
        <v>578</v>
      </c>
      <c r="G333">
        <v>-1</v>
      </c>
      <c r="I333" s="2">
        <v>1</v>
      </c>
      <c r="J333" s="25">
        <v>1</v>
      </c>
      <c r="K333">
        <v>0</v>
      </c>
      <c r="L333">
        <v>0</v>
      </c>
      <c r="M333" s="2">
        <v>3.8860000000000001</v>
      </c>
      <c r="N333" s="2">
        <v>3.8860000000000001</v>
      </c>
      <c r="O333" s="2">
        <v>10.548299999999999</v>
      </c>
      <c r="P333" s="2" t="s">
        <v>1097</v>
      </c>
      <c r="Q333" s="2"/>
      <c r="R333" s="25">
        <v>3.9263319999999999</v>
      </c>
      <c r="S333" s="25">
        <v>3.9263319999999999</v>
      </c>
      <c r="T333" s="25">
        <v>10.74639</v>
      </c>
      <c r="U333">
        <v>0</v>
      </c>
      <c r="X333">
        <v>0</v>
      </c>
      <c r="AA333" s="2"/>
      <c r="AB333">
        <v>14</v>
      </c>
      <c r="AC333" s="55">
        <f t="shared" si="37"/>
        <v>159.28983610679998</v>
      </c>
      <c r="AD333" s="57">
        <v>165.66723991337099</v>
      </c>
      <c r="AE333" s="55">
        <v>0</v>
      </c>
      <c r="AF333" s="55">
        <v>0</v>
      </c>
      <c r="AG333" s="52"/>
      <c r="AH333" s="51">
        <v>8.4506749839743392E-2</v>
      </c>
      <c r="AI333" s="52"/>
      <c r="AJ333" s="52"/>
      <c r="AK333" s="28">
        <v>1.7272727272727271</v>
      </c>
      <c r="AL333" s="28">
        <v>2.545454545454545</v>
      </c>
      <c r="AM333" s="28">
        <v>0.81818181818181823</v>
      </c>
      <c r="AN333" s="28">
        <v>0</v>
      </c>
      <c r="AO333" s="28">
        <v>0.3392857142857143</v>
      </c>
      <c r="AP333" s="28">
        <v>0.5</v>
      </c>
      <c r="AQ333" s="28">
        <v>0.1607142857142857</v>
      </c>
      <c r="AR333" s="28">
        <v>0</v>
      </c>
      <c r="AS333" s="25">
        <v>1.1000000000000001</v>
      </c>
      <c r="AT333" s="25">
        <v>3.44</v>
      </c>
      <c r="AU333" s="25">
        <v>2.34</v>
      </c>
      <c r="AV333" s="25">
        <v>2.78</v>
      </c>
      <c r="AW333">
        <v>2.78</v>
      </c>
      <c r="AX333">
        <v>6.4270052227137269</v>
      </c>
      <c r="AY333" s="75">
        <v>0.41874886813759421</v>
      </c>
      <c r="AZ333" s="75"/>
      <c r="BA333" s="75"/>
      <c r="BB333">
        <v>4.3945051178950742E-2</v>
      </c>
      <c r="BC333">
        <v>4.2253374919871717E-2</v>
      </c>
      <c r="BF333">
        <v>8.4506749839743392E-2</v>
      </c>
      <c r="BG333">
        <v>4.3099213049411229E-2</v>
      </c>
      <c r="BH333">
        <v>0.41874886813759421</v>
      </c>
      <c r="BN333" s="79" t="s">
        <v>964</v>
      </c>
      <c r="BO333" s="79">
        <f>BO331*3</f>
        <v>1.98</v>
      </c>
      <c r="BS333" s="79" t="s">
        <v>464</v>
      </c>
      <c r="BT333" s="79" t="s">
        <v>464</v>
      </c>
    </row>
    <row r="334" spans="1:72" x14ac:dyDescent="0.3">
      <c r="A334" s="2" t="s">
        <v>153</v>
      </c>
      <c r="B334" s="13" t="s">
        <v>775</v>
      </c>
      <c r="C334" s="13"/>
      <c r="D334" s="2">
        <v>3.42</v>
      </c>
      <c r="E334" s="2" t="s">
        <v>208</v>
      </c>
      <c r="F334" s="9" t="s">
        <v>578</v>
      </c>
      <c r="G334">
        <v>-1</v>
      </c>
      <c r="I334" s="2">
        <v>1</v>
      </c>
      <c r="J334" s="25">
        <v>1</v>
      </c>
      <c r="K334">
        <v>0</v>
      </c>
      <c r="L334">
        <v>0</v>
      </c>
      <c r="M334" s="2">
        <v>3.8860000000000001</v>
      </c>
      <c r="N334" s="2">
        <v>3.8860000000000001</v>
      </c>
      <c r="O334" s="2">
        <v>10.548299999999999</v>
      </c>
      <c r="P334" s="2" t="s">
        <v>1097</v>
      </c>
      <c r="Q334" s="2"/>
      <c r="R334" s="25">
        <v>3.9263319999999999</v>
      </c>
      <c r="S334" s="25">
        <v>3.9263319999999999</v>
      </c>
      <c r="T334" s="25">
        <v>10.74639</v>
      </c>
      <c r="U334">
        <v>0</v>
      </c>
      <c r="X334">
        <v>0</v>
      </c>
      <c r="AA334" s="2"/>
      <c r="AB334">
        <v>14</v>
      </c>
      <c r="AC334" s="55">
        <f t="shared" si="37"/>
        <v>159.28983610679998</v>
      </c>
      <c r="AD334" s="57">
        <v>165.66723991337099</v>
      </c>
      <c r="AE334" s="55">
        <v>0</v>
      </c>
      <c r="AF334" s="55">
        <v>0</v>
      </c>
      <c r="AG334" s="52"/>
      <c r="AH334" s="51">
        <v>8.4506749839743392E-2</v>
      </c>
      <c r="AI334" s="52"/>
      <c r="AJ334" s="52"/>
      <c r="AK334" s="28">
        <v>1.7272727272727271</v>
      </c>
      <c r="AL334" s="28">
        <v>2.545454545454545</v>
      </c>
      <c r="AM334" s="28">
        <v>0.81818181818181823</v>
      </c>
      <c r="AN334" s="28">
        <v>0</v>
      </c>
      <c r="AO334" s="28">
        <v>0.3392857142857143</v>
      </c>
      <c r="AP334" s="28">
        <v>0.5</v>
      </c>
      <c r="AQ334" s="28">
        <v>0.1607142857142857</v>
      </c>
      <c r="AR334" s="28">
        <v>0</v>
      </c>
      <c r="AS334" s="25">
        <v>1.1000000000000001</v>
      </c>
      <c r="AT334" s="25">
        <v>3.44</v>
      </c>
      <c r="AU334" s="25">
        <v>2.34</v>
      </c>
      <c r="AV334" s="25">
        <v>2.78</v>
      </c>
      <c r="AW334">
        <v>2.78</v>
      </c>
      <c r="AX334">
        <v>6.4270052227137269</v>
      </c>
      <c r="AY334" s="75">
        <v>0.41874886813759421</v>
      </c>
      <c r="AZ334" s="75"/>
      <c r="BA334" s="75"/>
      <c r="BB334">
        <v>4.3945051178950742E-2</v>
      </c>
      <c r="BC334">
        <v>4.2253374919871717E-2</v>
      </c>
      <c r="BF334">
        <v>8.4506749839743392E-2</v>
      </c>
      <c r="BG334">
        <v>4.3099213049411229E-2</v>
      </c>
      <c r="BH334">
        <v>0.41874886813759421</v>
      </c>
      <c r="BN334" s="79" t="s">
        <v>964</v>
      </c>
      <c r="BO334" s="79">
        <f>BO331*4</f>
        <v>2.64</v>
      </c>
      <c r="BS334" s="79" t="s">
        <v>464</v>
      </c>
      <c r="BT334" s="79" t="s">
        <v>464</v>
      </c>
    </row>
    <row r="335" spans="1:72" x14ac:dyDescent="0.3">
      <c r="A335" s="2" t="s">
        <v>153</v>
      </c>
      <c r="B335" s="13" t="s">
        <v>775</v>
      </c>
      <c r="C335" s="13"/>
      <c r="D335" s="2">
        <v>3.44</v>
      </c>
      <c r="E335" s="2" t="s">
        <v>208</v>
      </c>
      <c r="F335" s="9" t="s">
        <v>578</v>
      </c>
      <c r="G335">
        <v>-1</v>
      </c>
      <c r="I335" s="2">
        <v>1</v>
      </c>
      <c r="J335" s="25">
        <v>1</v>
      </c>
      <c r="K335">
        <v>0</v>
      </c>
      <c r="L335">
        <v>0</v>
      </c>
      <c r="M335" s="2">
        <v>3.8860000000000001</v>
      </c>
      <c r="N335" s="2">
        <v>3.8860000000000001</v>
      </c>
      <c r="O335" s="2">
        <v>10.548299999999999</v>
      </c>
      <c r="P335" s="2" t="s">
        <v>1097</v>
      </c>
      <c r="Q335" s="2"/>
      <c r="R335" s="25">
        <v>3.9263319999999999</v>
      </c>
      <c r="S335" s="25">
        <v>3.9263319999999999</v>
      </c>
      <c r="T335" s="25">
        <v>10.74639</v>
      </c>
      <c r="U335">
        <v>0</v>
      </c>
      <c r="X335">
        <v>0</v>
      </c>
      <c r="AA335" s="2"/>
      <c r="AB335">
        <v>14</v>
      </c>
      <c r="AC335" s="55">
        <f t="shared" si="37"/>
        <v>159.28983610679998</v>
      </c>
      <c r="AD335" s="57">
        <v>165.66723991337099</v>
      </c>
      <c r="AE335" s="55">
        <v>0</v>
      </c>
      <c r="AF335" s="55">
        <v>0</v>
      </c>
      <c r="AG335" s="52"/>
      <c r="AH335" s="51">
        <v>8.4506749839743392E-2</v>
      </c>
      <c r="AI335" s="52"/>
      <c r="AJ335" s="52"/>
      <c r="AK335" s="28">
        <v>1.7272727272727271</v>
      </c>
      <c r="AL335" s="28">
        <v>2.545454545454545</v>
      </c>
      <c r="AM335" s="28">
        <v>0.81818181818181823</v>
      </c>
      <c r="AN335" s="28">
        <v>0</v>
      </c>
      <c r="AO335" s="28">
        <v>0.3392857142857143</v>
      </c>
      <c r="AP335" s="28">
        <v>0.5</v>
      </c>
      <c r="AQ335" s="28">
        <v>0.1607142857142857</v>
      </c>
      <c r="AR335" s="28">
        <v>0</v>
      </c>
      <c r="AS335" s="25">
        <v>1.1000000000000001</v>
      </c>
      <c r="AT335" s="25">
        <v>3.44</v>
      </c>
      <c r="AU335" s="25">
        <v>2.34</v>
      </c>
      <c r="AV335" s="25">
        <v>2.78</v>
      </c>
      <c r="AW335">
        <v>2.78</v>
      </c>
      <c r="AX335">
        <v>6.4270052227137269</v>
      </c>
      <c r="AY335" s="75">
        <v>0.41874886813759421</v>
      </c>
      <c r="AZ335" s="75"/>
      <c r="BA335" s="75"/>
      <c r="BB335">
        <v>4.3945051178950742E-2</v>
      </c>
      <c r="BC335">
        <v>4.2253374919871717E-2</v>
      </c>
      <c r="BF335">
        <v>8.4506749839743392E-2</v>
      </c>
      <c r="BG335">
        <v>4.3099213049411229E-2</v>
      </c>
      <c r="BH335">
        <v>0.41874886813759421</v>
      </c>
      <c r="BN335" s="79" t="s">
        <v>964</v>
      </c>
      <c r="BO335" s="79">
        <f>BO331*6</f>
        <v>3.96</v>
      </c>
      <c r="BS335" s="79" t="s">
        <v>464</v>
      </c>
      <c r="BT335" s="79" t="s">
        <v>464</v>
      </c>
    </row>
    <row r="336" spans="1:72" x14ac:dyDescent="0.3">
      <c r="A336" s="2" t="s">
        <v>8</v>
      </c>
      <c r="B336" s="13" t="s">
        <v>694</v>
      </c>
      <c r="C336" s="13"/>
      <c r="D336" s="2">
        <v>3.2</v>
      </c>
      <c r="E336" s="2" t="s">
        <v>208</v>
      </c>
      <c r="F336" s="9" t="s">
        <v>530</v>
      </c>
      <c r="G336" t="s">
        <v>612</v>
      </c>
      <c r="I336" s="2"/>
      <c r="J336" s="25">
        <v>30</v>
      </c>
      <c r="K336">
        <v>4</v>
      </c>
      <c r="L336">
        <v>0</v>
      </c>
      <c r="M336" s="2">
        <v>-2</v>
      </c>
      <c r="N336" s="2"/>
      <c r="O336" s="2"/>
      <c r="P336" s="2"/>
      <c r="Q336" s="2"/>
      <c r="R336" s="25">
        <v>10.59112378</v>
      </c>
      <c r="S336" s="25">
        <v>10.784736629999999</v>
      </c>
      <c r="T336" s="25">
        <v>10.486176179999999</v>
      </c>
      <c r="U336">
        <v>3.73</v>
      </c>
      <c r="V336">
        <v>3.73</v>
      </c>
      <c r="W336">
        <v>9.3699999999999992</v>
      </c>
      <c r="X336">
        <v>0</v>
      </c>
      <c r="AA336" s="2"/>
      <c r="AB336">
        <v>4</v>
      </c>
      <c r="AC336" s="55">
        <f t="shared" si="37"/>
        <v>0</v>
      </c>
      <c r="AD336" s="57">
        <v>1182.741260108548</v>
      </c>
      <c r="AE336" s="55">
        <v>130.36387300000001</v>
      </c>
      <c r="AF336" s="55">
        <v>0</v>
      </c>
      <c r="AG336" s="52"/>
      <c r="AH336" s="51">
        <v>0.1014592151701775</v>
      </c>
      <c r="AI336" s="52">
        <v>0.1227333894874388</v>
      </c>
      <c r="AJ336" s="52"/>
      <c r="AK336" s="28">
        <v>2</v>
      </c>
      <c r="AL336" s="28">
        <v>2.666666666666667</v>
      </c>
      <c r="AM336" s="28">
        <v>0.66666666666666663</v>
      </c>
      <c r="AN336" s="28">
        <v>0</v>
      </c>
      <c r="AO336" s="28">
        <v>0.375</v>
      </c>
      <c r="AP336" s="28">
        <v>0.5</v>
      </c>
      <c r="AQ336" s="28">
        <v>0.125</v>
      </c>
      <c r="AR336" s="28">
        <v>0</v>
      </c>
      <c r="AS336" s="25">
        <v>1.54</v>
      </c>
      <c r="AT336" s="25">
        <v>3.44</v>
      </c>
      <c r="AU336" s="25">
        <v>1.9</v>
      </c>
      <c r="AV336" s="25">
        <v>2.8066666666666671</v>
      </c>
      <c r="AW336">
        <v>2.8066666666666662</v>
      </c>
      <c r="AX336">
        <v>6.1769976</v>
      </c>
      <c r="AY336" s="75">
        <v>0.46900407026869628</v>
      </c>
      <c r="AZ336" s="75">
        <v>0.56734579634715776</v>
      </c>
      <c r="BA336" s="75"/>
      <c r="BC336">
        <v>5.072960758508873E-2</v>
      </c>
      <c r="BD336">
        <v>6.136669474371937E-2</v>
      </c>
      <c r="BF336">
        <v>0.1120963023288082</v>
      </c>
      <c r="BG336">
        <v>5.604815116440405E-2</v>
      </c>
      <c r="BH336">
        <v>0.51817493330792708</v>
      </c>
      <c r="BS336" s="79" t="s">
        <v>464</v>
      </c>
      <c r="BT336" s="79" t="s">
        <v>464</v>
      </c>
    </row>
    <row r="337" spans="1:72" x14ac:dyDescent="0.3">
      <c r="A337" s="2" t="s">
        <v>153</v>
      </c>
      <c r="B337" s="13" t="s">
        <v>775</v>
      </c>
      <c r="C337" s="13"/>
      <c r="D337" s="2">
        <v>3.1</v>
      </c>
      <c r="E337" s="2" t="s">
        <v>209</v>
      </c>
      <c r="F337" s="9" t="s">
        <v>578</v>
      </c>
      <c r="G337">
        <v>-1</v>
      </c>
      <c r="I337" s="2">
        <v>1</v>
      </c>
      <c r="J337" s="25">
        <v>1</v>
      </c>
      <c r="K337">
        <v>0</v>
      </c>
      <c r="L337">
        <v>0</v>
      </c>
      <c r="M337" s="2">
        <v>3.8860000000000001</v>
      </c>
      <c r="N337" s="2">
        <v>3.8860000000000001</v>
      </c>
      <c r="O337" s="2">
        <v>10.548299999999999</v>
      </c>
      <c r="P337" s="2" t="s">
        <v>1097</v>
      </c>
      <c r="Q337" s="2"/>
      <c r="R337" s="25">
        <v>3.9263319999999999</v>
      </c>
      <c r="S337" s="25">
        <v>3.9263319999999999</v>
      </c>
      <c r="T337" s="25">
        <v>10.74639</v>
      </c>
      <c r="U337">
        <v>0</v>
      </c>
      <c r="X337">
        <v>0</v>
      </c>
      <c r="AA337" s="2"/>
      <c r="AB337">
        <v>14</v>
      </c>
      <c r="AC337" s="55">
        <f t="shared" si="37"/>
        <v>159.28983610679998</v>
      </c>
      <c r="AD337" s="57">
        <v>165.66723991337099</v>
      </c>
      <c r="AE337" s="55">
        <v>0</v>
      </c>
      <c r="AF337" s="55">
        <v>0</v>
      </c>
      <c r="AG337" s="52">
        <f t="shared" ref="AG337:AG344" si="40">I337*AB337/AC337</f>
        <v>8.789010235790147E-2</v>
      </c>
      <c r="AH337" s="51">
        <v>8.4506749839743392E-2</v>
      </c>
      <c r="AI337" s="52"/>
      <c r="AJ337" s="52"/>
      <c r="AK337" s="28">
        <v>1.7272727272727271</v>
      </c>
      <c r="AL337" s="28">
        <v>2.545454545454545</v>
      </c>
      <c r="AM337" s="28">
        <v>0.81818181818181823</v>
      </c>
      <c r="AN337" s="28">
        <v>0</v>
      </c>
      <c r="AO337" s="28">
        <v>0.3392857142857143</v>
      </c>
      <c r="AP337" s="28">
        <v>0.5</v>
      </c>
      <c r="AQ337" s="28">
        <v>0.1607142857142857</v>
      </c>
      <c r="AR337" s="28">
        <v>0</v>
      </c>
      <c r="AS337" s="25">
        <v>1.1000000000000001</v>
      </c>
      <c r="AT337" s="25">
        <v>3.44</v>
      </c>
      <c r="AU337" s="25">
        <v>2.34</v>
      </c>
      <c r="AV337" s="25">
        <v>2.78</v>
      </c>
      <c r="AW337">
        <v>2.78</v>
      </c>
      <c r="AX337">
        <v>6.4270052227137269</v>
      </c>
      <c r="AY337" s="75">
        <v>0.41874886813759421</v>
      </c>
      <c r="AZ337" s="75"/>
      <c r="BA337" s="75"/>
      <c r="BB337">
        <v>4.3945051178950742E-2</v>
      </c>
      <c r="BC337">
        <v>4.2253374919871717E-2</v>
      </c>
      <c r="BF337">
        <v>8.6198426098822431E-2</v>
      </c>
      <c r="BG337">
        <v>4.3099213049411229E-2</v>
      </c>
      <c r="BH337">
        <v>0.41874886813759421</v>
      </c>
      <c r="BS337" s="79" t="s">
        <v>464</v>
      </c>
      <c r="BT337" s="79" t="s">
        <v>464</v>
      </c>
    </row>
    <row r="338" spans="1:72" x14ac:dyDescent="0.3">
      <c r="A338" s="2" t="s">
        <v>210</v>
      </c>
      <c r="B338" s="17" t="s">
        <v>935</v>
      </c>
      <c r="C338" s="13"/>
      <c r="D338" s="2">
        <v>3.1</v>
      </c>
      <c r="E338" s="2" t="s">
        <v>209</v>
      </c>
      <c r="F338" s="32" t="s">
        <v>578</v>
      </c>
      <c r="G338">
        <v>-1</v>
      </c>
      <c r="I338" s="2">
        <v>1</v>
      </c>
      <c r="J338" s="25">
        <v>0</v>
      </c>
      <c r="K338">
        <v>0</v>
      </c>
      <c r="L338">
        <v>0</v>
      </c>
      <c r="M338" s="1">
        <v>3.8860000000000001</v>
      </c>
      <c r="N338" s="1">
        <v>3.8860000000000001</v>
      </c>
      <c r="O338" s="1">
        <v>10.548299999999999</v>
      </c>
      <c r="P338" s="1" t="s">
        <v>1097</v>
      </c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7"/>
        <v>159.28983610679998</v>
      </c>
      <c r="AD338" s="57">
        <v>0</v>
      </c>
      <c r="AE338" s="55">
        <v>0</v>
      </c>
      <c r="AF338" s="55">
        <v>0</v>
      </c>
      <c r="AG338" s="52">
        <f t="shared" si="40"/>
        <v>8.789010235790147E-2</v>
      </c>
      <c r="AH338" s="51"/>
      <c r="AI338" s="52"/>
      <c r="AJ338" s="52"/>
      <c r="AK338" s="28">
        <v>1.7285974499089249</v>
      </c>
      <c r="AL338" s="28">
        <v>2.5500910746812391</v>
      </c>
      <c r="AM338" s="28">
        <v>0.82149362477231325</v>
      </c>
      <c r="AN338" s="28">
        <v>0</v>
      </c>
      <c r="AO338" s="28">
        <v>0.33892857142857141</v>
      </c>
      <c r="AP338" s="28">
        <v>0.5</v>
      </c>
      <c r="AQ338" s="28">
        <v>0.16107142857142859</v>
      </c>
      <c r="AR338" s="28">
        <v>0</v>
      </c>
      <c r="AS338" s="25">
        <v>1.1000000000000001</v>
      </c>
      <c r="AT338" s="25">
        <v>3.44</v>
      </c>
      <c r="AU338" s="25">
        <v>2.34</v>
      </c>
      <c r="AV338" s="25">
        <v>2.7820765027322398</v>
      </c>
      <c r="AW338">
        <v>2.7820765027322398</v>
      </c>
      <c r="AX338">
        <v>6.4257889029010924</v>
      </c>
      <c r="AY338" s="75">
        <v>0.41874886813759421</v>
      </c>
      <c r="AZ338" s="75"/>
      <c r="BA338" s="75"/>
      <c r="BB338">
        <v>4.3945051178950742E-2</v>
      </c>
      <c r="BF338">
        <v>8.789010235790147E-2</v>
      </c>
      <c r="BG338">
        <v>4.3945051178950742E-2</v>
      </c>
      <c r="BH338">
        <v>0.41874886813759421</v>
      </c>
      <c r="BS338" s="79" t="s">
        <v>464</v>
      </c>
      <c r="BT338" s="79" t="s">
        <v>464</v>
      </c>
    </row>
    <row r="339" spans="1:72" x14ac:dyDescent="0.3">
      <c r="A339" s="2" t="s">
        <v>211</v>
      </c>
      <c r="B339" s="17" t="s">
        <v>936</v>
      </c>
      <c r="C339" s="13"/>
      <c r="D339" s="2">
        <v>3.1</v>
      </c>
      <c r="E339" s="2" t="s">
        <v>209</v>
      </c>
      <c r="F339" s="32" t="s">
        <v>578</v>
      </c>
      <c r="G339">
        <v>-1</v>
      </c>
      <c r="I339" s="2">
        <v>1</v>
      </c>
      <c r="J339" s="25">
        <v>0</v>
      </c>
      <c r="K339">
        <v>0</v>
      </c>
      <c r="L339">
        <v>0</v>
      </c>
      <c r="M339" s="1">
        <v>3.8860000000000001</v>
      </c>
      <c r="N339" s="1">
        <v>3.8860000000000001</v>
      </c>
      <c r="O339" s="1">
        <v>10.548299999999999</v>
      </c>
      <c r="P339" s="1" t="s">
        <v>1097</v>
      </c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7"/>
        <v>159.28983610679998</v>
      </c>
      <c r="AD339" s="57">
        <v>0</v>
      </c>
      <c r="AE339" s="55">
        <v>0</v>
      </c>
      <c r="AF339" s="55">
        <v>0</v>
      </c>
      <c r="AG339" s="52">
        <f t="shared" si="40"/>
        <v>8.789010235790147E-2</v>
      </c>
      <c r="AH339" s="51"/>
      <c r="AI339" s="52"/>
      <c r="AJ339" s="52"/>
      <c r="AK339" s="28">
        <v>1.730593607305936</v>
      </c>
      <c r="AL339" s="28">
        <v>2.557077625570777</v>
      </c>
      <c r="AM339" s="28">
        <v>0.8264840182648403</v>
      </c>
      <c r="AN339" s="28">
        <v>0</v>
      </c>
      <c r="AO339" s="28">
        <v>0.33839285714285711</v>
      </c>
      <c r="AP339" s="28">
        <v>0.5</v>
      </c>
      <c r="AQ339" s="28">
        <v>0.16160714285714289</v>
      </c>
      <c r="AR339" s="28">
        <v>0</v>
      </c>
      <c r="AS339" s="25">
        <v>1.1000000000000001</v>
      </c>
      <c r="AT339" s="25">
        <v>3.44</v>
      </c>
      <c r="AU339" s="25">
        <v>2.34</v>
      </c>
      <c r="AV339" s="25">
        <v>2.7852054794520549</v>
      </c>
      <c r="AW339">
        <v>2.7852054794520549</v>
      </c>
      <c r="AX339">
        <v>6.4239560922245156</v>
      </c>
      <c r="AY339" s="75">
        <v>0.41874886813759421</v>
      </c>
      <c r="AZ339" s="75"/>
      <c r="BA339" s="75"/>
      <c r="BB339">
        <v>4.3945051178950742E-2</v>
      </c>
      <c r="BF339">
        <v>8.789010235790147E-2</v>
      </c>
      <c r="BG339">
        <v>4.3945051178950742E-2</v>
      </c>
      <c r="BH339">
        <v>0.41874886813759421</v>
      </c>
      <c r="BS339" s="79" t="s">
        <v>464</v>
      </c>
      <c r="BT339" s="79" t="s">
        <v>464</v>
      </c>
    </row>
    <row r="340" spans="1:72" x14ac:dyDescent="0.3">
      <c r="A340" s="2" t="s">
        <v>212</v>
      </c>
      <c r="B340" s="17" t="s">
        <v>937</v>
      </c>
      <c r="C340" s="13"/>
      <c r="D340" s="2">
        <v>3.1</v>
      </c>
      <c r="E340" s="2" t="s">
        <v>209</v>
      </c>
      <c r="F340" s="32" t="s">
        <v>578</v>
      </c>
      <c r="G340">
        <v>-1</v>
      </c>
      <c r="I340" s="2">
        <v>1</v>
      </c>
      <c r="J340" s="25">
        <v>0</v>
      </c>
      <c r="K340">
        <v>0</v>
      </c>
      <c r="L340">
        <v>0</v>
      </c>
      <c r="M340" s="1">
        <v>3.8860000000000001</v>
      </c>
      <c r="N340" s="1">
        <v>3.8860000000000001</v>
      </c>
      <c r="O340" s="1">
        <v>10.548299999999999</v>
      </c>
      <c r="P340" s="1" t="s">
        <v>1097</v>
      </c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ref="AC340:AC403" si="41">M340*N340*O340</f>
        <v>159.28983610679998</v>
      </c>
      <c r="AD340" s="57">
        <v>0</v>
      </c>
      <c r="AE340" s="55">
        <v>0</v>
      </c>
      <c r="AF340" s="55">
        <v>0</v>
      </c>
      <c r="AG340" s="52">
        <f t="shared" si="40"/>
        <v>8.789010235790147E-2</v>
      </c>
      <c r="AH340" s="51"/>
      <c r="AI340" s="52"/>
      <c r="AJ340" s="52"/>
      <c r="AK340" s="28">
        <v>1.7373271889400921</v>
      </c>
      <c r="AL340" s="28">
        <v>2.580645161290323</v>
      </c>
      <c r="AM340" s="28">
        <v>0.84331797235023043</v>
      </c>
      <c r="AN340" s="28">
        <v>0</v>
      </c>
      <c r="AO340" s="28">
        <v>0.33660714285714288</v>
      </c>
      <c r="AP340" s="28">
        <v>0.5</v>
      </c>
      <c r="AQ340" s="28">
        <v>0.16339285714285709</v>
      </c>
      <c r="AR340" s="28">
        <v>0</v>
      </c>
      <c r="AS340" s="25">
        <v>1.1000000000000001</v>
      </c>
      <c r="AT340" s="25">
        <v>3.44</v>
      </c>
      <c r="AU340" s="25">
        <v>2.34</v>
      </c>
      <c r="AV340" s="25">
        <v>2.7957603686635939</v>
      </c>
      <c r="AW340">
        <v>2.7957603686635939</v>
      </c>
      <c r="AX340">
        <v>6.4177735234906308</v>
      </c>
      <c r="AY340" s="75">
        <v>0.41874886813759421</v>
      </c>
      <c r="AZ340" s="75"/>
      <c r="BA340" s="75"/>
      <c r="BB340">
        <v>4.3945051178950742E-2</v>
      </c>
      <c r="BF340">
        <v>8.789010235790147E-2</v>
      </c>
      <c r="BG340">
        <v>4.3945051178950742E-2</v>
      </c>
      <c r="BH340">
        <v>0.41874886813759421</v>
      </c>
      <c r="BS340" s="79" t="s">
        <v>464</v>
      </c>
      <c r="BT340" s="79" t="s">
        <v>464</v>
      </c>
    </row>
    <row r="341" spans="1:72" x14ac:dyDescent="0.3">
      <c r="A341" s="2" t="s">
        <v>153</v>
      </c>
      <c r="B341" s="17" t="s">
        <v>775</v>
      </c>
      <c r="C341" s="13"/>
      <c r="D341" s="2">
        <v>3.1</v>
      </c>
      <c r="E341" s="2" t="s">
        <v>209</v>
      </c>
      <c r="F341" s="9" t="s">
        <v>578</v>
      </c>
      <c r="G341">
        <v>-1</v>
      </c>
      <c r="I341" s="2">
        <v>1</v>
      </c>
      <c r="J341" s="25">
        <v>1</v>
      </c>
      <c r="K341">
        <v>0</v>
      </c>
      <c r="L341">
        <v>0</v>
      </c>
      <c r="M341" s="2">
        <v>3.8860000000000001</v>
      </c>
      <c r="N341" s="2">
        <v>3.8860000000000001</v>
      </c>
      <c r="O341" s="2">
        <v>10.548299999999999</v>
      </c>
      <c r="P341" s="2" t="s">
        <v>1097</v>
      </c>
      <c r="Q341" s="2"/>
      <c r="R341" s="25">
        <v>3.9263319999999999</v>
      </c>
      <c r="S341" s="25">
        <v>3.9263319999999999</v>
      </c>
      <c r="T341" s="25">
        <v>10.74639</v>
      </c>
      <c r="U341">
        <v>0</v>
      </c>
      <c r="X341">
        <v>0</v>
      </c>
      <c r="AA341" s="2"/>
      <c r="AB341">
        <v>14</v>
      </c>
      <c r="AC341" s="55">
        <f t="shared" si="41"/>
        <v>159.28983610679998</v>
      </c>
      <c r="AD341" s="57">
        <v>165.66723991337099</v>
      </c>
      <c r="AE341" s="55">
        <v>0</v>
      </c>
      <c r="AF341" s="55">
        <v>0</v>
      </c>
      <c r="AG341" s="52">
        <f t="shared" si="40"/>
        <v>8.789010235790147E-2</v>
      </c>
      <c r="AH341" s="51">
        <v>8.4506749839743392E-2</v>
      </c>
      <c r="AI341" s="52"/>
      <c r="AJ341" s="52"/>
      <c r="AK341" s="28">
        <v>1.7272727272727271</v>
      </c>
      <c r="AL341" s="28">
        <v>2.545454545454545</v>
      </c>
      <c r="AM341" s="28">
        <v>0.81818181818181823</v>
      </c>
      <c r="AN341" s="28">
        <v>0</v>
      </c>
      <c r="AO341" s="28">
        <v>0.3392857142857143</v>
      </c>
      <c r="AP341" s="28">
        <v>0.5</v>
      </c>
      <c r="AQ341" s="28">
        <v>0.1607142857142857</v>
      </c>
      <c r="AR341" s="28">
        <v>0</v>
      </c>
      <c r="AS341" s="25">
        <v>1.1000000000000001</v>
      </c>
      <c r="AT341" s="25">
        <v>3.44</v>
      </c>
      <c r="AU341" s="25">
        <v>2.34</v>
      </c>
      <c r="AV341" s="25">
        <v>2.78</v>
      </c>
      <c r="AW341">
        <v>2.78</v>
      </c>
      <c r="AX341">
        <v>6.4270052227137269</v>
      </c>
      <c r="AY341" s="75">
        <v>0.41874886813759421</v>
      </c>
      <c r="AZ341" s="75"/>
      <c r="BA341" s="75"/>
      <c r="BB341">
        <v>4.3945051178950742E-2</v>
      </c>
      <c r="BC341">
        <v>4.2253374919871717E-2</v>
      </c>
      <c r="BF341">
        <v>8.6198426098822431E-2</v>
      </c>
      <c r="BG341">
        <v>4.3099213049411229E-2</v>
      </c>
      <c r="BH341">
        <v>0.41874886813759421</v>
      </c>
      <c r="BN341" s="79" t="s">
        <v>863</v>
      </c>
      <c r="BO341" s="79">
        <v>1.34</v>
      </c>
      <c r="BS341" s="79" t="s">
        <v>464</v>
      </c>
      <c r="BT341" s="79" t="s">
        <v>464</v>
      </c>
    </row>
    <row r="342" spans="1:72" x14ac:dyDescent="0.3">
      <c r="A342" s="2" t="s">
        <v>210</v>
      </c>
      <c r="B342" s="17" t="s">
        <v>935</v>
      </c>
      <c r="C342" s="13"/>
      <c r="D342" s="2">
        <v>3.1</v>
      </c>
      <c r="E342" s="2" t="s">
        <v>209</v>
      </c>
      <c r="F342" s="32" t="s">
        <v>578</v>
      </c>
      <c r="G342">
        <v>-1</v>
      </c>
      <c r="I342" s="2">
        <v>1</v>
      </c>
      <c r="J342" s="25">
        <v>0</v>
      </c>
      <c r="K342">
        <v>0</v>
      </c>
      <c r="L342">
        <v>0</v>
      </c>
      <c r="M342" s="1">
        <v>3.8860000000000001</v>
      </c>
      <c r="N342" s="1">
        <v>3.8860000000000001</v>
      </c>
      <c r="O342" s="1">
        <v>10.548299999999999</v>
      </c>
      <c r="P342" s="1" t="s">
        <v>1097</v>
      </c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41"/>
        <v>159.28983610679998</v>
      </c>
      <c r="AD342" s="57">
        <v>0</v>
      </c>
      <c r="AE342" s="55">
        <v>0</v>
      </c>
      <c r="AF342" s="55">
        <v>0</v>
      </c>
      <c r="AG342" s="52">
        <f t="shared" si="40"/>
        <v>8.789010235790147E-2</v>
      </c>
      <c r="AH342" s="51"/>
      <c r="AI342" s="52"/>
      <c r="AJ342" s="52"/>
      <c r="AK342" s="28">
        <v>1.7285974499089249</v>
      </c>
      <c r="AL342" s="28">
        <v>2.5500910746812391</v>
      </c>
      <c r="AM342" s="28">
        <v>0.82149362477231325</v>
      </c>
      <c r="AN342" s="28">
        <v>0</v>
      </c>
      <c r="AO342" s="28">
        <v>0.33892857142857141</v>
      </c>
      <c r="AP342" s="28">
        <v>0.5</v>
      </c>
      <c r="AQ342" s="28">
        <v>0.16107142857142859</v>
      </c>
      <c r="AR342" s="28">
        <v>0</v>
      </c>
      <c r="AS342" s="25">
        <v>1.1000000000000001</v>
      </c>
      <c r="AT342" s="25">
        <v>3.44</v>
      </c>
      <c r="AU342" s="25">
        <v>2.34</v>
      </c>
      <c r="AV342" s="25">
        <v>2.7820765027322398</v>
      </c>
      <c r="AW342">
        <v>2.7820765027322398</v>
      </c>
      <c r="AX342">
        <v>6.4257889029010924</v>
      </c>
      <c r="AY342" s="75">
        <v>0.41874886813759421</v>
      </c>
      <c r="AZ342" s="75"/>
      <c r="BA342" s="75"/>
      <c r="BB342">
        <v>4.3945051178950742E-2</v>
      </c>
      <c r="BF342">
        <v>8.789010235790147E-2</v>
      </c>
      <c r="BG342">
        <v>4.3945051178950742E-2</v>
      </c>
      <c r="BH342">
        <v>0.41874886813759421</v>
      </c>
      <c r="BN342" s="79" t="s">
        <v>863</v>
      </c>
      <c r="BO342" s="79">
        <v>1.04</v>
      </c>
      <c r="BS342" s="79" t="s">
        <v>464</v>
      </c>
      <c r="BT342" s="79" t="s">
        <v>464</v>
      </c>
    </row>
    <row r="343" spans="1:72" x14ac:dyDescent="0.3">
      <c r="A343" s="2" t="s">
        <v>211</v>
      </c>
      <c r="B343" s="17" t="s">
        <v>936</v>
      </c>
      <c r="C343" s="13"/>
      <c r="D343" s="2">
        <v>3.1</v>
      </c>
      <c r="E343" s="2" t="s">
        <v>209</v>
      </c>
      <c r="F343" s="32" t="s">
        <v>578</v>
      </c>
      <c r="G343">
        <v>-1</v>
      </c>
      <c r="I343" s="2">
        <v>1</v>
      </c>
      <c r="J343" s="25">
        <v>0</v>
      </c>
      <c r="K343">
        <v>0</v>
      </c>
      <c r="L343">
        <v>0</v>
      </c>
      <c r="M343" s="1">
        <v>3.8860000000000001</v>
      </c>
      <c r="N343" s="1">
        <v>3.8860000000000001</v>
      </c>
      <c r="O343" s="1">
        <v>10.548299999999999</v>
      </c>
      <c r="P343" s="1" t="s">
        <v>1097</v>
      </c>
      <c r="Q343" s="2"/>
      <c r="R343" s="25">
        <v>0</v>
      </c>
      <c r="S343" s="25"/>
      <c r="T343" s="25"/>
      <c r="U343">
        <v>0</v>
      </c>
      <c r="X343">
        <v>0</v>
      </c>
      <c r="AA343" s="2"/>
      <c r="AB343">
        <v>14</v>
      </c>
      <c r="AC343" s="55">
        <f t="shared" si="41"/>
        <v>159.28983610679998</v>
      </c>
      <c r="AD343" s="57">
        <v>0</v>
      </c>
      <c r="AE343" s="55">
        <v>0</v>
      </c>
      <c r="AF343" s="55">
        <v>0</v>
      </c>
      <c r="AG343" s="52">
        <f t="shared" si="40"/>
        <v>8.789010235790147E-2</v>
      </c>
      <c r="AH343" s="51"/>
      <c r="AI343" s="52"/>
      <c r="AJ343" s="52"/>
      <c r="AK343" s="28">
        <v>1.730593607305936</v>
      </c>
      <c r="AL343" s="28">
        <v>2.557077625570777</v>
      </c>
      <c r="AM343" s="28">
        <v>0.8264840182648403</v>
      </c>
      <c r="AN343" s="28">
        <v>0</v>
      </c>
      <c r="AO343" s="28">
        <v>0.33839285714285711</v>
      </c>
      <c r="AP343" s="28">
        <v>0.5</v>
      </c>
      <c r="AQ343" s="28">
        <v>0.16160714285714289</v>
      </c>
      <c r="AR343" s="28">
        <v>0</v>
      </c>
      <c r="AS343" s="25">
        <v>1.1000000000000001</v>
      </c>
      <c r="AT343" s="25">
        <v>3.44</v>
      </c>
      <c r="AU343" s="25">
        <v>2.34</v>
      </c>
      <c r="AV343" s="25">
        <v>2.7852054794520549</v>
      </c>
      <c r="AW343">
        <v>2.7852054794520549</v>
      </c>
      <c r="AX343">
        <v>6.4239560922245156</v>
      </c>
      <c r="AY343" s="75">
        <v>0.41874886813759421</v>
      </c>
      <c r="AZ343" s="75"/>
      <c r="BA343" s="75"/>
      <c r="BB343">
        <v>4.3945051178950742E-2</v>
      </c>
      <c r="BF343">
        <v>8.789010235790147E-2</v>
      </c>
      <c r="BG343">
        <v>4.3945051178950742E-2</v>
      </c>
      <c r="BH343">
        <v>0.41874886813759421</v>
      </c>
      <c r="BN343" s="79" t="s">
        <v>863</v>
      </c>
      <c r="BO343" s="79">
        <v>1.19</v>
      </c>
      <c r="BS343" s="79" t="s">
        <v>464</v>
      </c>
      <c r="BT343" s="79" t="s">
        <v>464</v>
      </c>
    </row>
    <row r="344" spans="1:72" x14ac:dyDescent="0.3">
      <c r="A344" s="2" t="s">
        <v>212</v>
      </c>
      <c r="B344" s="17" t="s">
        <v>937</v>
      </c>
      <c r="C344" s="13"/>
      <c r="D344" s="2">
        <v>3.1</v>
      </c>
      <c r="E344" s="2" t="s">
        <v>209</v>
      </c>
      <c r="F344" s="32" t="s">
        <v>578</v>
      </c>
      <c r="G344">
        <v>-1</v>
      </c>
      <c r="I344" s="2">
        <v>1</v>
      </c>
      <c r="J344" s="25">
        <v>0</v>
      </c>
      <c r="K344">
        <v>0</v>
      </c>
      <c r="L344">
        <v>0</v>
      </c>
      <c r="M344" s="1">
        <v>3.8860000000000001</v>
      </c>
      <c r="N344" s="1">
        <v>3.8860000000000001</v>
      </c>
      <c r="O344" s="1">
        <v>10.548299999999999</v>
      </c>
      <c r="P344" s="1" t="s">
        <v>1097</v>
      </c>
      <c r="Q344" s="2"/>
      <c r="R344" s="25">
        <v>0</v>
      </c>
      <c r="S344" s="25"/>
      <c r="T344" s="25"/>
      <c r="U344">
        <v>0</v>
      </c>
      <c r="X344">
        <v>0</v>
      </c>
      <c r="AA344" s="2"/>
      <c r="AB344">
        <v>14</v>
      </c>
      <c r="AC344" s="55">
        <f t="shared" si="41"/>
        <v>159.28983610679998</v>
      </c>
      <c r="AD344" s="57">
        <v>0</v>
      </c>
      <c r="AE344" s="55">
        <v>0</v>
      </c>
      <c r="AF344" s="55">
        <v>0</v>
      </c>
      <c r="AG344" s="52">
        <f t="shared" si="40"/>
        <v>8.789010235790147E-2</v>
      </c>
      <c r="AH344" s="51"/>
      <c r="AI344" s="52"/>
      <c r="AJ344" s="52"/>
      <c r="AK344" s="28">
        <v>1.7373271889400921</v>
      </c>
      <c r="AL344" s="28">
        <v>2.580645161290323</v>
      </c>
      <c r="AM344" s="28">
        <v>0.84331797235023043</v>
      </c>
      <c r="AN344" s="28">
        <v>0</v>
      </c>
      <c r="AO344" s="28">
        <v>0.33660714285714288</v>
      </c>
      <c r="AP344" s="28">
        <v>0.5</v>
      </c>
      <c r="AQ344" s="28">
        <v>0.16339285714285709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2.7957603686635939</v>
      </c>
      <c r="AW344">
        <v>2.7957603686635939</v>
      </c>
      <c r="AX344">
        <v>6.4177735234906308</v>
      </c>
      <c r="AY344" s="75">
        <v>0.41874886813759421</v>
      </c>
      <c r="AZ344" s="75"/>
      <c r="BA344" s="75"/>
      <c r="BB344">
        <v>4.3945051178950742E-2</v>
      </c>
      <c r="BF344">
        <v>8.789010235790147E-2</v>
      </c>
      <c r="BG344">
        <v>4.3945051178950742E-2</v>
      </c>
      <c r="BH344">
        <v>0.41874886813759421</v>
      </c>
      <c r="BN344" s="79" t="s">
        <v>863</v>
      </c>
      <c r="BO344" s="79">
        <v>1.61</v>
      </c>
      <c r="BS344" s="79" t="s">
        <v>464</v>
      </c>
      <c r="BT344" s="79" t="s">
        <v>464</v>
      </c>
    </row>
    <row r="345" spans="1:72" x14ac:dyDescent="0.3">
      <c r="A345" s="2" t="s">
        <v>22</v>
      </c>
      <c r="B345" s="17" t="s">
        <v>876</v>
      </c>
      <c r="C345" s="13"/>
      <c r="D345" s="2">
        <v>2.74</v>
      </c>
      <c r="E345" s="2" t="s">
        <v>213</v>
      </c>
      <c r="F345" s="32" t="s">
        <v>541</v>
      </c>
      <c r="G345" s="1" t="s">
        <v>621</v>
      </c>
      <c r="I345" s="2"/>
      <c r="J345" s="25">
        <v>0</v>
      </c>
      <c r="K345">
        <v>4</v>
      </c>
      <c r="L345">
        <v>0</v>
      </c>
      <c r="M345" s="1">
        <v>5.4960000000000004</v>
      </c>
      <c r="N345" s="1">
        <v>5.4960000000000004</v>
      </c>
      <c r="O345" s="1">
        <v>25.55</v>
      </c>
      <c r="P345" s="1" t="s">
        <v>450</v>
      </c>
      <c r="Q345" s="2"/>
      <c r="R345" s="25">
        <v>0</v>
      </c>
      <c r="S345" s="25"/>
      <c r="T345" s="25"/>
      <c r="U345">
        <v>5.5453000000000001</v>
      </c>
      <c r="V345">
        <v>5.5453000000000001</v>
      </c>
      <c r="W345">
        <v>25.686699999999998</v>
      </c>
      <c r="X345">
        <v>0</v>
      </c>
      <c r="AA345" s="2"/>
      <c r="AB345">
        <v>18</v>
      </c>
      <c r="AC345" s="55">
        <f t="shared" si="41"/>
        <v>771.76370880000013</v>
      </c>
      <c r="AD345" s="57">
        <v>0</v>
      </c>
      <c r="AE345" s="55">
        <v>789.87506903020289</v>
      </c>
      <c r="AF345" s="55">
        <v>0</v>
      </c>
      <c r="AG345" s="52"/>
      <c r="AH345" s="51"/>
      <c r="AI345" s="52">
        <v>9.1153655588092616E-2</v>
      </c>
      <c r="AJ345" s="52"/>
      <c r="AK345" s="28">
        <v>1.871428571428571</v>
      </c>
      <c r="AL345" s="28">
        <v>3.1428571428571428</v>
      </c>
      <c r="AM345" s="28">
        <v>2.714285714285714</v>
      </c>
      <c r="AN345" s="28">
        <v>3.2</v>
      </c>
      <c r="AO345" s="28">
        <v>0.17124183006535951</v>
      </c>
      <c r="AP345" s="28">
        <v>0.28758169934640521</v>
      </c>
      <c r="AQ345" s="28">
        <v>0.2483660130718954</v>
      </c>
      <c r="AR345" s="28">
        <v>0.29281045751633977</v>
      </c>
      <c r="AS345" s="25">
        <v>1.6</v>
      </c>
      <c r="AT345" s="25">
        <v>3.44</v>
      </c>
      <c r="AU345" s="25">
        <v>1.84</v>
      </c>
      <c r="AV345" s="25">
        <v>2.9058571428571431</v>
      </c>
      <c r="AW345">
        <v>2.9058571428571431</v>
      </c>
      <c r="AX345">
        <v>6.2676757950000006</v>
      </c>
      <c r="AY345" s="75">
        <v>0.51995616258071919</v>
      </c>
      <c r="AZ345" s="75">
        <v>0.51988140722208986</v>
      </c>
      <c r="BA345" s="75"/>
      <c r="BD345">
        <v>4.5576827794046308E-2</v>
      </c>
      <c r="BF345">
        <v>9.1153655588092616E-2</v>
      </c>
      <c r="BG345">
        <v>4.5576827794046308E-2</v>
      </c>
      <c r="BH345">
        <v>0.51991878490140453</v>
      </c>
      <c r="BS345" s="79" t="s">
        <v>464</v>
      </c>
      <c r="BT345" s="79" t="s">
        <v>464</v>
      </c>
    </row>
    <row r="346" spans="1:72" x14ac:dyDescent="0.3">
      <c r="A346" s="2" t="s">
        <v>23</v>
      </c>
      <c r="B346" s="17" t="s">
        <v>877</v>
      </c>
      <c r="C346" s="13"/>
      <c r="D346" s="2">
        <v>2.74</v>
      </c>
      <c r="E346" s="2" t="s">
        <v>213</v>
      </c>
      <c r="F346" s="32" t="s">
        <v>541</v>
      </c>
      <c r="G346" s="1" t="s">
        <v>621</v>
      </c>
      <c r="I346" s="2"/>
      <c r="J346" s="25">
        <v>0</v>
      </c>
      <c r="K346">
        <v>4</v>
      </c>
      <c r="L346">
        <v>0</v>
      </c>
      <c r="M346" s="1">
        <v>5.4960000000000004</v>
      </c>
      <c r="N346" s="1">
        <v>5.4960000000000004</v>
      </c>
      <c r="O346" s="1">
        <v>25.55</v>
      </c>
      <c r="P346" s="1" t="s">
        <v>450</v>
      </c>
      <c r="Q346" s="2"/>
      <c r="R346" s="25">
        <v>0</v>
      </c>
      <c r="S346" s="25"/>
      <c r="T346" s="25"/>
      <c r="U346">
        <v>5.5453000000000001</v>
      </c>
      <c r="V346">
        <v>5.5453000000000001</v>
      </c>
      <c r="W346">
        <v>25.686699999999998</v>
      </c>
      <c r="X346">
        <v>0</v>
      </c>
      <c r="AA346" s="2"/>
      <c r="AB346">
        <v>18</v>
      </c>
      <c r="AC346" s="55">
        <f t="shared" si="41"/>
        <v>771.76370880000013</v>
      </c>
      <c r="AD346" s="57">
        <v>0</v>
      </c>
      <c r="AE346" s="55">
        <v>789.87506903020289</v>
      </c>
      <c r="AF346" s="55">
        <v>0</v>
      </c>
      <c r="AG346" s="52"/>
      <c r="AH346" s="51"/>
      <c r="AI346" s="52">
        <v>9.1153655588092616E-2</v>
      </c>
      <c r="AJ346" s="52"/>
      <c r="AK346" s="28">
        <v>1.8678571428571431</v>
      </c>
      <c r="AL346" s="28">
        <v>3.1428571428571428</v>
      </c>
      <c r="AM346" s="28">
        <v>2.714285714285714</v>
      </c>
      <c r="AN346" s="28">
        <v>3.15</v>
      </c>
      <c r="AO346" s="28">
        <v>0.1717569786535304</v>
      </c>
      <c r="AP346" s="28">
        <v>0.28899835796387519</v>
      </c>
      <c r="AQ346" s="28">
        <v>0.24958949096880129</v>
      </c>
      <c r="AR346" s="28">
        <v>0.28965517241379313</v>
      </c>
      <c r="AS346" s="25">
        <v>1.6</v>
      </c>
      <c r="AT346" s="25">
        <v>3.44</v>
      </c>
      <c r="AU346" s="25">
        <v>1.84</v>
      </c>
      <c r="AV346" s="25">
        <v>2.903142857142857</v>
      </c>
      <c r="AW346">
        <v>2.903142857142857</v>
      </c>
      <c r="AX346">
        <v>6.2658828646428582</v>
      </c>
      <c r="AY346" s="75">
        <v>0.51995616258071919</v>
      </c>
      <c r="AZ346" s="75">
        <v>0.51988140722208986</v>
      </c>
      <c r="BA346" s="75"/>
      <c r="BD346">
        <v>4.5576827794046308E-2</v>
      </c>
      <c r="BF346">
        <v>9.1153655588092616E-2</v>
      </c>
      <c r="BG346">
        <v>4.5576827794046308E-2</v>
      </c>
      <c r="BH346">
        <v>0.51991878490140453</v>
      </c>
      <c r="BS346" s="79" t="s">
        <v>464</v>
      </c>
      <c r="BT346" s="79" t="s">
        <v>464</v>
      </c>
    </row>
    <row r="347" spans="1:72" x14ac:dyDescent="0.3">
      <c r="A347" s="2" t="s">
        <v>24</v>
      </c>
      <c r="B347" s="17" t="s">
        <v>878</v>
      </c>
      <c r="C347" s="13"/>
      <c r="D347" s="2">
        <v>2.75</v>
      </c>
      <c r="E347" s="2" t="s">
        <v>213</v>
      </c>
      <c r="F347" s="32" t="s">
        <v>541</v>
      </c>
      <c r="G347" s="1" t="s">
        <v>621</v>
      </c>
      <c r="I347" s="2"/>
      <c r="J347" s="25">
        <v>0</v>
      </c>
      <c r="K347">
        <v>4</v>
      </c>
      <c r="L347">
        <v>0</v>
      </c>
      <c r="M347" s="1">
        <v>5.4960000000000004</v>
      </c>
      <c r="N347" s="1">
        <v>5.4960000000000004</v>
      </c>
      <c r="O347" s="1">
        <v>25.55</v>
      </c>
      <c r="P347" s="1" t="s">
        <v>450</v>
      </c>
      <c r="Q347" s="2"/>
      <c r="R347" s="25">
        <v>0</v>
      </c>
      <c r="S347" s="25"/>
      <c r="T347" s="25"/>
      <c r="U347">
        <v>5.5453000000000001</v>
      </c>
      <c r="V347">
        <v>5.5453000000000001</v>
      </c>
      <c r="W347">
        <v>25.686699999999998</v>
      </c>
      <c r="X347">
        <v>0</v>
      </c>
      <c r="AA347" s="2"/>
      <c r="AB347">
        <v>18</v>
      </c>
      <c r="AC347" s="55">
        <f t="shared" si="41"/>
        <v>771.76370880000013</v>
      </c>
      <c r="AD347" s="57">
        <v>0</v>
      </c>
      <c r="AE347" s="55">
        <v>789.87506903020289</v>
      </c>
      <c r="AF347" s="55">
        <v>0</v>
      </c>
      <c r="AG347" s="52"/>
      <c r="AH347" s="51"/>
      <c r="AI347" s="52">
        <v>9.1153655588092616E-2</v>
      </c>
      <c r="AJ347" s="52"/>
      <c r="AK347" s="28">
        <v>1.8642857142857141</v>
      </c>
      <c r="AL347" s="28">
        <v>3.1428571428571428</v>
      </c>
      <c r="AM347" s="28">
        <v>2.714285714285714</v>
      </c>
      <c r="AN347" s="28">
        <v>3.1</v>
      </c>
      <c r="AO347" s="28">
        <v>0.17227722772277229</v>
      </c>
      <c r="AP347" s="28">
        <v>0.29042904290429039</v>
      </c>
      <c r="AQ347" s="28">
        <v>0.25082508250825092</v>
      </c>
      <c r="AR347" s="28">
        <v>0.28646864686468648</v>
      </c>
      <c r="AS347" s="25">
        <v>1.6</v>
      </c>
      <c r="AT347" s="25">
        <v>3.44</v>
      </c>
      <c r="AU347" s="25">
        <v>1.84</v>
      </c>
      <c r="AV347" s="25">
        <v>2.9004285714285709</v>
      </c>
      <c r="AW347">
        <v>2.9004285714285718</v>
      </c>
      <c r="AX347">
        <v>6.2640899342857157</v>
      </c>
      <c r="AY347" s="75">
        <v>0.51995616258071919</v>
      </c>
      <c r="AZ347" s="75">
        <v>0.51988140722208986</v>
      </c>
      <c r="BA347" s="75"/>
      <c r="BD347">
        <v>4.5576827794046308E-2</v>
      </c>
      <c r="BF347">
        <v>9.1153655588092616E-2</v>
      </c>
      <c r="BG347">
        <v>4.5576827794046308E-2</v>
      </c>
      <c r="BH347">
        <v>0.51991878490140453</v>
      </c>
      <c r="BS347" s="79" t="s">
        <v>464</v>
      </c>
      <c r="BT347" s="79" t="s">
        <v>464</v>
      </c>
    </row>
    <row r="348" spans="1:72" x14ac:dyDescent="0.3">
      <c r="A348" s="2" t="s">
        <v>25</v>
      </c>
      <c r="B348" s="13" t="s">
        <v>708</v>
      </c>
      <c r="C348" s="13"/>
      <c r="D348" s="2">
        <v>2.88</v>
      </c>
      <c r="E348" s="2" t="s">
        <v>213</v>
      </c>
      <c r="F348" s="9" t="s">
        <v>541</v>
      </c>
      <c r="G348" t="s">
        <v>621</v>
      </c>
      <c r="I348" s="2"/>
      <c r="J348" s="25">
        <v>1</v>
      </c>
      <c r="K348">
        <v>4</v>
      </c>
      <c r="L348">
        <v>0</v>
      </c>
      <c r="M348" s="2">
        <v>5.4960000000000004</v>
      </c>
      <c r="N348" s="2">
        <v>5.4960000000000004</v>
      </c>
      <c r="O348" s="2">
        <v>25.55</v>
      </c>
      <c r="P348" s="2" t="s">
        <v>450</v>
      </c>
      <c r="Q348" s="2"/>
      <c r="R348" s="25">
        <v>12.868820120000001</v>
      </c>
      <c r="S348" s="25">
        <v>12.868820120000001</v>
      </c>
      <c r="T348" s="25">
        <v>12.868820120000001</v>
      </c>
      <c r="U348">
        <v>5.5453000000000001</v>
      </c>
      <c r="V348">
        <v>5.5453000000000001</v>
      </c>
      <c r="W348">
        <v>25.686699999999998</v>
      </c>
      <c r="X348">
        <v>0</v>
      </c>
      <c r="AA348" s="2"/>
      <c r="AB348">
        <v>18</v>
      </c>
      <c r="AC348" s="55">
        <f t="shared" si="41"/>
        <v>771.76370880000013</v>
      </c>
      <c r="AD348" s="57">
        <v>197.4403766939285</v>
      </c>
      <c r="AE348" s="55">
        <v>789.87506903020289</v>
      </c>
      <c r="AF348" s="55">
        <v>0</v>
      </c>
      <c r="AG348" s="52"/>
      <c r="AH348" s="51">
        <v>9.1166762854710051E-2</v>
      </c>
      <c r="AI348" s="52">
        <v>9.1153655588092616E-2</v>
      </c>
      <c r="AJ348" s="52"/>
      <c r="AK348" s="28">
        <v>1.857142857142857</v>
      </c>
      <c r="AL348" s="28">
        <v>3.1428571428571428</v>
      </c>
      <c r="AM348" s="28">
        <v>2.714285714285714</v>
      </c>
      <c r="AN348" s="28">
        <v>3</v>
      </c>
      <c r="AO348" s="28">
        <v>0.17333333333333331</v>
      </c>
      <c r="AP348" s="28">
        <v>0.29333333333333328</v>
      </c>
      <c r="AQ348" s="28">
        <v>0.25333333333333341</v>
      </c>
      <c r="AR348" s="28">
        <v>0.28000000000000003</v>
      </c>
      <c r="AS348" s="25">
        <v>1.6</v>
      </c>
      <c r="AT348" s="25">
        <v>3.44</v>
      </c>
      <c r="AU348" s="25">
        <v>1.84</v>
      </c>
      <c r="AV348" s="25">
        <v>2.895</v>
      </c>
      <c r="AW348">
        <v>2.895</v>
      </c>
      <c r="AX348">
        <v>6.260504073571429</v>
      </c>
      <c r="AY348" s="75">
        <v>0.51995616258071919</v>
      </c>
      <c r="AZ348" s="75">
        <v>0.51988140722208986</v>
      </c>
      <c r="BA348" s="75"/>
      <c r="BC348">
        <v>4.5583381427355033E-2</v>
      </c>
      <c r="BD348">
        <v>4.5576827794046308E-2</v>
      </c>
      <c r="BF348">
        <v>9.1160209221401334E-2</v>
      </c>
      <c r="BG348">
        <v>4.5580104610700667E-2</v>
      </c>
      <c r="BH348">
        <v>0.51991878490140453</v>
      </c>
      <c r="BS348" s="79" t="s">
        <v>464</v>
      </c>
      <c r="BT348" s="79" t="s">
        <v>464</v>
      </c>
    </row>
    <row r="349" spans="1:72" x14ac:dyDescent="0.3">
      <c r="A349" s="2" t="s">
        <v>26</v>
      </c>
      <c r="B349" s="17" t="s">
        <v>879</v>
      </c>
      <c r="C349" s="13"/>
      <c r="D349" s="2">
        <v>2.91</v>
      </c>
      <c r="E349" s="2" t="s">
        <v>213</v>
      </c>
      <c r="F349" s="32" t="s">
        <v>541</v>
      </c>
      <c r="G349" s="1" t="s">
        <v>621</v>
      </c>
      <c r="H349" s="1"/>
      <c r="I349" s="1"/>
      <c r="J349" s="36">
        <v>0</v>
      </c>
      <c r="K349">
        <v>4</v>
      </c>
      <c r="L349">
        <v>0</v>
      </c>
      <c r="M349" s="1">
        <v>5.4960000000000004</v>
      </c>
      <c r="N349" s="1">
        <v>5.4960000000000004</v>
      </c>
      <c r="O349" s="1">
        <v>25.55</v>
      </c>
      <c r="P349" s="1" t="s">
        <v>450</v>
      </c>
      <c r="Q349" s="2"/>
      <c r="R349" s="25">
        <v>0</v>
      </c>
      <c r="S349" s="25"/>
      <c r="T349" s="25"/>
      <c r="U349">
        <v>5.5453000000000001</v>
      </c>
      <c r="V349">
        <v>5.5453000000000001</v>
      </c>
      <c r="W349">
        <v>25.686699999999998</v>
      </c>
      <c r="X349">
        <v>0</v>
      </c>
      <c r="AA349" s="2"/>
      <c r="AB349">
        <v>18</v>
      </c>
      <c r="AC349" s="55">
        <f t="shared" si="41"/>
        <v>771.76370880000013</v>
      </c>
      <c r="AD349" s="57">
        <v>0</v>
      </c>
      <c r="AE349" s="55">
        <v>789.87506903020289</v>
      </c>
      <c r="AF349" s="55">
        <v>0</v>
      </c>
      <c r="AG349" s="52"/>
      <c r="AH349" s="51"/>
      <c r="AI349" s="52">
        <v>9.1153655588092616E-2</v>
      </c>
      <c r="AJ349" s="52"/>
      <c r="AK349" s="28">
        <v>1.8642857142857141</v>
      </c>
      <c r="AL349" s="28">
        <v>3.1428571428571428</v>
      </c>
      <c r="AM349" s="28">
        <v>2.7</v>
      </c>
      <c r="AN349" s="28">
        <v>3</v>
      </c>
      <c r="AO349" s="28">
        <v>0.1741160773849233</v>
      </c>
      <c r="AP349" s="28">
        <v>0.29352901934623082</v>
      </c>
      <c r="AQ349" s="28">
        <v>0.25216811207471651</v>
      </c>
      <c r="AR349" s="28">
        <v>0.28018679119412943</v>
      </c>
      <c r="AS349" s="25">
        <v>1.54</v>
      </c>
      <c r="AT349" s="25">
        <v>3.44</v>
      </c>
      <c r="AU349" s="25">
        <v>1.9</v>
      </c>
      <c r="AV349" s="25">
        <v>2.894571428571429</v>
      </c>
      <c r="AW349">
        <v>2.894571428571429</v>
      </c>
      <c r="AX349">
        <v>6.2577448164285716</v>
      </c>
      <c r="AY349" s="75">
        <v>0.51995616258071919</v>
      </c>
      <c r="AZ349" s="75">
        <v>0.51988140722208986</v>
      </c>
      <c r="BA349" s="75"/>
      <c r="BD349">
        <v>4.5576827794046308E-2</v>
      </c>
      <c r="BF349">
        <v>9.1153655588092616E-2</v>
      </c>
      <c r="BG349">
        <v>4.5576827794046308E-2</v>
      </c>
      <c r="BH349">
        <v>0.51991878490140453</v>
      </c>
      <c r="BS349" s="79" t="s">
        <v>464</v>
      </c>
      <c r="BT349" s="79" t="s">
        <v>464</v>
      </c>
    </row>
    <row r="350" spans="1:72" x14ac:dyDescent="0.3">
      <c r="A350" s="2" t="s">
        <v>107</v>
      </c>
      <c r="B350" s="13" t="s">
        <v>727</v>
      </c>
      <c r="C350" s="13"/>
      <c r="D350" s="2">
        <v>3.08</v>
      </c>
      <c r="E350" s="2" t="s">
        <v>214</v>
      </c>
      <c r="F350" s="9" t="s">
        <v>555</v>
      </c>
      <c r="G350" t="s">
        <v>632</v>
      </c>
      <c r="I350" s="2"/>
      <c r="J350" s="25">
        <v>1</v>
      </c>
      <c r="K350">
        <v>4</v>
      </c>
      <c r="L350">
        <v>0</v>
      </c>
      <c r="M350" s="2"/>
      <c r="N350" s="2"/>
      <c r="O350" s="2"/>
      <c r="P350" s="2"/>
      <c r="Q350" s="2"/>
      <c r="R350" s="25">
        <v>3.86469438</v>
      </c>
      <c r="S350" s="25">
        <v>3.86469438</v>
      </c>
      <c r="T350" s="25">
        <v>16.978874730000001</v>
      </c>
      <c r="U350">
        <v>32.83</v>
      </c>
      <c r="V350">
        <v>5.4109999999999996</v>
      </c>
      <c r="W350">
        <v>5.4480000000000004</v>
      </c>
      <c r="X350">
        <v>0</v>
      </c>
      <c r="AA350" s="2"/>
      <c r="AB350">
        <v>24</v>
      </c>
      <c r="AC350" s="55">
        <f t="shared" si="41"/>
        <v>0</v>
      </c>
      <c r="AD350" s="57">
        <v>251.01098912285789</v>
      </c>
      <c r="AE350" s="55">
        <v>967.79977224000004</v>
      </c>
      <c r="AF350" s="55">
        <v>0</v>
      </c>
      <c r="AG350" s="52"/>
      <c r="AH350" s="51">
        <v>9.5613343797681868E-2</v>
      </c>
      <c r="AI350" s="52">
        <v>9.919407170122109E-2</v>
      </c>
      <c r="AJ350" s="52"/>
      <c r="AK350" s="28">
        <v>2</v>
      </c>
      <c r="AL350" s="28">
        <v>3.1578947368421049</v>
      </c>
      <c r="AM350" s="28">
        <v>2.4210526315789469</v>
      </c>
      <c r="AN350" s="28">
        <v>2.947368421052631</v>
      </c>
      <c r="AO350" s="28">
        <v>0.19</v>
      </c>
      <c r="AP350" s="28">
        <v>0.3</v>
      </c>
      <c r="AQ350" s="28">
        <v>0.23</v>
      </c>
      <c r="AR350" s="28">
        <v>0.28000000000000003</v>
      </c>
      <c r="AS350" s="25">
        <v>1.54</v>
      </c>
      <c r="AT350" s="25">
        <v>3.44</v>
      </c>
      <c r="AU350" s="25">
        <v>1.9</v>
      </c>
      <c r="AV350" s="25">
        <v>2.8410526315789468</v>
      </c>
      <c r="AW350">
        <v>2.8410526315789468</v>
      </c>
      <c r="AX350">
        <v>6.1729587136842099</v>
      </c>
      <c r="AY350" s="75">
        <v>0.52818907539878324</v>
      </c>
      <c r="AZ350" s="75">
        <v>0.54796980145127927</v>
      </c>
      <c r="BA350" s="75"/>
      <c r="BC350">
        <v>4.7806671898840941E-2</v>
      </c>
      <c r="BD350">
        <v>4.9597035850610538E-2</v>
      </c>
      <c r="BF350">
        <v>9.7403707749451479E-2</v>
      </c>
      <c r="BG350">
        <v>4.870185387472574E-2</v>
      </c>
      <c r="BH350">
        <v>0.53807943842503125</v>
      </c>
      <c r="BS350" s="79" t="s">
        <v>464</v>
      </c>
      <c r="BT350" s="79" t="s">
        <v>464</v>
      </c>
    </row>
    <row r="351" spans="1:72" x14ac:dyDescent="0.3">
      <c r="A351" s="2" t="s">
        <v>215</v>
      </c>
      <c r="B351" s="13" t="s">
        <v>734</v>
      </c>
      <c r="C351" s="13"/>
      <c r="D351" s="2">
        <v>3.8</v>
      </c>
      <c r="E351" s="2" t="s">
        <v>216</v>
      </c>
      <c r="F351" s="9" t="s">
        <v>587</v>
      </c>
      <c r="G351" t="s">
        <v>636</v>
      </c>
      <c r="I351" s="2"/>
      <c r="J351" s="25">
        <v>1</v>
      </c>
      <c r="K351">
        <v>1</v>
      </c>
      <c r="L351">
        <v>0</v>
      </c>
      <c r="M351" s="2"/>
      <c r="N351" s="2"/>
      <c r="O351" s="2"/>
      <c r="P351" s="2"/>
      <c r="Q351" s="2"/>
      <c r="R351" s="25">
        <v>3.950634</v>
      </c>
      <c r="S351" s="25">
        <v>3.950634</v>
      </c>
      <c r="T351" s="25">
        <v>15.513552000000001</v>
      </c>
      <c r="U351">
        <v>3.8658999999999999</v>
      </c>
      <c r="V351">
        <v>3.8658999999999999</v>
      </c>
      <c r="W351">
        <v>15.2538</v>
      </c>
      <c r="X351">
        <v>0</v>
      </c>
      <c r="AA351" s="2"/>
      <c r="AB351">
        <v>20</v>
      </c>
      <c r="AC351" s="55">
        <f t="shared" si="41"/>
        <v>0</v>
      </c>
      <c r="AD351" s="57">
        <v>242.1279024923125</v>
      </c>
      <c r="AE351" s="55">
        <v>227.970829547178</v>
      </c>
      <c r="AF351" s="55">
        <v>0</v>
      </c>
      <c r="AG351" s="52"/>
      <c r="AH351" s="51">
        <v>8.2600971611006269E-2</v>
      </c>
      <c r="AI351" s="52">
        <v>8.7730522539775438E-2</v>
      </c>
      <c r="AJ351" s="52"/>
      <c r="AK351" s="28">
        <v>1.9375</v>
      </c>
      <c r="AL351" s="28">
        <v>2.5</v>
      </c>
      <c r="AM351" s="28">
        <v>0.5625</v>
      </c>
      <c r="AN351" s="28">
        <v>2.625</v>
      </c>
      <c r="AO351" s="28">
        <v>0.25409836065573771</v>
      </c>
      <c r="AP351" s="28">
        <v>0.32786885245901642</v>
      </c>
      <c r="AQ351" s="28">
        <v>7.3770491803278687E-2</v>
      </c>
      <c r="AR351" s="28">
        <v>0.34426229508196721</v>
      </c>
      <c r="AS351" s="25">
        <v>0.79</v>
      </c>
      <c r="AT351" s="25">
        <v>3.44</v>
      </c>
      <c r="AU351" s="25">
        <v>2.65</v>
      </c>
      <c r="AV351" s="25">
        <v>2.6056249999999999</v>
      </c>
      <c r="AW351">
        <v>2.6056249999999999</v>
      </c>
      <c r="AX351">
        <v>5.9703320286696879</v>
      </c>
      <c r="AY351" s="75">
        <v>0.52453741991489755</v>
      </c>
      <c r="AZ351" s="75">
        <v>0.55711138795694093</v>
      </c>
      <c r="BA351" s="75"/>
      <c r="BC351">
        <v>4.1300485805503127E-2</v>
      </c>
      <c r="BD351">
        <v>4.3865261269887712E-2</v>
      </c>
      <c r="BF351">
        <v>8.5165747075390846E-2</v>
      </c>
      <c r="BG351">
        <v>4.2582873537695423E-2</v>
      </c>
      <c r="BH351">
        <v>0.54082440393591924</v>
      </c>
      <c r="BS351" s="79" t="s">
        <v>464</v>
      </c>
      <c r="BT351" s="79" t="s">
        <v>464</v>
      </c>
    </row>
    <row r="352" spans="1:72" x14ac:dyDescent="0.3">
      <c r="A352" s="2" t="s">
        <v>215</v>
      </c>
      <c r="B352" s="13" t="s">
        <v>734</v>
      </c>
      <c r="C352" s="13"/>
      <c r="D352" s="2">
        <v>2</v>
      </c>
      <c r="E352" s="2" t="s">
        <v>216</v>
      </c>
      <c r="F352" s="9" t="s">
        <v>587</v>
      </c>
      <c r="G352" t="s">
        <v>636</v>
      </c>
      <c r="I352" s="2"/>
      <c r="J352" s="25">
        <v>1</v>
      </c>
      <c r="K352">
        <v>1</v>
      </c>
      <c r="L352">
        <v>0</v>
      </c>
      <c r="M352" s="2"/>
      <c r="N352" s="2"/>
      <c r="O352" s="2"/>
      <c r="P352" s="2"/>
      <c r="Q352" s="2"/>
      <c r="R352" s="25">
        <v>3.950634</v>
      </c>
      <c r="S352" s="25">
        <v>3.950634</v>
      </c>
      <c r="T352" s="25">
        <v>15.513552000000001</v>
      </c>
      <c r="U352">
        <v>3.8658999999999999</v>
      </c>
      <c r="V352">
        <v>3.8658999999999999</v>
      </c>
      <c r="W352">
        <v>15.2538</v>
      </c>
      <c r="X352">
        <v>0</v>
      </c>
      <c r="AA352" s="2"/>
      <c r="AB352">
        <v>20</v>
      </c>
      <c r="AC352" s="55">
        <f t="shared" si="41"/>
        <v>0</v>
      </c>
      <c r="AD352" s="57">
        <v>242.1279024923125</v>
      </c>
      <c r="AE352" s="55">
        <v>227.970829547178</v>
      </c>
      <c r="AF352" s="55">
        <v>0</v>
      </c>
      <c r="AG352" s="52"/>
      <c r="AH352" s="51">
        <v>8.2600971611006269E-2</v>
      </c>
      <c r="AI352" s="52">
        <v>8.7730522539775438E-2</v>
      </c>
      <c r="AJ352" s="52"/>
      <c r="AK352" s="28">
        <v>1.9375</v>
      </c>
      <c r="AL352" s="28">
        <v>2.5</v>
      </c>
      <c r="AM352" s="28">
        <v>0.5625</v>
      </c>
      <c r="AN352" s="28">
        <v>2.625</v>
      </c>
      <c r="AO352" s="28">
        <v>0.25409836065573771</v>
      </c>
      <c r="AP352" s="28">
        <v>0.32786885245901642</v>
      </c>
      <c r="AQ352" s="28">
        <v>7.3770491803278687E-2</v>
      </c>
      <c r="AR352" s="28">
        <v>0.34426229508196721</v>
      </c>
      <c r="AS352" s="25">
        <v>0.79</v>
      </c>
      <c r="AT352" s="25">
        <v>3.44</v>
      </c>
      <c r="AU352" s="25">
        <v>2.65</v>
      </c>
      <c r="AV352" s="25">
        <v>2.6056249999999999</v>
      </c>
      <c r="AW352">
        <v>2.6056249999999999</v>
      </c>
      <c r="AX352">
        <v>5.9703320286696879</v>
      </c>
      <c r="AY352" s="75">
        <v>0.52453741991489755</v>
      </c>
      <c r="AZ352" s="75">
        <v>0.55711138795694093</v>
      </c>
      <c r="BA352" s="75"/>
      <c r="BC352">
        <v>4.1300485805503127E-2</v>
      </c>
      <c r="BD352">
        <v>4.3865261269887712E-2</v>
      </c>
      <c r="BF352">
        <v>8.5165747075390846E-2</v>
      </c>
      <c r="BG352">
        <v>4.2582873537695423E-2</v>
      </c>
      <c r="BH352">
        <v>0.54082440393591924</v>
      </c>
      <c r="BN352" s="79" t="s">
        <v>676</v>
      </c>
      <c r="BO352" s="79">
        <v>0.44</v>
      </c>
      <c r="BS352" s="79" t="s">
        <v>464</v>
      </c>
      <c r="BT352" s="79" t="s">
        <v>464</v>
      </c>
    </row>
    <row r="353" spans="1:72" x14ac:dyDescent="0.3">
      <c r="A353" s="2" t="s">
        <v>217</v>
      </c>
      <c r="B353" s="13" t="s">
        <v>806</v>
      </c>
      <c r="C353" s="13"/>
      <c r="D353" s="2">
        <v>2.58</v>
      </c>
      <c r="E353" s="2" t="s">
        <v>218</v>
      </c>
      <c r="F353" s="9">
        <v>-1</v>
      </c>
      <c r="G353">
        <v>-1</v>
      </c>
      <c r="I353" s="2">
        <v>1</v>
      </c>
      <c r="J353" s="25">
        <v>0</v>
      </c>
      <c r="K353">
        <v>0</v>
      </c>
      <c r="L353">
        <v>0</v>
      </c>
      <c r="M353" s="2">
        <v>3.93</v>
      </c>
      <c r="N353" s="2">
        <v>3.93</v>
      </c>
      <c r="O353" s="2">
        <v>15.3</v>
      </c>
      <c r="P353" s="2"/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20</v>
      </c>
      <c r="AC353" s="55">
        <f t="shared" si="41"/>
        <v>236.30697000000001</v>
      </c>
      <c r="AD353" s="57">
        <v>0</v>
      </c>
      <c r="AE353" s="55">
        <v>0</v>
      </c>
      <c r="AF353" s="55">
        <v>0</v>
      </c>
      <c r="AG353" s="52">
        <f t="shared" ref="AG353:AG354" si="42">I353*AB353/AC353</f>
        <v>8.4635675367510321E-2</v>
      </c>
      <c r="AH353" s="51"/>
      <c r="AI353" s="52"/>
      <c r="AJ353" s="52"/>
      <c r="AK353" s="28">
        <v>1.75</v>
      </c>
      <c r="AL353" s="28">
        <v>2.75</v>
      </c>
      <c r="AM353" s="28">
        <v>2</v>
      </c>
      <c r="AN353" s="28">
        <v>1.75</v>
      </c>
      <c r="AO353" s="28">
        <v>0.2121212121212121</v>
      </c>
      <c r="AP353" s="28">
        <v>0.33333333333333331</v>
      </c>
      <c r="AQ353" s="28">
        <v>0.2424242424242424</v>
      </c>
      <c r="AR353" s="28">
        <v>0.2121212121212121</v>
      </c>
      <c r="AS353" s="25">
        <v>1.6</v>
      </c>
      <c r="AT353" s="25">
        <v>3.44</v>
      </c>
      <c r="AU353" s="25">
        <v>1.84</v>
      </c>
      <c r="AV353" s="25">
        <v>2.8787500000000001</v>
      </c>
      <c r="AW353">
        <v>2.8787500000000001</v>
      </c>
      <c r="AX353">
        <v>6.3662565249906873</v>
      </c>
      <c r="AY353" s="75"/>
      <c r="AZ353" s="75"/>
      <c r="BA353" s="75"/>
      <c r="BB353">
        <v>4.2317837683755161E-2</v>
      </c>
      <c r="BF353">
        <v>8.4635675367510321E-2</v>
      </c>
      <c r="BG353">
        <v>4.2317837683755161E-2</v>
      </c>
      <c r="BH353">
        <v>0</v>
      </c>
      <c r="BS353" s="79" t="s">
        <v>464</v>
      </c>
      <c r="BT353" s="79" t="s">
        <v>464</v>
      </c>
    </row>
    <row r="354" spans="1:72" x14ac:dyDescent="0.3">
      <c r="A354" s="2" t="s">
        <v>873</v>
      </c>
      <c r="B354" s="13" t="s">
        <v>874</v>
      </c>
      <c r="C354" s="13"/>
      <c r="D354" s="2">
        <v>2.29</v>
      </c>
      <c r="E354" s="2" t="s">
        <v>218</v>
      </c>
      <c r="F354" s="9">
        <v>-1</v>
      </c>
      <c r="G354">
        <v>-1</v>
      </c>
      <c r="I354" s="2">
        <v>1</v>
      </c>
      <c r="J354" s="25">
        <v>0</v>
      </c>
      <c r="K354">
        <v>0</v>
      </c>
      <c r="L354">
        <v>0</v>
      </c>
      <c r="M354" s="2">
        <v>3.93</v>
      </c>
      <c r="N354" s="2">
        <v>3.93</v>
      </c>
      <c r="O354" s="2">
        <v>15.3</v>
      </c>
      <c r="P354" s="2"/>
      <c r="Q354" s="2"/>
      <c r="R354" s="25">
        <v>0</v>
      </c>
      <c r="S354" s="25"/>
      <c r="T354" s="25"/>
      <c r="U354">
        <v>0</v>
      </c>
      <c r="X354">
        <v>0</v>
      </c>
      <c r="AA354" s="2"/>
      <c r="AB354">
        <v>20</v>
      </c>
      <c r="AC354" s="55">
        <f t="shared" si="41"/>
        <v>236.30697000000001</v>
      </c>
      <c r="AD354" s="57">
        <v>0</v>
      </c>
      <c r="AE354" s="55">
        <v>0</v>
      </c>
      <c r="AF354" s="55">
        <v>0</v>
      </c>
      <c r="AG354" s="52">
        <f t="shared" si="42"/>
        <v>8.4635675367510321E-2</v>
      </c>
      <c r="AH354" s="51"/>
      <c r="AI354" s="52"/>
      <c r="AJ354" s="52"/>
      <c r="AK354" s="28">
        <v>1.714285714285714</v>
      </c>
      <c r="AL354" s="28">
        <v>2.6190476190476191</v>
      </c>
      <c r="AM354" s="28">
        <v>1.9285714285714279</v>
      </c>
      <c r="AN354" s="28">
        <v>1.666666666666667</v>
      </c>
      <c r="AO354" s="28">
        <v>0.2162162162162162</v>
      </c>
      <c r="AP354" s="28">
        <v>0.33033033033033038</v>
      </c>
      <c r="AQ354" s="28">
        <v>0.2432432432432432</v>
      </c>
      <c r="AR354" s="28">
        <v>0.21021021021021019</v>
      </c>
      <c r="AS354" s="25">
        <v>1.6</v>
      </c>
      <c r="AT354" s="25">
        <v>3.44</v>
      </c>
      <c r="AU354" s="25">
        <v>1.84</v>
      </c>
      <c r="AV354" s="25">
        <v>2.847857142857142</v>
      </c>
      <c r="AW354">
        <v>2.8478571428571429</v>
      </c>
      <c r="AX354">
        <v>6.402055730936417</v>
      </c>
      <c r="AY354" s="75"/>
      <c r="AZ354" s="75"/>
      <c r="BA354" s="75"/>
      <c r="BB354">
        <v>4.2317837683755161E-2</v>
      </c>
      <c r="BF354">
        <v>8.4635675367510321E-2</v>
      </c>
      <c r="BG354">
        <v>4.2317837683755161E-2</v>
      </c>
      <c r="BH354">
        <v>0</v>
      </c>
      <c r="BS354" s="79" t="s">
        <v>464</v>
      </c>
      <c r="BT354" s="79" t="s">
        <v>464</v>
      </c>
    </row>
    <row r="355" spans="1:72" x14ac:dyDescent="0.3">
      <c r="A355" s="2" t="s">
        <v>220</v>
      </c>
      <c r="B355" s="13" t="s">
        <v>807</v>
      </c>
      <c r="C355" s="13"/>
      <c r="D355" s="2">
        <v>4.05</v>
      </c>
      <c r="E355" s="2" t="s">
        <v>219</v>
      </c>
      <c r="F355" s="9" t="s">
        <v>588</v>
      </c>
      <c r="G355" t="s">
        <v>661</v>
      </c>
      <c r="I355" s="2"/>
      <c r="J355" s="25">
        <v>1</v>
      </c>
      <c r="K355">
        <v>1</v>
      </c>
      <c r="L355">
        <v>0</v>
      </c>
      <c r="M355" s="2"/>
      <c r="N355" s="2"/>
      <c r="O355" s="2"/>
      <c r="P355" s="2"/>
      <c r="Q355" s="2"/>
      <c r="R355" s="25">
        <v>5.81978595</v>
      </c>
      <c r="S355" s="25">
        <v>5.81978595</v>
      </c>
      <c r="T355" s="25">
        <v>11.88463337</v>
      </c>
      <c r="U355">
        <v>5.7759999999999998</v>
      </c>
      <c r="V355">
        <v>5.7759999999999998</v>
      </c>
      <c r="W355">
        <v>11.82</v>
      </c>
      <c r="X355">
        <v>0</v>
      </c>
      <c r="AA355" s="2"/>
      <c r="AB355">
        <v>30</v>
      </c>
      <c r="AC355" s="55">
        <f t="shared" si="41"/>
        <v>0</v>
      </c>
      <c r="AD355" s="57">
        <v>348.60249769877402</v>
      </c>
      <c r="AE355" s="55">
        <v>341.5092547488552</v>
      </c>
      <c r="AF355" s="55">
        <v>0</v>
      </c>
      <c r="AG355" s="52"/>
      <c r="AH355" s="51">
        <v>8.6057903193576313E-2</v>
      </c>
      <c r="AI355" s="52">
        <v>8.7845349965879851E-2</v>
      </c>
      <c r="AJ355" s="52"/>
      <c r="AK355" s="28">
        <v>2</v>
      </c>
      <c r="AL355" s="28">
        <v>2.5</v>
      </c>
      <c r="AM355" s="28">
        <v>0.5</v>
      </c>
      <c r="AN355" s="28">
        <v>2.333333333333333</v>
      </c>
      <c r="AO355" s="28">
        <v>0.27272727272727282</v>
      </c>
      <c r="AP355" s="28">
        <v>0.34090909090909088</v>
      </c>
      <c r="AQ355" s="28">
        <v>6.8181818181818191E-2</v>
      </c>
      <c r="AR355" s="28">
        <v>0.31818181818181818</v>
      </c>
      <c r="AS355" s="25">
        <v>0.89</v>
      </c>
      <c r="AT355" s="25">
        <v>3.44</v>
      </c>
      <c r="AU355" s="25">
        <v>2.5499999999999998</v>
      </c>
      <c r="AV355" s="25">
        <v>2.5854166666666671</v>
      </c>
      <c r="AW355">
        <v>2.5854166666666671</v>
      </c>
      <c r="AX355">
        <v>5.9262421145833333</v>
      </c>
      <c r="AY355" s="75">
        <v>0.58209579444379334</v>
      </c>
      <c r="AZ355" s="75">
        <v>0.59418608726221844</v>
      </c>
      <c r="BA355" s="75"/>
      <c r="BC355">
        <v>4.3028951596788149E-2</v>
      </c>
      <c r="BD355">
        <v>4.3922674982939933E-2</v>
      </c>
      <c r="BF355">
        <v>8.6951626579728075E-2</v>
      </c>
      <c r="BG355">
        <v>4.3475813289864038E-2</v>
      </c>
      <c r="BH355">
        <v>0.58814094085300583</v>
      </c>
      <c r="BS355" s="79" t="s">
        <v>464</v>
      </c>
      <c r="BT355" s="79" t="s">
        <v>464</v>
      </c>
    </row>
    <row r="356" spans="1:72" x14ac:dyDescent="0.3">
      <c r="A356" s="2" t="s">
        <v>220</v>
      </c>
      <c r="B356" s="13" t="s">
        <v>807</v>
      </c>
      <c r="C356" s="13"/>
      <c r="D356" s="2">
        <v>1.75</v>
      </c>
      <c r="E356" s="2" t="s">
        <v>219</v>
      </c>
      <c r="F356" s="9" t="s">
        <v>588</v>
      </c>
      <c r="G356" t="s">
        <v>661</v>
      </c>
      <c r="I356" s="2"/>
      <c r="J356" s="25">
        <v>1</v>
      </c>
      <c r="K356">
        <v>1</v>
      </c>
      <c r="L356">
        <v>0</v>
      </c>
      <c r="M356" s="2"/>
      <c r="N356" s="2"/>
      <c r="O356" s="2"/>
      <c r="P356" s="2"/>
      <c r="Q356" s="2"/>
      <c r="R356" s="25">
        <v>5.81978595</v>
      </c>
      <c r="S356" s="25">
        <v>5.81978595</v>
      </c>
      <c r="T356" s="25">
        <v>11.88463337</v>
      </c>
      <c r="U356">
        <v>5.7759999999999998</v>
      </c>
      <c r="V356">
        <v>5.7759999999999998</v>
      </c>
      <c r="W356">
        <v>11.82</v>
      </c>
      <c r="X356">
        <v>0</v>
      </c>
      <c r="AA356" s="2"/>
      <c r="AB356">
        <v>30</v>
      </c>
      <c r="AC356" s="55">
        <f t="shared" si="41"/>
        <v>0</v>
      </c>
      <c r="AD356" s="57">
        <v>348.60249769877402</v>
      </c>
      <c r="AE356" s="55">
        <v>341.5092547488552</v>
      </c>
      <c r="AF356" s="55">
        <v>0</v>
      </c>
      <c r="AG356" s="52"/>
      <c r="AH356" s="51">
        <v>8.6057903193576313E-2</v>
      </c>
      <c r="AI356" s="52">
        <v>8.7845349965879851E-2</v>
      </c>
      <c r="AJ356" s="52"/>
      <c r="AK356" s="28">
        <v>2</v>
      </c>
      <c r="AL356" s="28">
        <v>2.5</v>
      </c>
      <c r="AM356" s="28">
        <v>0.5</v>
      </c>
      <c r="AN356" s="28">
        <v>2.333333333333333</v>
      </c>
      <c r="AO356" s="28">
        <v>0.27272727272727282</v>
      </c>
      <c r="AP356" s="28">
        <v>0.34090909090909088</v>
      </c>
      <c r="AQ356" s="28">
        <v>6.8181818181818191E-2</v>
      </c>
      <c r="AR356" s="28">
        <v>0.31818181818181818</v>
      </c>
      <c r="AS356" s="25">
        <v>0.89</v>
      </c>
      <c r="AT356" s="25">
        <v>3.44</v>
      </c>
      <c r="AU356" s="25">
        <v>2.5499999999999998</v>
      </c>
      <c r="AV356" s="25">
        <v>2.5854166666666671</v>
      </c>
      <c r="AW356">
        <v>2.5854166666666671</v>
      </c>
      <c r="AX356">
        <v>5.9262421145833333</v>
      </c>
      <c r="AY356" s="75">
        <v>0.58209579444379334</v>
      </c>
      <c r="AZ356" s="75">
        <v>0.59418608726221844</v>
      </c>
      <c r="BA356" s="75"/>
      <c r="BC356">
        <v>4.3028951596788149E-2</v>
      </c>
      <c r="BD356">
        <v>4.3922674982939933E-2</v>
      </c>
      <c r="BF356">
        <v>8.6951626579728075E-2</v>
      </c>
      <c r="BG356">
        <v>4.3475813289864038E-2</v>
      </c>
      <c r="BH356">
        <v>0.58814094085300583</v>
      </c>
      <c r="BN356" s="79" t="s">
        <v>676</v>
      </c>
      <c r="BO356" s="79">
        <v>0.3</v>
      </c>
      <c r="BS356" s="79" t="s">
        <v>464</v>
      </c>
      <c r="BT356" s="79" t="s">
        <v>464</v>
      </c>
    </row>
    <row r="357" spans="1:72" x14ac:dyDescent="0.3">
      <c r="A357" s="2" t="s">
        <v>221</v>
      </c>
      <c r="B357" s="13" t="s">
        <v>808</v>
      </c>
      <c r="C357" s="13"/>
      <c r="D357" s="2">
        <v>4.51</v>
      </c>
      <c r="E357" s="2" t="s">
        <v>222</v>
      </c>
      <c r="F357" s="9" t="s">
        <v>589</v>
      </c>
      <c r="G357">
        <v>-1</v>
      </c>
      <c r="I357" s="2"/>
      <c r="J357" s="25">
        <v>1</v>
      </c>
      <c r="K357">
        <v>0</v>
      </c>
      <c r="L357">
        <v>0</v>
      </c>
      <c r="M357" s="2"/>
      <c r="N357" s="2"/>
      <c r="O357" s="2"/>
      <c r="P357" s="2"/>
      <c r="Q357" s="2"/>
      <c r="R357" s="25">
        <v>5.6694849300000003</v>
      </c>
      <c r="S357" s="25">
        <v>5.6694842000000003</v>
      </c>
      <c r="T357" s="25">
        <v>11.54266629</v>
      </c>
      <c r="U357">
        <v>0</v>
      </c>
      <c r="X357">
        <v>0</v>
      </c>
      <c r="AA357" s="2"/>
      <c r="AB357">
        <v>30</v>
      </c>
      <c r="AC357" s="55">
        <f t="shared" si="41"/>
        <v>0</v>
      </c>
      <c r="AD357" s="57">
        <v>321.30962315738361</v>
      </c>
      <c r="AE357" s="55">
        <v>0</v>
      </c>
      <c r="AF357" s="55">
        <v>0</v>
      </c>
      <c r="AG357" s="52"/>
      <c r="AH357" s="51">
        <v>9.3367885173191417E-2</v>
      </c>
      <c r="AI357" s="52"/>
      <c r="AJ357" s="52"/>
      <c r="AK357" s="28">
        <v>2</v>
      </c>
      <c r="AL357" s="28">
        <v>2.5</v>
      </c>
      <c r="AM357" s="28">
        <v>0.5</v>
      </c>
      <c r="AN357" s="28">
        <v>2.333333333333333</v>
      </c>
      <c r="AO357" s="28">
        <v>0.27272727272727282</v>
      </c>
      <c r="AP357" s="28">
        <v>0.34090909090909088</v>
      </c>
      <c r="AQ357" s="28">
        <v>6.8181818181818191E-2</v>
      </c>
      <c r="AR357" s="28">
        <v>0.31818181818181818</v>
      </c>
      <c r="AS357" s="25">
        <v>0.95</v>
      </c>
      <c r="AT357" s="25">
        <v>3.44</v>
      </c>
      <c r="AU357" s="25">
        <v>2.4900000000000002</v>
      </c>
      <c r="AV357" s="25">
        <v>2.5979166666666669</v>
      </c>
      <c r="AW357">
        <v>2.597916666666666</v>
      </c>
      <c r="AX357">
        <v>5.966934078125</v>
      </c>
      <c r="AY357" s="75">
        <v>0.56583721757051464</v>
      </c>
      <c r="AZ357" s="75"/>
      <c r="BA357" s="75"/>
      <c r="BC357">
        <v>4.6683942586595709E-2</v>
      </c>
      <c r="BF357">
        <v>9.3367885173191417E-2</v>
      </c>
      <c r="BG357">
        <v>4.6683942586595709E-2</v>
      </c>
      <c r="BH357">
        <v>0.56583721757051464</v>
      </c>
      <c r="BS357" s="79" t="s">
        <v>464</v>
      </c>
      <c r="BT357" s="79" t="s">
        <v>464</v>
      </c>
    </row>
    <row r="358" spans="1:72" x14ac:dyDescent="0.3">
      <c r="A358" s="2" t="s">
        <v>221</v>
      </c>
      <c r="B358" s="13" t="s">
        <v>808</v>
      </c>
      <c r="C358" s="13"/>
      <c r="D358" s="2">
        <v>2.2000000000000002</v>
      </c>
      <c r="E358" s="2" t="s">
        <v>222</v>
      </c>
      <c r="F358" s="9" t="s">
        <v>589</v>
      </c>
      <c r="G358">
        <v>-1</v>
      </c>
      <c r="I358" s="2"/>
      <c r="J358" s="25">
        <v>1</v>
      </c>
      <c r="K358">
        <v>0</v>
      </c>
      <c r="L358">
        <v>0</v>
      </c>
      <c r="M358" s="2"/>
      <c r="N358" s="2"/>
      <c r="O358" s="2"/>
      <c r="P358" s="2"/>
      <c r="Q358" s="2"/>
      <c r="R358" s="25">
        <v>5.6694849300000003</v>
      </c>
      <c r="S358" s="25">
        <v>5.6694842000000003</v>
      </c>
      <c r="T358" s="25">
        <v>11.54266629</v>
      </c>
      <c r="U358">
        <v>0</v>
      </c>
      <c r="X358">
        <v>0</v>
      </c>
      <c r="AA358" s="2"/>
      <c r="AB358">
        <v>30</v>
      </c>
      <c r="AC358" s="55">
        <f t="shared" si="41"/>
        <v>0</v>
      </c>
      <c r="AD358" s="57">
        <v>321.30962315738361</v>
      </c>
      <c r="AE358" s="55">
        <v>0</v>
      </c>
      <c r="AF358" s="55">
        <v>0</v>
      </c>
      <c r="AG358" s="52"/>
      <c r="AH358" s="51">
        <v>9.3367885173191417E-2</v>
      </c>
      <c r="AI358" s="52"/>
      <c r="AJ358" s="52"/>
      <c r="AK358" s="28">
        <v>2</v>
      </c>
      <c r="AL358" s="28">
        <v>2.5</v>
      </c>
      <c r="AM358" s="28">
        <v>0.5</v>
      </c>
      <c r="AN358" s="28">
        <v>2.333333333333333</v>
      </c>
      <c r="AO358" s="28">
        <v>0.27272727272727282</v>
      </c>
      <c r="AP358" s="28">
        <v>0.34090909090909088</v>
      </c>
      <c r="AQ358" s="28">
        <v>6.8181818181818191E-2</v>
      </c>
      <c r="AR358" s="28">
        <v>0.31818181818181818</v>
      </c>
      <c r="AS358" s="25">
        <v>0.95</v>
      </c>
      <c r="AT358" s="25">
        <v>3.44</v>
      </c>
      <c r="AU358" s="25">
        <v>2.4900000000000002</v>
      </c>
      <c r="AV358" s="25">
        <v>2.5979166666666669</v>
      </c>
      <c r="AW358">
        <v>2.597916666666666</v>
      </c>
      <c r="AX358">
        <v>5.966934078125</v>
      </c>
      <c r="AY358" s="75">
        <v>0.56583721757051464</v>
      </c>
      <c r="AZ358" s="75"/>
      <c r="BA358" s="75"/>
      <c r="BC358">
        <v>4.6683942586595709E-2</v>
      </c>
      <c r="BF358">
        <v>9.3367885173191417E-2</v>
      </c>
      <c r="BG358">
        <v>4.6683942586595709E-2</v>
      </c>
      <c r="BH358">
        <v>0.56583721757051464</v>
      </c>
      <c r="BN358" s="79" t="s">
        <v>676</v>
      </c>
      <c r="BO358" s="79">
        <v>0.63</v>
      </c>
      <c r="BS358" s="79" t="s">
        <v>464</v>
      </c>
      <c r="BT358" s="79" t="s">
        <v>464</v>
      </c>
    </row>
    <row r="359" spans="1:72" x14ac:dyDescent="0.3">
      <c r="A359" s="2" t="s">
        <v>185</v>
      </c>
      <c r="B359" s="13" t="s">
        <v>729</v>
      </c>
      <c r="C359" s="13"/>
      <c r="D359" s="2">
        <v>4.2</v>
      </c>
      <c r="E359" s="2" t="s">
        <v>223</v>
      </c>
      <c r="F359" s="9" t="s">
        <v>556</v>
      </c>
      <c r="G359" t="s">
        <v>633</v>
      </c>
      <c r="I359" s="2"/>
      <c r="J359" s="25">
        <v>2</v>
      </c>
      <c r="K359">
        <v>4</v>
      </c>
      <c r="L359">
        <v>0</v>
      </c>
      <c r="M359" s="2"/>
      <c r="N359" s="2"/>
      <c r="O359" s="2"/>
      <c r="P359" s="2"/>
      <c r="Q359" s="2"/>
      <c r="R359" s="25">
        <v>13.81974189</v>
      </c>
      <c r="S359" s="25">
        <v>13.81974189</v>
      </c>
      <c r="T359" s="25">
        <v>5.7110870199999999</v>
      </c>
      <c r="U359">
        <v>3.94</v>
      </c>
      <c r="V359">
        <v>27.15</v>
      </c>
      <c r="W359">
        <v>5.6920000000000002</v>
      </c>
      <c r="X359">
        <v>0</v>
      </c>
      <c r="AA359" s="2"/>
      <c r="AB359">
        <v>14</v>
      </c>
      <c r="AC359" s="55">
        <f t="shared" si="41"/>
        <v>0</v>
      </c>
      <c r="AD359" s="57">
        <v>309.44138863753989</v>
      </c>
      <c r="AE359" s="55">
        <v>608.87893199999996</v>
      </c>
      <c r="AF359" s="55">
        <v>0</v>
      </c>
      <c r="AG359" s="52"/>
      <c r="AH359" s="51">
        <v>9.0485633235046756E-2</v>
      </c>
      <c r="AI359" s="52">
        <v>9.1972306901891634E-2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2.545454545454545</v>
      </c>
      <c r="AO359" s="28">
        <v>0.26190476190476192</v>
      </c>
      <c r="AP359" s="28">
        <v>0.33333333333333331</v>
      </c>
      <c r="AQ359" s="28">
        <v>7.1428571428571425E-2</v>
      </c>
      <c r="AR359" s="28">
        <v>0.33333333333333331</v>
      </c>
      <c r="AS359" s="25">
        <v>0.95</v>
      </c>
      <c r="AT359" s="25">
        <v>3.44</v>
      </c>
      <c r="AU359" s="25">
        <v>2.4900000000000002</v>
      </c>
      <c r="AV359" s="25">
        <v>2.6345454545454539</v>
      </c>
      <c r="AW359">
        <v>2.6345454545454552</v>
      </c>
      <c r="AX359">
        <v>6.036062318181818</v>
      </c>
      <c r="AY359" s="75">
        <v>0.52932707238284982</v>
      </c>
      <c r="AZ359" s="75">
        <v>0.53802388525275069</v>
      </c>
      <c r="BA359" s="75"/>
      <c r="BC359">
        <v>4.5242816617523378E-2</v>
      </c>
      <c r="BD359">
        <v>4.5986153450945817E-2</v>
      </c>
      <c r="BF359">
        <v>9.1228970068469195E-2</v>
      </c>
      <c r="BG359">
        <v>4.5614485034234598E-2</v>
      </c>
      <c r="BH359">
        <v>0.5336754788178002</v>
      </c>
      <c r="BS359" s="79" t="s">
        <v>464</v>
      </c>
      <c r="BT359" s="79" t="s">
        <v>464</v>
      </c>
    </row>
    <row r="360" spans="1:72" x14ac:dyDescent="0.3">
      <c r="A360" s="2" t="s">
        <v>185</v>
      </c>
      <c r="B360" s="13" t="s">
        <v>729</v>
      </c>
      <c r="C360" s="13"/>
      <c r="D360" s="2">
        <v>2.2999999999999998</v>
      </c>
      <c r="E360" s="2" t="s">
        <v>223</v>
      </c>
      <c r="F360" s="9" t="s">
        <v>556</v>
      </c>
      <c r="G360" t="s">
        <v>633</v>
      </c>
      <c r="I360" s="2"/>
      <c r="J360" s="25">
        <v>2</v>
      </c>
      <c r="K360">
        <v>4</v>
      </c>
      <c r="L360">
        <v>0</v>
      </c>
      <c r="M360" s="2"/>
      <c r="N360" s="2"/>
      <c r="O360" s="2"/>
      <c r="P360" s="2"/>
      <c r="Q360" s="2"/>
      <c r="R360" s="25">
        <v>13.81974189</v>
      </c>
      <c r="S360" s="25">
        <v>13.81974189</v>
      </c>
      <c r="T360" s="25">
        <v>5.7110870199999999</v>
      </c>
      <c r="U360">
        <v>3.94</v>
      </c>
      <c r="V360">
        <v>27.15</v>
      </c>
      <c r="W360">
        <v>5.6920000000000002</v>
      </c>
      <c r="X360">
        <v>0</v>
      </c>
      <c r="AA360" s="2"/>
      <c r="AB360">
        <v>14</v>
      </c>
      <c r="AC360" s="55">
        <f t="shared" si="41"/>
        <v>0</v>
      </c>
      <c r="AD360" s="57">
        <v>309.44138863753989</v>
      </c>
      <c r="AE360" s="55">
        <v>608.87893199999996</v>
      </c>
      <c r="AF360" s="55">
        <v>0</v>
      </c>
      <c r="AG360" s="52"/>
      <c r="AH360" s="51">
        <v>9.0485633235046756E-2</v>
      </c>
      <c r="AI360" s="52">
        <v>9.1972306901891634E-2</v>
      </c>
      <c r="AJ360" s="52"/>
      <c r="AK360" s="28">
        <v>2</v>
      </c>
      <c r="AL360" s="28">
        <v>2.545454545454545</v>
      </c>
      <c r="AM360" s="28">
        <v>0.54545454545454541</v>
      </c>
      <c r="AN360" s="28">
        <v>2.545454545454545</v>
      </c>
      <c r="AO360" s="28">
        <v>0.26190476190476192</v>
      </c>
      <c r="AP360" s="28">
        <v>0.33333333333333331</v>
      </c>
      <c r="AQ360" s="28">
        <v>7.1428571428571425E-2</v>
      </c>
      <c r="AR360" s="28">
        <v>0.33333333333333331</v>
      </c>
      <c r="AS360" s="25">
        <v>0.95</v>
      </c>
      <c r="AT360" s="25">
        <v>3.44</v>
      </c>
      <c r="AU360" s="25">
        <v>2.4900000000000002</v>
      </c>
      <c r="AV360" s="25">
        <v>2.6345454545454539</v>
      </c>
      <c r="AW360">
        <v>2.6345454545454552</v>
      </c>
      <c r="AX360">
        <v>6.036062318181818</v>
      </c>
      <c r="AY360" s="75">
        <v>0.52932707238284982</v>
      </c>
      <c r="AZ360" s="75">
        <v>0.53802388525275069</v>
      </c>
      <c r="BA360" s="75"/>
      <c r="BC360">
        <v>4.5242816617523378E-2</v>
      </c>
      <c r="BD360">
        <v>4.5986153450945817E-2</v>
      </c>
      <c r="BF360">
        <v>9.1228970068469195E-2</v>
      </c>
      <c r="BG360">
        <v>4.5614485034234598E-2</v>
      </c>
      <c r="BH360">
        <v>0.5336754788178002</v>
      </c>
      <c r="BN360" s="79" t="s">
        <v>676</v>
      </c>
      <c r="BO360" s="79">
        <v>0.90500000000000003</v>
      </c>
      <c r="BS360" s="79" t="s">
        <v>464</v>
      </c>
      <c r="BT360" s="79" t="s">
        <v>464</v>
      </c>
    </row>
    <row r="361" spans="1:72" x14ac:dyDescent="0.3">
      <c r="A361" s="2" t="s">
        <v>46</v>
      </c>
      <c r="B361" s="13" t="s">
        <v>722</v>
      </c>
      <c r="C361" s="13"/>
      <c r="D361" s="2">
        <v>3.82</v>
      </c>
      <c r="E361" s="2" t="s">
        <v>224</v>
      </c>
      <c r="F361" s="9" t="s">
        <v>551</v>
      </c>
      <c r="G361" t="s">
        <v>629</v>
      </c>
      <c r="I361" s="2"/>
      <c r="J361" s="25">
        <v>2</v>
      </c>
      <c r="K361">
        <v>4</v>
      </c>
      <c r="L361">
        <v>0</v>
      </c>
      <c r="M361" s="2"/>
      <c r="N361" s="2"/>
      <c r="O361" s="2"/>
      <c r="P361" s="2"/>
      <c r="Q361" s="2"/>
      <c r="R361" s="25">
        <v>7.41544296</v>
      </c>
      <c r="S361" s="25">
        <v>7.4154429599999991</v>
      </c>
      <c r="T361" s="25">
        <v>7.41544296</v>
      </c>
      <c r="U361">
        <v>7.8</v>
      </c>
      <c r="V361">
        <v>13.010999999999999</v>
      </c>
      <c r="W361">
        <v>5.5460000000000003</v>
      </c>
      <c r="X361">
        <v>0</v>
      </c>
      <c r="AA361" s="2"/>
      <c r="AB361">
        <v>14</v>
      </c>
      <c r="AC361" s="55">
        <f t="shared" si="41"/>
        <v>0</v>
      </c>
      <c r="AD361" s="57">
        <v>288.33429290182369</v>
      </c>
      <c r="AE361" s="55">
        <v>556.51188553357167</v>
      </c>
      <c r="AF361" s="55">
        <v>0</v>
      </c>
      <c r="AG361" s="52"/>
      <c r="AH361" s="51">
        <v>9.7109503410799117E-2</v>
      </c>
      <c r="AI361" s="52">
        <v>0.10062678166578309</v>
      </c>
      <c r="AJ361" s="52"/>
      <c r="AK361" s="28">
        <v>2</v>
      </c>
      <c r="AL361" s="28">
        <v>2.545454545454545</v>
      </c>
      <c r="AM361" s="28">
        <v>0.54545454545454541</v>
      </c>
      <c r="AN361" s="28">
        <v>0</v>
      </c>
      <c r="AO361" s="28">
        <v>0.39285714285714279</v>
      </c>
      <c r="AP361" s="28">
        <v>0.5</v>
      </c>
      <c r="AQ361" s="28">
        <v>0.1071428571428571</v>
      </c>
      <c r="AR361" s="28">
        <v>0</v>
      </c>
      <c r="AS361" s="25">
        <v>1.1000000000000001</v>
      </c>
      <c r="AT361" s="25">
        <v>3.44</v>
      </c>
      <c r="AU361" s="25">
        <v>2.34</v>
      </c>
      <c r="AV361" s="25">
        <v>2.669090909090909</v>
      </c>
      <c r="AW361">
        <v>2.669090909090909</v>
      </c>
      <c r="AX361">
        <v>5.9831974772727277</v>
      </c>
      <c r="AY361" s="75">
        <v>0.52442413903612473</v>
      </c>
      <c r="AZ361" s="75">
        <v>0.54341863036636606</v>
      </c>
      <c r="BA361" s="75"/>
      <c r="BC361">
        <v>4.8554751705399558E-2</v>
      </c>
      <c r="BD361">
        <v>5.0313390832891547E-2</v>
      </c>
      <c r="BF361">
        <v>9.8868142538291098E-2</v>
      </c>
      <c r="BG361">
        <v>4.9434071269145549E-2</v>
      </c>
      <c r="BH361">
        <v>0.53392138470124539</v>
      </c>
      <c r="BS361" s="79" t="s">
        <v>464</v>
      </c>
      <c r="BT361" s="79" t="s">
        <v>464</v>
      </c>
    </row>
    <row r="362" spans="1:72" x14ac:dyDescent="0.3">
      <c r="A362" s="2" t="s">
        <v>46</v>
      </c>
      <c r="B362" s="13" t="s">
        <v>722</v>
      </c>
      <c r="C362" s="13"/>
      <c r="D362" s="2">
        <v>3.82</v>
      </c>
      <c r="E362" s="2" t="s">
        <v>225</v>
      </c>
      <c r="F362" s="9" t="s">
        <v>551</v>
      </c>
      <c r="G362" t="s">
        <v>629</v>
      </c>
      <c r="I362" s="2"/>
      <c r="J362" s="25">
        <v>2</v>
      </c>
      <c r="K362">
        <v>4</v>
      </c>
      <c r="L362">
        <v>0</v>
      </c>
      <c r="M362" s="2"/>
      <c r="N362" s="2"/>
      <c r="O362" s="2"/>
      <c r="P362" s="2"/>
      <c r="Q362" s="2"/>
      <c r="R362" s="25">
        <v>7.41544296</v>
      </c>
      <c r="S362" s="25">
        <v>7.4154429599999991</v>
      </c>
      <c r="T362" s="25">
        <v>7.41544296</v>
      </c>
      <c r="U362">
        <v>7.8</v>
      </c>
      <c r="V362">
        <v>13.010999999999999</v>
      </c>
      <c r="W362">
        <v>5.5460000000000003</v>
      </c>
      <c r="X362">
        <v>0</v>
      </c>
      <c r="AA362" s="2"/>
      <c r="AB362">
        <v>14</v>
      </c>
      <c r="AC362" s="55">
        <f t="shared" si="41"/>
        <v>0</v>
      </c>
      <c r="AD362" s="57">
        <v>288.33429290182369</v>
      </c>
      <c r="AE362" s="55">
        <v>556.51188553357167</v>
      </c>
      <c r="AF362" s="55">
        <v>0</v>
      </c>
      <c r="AG362" s="52"/>
      <c r="AH362" s="51">
        <v>9.7109503410799117E-2</v>
      </c>
      <c r="AI362" s="52">
        <v>0.10062678166578309</v>
      </c>
      <c r="AJ362" s="52"/>
      <c r="AK362" s="28">
        <v>2</v>
      </c>
      <c r="AL362" s="28">
        <v>2.545454545454545</v>
      </c>
      <c r="AM362" s="28">
        <v>0.54545454545454541</v>
      </c>
      <c r="AN362" s="28">
        <v>0</v>
      </c>
      <c r="AO362" s="28">
        <v>0.39285714285714279</v>
      </c>
      <c r="AP362" s="28">
        <v>0.5</v>
      </c>
      <c r="AQ362" s="28">
        <v>0.1071428571428571</v>
      </c>
      <c r="AR362" s="28">
        <v>0</v>
      </c>
      <c r="AS362" s="25">
        <v>1.1000000000000001</v>
      </c>
      <c r="AT362" s="25">
        <v>3.44</v>
      </c>
      <c r="AU362" s="25">
        <v>2.34</v>
      </c>
      <c r="AV362" s="25">
        <v>2.669090909090909</v>
      </c>
      <c r="AW362">
        <v>2.669090909090909</v>
      </c>
      <c r="AX362">
        <v>5.9831974772727277</v>
      </c>
      <c r="AY362" s="75">
        <v>0.52442413903612473</v>
      </c>
      <c r="AZ362" s="75">
        <v>0.54341863036636606</v>
      </c>
      <c r="BA362" s="75"/>
      <c r="BC362">
        <v>4.8554751705399558E-2</v>
      </c>
      <c r="BD362">
        <v>5.0313390832891547E-2</v>
      </c>
      <c r="BF362">
        <v>9.8868142538291098E-2</v>
      </c>
      <c r="BG362">
        <v>4.9434071269145549E-2</v>
      </c>
      <c r="BH362">
        <v>0.53392138470124539</v>
      </c>
      <c r="BS362" s="79" t="s">
        <v>464</v>
      </c>
      <c r="BT362" s="79" t="s">
        <v>464</v>
      </c>
    </row>
    <row r="363" spans="1:72" x14ac:dyDescent="0.3">
      <c r="A363" s="2" t="s">
        <v>226</v>
      </c>
      <c r="B363" s="37" t="s">
        <v>938</v>
      </c>
      <c r="C363" s="13"/>
      <c r="D363" s="2">
        <v>2.6</v>
      </c>
      <c r="E363" s="2" t="s">
        <v>225</v>
      </c>
      <c r="F363" s="32" t="s">
        <v>551</v>
      </c>
      <c r="G363" s="1" t="s">
        <v>629</v>
      </c>
      <c r="I363" s="2"/>
      <c r="J363" s="25">
        <v>0</v>
      </c>
      <c r="K363">
        <v>4</v>
      </c>
      <c r="L363">
        <v>0</v>
      </c>
      <c r="M363" s="2">
        <v>-1</v>
      </c>
      <c r="N363" s="2"/>
      <c r="O363" s="2"/>
      <c r="P363" s="2"/>
      <c r="Q363" s="2"/>
      <c r="R363" s="25">
        <v>0</v>
      </c>
      <c r="S363" s="25"/>
      <c r="T363" s="25"/>
      <c r="U363">
        <v>7.8</v>
      </c>
      <c r="V363">
        <v>13.010999999999999</v>
      </c>
      <c r="W363">
        <v>5.5460000000000003</v>
      </c>
      <c r="X363">
        <v>0</v>
      </c>
      <c r="AA363" s="2"/>
      <c r="AB363">
        <v>14</v>
      </c>
      <c r="AC363" s="55">
        <f t="shared" si="41"/>
        <v>0</v>
      </c>
      <c r="AD363" s="57">
        <v>0</v>
      </c>
      <c r="AE363" s="55">
        <v>556.51188553357167</v>
      </c>
      <c r="AF363" s="55">
        <v>0</v>
      </c>
      <c r="AG363" s="52"/>
      <c r="AH363" s="51"/>
      <c r="AI363" s="52">
        <v>0.10062678166578309</v>
      </c>
      <c r="AJ363" s="52"/>
      <c r="AK363" s="28">
        <v>2</v>
      </c>
      <c r="AL363" s="28">
        <v>2.545454545454545</v>
      </c>
      <c r="AM363" s="28">
        <v>0.55454545454545456</v>
      </c>
      <c r="AN363" s="28">
        <v>0</v>
      </c>
      <c r="AO363" s="28">
        <v>0.39215686274509798</v>
      </c>
      <c r="AP363" s="28">
        <v>0.49910873440285197</v>
      </c>
      <c r="AQ363" s="28">
        <v>0.1087344028520499</v>
      </c>
      <c r="AR363" s="28">
        <v>0</v>
      </c>
      <c r="AS363" s="25">
        <v>1.1000000000000001</v>
      </c>
      <c r="AT363" s="25">
        <v>3.44</v>
      </c>
      <c r="AU363" s="25">
        <v>2.34</v>
      </c>
      <c r="AV363" s="25">
        <v>2.670418181818182</v>
      </c>
      <c r="AW363">
        <v>2.670418181818182</v>
      </c>
      <c r="AX363">
        <v>5.9849440756727272</v>
      </c>
      <c r="AY363" s="75">
        <v>0.52442413903612473</v>
      </c>
      <c r="AZ363" s="75">
        <v>0.54341863036636606</v>
      </c>
      <c r="BA363" s="75"/>
      <c r="BD363">
        <v>5.0313390832891547E-2</v>
      </c>
      <c r="BF363">
        <v>0.10062678166578309</v>
      </c>
      <c r="BG363">
        <v>5.0313390832891547E-2</v>
      </c>
      <c r="BH363">
        <v>0.53392138470124539</v>
      </c>
      <c r="BS363" s="79" t="s">
        <v>464</v>
      </c>
      <c r="BT363" s="79" t="s">
        <v>464</v>
      </c>
    </row>
    <row r="364" spans="1:72" x14ac:dyDescent="0.3">
      <c r="A364" s="2" t="s">
        <v>227</v>
      </c>
      <c r="B364" s="17" t="s">
        <v>939</v>
      </c>
      <c r="C364" s="13"/>
      <c r="D364" s="2">
        <v>2.2000000000000002</v>
      </c>
      <c r="E364" s="2" t="s">
        <v>225</v>
      </c>
      <c r="F364" s="32" t="s">
        <v>551</v>
      </c>
      <c r="G364" s="1" t="s">
        <v>629</v>
      </c>
      <c r="I364" s="2"/>
      <c r="J364" s="25">
        <v>0</v>
      </c>
      <c r="K364">
        <v>4</v>
      </c>
      <c r="L364">
        <v>0</v>
      </c>
      <c r="M364" s="2">
        <v>-1</v>
      </c>
      <c r="N364" s="2"/>
      <c r="O364" s="2"/>
      <c r="P364" s="2"/>
      <c r="Q364" s="2"/>
      <c r="R364" s="25">
        <v>0</v>
      </c>
      <c r="S364" s="25"/>
      <c r="T364" s="25"/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41"/>
        <v>0</v>
      </c>
      <c r="AD364" s="57">
        <v>0</v>
      </c>
      <c r="AE364" s="55">
        <v>556.51188553357167</v>
      </c>
      <c r="AF364" s="55">
        <v>0</v>
      </c>
      <c r="AG364" s="52"/>
      <c r="AH364" s="51"/>
      <c r="AI364" s="52">
        <v>0.10062678166578309</v>
      </c>
      <c r="AJ364" s="52"/>
      <c r="AK364" s="28">
        <v>1.9981818181818181</v>
      </c>
      <c r="AL364" s="28">
        <v>2.545454545454545</v>
      </c>
      <c r="AM364" s="28">
        <v>0.55272727272727273</v>
      </c>
      <c r="AN364" s="28">
        <v>0</v>
      </c>
      <c r="AO364" s="28">
        <v>0.39207991437745271</v>
      </c>
      <c r="AP364" s="28">
        <v>0.49946485907955762</v>
      </c>
      <c r="AQ364" s="28">
        <v>0.1084552265429897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2.670109090909091</v>
      </c>
      <c r="AW364">
        <v>2.670109090909091</v>
      </c>
      <c r="AX364">
        <v>5.9843864818181816</v>
      </c>
      <c r="AY364" s="75">
        <v>0.52442413903612473</v>
      </c>
      <c r="AZ364" s="75">
        <v>0.54341863036636606</v>
      </c>
      <c r="BA364" s="75"/>
      <c r="BD364">
        <v>5.0313390832891547E-2</v>
      </c>
      <c r="BF364">
        <v>0.10062678166578309</v>
      </c>
      <c r="BG364">
        <v>5.0313390832891547E-2</v>
      </c>
      <c r="BH364">
        <v>0.53392138470124539</v>
      </c>
      <c r="BS364" s="79" t="s">
        <v>464</v>
      </c>
      <c r="BT364" s="79" t="s">
        <v>464</v>
      </c>
    </row>
    <row r="365" spans="1:72" x14ac:dyDescent="0.3">
      <c r="A365" s="2" t="s">
        <v>49</v>
      </c>
      <c r="B365" s="13" t="s">
        <v>725</v>
      </c>
      <c r="C365" s="13"/>
      <c r="D365" s="2">
        <v>4</v>
      </c>
      <c r="E365" s="2" t="s">
        <v>228</v>
      </c>
      <c r="F365" s="9" t="s">
        <v>553</v>
      </c>
      <c r="G365" t="s">
        <v>631</v>
      </c>
      <c r="I365" s="2"/>
      <c r="J365" s="25">
        <v>8</v>
      </c>
      <c r="K365">
        <v>8</v>
      </c>
      <c r="L365">
        <v>0</v>
      </c>
      <c r="M365" s="2"/>
      <c r="N365" s="2"/>
      <c r="O365" s="2"/>
      <c r="P365" s="2"/>
      <c r="Q365" s="2"/>
      <c r="R365" s="25">
        <v>5.8017180100000001</v>
      </c>
      <c r="S365" s="25">
        <v>7.9756520899999996</v>
      </c>
      <c r="T365" s="25">
        <v>27.352093400000001</v>
      </c>
      <c r="U365">
        <v>26.646989999999999</v>
      </c>
      <c r="V365">
        <v>7.9359999999999999</v>
      </c>
      <c r="W365">
        <v>5.7050000000000001</v>
      </c>
      <c r="X365">
        <v>0</v>
      </c>
      <c r="AA365" s="2"/>
      <c r="AB365">
        <v>14</v>
      </c>
      <c r="AC365" s="55">
        <f t="shared" si="41"/>
        <v>0</v>
      </c>
      <c r="AD365" s="57">
        <v>1265.6493143942739</v>
      </c>
      <c r="AE365" s="55">
        <v>1206.4392746112001</v>
      </c>
      <c r="AF365" s="55">
        <v>0</v>
      </c>
      <c r="AG365" s="52"/>
      <c r="AH365" s="51">
        <v>8.8492127105210025E-2</v>
      </c>
      <c r="AI365" s="52">
        <v>9.2835174017436004E-2</v>
      </c>
      <c r="AJ365" s="52"/>
      <c r="AK365" s="28">
        <v>1.8181818181818179</v>
      </c>
      <c r="AL365" s="28">
        <v>2.545454545454545</v>
      </c>
      <c r="AM365" s="28">
        <v>0.72727272727272729</v>
      </c>
      <c r="AN365" s="28">
        <v>0</v>
      </c>
      <c r="AO365" s="28">
        <v>0.35714285714285721</v>
      </c>
      <c r="AP365" s="28">
        <v>0.5</v>
      </c>
      <c r="AQ365" s="28">
        <v>0.1428571428571429</v>
      </c>
      <c r="AR365" s="28">
        <v>0</v>
      </c>
      <c r="AS365" s="25">
        <v>0.95</v>
      </c>
      <c r="AT365" s="25">
        <v>3.44</v>
      </c>
      <c r="AU365" s="25">
        <v>2.4900000000000002</v>
      </c>
      <c r="AV365" s="25">
        <v>2.6527272727272719</v>
      </c>
      <c r="AW365">
        <v>2.6527272727272728</v>
      </c>
      <c r="AX365">
        <v>6.0182046818181814</v>
      </c>
      <c r="AY365" s="75">
        <v>0.5176653673612065</v>
      </c>
      <c r="AZ365" s="75">
        <v>0.54307152550012683</v>
      </c>
      <c r="BA365" s="75"/>
      <c r="BC365">
        <v>4.4246063552605013E-2</v>
      </c>
      <c r="BD365">
        <v>4.6417587008717988E-2</v>
      </c>
      <c r="BF365">
        <v>9.0663650561323014E-2</v>
      </c>
      <c r="BG365">
        <v>4.53318252806615E-2</v>
      </c>
      <c r="BH365">
        <v>0.53036844643066661</v>
      </c>
      <c r="BS365" s="79" t="s">
        <v>464</v>
      </c>
      <c r="BT365" s="79" t="s">
        <v>464</v>
      </c>
    </row>
    <row r="366" spans="1:72" x14ac:dyDescent="0.3">
      <c r="A366" s="2" t="s">
        <v>46</v>
      </c>
      <c r="B366" s="13" t="s">
        <v>722</v>
      </c>
      <c r="C366" s="13"/>
      <c r="D366" s="2">
        <v>3.9</v>
      </c>
      <c r="E366" s="2" t="s">
        <v>229</v>
      </c>
      <c r="F366" s="12" t="s">
        <v>551</v>
      </c>
      <c r="G366" t="s">
        <v>629</v>
      </c>
      <c r="I366" s="2"/>
      <c r="J366" s="25">
        <v>2</v>
      </c>
      <c r="K366">
        <v>4</v>
      </c>
      <c r="L366">
        <v>0</v>
      </c>
      <c r="M366" s="2"/>
      <c r="N366" s="2"/>
      <c r="O366" s="2"/>
      <c r="P366" s="2"/>
      <c r="Q366" s="2"/>
      <c r="R366" s="25">
        <v>7.41544296</v>
      </c>
      <c r="S366" s="25">
        <v>7.4154429599999991</v>
      </c>
      <c r="T366" s="25">
        <v>7.41544296</v>
      </c>
      <c r="U366">
        <v>7.8</v>
      </c>
      <c r="V366">
        <v>13.010999999999999</v>
      </c>
      <c r="W366">
        <v>5.5460000000000003</v>
      </c>
      <c r="X366">
        <v>0</v>
      </c>
      <c r="AA366" s="2"/>
      <c r="AB366">
        <v>14</v>
      </c>
      <c r="AC366" s="55">
        <f t="shared" si="41"/>
        <v>0</v>
      </c>
      <c r="AD366" s="57">
        <v>288.33429290182369</v>
      </c>
      <c r="AE366" s="55">
        <v>556.51188553357167</v>
      </c>
      <c r="AF366" s="55">
        <v>0</v>
      </c>
      <c r="AG366" s="52"/>
      <c r="AH366" s="51">
        <v>9.7109503410799117E-2</v>
      </c>
      <c r="AI366" s="52">
        <v>0.10062678166578309</v>
      </c>
      <c r="AJ366" s="52"/>
      <c r="AK366" s="28">
        <v>2</v>
      </c>
      <c r="AL366" s="28">
        <v>2.545454545454545</v>
      </c>
      <c r="AM366" s="28">
        <v>0.54545454545454541</v>
      </c>
      <c r="AN366" s="28">
        <v>0</v>
      </c>
      <c r="AO366" s="28">
        <v>0.39285714285714279</v>
      </c>
      <c r="AP366" s="28">
        <v>0.5</v>
      </c>
      <c r="AQ366" s="28">
        <v>0.1071428571428571</v>
      </c>
      <c r="AR366" s="28">
        <v>0</v>
      </c>
      <c r="AS366" s="25">
        <v>1.1000000000000001</v>
      </c>
      <c r="AT366" s="25">
        <v>3.44</v>
      </c>
      <c r="AU366" s="25">
        <v>2.34</v>
      </c>
      <c r="AV366" s="25">
        <v>2.669090909090909</v>
      </c>
      <c r="AW366">
        <v>2.669090909090909</v>
      </c>
      <c r="AX366">
        <v>5.9831974772727277</v>
      </c>
      <c r="AY366" s="75">
        <v>0.52442413903612473</v>
      </c>
      <c r="AZ366" s="75">
        <v>0.54341863036636606</v>
      </c>
      <c r="BA366" s="75"/>
      <c r="BC366">
        <v>4.8554751705399558E-2</v>
      </c>
      <c r="BD366">
        <v>5.0313390832891547E-2</v>
      </c>
      <c r="BF366">
        <v>9.8868142538291098E-2</v>
      </c>
      <c r="BG366">
        <v>4.9434071269145549E-2</v>
      </c>
      <c r="BH366">
        <v>0.53392138470124539</v>
      </c>
      <c r="BS366" s="79" t="s">
        <v>464</v>
      </c>
      <c r="BT366" s="79" t="s">
        <v>464</v>
      </c>
    </row>
    <row r="367" spans="1:72" x14ac:dyDescent="0.3">
      <c r="A367" s="2" t="s">
        <v>46</v>
      </c>
      <c r="B367" s="13" t="s">
        <v>722</v>
      </c>
      <c r="C367" s="13"/>
      <c r="D367" s="2">
        <v>3.78</v>
      </c>
      <c r="E367" s="2" t="s">
        <v>229</v>
      </c>
      <c r="F367" s="12" t="s">
        <v>551</v>
      </c>
      <c r="G367" t="s">
        <v>629</v>
      </c>
      <c r="I367" s="2"/>
      <c r="J367" s="25">
        <v>2</v>
      </c>
      <c r="K367">
        <v>4</v>
      </c>
      <c r="L367">
        <v>0</v>
      </c>
      <c r="M367" s="2"/>
      <c r="N367" s="2"/>
      <c r="O367" s="2"/>
      <c r="P367" s="2"/>
      <c r="Q367" s="2"/>
      <c r="R367" s="25">
        <v>7.41544296</v>
      </c>
      <c r="S367" s="25">
        <v>7.4154429599999991</v>
      </c>
      <c r="T367" s="25">
        <v>7.41544296</v>
      </c>
      <c r="U367">
        <v>7.8</v>
      </c>
      <c r="V367">
        <v>13.010999999999999</v>
      </c>
      <c r="W367">
        <v>5.5460000000000003</v>
      </c>
      <c r="X367">
        <v>0</v>
      </c>
      <c r="AA367" s="2"/>
      <c r="AB367">
        <v>14</v>
      </c>
      <c r="AC367" s="55">
        <f t="shared" si="41"/>
        <v>0</v>
      </c>
      <c r="AD367" s="57">
        <v>288.33429290182369</v>
      </c>
      <c r="AE367" s="55">
        <v>556.51188553357167</v>
      </c>
      <c r="AF367" s="55">
        <v>0</v>
      </c>
      <c r="AG367" s="52"/>
      <c r="AH367" s="51">
        <v>9.7109503410799117E-2</v>
      </c>
      <c r="AI367" s="52">
        <v>0.10062678166578309</v>
      </c>
      <c r="AJ367" s="52"/>
      <c r="AK367" s="28">
        <v>2</v>
      </c>
      <c r="AL367" s="28">
        <v>2.545454545454545</v>
      </c>
      <c r="AM367" s="28">
        <v>0.54545454545454541</v>
      </c>
      <c r="AN367" s="28">
        <v>0</v>
      </c>
      <c r="AO367" s="28">
        <v>0.39285714285714279</v>
      </c>
      <c r="AP367" s="28">
        <v>0.5</v>
      </c>
      <c r="AQ367" s="28">
        <v>0.1071428571428571</v>
      </c>
      <c r="AR367" s="28">
        <v>0</v>
      </c>
      <c r="AS367" s="25">
        <v>1.1000000000000001</v>
      </c>
      <c r="AT367" s="25">
        <v>3.44</v>
      </c>
      <c r="AU367" s="25">
        <v>2.34</v>
      </c>
      <c r="AV367" s="25">
        <v>2.669090909090909</v>
      </c>
      <c r="AW367">
        <v>2.669090909090909</v>
      </c>
      <c r="AX367">
        <v>5.9831974772727277</v>
      </c>
      <c r="AY367" s="75">
        <v>0.52442413903612473</v>
      </c>
      <c r="AZ367" s="75">
        <v>0.54341863036636606</v>
      </c>
      <c r="BA367" s="75"/>
      <c r="BC367">
        <v>4.8554751705399558E-2</v>
      </c>
      <c r="BD367">
        <v>5.0313390832891547E-2</v>
      </c>
      <c r="BF367">
        <v>9.8868142538291098E-2</v>
      </c>
      <c r="BG367">
        <v>4.9434071269145549E-2</v>
      </c>
      <c r="BH367">
        <v>0.53392138470124539</v>
      </c>
      <c r="BN367" s="79" t="s">
        <v>890</v>
      </c>
      <c r="BO367" s="79">
        <v>0.42</v>
      </c>
      <c r="BS367" s="79" t="s">
        <v>464</v>
      </c>
      <c r="BT367" s="79" t="s">
        <v>464</v>
      </c>
    </row>
    <row r="368" spans="1:72" x14ac:dyDescent="0.3">
      <c r="A368" s="2" t="s">
        <v>44</v>
      </c>
      <c r="B368" s="13" t="s">
        <v>720</v>
      </c>
      <c r="C368" s="13"/>
      <c r="D368" s="2">
        <v>3.5</v>
      </c>
      <c r="E368" s="7" t="s">
        <v>230</v>
      </c>
      <c r="F368" s="12" t="s">
        <v>549</v>
      </c>
      <c r="G368">
        <v>-1</v>
      </c>
      <c r="I368" s="7"/>
      <c r="J368" s="25">
        <v>1</v>
      </c>
      <c r="K368">
        <v>0</v>
      </c>
      <c r="L368">
        <v>0</v>
      </c>
      <c r="M368" s="2"/>
      <c r="N368" s="2"/>
      <c r="O368" s="2"/>
      <c r="P368" s="2"/>
      <c r="Q368" s="2"/>
      <c r="R368" s="25">
        <v>15.28115725</v>
      </c>
      <c r="S368" s="25">
        <v>15.28115725</v>
      </c>
      <c r="T368" s="25">
        <v>15.28115725</v>
      </c>
      <c r="U368">
        <v>0</v>
      </c>
      <c r="X368">
        <v>0</v>
      </c>
      <c r="AA368" s="2"/>
      <c r="AB368">
        <v>20</v>
      </c>
      <c r="AC368" s="55">
        <f t="shared" si="41"/>
        <v>0</v>
      </c>
      <c r="AD368" s="57">
        <v>229.90248606119221</v>
      </c>
      <c r="AE368" s="55">
        <v>0</v>
      </c>
      <c r="AF368" s="55">
        <v>0</v>
      </c>
      <c r="AG368" s="52"/>
      <c r="AH368" s="51">
        <v>8.6993404650164072E-2</v>
      </c>
      <c r="AI368" s="52"/>
      <c r="AJ368" s="52"/>
      <c r="AK368" s="28">
        <v>1.882352941176471</v>
      </c>
      <c r="AL368" s="28">
        <v>2.3529411764705879</v>
      </c>
      <c r="AM368" s="28">
        <v>0.47058823529411759</v>
      </c>
      <c r="AN368" s="28">
        <v>0</v>
      </c>
      <c r="AO368" s="28">
        <v>0.4</v>
      </c>
      <c r="AP368" s="28">
        <v>0.5</v>
      </c>
      <c r="AQ368" s="28">
        <v>9.9999999999999992E-2</v>
      </c>
      <c r="AR368" s="28">
        <v>0</v>
      </c>
      <c r="AS368" s="25">
        <v>0.82</v>
      </c>
      <c r="AT368" s="25">
        <v>3.44</v>
      </c>
      <c r="AU368" s="25">
        <v>2.62</v>
      </c>
      <c r="AV368" s="25">
        <v>2.5211764705882351</v>
      </c>
      <c r="AW368">
        <v>2.521176470588236</v>
      </c>
      <c r="AX368">
        <v>5.6898745917647062</v>
      </c>
      <c r="AY368" s="75">
        <v>0.57369840599679445</v>
      </c>
      <c r="AZ368" s="75"/>
      <c r="BA368" s="75"/>
      <c r="BC368">
        <v>4.3496702325082043E-2</v>
      </c>
      <c r="BF368">
        <v>8.6993404650164072E-2</v>
      </c>
      <c r="BG368">
        <v>4.3496702325082043E-2</v>
      </c>
      <c r="BH368">
        <v>0.57369840599679445</v>
      </c>
      <c r="BS368" s="79" t="s">
        <v>464</v>
      </c>
      <c r="BT368" s="79" t="s">
        <v>464</v>
      </c>
    </row>
    <row r="369" spans="1:72" x14ac:dyDescent="0.3">
      <c r="A369" s="2" t="s">
        <v>44</v>
      </c>
      <c r="B369" s="13" t="s">
        <v>720</v>
      </c>
      <c r="C369" s="13"/>
      <c r="D369" s="2">
        <v>3.06</v>
      </c>
      <c r="E369" s="7" t="s">
        <v>230</v>
      </c>
      <c r="F369" s="12" t="s">
        <v>549</v>
      </c>
      <c r="G369">
        <v>-1</v>
      </c>
      <c r="I369" s="7"/>
      <c r="J369" s="25">
        <v>1</v>
      </c>
      <c r="K369">
        <v>0</v>
      </c>
      <c r="L369">
        <v>0</v>
      </c>
      <c r="M369" s="2"/>
      <c r="N369" s="2"/>
      <c r="O369" s="2"/>
      <c r="P369" s="2"/>
      <c r="Q369" s="2"/>
      <c r="R369" s="25">
        <v>15.28115725</v>
      </c>
      <c r="S369" s="25">
        <v>15.28115725</v>
      </c>
      <c r="T369" s="25">
        <v>15.28115725</v>
      </c>
      <c r="U369">
        <v>0</v>
      </c>
      <c r="X369">
        <v>0</v>
      </c>
      <c r="AA369" s="2"/>
      <c r="AB369">
        <v>20</v>
      </c>
      <c r="AC369" s="55">
        <f t="shared" si="41"/>
        <v>0</v>
      </c>
      <c r="AD369" s="57">
        <v>229.90248606119221</v>
      </c>
      <c r="AE369" s="55">
        <v>0</v>
      </c>
      <c r="AF369" s="55">
        <v>0</v>
      </c>
      <c r="AG369" s="52"/>
      <c r="AH369" s="51">
        <v>8.6993404650164072E-2</v>
      </c>
      <c r="AI369" s="52"/>
      <c r="AJ369" s="52"/>
      <c r="AK369" s="28">
        <v>1.882352941176471</v>
      </c>
      <c r="AL369" s="28">
        <v>2.3529411764705879</v>
      </c>
      <c r="AM369" s="28">
        <v>0.47058823529411759</v>
      </c>
      <c r="AN369" s="28">
        <v>0</v>
      </c>
      <c r="AO369" s="28">
        <v>0.4</v>
      </c>
      <c r="AP369" s="28">
        <v>0.5</v>
      </c>
      <c r="AQ369" s="28">
        <v>9.9999999999999992E-2</v>
      </c>
      <c r="AR369" s="28">
        <v>0</v>
      </c>
      <c r="AS369" s="25">
        <v>0.82</v>
      </c>
      <c r="AT369" s="25">
        <v>3.44</v>
      </c>
      <c r="AU369" s="25">
        <v>2.62</v>
      </c>
      <c r="AV369" s="25">
        <v>2.5211764705882351</v>
      </c>
      <c r="AW369">
        <v>2.521176470588236</v>
      </c>
      <c r="AX369">
        <v>5.6898745917647062</v>
      </c>
      <c r="AY369" s="75">
        <v>0.57369840599679445</v>
      </c>
      <c r="AZ369" s="75"/>
      <c r="BA369" s="75"/>
      <c r="BC369">
        <v>4.3496702325082043E-2</v>
      </c>
      <c r="BF369">
        <v>8.6993404650164072E-2</v>
      </c>
      <c r="BG369">
        <v>4.3496702325082043E-2</v>
      </c>
      <c r="BH369">
        <v>0.57369840599679445</v>
      </c>
      <c r="BN369" s="79" t="s">
        <v>875</v>
      </c>
      <c r="BO369" s="79" t="s">
        <v>1067</v>
      </c>
      <c r="BS369" s="79" t="s">
        <v>464</v>
      </c>
      <c r="BT369" s="79" t="s">
        <v>464</v>
      </c>
    </row>
    <row r="370" spans="1:72" x14ac:dyDescent="0.3">
      <c r="A370" s="2" t="s">
        <v>8</v>
      </c>
      <c r="B370" s="13" t="s">
        <v>694</v>
      </c>
      <c r="C370" s="13"/>
      <c r="D370" s="2">
        <v>3.26</v>
      </c>
      <c r="E370" s="2" t="s">
        <v>231</v>
      </c>
      <c r="F370" s="9" t="s">
        <v>530</v>
      </c>
      <c r="G370" t="s">
        <v>612</v>
      </c>
      <c r="I370" s="2"/>
      <c r="J370" s="25">
        <v>30</v>
      </c>
      <c r="K370">
        <v>4</v>
      </c>
      <c r="L370">
        <v>0</v>
      </c>
      <c r="M370" s="2"/>
      <c r="N370" s="2"/>
      <c r="O370" s="2"/>
      <c r="P370" s="2"/>
      <c r="Q370" s="2"/>
      <c r="R370" s="25">
        <v>10.59112378</v>
      </c>
      <c r="S370" s="25">
        <v>10.784736629999999</v>
      </c>
      <c r="T370" s="25">
        <v>10.486176179999999</v>
      </c>
      <c r="U370">
        <v>3.73</v>
      </c>
      <c r="V370">
        <v>3.73</v>
      </c>
      <c r="W370">
        <v>9.3699999999999992</v>
      </c>
      <c r="X370">
        <v>0</v>
      </c>
      <c r="AA370" s="2"/>
      <c r="AB370">
        <v>4</v>
      </c>
      <c r="AC370" s="55">
        <f t="shared" si="41"/>
        <v>0</v>
      </c>
      <c r="AD370" s="57">
        <v>1182.741260108548</v>
      </c>
      <c r="AE370" s="55">
        <v>130.36387300000001</v>
      </c>
      <c r="AF370" s="55">
        <v>0</v>
      </c>
      <c r="AG370" s="52"/>
      <c r="AH370" s="51">
        <v>0.1014592151701775</v>
      </c>
      <c r="AI370" s="52">
        <v>0.1227333894874388</v>
      </c>
      <c r="AJ370" s="52"/>
      <c r="AK370" s="28">
        <v>2</v>
      </c>
      <c r="AL370" s="28">
        <v>2.666666666666667</v>
      </c>
      <c r="AM370" s="28">
        <v>0.66666666666666663</v>
      </c>
      <c r="AN370" s="28">
        <v>0</v>
      </c>
      <c r="AO370" s="28">
        <v>0.375</v>
      </c>
      <c r="AP370" s="28">
        <v>0.5</v>
      </c>
      <c r="AQ370" s="28">
        <v>0.125</v>
      </c>
      <c r="AR370" s="28">
        <v>0</v>
      </c>
      <c r="AS370" s="25">
        <v>1.54</v>
      </c>
      <c r="AT370" s="25">
        <v>3.44</v>
      </c>
      <c r="AU370" s="25">
        <v>1.9</v>
      </c>
      <c r="AV370" s="25">
        <v>2.8066666666666671</v>
      </c>
      <c r="AW370">
        <v>2.8066666666666662</v>
      </c>
      <c r="AX370">
        <v>6.1769976</v>
      </c>
      <c r="AY370" s="75">
        <v>0.46900407026869628</v>
      </c>
      <c r="AZ370" s="75">
        <v>0.56734579634715776</v>
      </c>
      <c r="BA370" s="75"/>
      <c r="BC370">
        <v>5.072960758508873E-2</v>
      </c>
      <c r="BD370">
        <v>6.136669474371937E-2</v>
      </c>
      <c r="BF370">
        <v>0.1120963023288082</v>
      </c>
      <c r="BG370">
        <v>5.604815116440405E-2</v>
      </c>
      <c r="BH370">
        <v>0.51817493330792708</v>
      </c>
      <c r="BS370" s="79" t="s">
        <v>464</v>
      </c>
      <c r="BT370" s="79" t="s">
        <v>464</v>
      </c>
    </row>
    <row r="371" spans="1:72" x14ac:dyDescent="0.3">
      <c r="A371" s="2" t="s">
        <v>153</v>
      </c>
      <c r="B371" s="13" t="s">
        <v>775</v>
      </c>
      <c r="C371" s="13"/>
      <c r="D371" s="2">
        <v>3.1</v>
      </c>
      <c r="E371" s="2" t="s">
        <v>231</v>
      </c>
      <c r="F371" s="9" t="s">
        <v>578</v>
      </c>
      <c r="G371">
        <v>-1</v>
      </c>
      <c r="I371" s="2"/>
      <c r="J371" s="25">
        <v>1</v>
      </c>
      <c r="K371">
        <v>0</v>
      </c>
      <c r="L371">
        <v>0</v>
      </c>
      <c r="M371" s="2"/>
      <c r="N371" s="2"/>
      <c r="O371" s="2"/>
      <c r="P371" s="2"/>
      <c r="Q371" s="2"/>
      <c r="R371" s="25">
        <v>3.9263319999999999</v>
      </c>
      <c r="S371" s="25">
        <v>3.9263319999999999</v>
      </c>
      <c r="T371" s="25">
        <v>10.74639</v>
      </c>
      <c r="U371">
        <v>0</v>
      </c>
      <c r="X371">
        <v>0</v>
      </c>
      <c r="AA371" s="2"/>
      <c r="AB371">
        <v>14</v>
      </c>
      <c r="AC371" s="55">
        <f t="shared" si="41"/>
        <v>0</v>
      </c>
      <c r="AD371" s="57">
        <v>165.66723991337099</v>
      </c>
      <c r="AE371" s="55">
        <v>0</v>
      </c>
      <c r="AF371" s="55">
        <v>0</v>
      </c>
      <c r="AG371" s="52"/>
      <c r="AH371" s="51">
        <v>8.4506749839743392E-2</v>
      </c>
      <c r="AI371" s="52"/>
      <c r="AJ371" s="52"/>
      <c r="AK371" s="28">
        <v>1.7272727272727271</v>
      </c>
      <c r="AL371" s="28">
        <v>2.545454545454545</v>
      </c>
      <c r="AM371" s="28">
        <v>0.81818181818181823</v>
      </c>
      <c r="AN371" s="28">
        <v>0</v>
      </c>
      <c r="AO371" s="28">
        <v>0.3392857142857143</v>
      </c>
      <c r="AP371" s="28">
        <v>0.5</v>
      </c>
      <c r="AQ371" s="28">
        <v>0.1607142857142857</v>
      </c>
      <c r="AR371" s="28">
        <v>0</v>
      </c>
      <c r="AS371" s="25">
        <v>1.1000000000000001</v>
      </c>
      <c r="AT371" s="25">
        <v>3.44</v>
      </c>
      <c r="AU371" s="25">
        <v>2.34</v>
      </c>
      <c r="AV371" s="25">
        <v>2.78</v>
      </c>
      <c r="AW371">
        <v>2.78</v>
      </c>
      <c r="AX371">
        <v>6.4270052227137269</v>
      </c>
      <c r="AY371" s="75">
        <v>0.41874886813759421</v>
      </c>
      <c r="AZ371" s="75"/>
      <c r="BA371" s="75"/>
      <c r="BC371">
        <v>4.2253374919871717E-2</v>
      </c>
      <c r="BF371">
        <v>8.4506749839743392E-2</v>
      </c>
      <c r="BG371">
        <v>4.2253374919871717E-2</v>
      </c>
      <c r="BH371">
        <v>0.41874886813759421</v>
      </c>
      <c r="BS371" s="79" t="s">
        <v>464</v>
      </c>
      <c r="BT371" s="79" t="s">
        <v>464</v>
      </c>
    </row>
    <row r="372" spans="1:72" x14ac:dyDescent="0.3">
      <c r="A372" s="2" t="s">
        <v>153</v>
      </c>
      <c r="B372" s="13" t="s">
        <v>775</v>
      </c>
      <c r="C372" s="13"/>
      <c r="D372" s="2">
        <v>3.1</v>
      </c>
      <c r="E372" s="2" t="s">
        <v>231</v>
      </c>
      <c r="F372" s="9" t="s">
        <v>578</v>
      </c>
      <c r="G372">
        <v>-1</v>
      </c>
      <c r="I372" s="2"/>
      <c r="J372" s="25">
        <v>1</v>
      </c>
      <c r="K372">
        <v>0</v>
      </c>
      <c r="L372">
        <v>0</v>
      </c>
      <c r="M372" s="2"/>
      <c r="N372" s="2"/>
      <c r="O372" s="2"/>
      <c r="P372" s="2"/>
      <c r="Q372" s="2"/>
      <c r="R372" s="25">
        <v>3.9263319999999999</v>
      </c>
      <c r="S372" s="25">
        <v>3.9263319999999999</v>
      </c>
      <c r="T372" s="25">
        <v>10.74639</v>
      </c>
      <c r="U372">
        <v>0</v>
      </c>
      <c r="X372">
        <v>0</v>
      </c>
      <c r="AA372" s="2"/>
      <c r="AB372">
        <v>14</v>
      </c>
      <c r="AC372" s="55">
        <f t="shared" si="41"/>
        <v>0</v>
      </c>
      <c r="AD372" s="57">
        <v>165.66723991337099</v>
      </c>
      <c r="AE372" s="55">
        <v>0</v>
      </c>
      <c r="AF372" s="55">
        <v>0</v>
      </c>
      <c r="AG372" s="52"/>
      <c r="AH372" s="51">
        <v>8.4506749839743392E-2</v>
      </c>
      <c r="AI372" s="52"/>
      <c r="AJ372" s="52"/>
      <c r="AK372" s="28">
        <v>1.7272727272727271</v>
      </c>
      <c r="AL372" s="28">
        <v>2.545454545454545</v>
      </c>
      <c r="AM372" s="28">
        <v>0.81818181818181823</v>
      </c>
      <c r="AN372" s="28">
        <v>0</v>
      </c>
      <c r="AO372" s="28">
        <v>0.3392857142857143</v>
      </c>
      <c r="AP372" s="28">
        <v>0.5</v>
      </c>
      <c r="AQ372" s="28">
        <v>0.1607142857142857</v>
      </c>
      <c r="AR372" s="28">
        <v>0</v>
      </c>
      <c r="AS372" s="25">
        <v>1.1000000000000001</v>
      </c>
      <c r="AT372" s="25">
        <v>3.44</v>
      </c>
      <c r="AU372" s="25">
        <v>2.34</v>
      </c>
      <c r="AV372" s="25">
        <v>2.78</v>
      </c>
      <c r="AW372">
        <v>2.78</v>
      </c>
      <c r="AX372">
        <v>6.4270052227137269</v>
      </c>
      <c r="AY372" s="75">
        <v>0.41874886813759421</v>
      </c>
      <c r="AZ372" s="75"/>
      <c r="BA372" s="75"/>
      <c r="BC372">
        <v>4.2253374919871717E-2</v>
      </c>
      <c r="BF372">
        <v>8.4506749839743392E-2</v>
      </c>
      <c r="BG372">
        <v>4.2253374919871717E-2</v>
      </c>
      <c r="BH372">
        <v>0.41874886813759421</v>
      </c>
      <c r="BN372" s="79" t="s">
        <v>863</v>
      </c>
      <c r="BO372" s="79">
        <v>0.8</v>
      </c>
      <c r="BS372" s="79" t="s">
        <v>464</v>
      </c>
      <c r="BT372" s="79" t="s">
        <v>464</v>
      </c>
    </row>
    <row r="373" spans="1:72" x14ac:dyDescent="0.3">
      <c r="A373" s="2" t="s">
        <v>153</v>
      </c>
      <c r="B373" s="13" t="s">
        <v>775</v>
      </c>
      <c r="C373" s="13"/>
      <c r="D373" s="2">
        <v>3.1</v>
      </c>
      <c r="E373" s="2" t="s">
        <v>231</v>
      </c>
      <c r="F373" s="9" t="s">
        <v>578</v>
      </c>
      <c r="G373">
        <v>-1</v>
      </c>
      <c r="I373" s="2"/>
      <c r="J373" s="25">
        <v>1</v>
      </c>
      <c r="K373">
        <v>0</v>
      </c>
      <c r="L373">
        <v>0</v>
      </c>
      <c r="M373" s="2"/>
      <c r="N373" s="2"/>
      <c r="O373" s="2"/>
      <c r="P373" s="2"/>
      <c r="Q373" s="2"/>
      <c r="R373" s="25">
        <v>3.9263319999999999</v>
      </c>
      <c r="S373" s="25">
        <v>3.9263319999999999</v>
      </c>
      <c r="T373" s="25">
        <v>10.74639</v>
      </c>
      <c r="U373">
        <v>0</v>
      </c>
      <c r="X373">
        <v>0</v>
      </c>
      <c r="AA373" s="2"/>
      <c r="AB373">
        <v>14</v>
      </c>
      <c r="AC373" s="55">
        <f t="shared" si="41"/>
        <v>0</v>
      </c>
      <c r="AD373" s="57">
        <v>165.66723991337099</v>
      </c>
      <c r="AE373" s="55">
        <v>0</v>
      </c>
      <c r="AF373" s="55">
        <v>0</v>
      </c>
      <c r="AG373" s="52"/>
      <c r="AH373" s="51">
        <v>8.4506749839743392E-2</v>
      </c>
      <c r="AI373" s="52"/>
      <c r="AJ373" s="52"/>
      <c r="AK373" s="28">
        <v>1.7272727272727271</v>
      </c>
      <c r="AL373" s="28">
        <v>2.545454545454545</v>
      </c>
      <c r="AM373" s="28">
        <v>0.81818181818181823</v>
      </c>
      <c r="AN373" s="28">
        <v>0</v>
      </c>
      <c r="AO373" s="28">
        <v>0.3392857142857143</v>
      </c>
      <c r="AP373" s="28">
        <v>0.5</v>
      </c>
      <c r="AQ373" s="28">
        <v>0.1607142857142857</v>
      </c>
      <c r="AR373" s="28">
        <v>0</v>
      </c>
      <c r="AS373" s="25">
        <v>1.1000000000000001</v>
      </c>
      <c r="AT373" s="25">
        <v>3.44</v>
      </c>
      <c r="AU373" s="25">
        <v>2.34</v>
      </c>
      <c r="AV373" s="25">
        <v>2.78</v>
      </c>
      <c r="AW373">
        <v>2.78</v>
      </c>
      <c r="AX373">
        <v>6.4270052227137269</v>
      </c>
      <c r="AY373" s="75">
        <v>0.41874886813759421</v>
      </c>
      <c r="AZ373" s="75"/>
      <c r="BA373" s="75"/>
      <c r="BC373">
        <v>4.2253374919871717E-2</v>
      </c>
      <c r="BF373">
        <v>8.4506749839743392E-2</v>
      </c>
      <c r="BG373">
        <v>4.2253374919871717E-2</v>
      </c>
      <c r="BH373">
        <v>0.41874886813759421</v>
      </c>
      <c r="BN373" s="79" t="s">
        <v>8</v>
      </c>
      <c r="BO373" s="79">
        <v>4.3</v>
      </c>
      <c r="BS373" s="79" t="s">
        <v>464</v>
      </c>
      <c r="BT373" s="79" t="s">
        <v>464</v>
      </c>
    </row>
    <row r="374" spans="1:72" x14ac:dyDescent="0.3">
      <c r="A374" s="2" t="s">
        <v>63</v>
      </c>
      <c r="B374" s="13" t="s">
        <v>773</v>
      </c>
      <c r="C374" s="13"/>
      <c r="D374" s="2">
        <v>3.66</v>
      </c>
      <c r="E374" s="2" t="s">
        <v>233</v>
      </c>
      <c r="F374" s="9">
        <v>-1</v>
      </c>
      <c r="G374">
        <v>-1</v>
      </c>
      <c r="I374" s="2">
        <v>1</v>
      </c>
      <c r="J374" s="25">
        <v>0</v>
      </c>
      <c r="K374">
        <v>0</v>
      </c>
      <c r="L374">
        <v>0</v>
      </c>
      <c r="M374" s="2">
        <v>3.85</v>
      </c>
      <c r="N374" s="2">
        <v>3.85</v>
      </c>
      <c r="O374" s="2">
        <v>14.379</v>
      </c>
      <c r="P374" s="2"/>
      <c r="Q374" s="2"/>
      <c r="R374" s="25">
        <v>0</v>
      </c>
      <c r="S374" s="25"/>
      <c r="T374" s="25"/>
      <c r="U374">
        <v>0</v>
      </c>
      <c r="X374">
        <v>0</v>
      </c>
      <c r="AA374" s="2"/>
      <c r="AB374">
        <v>20</v>
      </c>
      <c r="AC374" s="55">
        <f t="shared" si="41"/>
        <v>213.13272750000002</v>
      </c>
      <c r="AD374" s="57">
        <v>0</v>
      </c>
      <c r="AE374" s="55">
        <v>0</v>
      </c>
      <c r="AF374" s="55">
        <v>0</v>
      </c>
      <c r="AG374" s="52">
        <f t="shared" ref="AG374:AG377" si="43">I374*AB374/AC374</f>
        <v>9.3838239835784945E-2</v>
      </c>
      <c r="AH374" s="51"/>
      <c r="AI374" s="52"/>
      <c r="AJ374" s="52"/>
      <c r="AK374" s="28">
        <v>1.75</v>
      </c>
      <c r="AL374" s="28">
        <v>2.5</v>
      </c>
      <c r="AM374" s="28">
        <v>0.75</v>
      </c>
      <c r="AN374" s="28">
        <v>0</v>
      </c>
      <c r="AO374" s="28">
        <v>0.35</v>
      </c>
      <c r="AP374" s="28">
        <v>0.5</v>
      </c>
      <c r="AQ374" s="28">
        <v>0.15</v>
      </c>
      <c r="AR374" s="28">
        <v>0</v>
      </c>
      <c r="AS374" s="25">
        <v>1</v>
      </c>
      <c r="AT374" s="25">
        <v>3.44</v>
      </c>
      <c r="AU374" s="25">
        <v>2.44</v>
      </c>
      <c r="AV374" s="25">
        <v>2.7124999999999999</v>
      </c>
      <c r="AW374">
        <v>2.7124999999999999</v>
      </c>
      <c r="AX374">
        <v>6.264025610615688</v>
      </c>
      <c r="AY374" s="75"/>
      <c r="AZ374" s="75"/>
      <c r="BA374" s="75"/>
      <c r="BB374">
        <v>4.6919119917892473E-2</v>
      </c>
      <c r="BF374">
        <v>9.3838239835784945E-2</v>
      </c>
      <c r="BG374">
        <v>4.6919119917892473E-2</v>
      </c>
      <c r="BH374">
        <v>0</v>
      </c>
      <c r="BS374" s="79" t="s">
        <v>464</v>
      </c>
      <c r="BT374" s="79" t="s">
        <v>464</v>
      </c>
    </row>
    <row r="375" spans="1:72" x14ac:dyDescent="0.3">
      <c r="A375" s="2" t="s">
        <v>232</v>
      </c>
      <c r="B375" s="13" t="s">
        <v>809</v>
      </c>
      <c r="C375" s="13"/>
      <c r="D375" s="2">
        <v>3.65</v>
      </c>
      <c r="E375" s="2" t="s">
        <v>233</v>
      </c>
      <c r="F375" s="9">
        <v>-1</v>
      </c>
      <c r="G375">
        <v>-1</v>
      </c>
      <c r="I375" s="2">
        <v>1</v>
      </c>
      <c r="J375" s="25">
        <v>0</v>
      </c>
      <c r="K375">
        <v>0</v>
      </c>
      <c r="L375">
        <v>0</v>
      </c>
      <c r="M375" s="1">
        <v>3.85</v>
      </c>
      <c r="N375" s="1">
        <v>3.85</v>
      </c>
      <c r="O375" s="1">
        <v>14.379</v>
      </c>
      <c r="P375" s="2"/>
      <c r="Q375" s="2"/>
      <c r="R375" s="25">
        <v>0</v>
      </c>
      <c r="S375" s="25"/>
      <c r="T375" s="25"/>
      <c r="U375">
        <v>0</v>
      </c>
      <c r="X375">
        <v>0</v>
      </c>
      <c r="AA375" s="2"/>
      <c r="AB375">
        <v>20</v>
      </c>
      <c r="AC375" s="55">
        <f t="shared" si="41"/>
        <v>213.13272750000002</v>
      </c>
      <c r="AD375" s="57">
        <v>0</v>
      </c>
      <c r="AE375" s="55">
        <v>0</v>
      </c>
      <c r="AF375" s="55">
        <v>0</v>
      </c>
      <c r="AG375" s="52">
        <f t="shared" si="43"/>
        <v>9.3838239835784945E-2</v>
      </c>
      <c r="AH375" s="51"/>
      <c r="AI375" s="52"/>
      <c r="AJ375" s="52"/>
      <c r="AK375" s="28">
        <v>1.8125</v>
      </c>
      <c r="AL375" s="28">
        <v>2.5</v>
      </c>
      <c r="AM375" s="28">
        <v>0.6875</v>
      </c>
      <c r="AN375" s="28">
        <v>0.875</v>
      </c>
      <c r="AO375" s="28">
        <v>0.30851063829787229</v>
      </c>
      <c r="AP375" s="28">
        <v>0.42553191489361702</v>
      </c>
      <c r="AQ375" s="28">
        <v>0.1170212765957447</v>
      </c>
      <c r="AR375" s="28">
        <v>0.14893617021276601</v>
      </c>
      <c r="AS375" s="25">
        <v>1</v>
      </c>
      <c r="AT375" s="25">
        <v>3.44</v>
      </c>
      <c r="AU375" s="25">
        <v>2.44</v>
      </c>
      <c r="AV375" s="25">
        <v>2.7062499999999998</v>
      </c>
      <c r="AW375">
        <v>2.7062499999999998</v>
      </c>
      <c r="AX375">
        <v>6.2701641731156874</v>
      </c>
      <c r="AY375" s="75"/>
      <c r="AZ375" s="75"/>
      <c r="BA375" s="75"/>
      <c r="BB375">
        <v>4.6919119917892473E-2</v>
      </c>
      <c r="BF375">
        <v>9.3838239835784945E-2</v>
      </c>
      <c r="BG375">
        <v>4.6919119917892473E-2</v>
      </c>
      <c r="BH375">
        <v>0</v>
      </c>
      <c r="BS375" s="79" t="s">
        <v>464</v>
      </c>
      <c r="BT375" s="79" t="s">
        <v>464</v>
      </c>
    </row>
    <row r="376" spans="1:72" x14ac:dyDescent="0.3">
      <c r="A376" s="2" t="s">
        <v>63</v>
      </c>
      <c r="B376" s="13" t="s">
        <v>773</v>
      </c>
      <c r="C376" s="13"/>
      <c r="D376" s="2">
        <v>3.54</v>
      </c>
      <c r="E376" s="2" t="s">
        <v>233</v>
      </c>
      <c r="F376" s="9">
        <v>-1</v>
      </c>
      <c r="G376">
        <v>-1</v>
      </c>
      <c r="I376" s="2">
        <v>1</v>
      </c>
      <c r="J376" s="25">
        <v>0</v>
      </c>
      <c r="K376">
        <v>0</v>
      </c>
      <c r="L376">
        <v>0</v>
      </c>
      <c r="M376" s="1">
        <v>3.85</v>
      </c>
      <c r="N376" s="1">
        <v>3.85</v>
      </c>
      <c r="O376" s="1">
        <v>14.379</v>
      </c>
      <c r="P376" s="2"/>
      <c r="Q376" s="2"/>
      <c r="R376" s="25">
        <v>0</v>
      </c>
      <c r="S376" s="25"/>
      <c r="T376" s="25"/>
      <c r="U376">
        <v>0</v>
      </c>
      <c r="X376">
        <v>0</v>
      </c>
      <c r="AA376" s="2"/>
      <c r="AB376">
        <v>20</v>
      </c>
      <c r="AC376" s="55">
        <f t="shared" si="41"/>
        <v>213.13272750000002</v>
      </c>
      <c r="AD376" s="57">
        <v>0</v>
      </c>
      <c r="AE376" s="55">
        <v>0</v>
      </c>
      <c r="AF376" s="55">
        <v>0</v>
      </c>
      <c r="AG376" s="52">
        <f t="shared" si="43"/>
        <v>9.3838239835784945E-2</v>
      </c>
      <c r="AH376" s="51"/>
      <c r="AI376" s="52"/>
      <c r="AJ376" s="52"/>
      <c r="AK376" s="28">
        <v>1.75</v>
      </c>
      <c r="AL376" s="28">
        <v>2.5</v>
      </c>
      <c r="AM376" s="28">
        <v>0.75</v>
      </c>
      <c r="AN376" s="28">
        <v>0</v>
      </c>
      <c r="AO376" s="28">
        <v>0.35</v>
      </c>
      <c r="AP376" s="28">
        <v>0.5</v>
      </c>
      <c r="AQ376" s="28">
        <v>0.15</v>
      </c>
      <c r="AR376" s="28">
        <v>0</v>
      </c>
      <c r="AS376" s="25">
        <v>1</v>
      </c>
      <c r="AT376" s="25">
        <v>3.44</v>
      </c>
      <c r="AU376" s="25">
        <v>2.44</v>
      </c>
      <c r="AV376" s="25">
        <v>2.7124999999999999</v>
      </c>
      <c r="AW376">
        <v>2.7124999999999999</v>
      </c>
      <c r="AX376">
        <v>6.264025610615688</v>
      </c>
      <c r="AY376" s="75"/>
      <c r="AZ376" s="75"/>
      <c r="BA376" s="75"/>
      <c r="BB376">
        <v>4.6919119917892473E-2</v>
      </c>
      <c r="BF376">
        <v>9.3838239835784945E-2</v>
      </c>
      <c r="BG376">
        <v>4.6919119917892473E-2</v>
      </c>
      <c r="BH376">
        <v>0</v>
      </c>
      <c r="BN376" s="79" t="s">
        <v>887</v>
      </c>
      <c r="BO376" s="79" t="s">
        <v>1067</v>
      </c>
      <c r="BS376" s="79" t="s">
        <v>464</v>
      </c>
      <c r="BT376" s="79" t="s">
        <v>464</v>
      </c>
    </row>
    <row r="377" spans="1:72" x14ac:dyDescent="0.3">
      <c r="A377" s="2" t="s">
        <v>232</v>
      </c>
      <c r="B377" s="13" t="s">
        <v>809</v>
      </c>
      <c r="C377" s="13"/>
      <c r="D377" s="2">
        <v>3.54</v>
      </c>
      <c r="E377" s="2" t="s">
        <v>233</v>
      </c>
      <c r="F377" s="9">
        <v>-1</v>
      </c>
      <c r="G377">
        <v>-1</v>
      </c>
      <c r="I377" s="2">
        <v>1</v>
      </c>
      <c r="J377" s="25">
        <v>0</v>
      </c>
      <c r="K377">
        <v>0</v>
      </c>
      <c r="L377">
        <v>0</v>
      </c>
      <c r="M377" s="1">
        <v>3.85</v>
      </c>
      <c r="N377" s="1">
        <v>3.85</v>
      </c>
      <c r="O377" s="1">
        <v>14.379</v>
      </c>
      <c r="P377" s="2"/>
      <c r="Q377" s="2"/>
      <c r="R377" s="25">
        <v>0</v>
      </c>
      <c r="S377" s="25"/>
      <c r="T377" s="25"/>
      <c r="U377">
        <v>0</v>
      </c>
      <c r="X377">
        <v>0</v>
      </c>
      <c r="AA377" s="2"/>
      <c r="AB377">
        <v>20</v>
      </c>
      <c r="AC377" s="55">
        <f t="shared" si="41"/>
        <v>213.13272750000002</v>
      </c>
      <c r="AD377" s="57">
        <v>0</v>
      </c>
      <c r="AE377" s="55">
        <v>0</v>
      </c>
      <c r="AF377" s="55">
        <v>0</v>
      </c>
      <c r="AG377" s="52">
        <f t="shared" si="43"/>
        <v>9.3838239835784945E-2</v>
      </c>
      <c r="AH377" s="51"/>
      <c r="AI377" s="52"/>
      <c r="AJ377" s="52"/>
      <c r="AK377" s="28">
        <v>1.8125</v>
      </c>
      <c r="AL377" s="28">
        <v>2.5</v>
      </c>
      <c r="AM377" s="28">
        <v>0.6875</v>
      </c>
      <c r="AN377" s="28">
        <v>0.875</v>
      </c>
      <c r="AO377" s="28">
        <v>0.30851063829787229</v>
      </c>
      <c r="AP377" s="28">
        <v>0.42553191489361702</v>
      </c>
      <c r="AQ377" s="28">
        <v>0.1170212765957447</v>
      </c>
      <c r="AR377" s="28">
        <v>0.14893617021276601</v>
      </c>
      <c r="AS377" s="25">
        <v>1</v>
      </c>
      <c r="AT377" s="25">
        <v>3.44</v>
      </c>
      <c r="AU377" s="25">
        <v>2.44</v>
      </c>
      <c r="AV377" s="25">
        <v>2.7062499999999998</v>
      </c>
      <c r="AW377">
        <v>2.7062499999999998</v>
      </c>
      <c r="AX377">
        <v>6.2701641731156874</v>
      </c>
      <c r="AY377" s="75"/>
      <c r="AZ377" s="75"/>
      <c r="BA377" s="75"/>
      <c r="BB377">
        <v>4.6919119917892473E-2</v>
      </c>
      <c r="BF377">
        <v>9.3838239835784945E-2</v>
      </c>
      <c r="BG377">
        <v>4.6919119917892473E-2</v>
      </c>
      <c r="BH377">
        <v>0</v>
      </c>
      <c r="BN377" s="79" t="s">
        <v>887</v>
      </c>
      <c r="BO377" s="79" t="s">
        <v>1067</v>
      </c>
      <c r="BS377" s="79" t="s">
        <v>464</v>
      </c>
      <c r="BT377" s="79" t="s">
        <v>464</v>
      </c>
    </row>
    <row r="378" spans="1:72" x14ac:dyDescent="0.3">
      <c r="A378" s="2" t="s">
        <v>46</v>
      </c>
      <c r="B378" s="13" t="s">
        <v>722</v>
      </c>
      <c r="C378" s="13"/>
      <c r="D378" s="2">
        <v>3.87</v>
      </c>
      <c r="E378" s="2" t="s">
        <v>234</v>
      </c>
      <c r="F378" s="9" t="s">
        <v>551</v>
      </c>
      <c r="G378" t="s">
        <v>629</v>
      </c>
      <c r="I378" s="2"/>
      <c r="J378" s="25">
        <v>2</v>
      </c>
      <c r="K378">
        <v>4</v>
      </c>
      <c r="L378">
        <v>0</v>
      </c>
      <c r="M378" s="2"/>
      <c r="N378" s="2"/>
      <c r="O378" s="2"/>
      <c r="P378" s="2"/>
      <c r="Q378" s="2"/>
      <c r="R378" s="25">
        <v>7.41544296</v>
      </c>
      <c r="S378" s="25">
        <v>7.4154429599999991</v>
      </c>
      <c r="T378" s="25">
        <v>7.41544296</v>
      </c>
      <c r="U378">
        <v>7.8</v>
      </c>
      <c r="V378">
        <v>13.010999999999999</v>
      </c>
      <c r="W378">
        <v>5.5460000000000003</v>
      </c>
      <c r="X378">
        <v>0</v>
      </c>
      <c r="AA378" s="2"/>
      <c r="AB378">
        <v>14</v>
      </c>
      <c r="AC378" s="55">
        <f t="shared" si="41"/>
        <v>0</v>
      </c>
      <c r="AD378" s="57">
        <v>288.33429290182369</v>
      </c>
      <c r="AE378" s="55">
        <v>556.51188553357167</v>
      </c>
      <c r="AF378" s="55">
        <v>0</v>
      </c>
      <c r="AG378" s="52"/>
      <c r="AH378" s="51">
        <v>9.7109503410799117E-2</v>
      </c>
      <c r="AI378" s="52">
        <v>0.10062678166578309</v>
      </c>
      <c r="AJ378" s="52"/>
      <c r="AK378" s="28">
        <v>2</v>
      </c>
      <c r="AL378" s="28">
        <v>2.545454545454545</v>
      </c>
      <c r="AM378" s="28">
        <v>0.54545454545454541</v>
      </c>
      <c r="AN378" s="28">
        <v>0</v>
      </c>
      <c r="AO378" s="28">
        <v>0.39285714285714279</v>
      </c>
      <c r="AP378" s="28">
        <v>0.5</v>
      </c>
      <c r="AQ378" s="28">
        <v>0.1071428571428571</v>
      </c>
      <c r="AR378" s="28">
        <v>0</v>
      </c>
      <c r="AS378" s="25">
        <v>1.1000000000000001</v>
      </c>
      <c r="AT378" s="25">
        <v>3.44</v>
      </c>
      <c r="AU378" s="25">
        <v>2.34</v>
      </c>
      <c r="AV378" s="25">
        <v>2.669090909090909</v>
      </c>
      <c r="AW378">
        <v>2.669090909090909</v>
      </c>
      <c r="AX378">
        <v>5.9831974772727277</v>
      </c>
      <c r="AY378" s="75">
        <v>0.52442413903612473</v>
      </c>
      <c r="AZ378" s="75">
        <v>0.54341863036636606</v>
      </c>
      <c r="BA378" s="75"/>
      <c r="BC378">
        <v>4.8554751705399558E-2</v>
      </c>
      <c r="BD378">
        <v>5.0313390832891547E-2</v>
      </c>
      <c r="BF378">
        <v>9.8868142538291098E-2</v>
      </c>
      <c r="BG378">
        <v>4.9434071269145549E-2</v>
      </c>
      <c r="BH378">
        <v>0.53392138470124539</v>
      </c>
      <c r="BS378" s="79" t="s">
        <v>464</v>
      </c>
      <c r="BT378" s="79" t="s">
        <v>464</v>
      </c>
    </row>
    <row r="379" spans="1:72" x14ac:dyDescent="0.3">
      <c r="A379" s="5" t="s">
        <v>19</v>
      </c>
      <c r="B379" s="38" t="s">
        <v>705</v>
      </c>
      <c r="C379" s="39"/>
      <c r="D379" s="5">
        <v>3.53</v>
      </c>
      <c r="E379" s="5" t="s">
        <v>235</v>
      </c>
      <c r="F379" s="40">
        <v>-2</v>
      </c>
      <c r="G379" s="5" t="s">
        <v>1167</v>
      </c>
      <c r="H379" s="5"/>
      <c r="I379" s="5"/>
      <c r="J379" s="41">
        <v>0</v>
      </c>
      <c r="K379">
        <v>0</v>
      </c>
      <c r="L379">
        <v>4</v>
      </c>
      <c r="M379" s="5"/>
      <c r="N379" s="5"/>
      <c r="O379" s="5"/>
      <c r="P379" s="5" t="s">
        <v>450</v>
      </c>
      <c r="Q379" s="5"/>
      <c r="R379" s="41">
        <v>0</v>
      </c>
      <c r="S379" s="41"/>
      <c r="T379" s="41"/>
      <c r="U379">
        <v>0</v>
      </c>
      <c r="X379">
        <v>24.8627</v>
      </c>
      <c r="Y379">
        <v>5.4355000000000002</v>
      </c>
      <c r="Z379">
        <v>5.4478</v>
      </c>
      <c r="AA379" s="5"/>
      <c r="AB379" s="5">
        <v>18</v>
      </c>
      <c r="AC379" s="55">
        <f t="shared" si="41"/>
        <v>0</v>
      </c>
      <c r="AD379" s="57">
        <v>0</v>
      </c>
      <c r="AE379" s="55">
        <v>0</v>
      </c>
      <c r="AF379" s="55">
        <f t="shared" ref="AF379:AF384" si="44">X379*Y379*Z379</f>
        <v>736.22226122963002</v>
      </c>
      <c r="AG379" s="52"/>
      <c r="AH379" s="51"/>
      <c r="AI379" s="52"/>
      <c r="AJ379" s="67">
        <f t="shared" ref="AJ379:AJ384" si="45">L379*AB379/AF379</f>
        <v>9.7796553828386576E-2</v>
      </c>
      <c r="AK379" s="5">
        <v>1.8666666666666669</v>
      </c>
      <c r="AL379" s="5">
        <v>2.8</v>
      </c>
      <c r="AM379" s="5">
        <v>1.8666666666666669</v>
      </c>
      <c r="AN379" s="5">
        <v>1.8666666666666669</v>
      </c>
      <c r="AO379" s="5">
        <v>0.22222222222222221</v>
      </c>
      <c r="AP379" s="5">
        <v>0.33333333333333331</v>
      </c>
      <c r="AQ379" s="5">
        <v>0.22222222222222221</v>
      </c>
      <c r="AR379" s="5">
        <v>0.22222222222222221</v>
      </c>
      <c r="AS379" s="41">
        <v>1</v>
      </c>
      <c r="AT379" s="41">
        <v>3.44</v>
      </c>
      <c r="AU379" s="41">
        <v>2.44</v>
      </c>
      <c r="AV379" s="41">
        <v>2.68</v>
      </c>
      <c r="AW379" s="5">
        <v>2.68</v>
      </c>
      <c r="AX379" s="5">
        <v>5.9932041966666656</v>
      </c>
      <c r="AY379" s="75"/>
      <c r="AZ379" s="75"/>
      <c r="BA379" s="75"/>
      <c r="BE379">
        <v>4.8898276914193288E-2</v>
      </c>
      <c r="BF379">
        <v>9.7796553828386576E-2</v>
      </c>
      <c r="BG379">
        <v>4.8898276914193288E-2</v>
      </c>
      <c r="BH379">
        <v>0</v>
      </c>
      <c r="BS379" s="79" t="s">
        <v>464</v>
      </c>
      <c r="BT379" s="79" t="s">
        <v>464</v>
      </c>
    </row>
    <row r="380" spans="1:72" x14ac:dyDescent="0.3">
      <c r="A380" s="5" t="s">
        <v>20</v>
      </c>
      <c r="B380" s="38" t="s">
        <v>706</v>
      </c>
      <c r="C380" s="39"/>
      <c r="D380" s="5">
        <v>3.42</v>
      </c>
      <c r="E380" s="5" t="s">
        <v>235</v>
      </c>
      <c r="F380" s="40">
        <v>-2</v>
      </c>
      <c r="G380" s="5" t="s">
        <v>1168</v>
      </c>
      <c r="H380" s="5"/>
      <c r="I380" s="5"/>
      <c r="J380" s="41">
        <v>0</v>
      </c>
      <c r="K380">
        <v>0</v>
      </c>
      <c r="L380">
        <v>4</v>
      </c>
      <c r="M380" s="5"/>
      <c r="N380" s="5"/>
      <c r="O380" s="5"/>
      <c r="P380" s="5" t="s">
        <v>450</v>
      </c>
      <c r="Q380" s="5"/>
      <c r="R380" s="41">
        <v>0</v>
      </c>
      <c r="S380" s="41"/>
      <c r="T380" s="41"/>
      <c r="U380">
        <v>0</v>
      </c>
      <c r="X380">
        <v>24.556999999999999</v>
      </c>
      <c r="Y380">
        <v>5.5289999999999999</v>
      </c>
      <c r="Z380">
        <v>5.5289999999999999</v>
      </c>
      <c r="AA380" s="5"/>
      <c r="AB380" s="5">
        <v>18</v>
      </c>
      <c r="AC380" s="55">
        <f t="shared" si="41"/>
        <v>0</v>
      </c>
      <c r="AD380" s="57">
        <v>0</v>
      </c>
      <c r="AE380" s="55">
        <v>0</v>
      </c>
      <c r="AF380" s="55">
        <f t="shared" si="44"/>
        <v>750.7035854369999</v>
      </c>
      <c r="AG380" s="52"/>
      <c r="AH380" s="51"/>
      <c r="AI380" s="52"/>
      <c r="AJ380" s="67">
        <f t="shared" si="45"/>
        <v>9.5910025470422294E-2</v>
      </c>
      <c r="AK380" s="5">
        <v>1.8666666666666669</v>
      </c>
      <c r="AL380" s="5">
        <v>2.8</v>
      </c>
      <c r="AM380" s="5">
        <v>1.8666666666666669</v>
      </c>
      <c r="AN380" s="5">
        <v>1.8666666666666669</v>
      </c>
      <c r="AO380" s="5">
        <v>0.22222222222222221</v>
      </c>
      <c r="AP380" s="5">
        <v>0.33333333333333331</v>
      </c>
      <c r="AQ380" s="5">
        <v>0.22222222222222221</v>
      </c>
      <c r="AR380" s="5">
        <v>0.22222222222222221</v>
      </c>
      <c r="AS380" s="41">
        <v>0.95</v>
      </c>
      <c r="AT380" s="41">
        <v>3.44</v>
      </c>
      <c r="AU380" s="41">
        <v>2.4900000000000002</v>
      </c>
      <c r="AV380" s="41">
        <v>2.6733333333333329</v>
      </c>
      <c r="AW380" s="5">
        <v>2.6733333333333329</v>
      </c>
      <c r="AX380" s="5">
        <v>5.9671526619999993</v>
      </c>
      <c r="AY380" s="75"/>
      <c r="AZ380" s="75"/>
      <c r="BA380" s="75"/>
      <c r="BE380">
        <v>4.7955012735211147E-2</v>
      </c>
      <c r="BF380">
        <v>9.5910025470422294E-2</v>
      </c>
      <c r="BG380">
        <v>4.7955012735211147E-2</v>
      </c>
      <c r="BH380">
        <v>0</v>
      </c>
      <c r="BS380" s="79" t="s">
        <v>464</v>
      </c>
      <c r="BT380" s="79" t="s">
        <v>464</v>
      </c>
    </row>
    <row r="381" spans="1:72" x14ac:dyDescent="0.3">
      <c r="A381" s="5" t="s">
        <v>21</v>
      </c>
      <c r="B381" s="38" t="s">
        <v>707</v>
      </c>
      <c r="C381" s="39"/>
      <c r="D381" s="5">
        <v>2.82</v>
      </c>
      <c r="E381" s="5" t="s">
        <v>235</v>
      </c>
      <c r="F381" s="40">
        <v>-2</v>
      </c>
      <c r="G381" s="5" t="s">
        <v>1169</v>
      </c>
      <c r="H381" s="5"/>
      <c r="I381" s="5"/>
      <c r="J381" s="41">
        <v>0</v>
      </c>
      <c r="K381">
        <v>0</v>
      </c>
      <c r="L381">
        <v>4</v>
      </c>
      <c r="M381" s="5"/>
      <c r="N381" s="5"/>
      <c r="O381" s="5"/>
      <c r="P381" s="5" t="s">
        <v>440</v>
      </c>
      <c r="Q381" s="5"/>
      <c r="R381" s="41">
        <v>0</v>
      </c>
      <c r="S381" s="41"/>
      <c r="T381" s="41"/>
      <c r="U381">
        <v>0</v>
      </c>
      <c r="X381">
        <v>25.574999999999999</v>
      </c>
      <c r="Y381">
        <v>5.5629999999999997</v>
      </c>
      <c r="Z381">
        <v>5.5629999999999997</v>
      </c>
      <c r="AA381" s="5"/>
      <c r="AB381" s="5">
        <v>18</v>
      </c>
      <c r="AC381" s="55">
        <f t="shared" si="41"/>
        <v>0</v>
      </c>
      <c r="AD381" s="57">
        <v>0</v>
      </c>
      <c r="AE381" s="55">
        <v>0</v>
      </c>
      <c r="AF381" s="55">
        <f t="shared" si="44"/>
        <v>791.4687321749999</v>
      </c>
      <c r="AG381" s="52"/>
      <c r="AH381" s="51"/>
      <c r="AI381" s="52"/>
      <c r="AJ381" s="67">
        <f t="shared" si="45"/>
        <v>9.0970112997565952E-2</v>
      </c>
      <c r="AK381" s="5">
        <v>1.8666666666666669</v>
      </c>
      <c r="AL381" s="5">
        <v>2.8</v>
      </c>
      <c r="AM381" s="5">
        <v>1.8666666666666669</v>
      </c>
      <c r="AN381" s="5">
        <v>1.8666666666666669</v>
      </c>
      <c r="AO381" s="5">
        <v>0.22222222222222221</v>
      </c>
      <c r="AP381" s="5">
        <v>0.33333333333333331</v>
      </c>
      <c r="AQ381" s="5">
        <v>0.22222222222222221</v>
      </c>
      <c r="AR381" s="5">
        <v>0.22222222222222221</v>
      </c>
      <c r="AS381" s="41">
        <v>0.89</v>
      </c>
      <c r="AT381" s="41">
        <v>3.44</v>
      </c>
      <c r="AU381" s="41">
        <v>2.5499999999999998</v>
      </c>
      <c r="AV381" s="41">
        <v>2.6653333333333342</v>
      </c>
      <c r="AW381" s="5">
        <v>2.6653333333333329</v>
      </c>
      <c r="AX381" s="5">
        <v>5.9411098053333333</v>
      </c>
      <c r="AY381" s="75"/>
      <c r="AZ381" s="75"/>
      <c r="BA381" s="75"/>
      <c r="BE381">
        <v>4.5485056498782983E-2</v>
      </c>
      <c r="BF381">
        <v>9.0970112997565952E-2</v>
      </c>
      <c r="BG381">
        <v>4.5485056498782983E-2</v>
      </c>
      <c r="BH381">
        <v>0</v>
      </c>
      <c r="BS381" s="79" t="s">
        <v>464</v>
      </c>
      <c r="BT381" s="79" t="s">
        <v>464</v>
      </c>
    </row>
    <row r="382" spans="1:72" x14ac:dyDescent="0.3">
      <c r="A382" s="2" t="s">
        <v>19</v>
      </c>
      <c r="B382" s="37" t="s">
        <v>705</v>
      </c>
      <c r="C382" s="13"/>
      <c r="D382" s="2">
        <v>3.51</v>
      </c>
      <c r="E382" s="2" t="s">
        <v>235</v>
      </c>
      <c r="F382" s="9">
        <v>-1</v>
      </c>
      <c r="G382" t="s">
        <v>1167</v>
      </c>
      <c r="I382" s="2"/>
      <c r="J382" s="25">
        <v>0</v>
      </c>
      <c r="K382">
        <v>0</v>
      </c>
      <c r="L382">
        <v>4</v>
      </c>
      <c r="M382" s="2"/>
      <c r="N382" s="2"/>
      <c r="O382" s="2"/>
      <c r="P382" s="2" t="s">
        <v>450</v>
      </c>
      <c r="Q382" s="2"/>
      <c r="R382" s="25">
        <v>0</v>
      </c>
      <c r="S382" s="25"/>
      <c r="T382" s="25"/>
      <c r="U382">
        <v>0</v>
      </c>
      <c r="X382">
        <v>24.8627</v>
      </c>
      <c r="Y382">
        <v>5.4355000000000002</v>
      </c>
      <c r="Z382">
        <v>5.4478</v>
      </c>
      <c r="AA382" s="2"/>
      <c r="AB382">
        <v>18</v>
      </c>
      <c r="AC382" s="55">
        <f t="shared" si="41"/>
        <v>0</v>
      </c>
      <c r="AD382" s="57">
        <v>0</v>
      </c>
      <c r="AE382" s="55">
        <v>0</v>
      </c>
      <c r="AF382" s="55">
        <f t="shared" si="44"/>
        <v>736.22226122963002</v>
      </c>
      <c r="AG382" s="52"/>
      <c r="AH382" s="51"/>
      <c r="AI382" s="52"/>
      <c r="AJ382" s="67">
        <f t="shared" si="45"/>
        <v>9.7796553828386576E-2</v>
      </c>
      <c r="AK382" s="28">
        <v>1.8666666666666669</v>
      </c>
      <c r="AL382" s="28">
        <v>2.8</v>
      </c>
      <c r="AM382" s="28">
        <v>1.8666666666666669</v>
      </c>
      <c r="AN382" s="28">
        <v>1.8666666666666669</v>
      </c>
      <c r="AO382" s="28">
        <v>0.22222222222222221</v>
      </c>
      <c r="AP382" s="28">
        <v>0.33333333333333331</v>
      </c>
      <c r="AQ382" s="28">
        <v>0.22222222222222221</v>
      </c>
      <c r="AR382" s="28">
        <v>0.22222222222222221</v>
      </c>
      <c r="AS382" s="25">
        <v>1</v>
      </c>
      <c r="AT382" s="25">
        <v>3.44</v>
      </c>
      <c r="AU382" s="25">
        <v>2.44</v>
      </c>
      <c r="AV382" s="25">
        <v>2.68</v>
      </c>
      <c r="AW382">
        <v>2.68</v>
      </c>
      <c r="AX382">
        <v>5.9932041966666656</v>
      </c>
      <c r="AY382" s="75"/>
      <c r="AZ382" s="75"/>
      <c r="BA382" s="75"/>
      <c r="BE382">
        <v>4.8898276914193288E-2</v>
      </c>
      <c r="BF382">
        <v>9.7796553828386576E-2</v>
      </c>
      <c r="BG382">
        <v>4.8898276914193288E-2</v>
      </c>
      <c r="BH382">
        <v>0</v>
      </c>
      <c r="BS382" s="79" t="s">
        <v>464</v>
      </c>
      <c r="BT382" s="79" t="s">
        <v>464</v>
      </c>
    </row>
    <row r="383" spans="1:72" x14ac:dyDescent="0.3">
      <c r="A383" s="2" t="s">
        <v>20</v>
      </c>
      <c r="B383" s="37" t="s">
        <v>706</v>
      </c>
      <c r="C383" s="13"/>
      <c r="D383" s="2">
        <v>3.48</v>
      </c>
      <c r="E383" s="2" t="s">
        <v>235</v>
      </c>
      <c r="F383" s="9">
        <v>-1</v>
      </c>
      <c r="G383" t="s">
        <v>1168</v>
      </c>
      <c r="I383" s="2"/>
      <c r="J383" s="25">
        <v>0</v>
      </c>
      <c r="K383">
        <v>0</v>
      </c>
      <c r="L383">
        <v>4</v>
      </c>
      <c r="M383" s="2"/>
      <c r="N383" s="2"/>
      <c r="O383" s="2"/>
      <c r="P383" s="2" t="s">
        <v>450</v>
      </c>
      <c r="Q383" s="2"/>
      <c r="R383" s="25">
        <v>0</v>
      </c>
      <c r="S383" s="25"/>
      <c r="T383" s="25"/>
      <c r="U383">
        <v>0</v>
      </c>
      <c r="X383">
        <v>24.556999999999999</v>
      </c>
      <c r="Y383">
        <v>5.5289999999999999</v>
      </c>
      <c r="Z383">
        <v>5.5289999999999999</v>
      </c>
      <c r="AA383" s="2"/>
      <c r="AB383">
        <v>18</v>
      </c>
      <c r="AC383" s="55">
        <f t="shared" si="41"/>
        <v>0</v>
      </c>
      <c r="AD383" s="57">
        <v>0</v>
      </c>
      <c r="AE383" s="55">
        <v>0</v>
      </c>
      <c r="AF383" s="55">
        <f t="shared" si="44"/>
        <v>750.7035854369999</v>
      </c>
      <c r="AG383" s="52"/>
      <c r="AH383" s="51"/>
      <c r="AI383" s="52"/>
      <c r="AJ383" s="67">
        <f t="shared" si="45"/>
        <v>9.5910025470422294E-2</v>
      </c>
      <c r="AK383" s="28">
        <v>1.8666666666666669</v>
      </c>
      <c r="AL383" s="28">
        <v>2.8</v>
      </c>
      <c r="AM383" s="28">
        <v>1.8666666666666669</v>
      </c>
      <c r="AN383" s="28">
        <v>1.8666666666666669</v>
      </c>
      <c r="AO383" s="28">
        <v>0.22222222222222221</v>
      </c>
      <c r="AP383" s="28">
        <v>0.33333333333333331</v>
      </c>
      <c r="AQ383" s="28">
        <v>0.22222222222222221</v>
      </c>
      <c r="AR383" s="28">
        <v>0.22222222222222221</v>
      </c>
      <c r="AS383" s="25">
        <v>0.95</v>
      </c>
      <c r="AT383" s="25">
        <v>3.44</v>
      </c>
      <c r="AU383" s="25">
        <v>2.4900000000000002</v>
      </c>
      <c r="AV383" s="25">
        <v>2.6733333333333329</v>
      </c>
      <c r="AW383">
        <v>2.6733333333333329</v>
      </c>
      <c r="AX383">
        <v>5.9671526619999993</v>
      </c>
      <c r="AY383" s="75"/>
      <c r="AZ383" s="75"/>
      <c r="BA383" s="75"/>
      <c r="BE383">
        <v>4.7955012735211147E-2</v>
      </c>
      <c r="BF383">
        <v>9.5910025470422294E-2</v>
      </c>
      <c r="BG383">
        <v>4.7955012735211147E-2</v>
      </c>
      <c r="BH383">
        <v>0</v>
      </c>
      <c r="BS383" s="79" t="s">
        <v>464</v>
      </c>
      <c r="BT383" s="79" t="s">
        <v>464</v>
      </c>
    </row>
    <row r="384" spans="1:72" x14ac:dyDescent="0.3">
      <c r="A384" s="2" t="s">
        <v>21</v>
      </c>
      <c r="B384" s="37" t="s">
        <v>707</v>
      </c>
      <c r="C384" s="13"/>
      <c r="D384" s="2">
        <v>3.08</v>
      </c>
      <c r="E384" s="2" t="s">
        <v>235</v>
      </c>
      <c r="F384" s="9">
        <v>-1</v>
      </c>
      <c r="G384" t="s">
        <v>1169</v>
      </c>
      <c r="I384" s="2"/>
      <c r="J384" s="25">
        <v>0</v>
      </c>
      <c r="K384">
        <v>0</v>
      </c>
      <c r="L384">
        <v>4</v>
      </c>
      <c r="M384" s="2"/>
      <c r="N384" s="2"/>
      <c r="O384" s="2"/>
      <c r="P384" s="2" t="s">
        <v>440</v>
      </c>
      <c r="Q384" s="2"/>
      <c r="R384" s="25">
        <v>0</v>
      </c>
      <c r="S384" s="25"/>
      <c r="T384" s="25"/>
      <c r="U384">
        <v>0</v>
      </c>
      <c r="X384">
        <v>25.574999999999999</v>
      </c>
      <c r="Y384">
        <v>5.5629999999999997</v>
      </c>
      <c r="Z384">
        <v>5.5629999999999997</v>
      </c>
      <c r="AA384" s="2"/>
      <c r="AB384">
        <v>18</v>
      </c>
      <c r="AC384" s="55">
        <f t="shared" si="41"/>
        <v>0</v>
      </c>
      <c r="AD384" s="57">
        <v>0</v>
      </c>
      <c r="AE384" s="55">
        <v>0</v>
      </c>
      <c r="AF384" s="55">
        <f t="shared" si="44"/>
        <v>791.4687321749999</v>
      </c>
      <c r="AG384" s="52"/>
      <c r="AH384" s="51"/>
      <c r="AI384" s="52"/>
      <c r="AJ384" s="67">
        <f t="shared" si="45"/>
        <v>9.0970112997565952E-2</v>
      </c>
      <c r="AK384" s="28">
        <v>1.8666666666666669</v>
      </c>
      <c r="AL384" s="28">
        <v>2.8</v>
      </c>
      <c r="AM384" s="28">
        <v>1.8666666666666669</v>
      </c>
      <c r="AN384" s="28">
        <v>1.8666666666666669</v>
      </c>
      <c r="AO384" s="28">
        <v>0.22222222222222221</v>
      </c>
      <c r="AP384" s="28">
        <v>0.33333333333333331</v>
      </c>
      <c r="AQ384" s="28">
        <v>0.22222222222222221</v>
      </c>
      <c r="AR384" s="28">
        <v>0.22222222222222221</v>
      </c>
      <c r="AS384" s="25">
        <v>0.89</v>
      </c>
      <c r="AT384" s="25">
        <v>3.44</v>
      </c>
      <c r="AU384" s="25">
        <v>2.5499999999999998</v>
      </c>
      <c r="AV384" s="25">
        <v>2.6653333333333342</v>
      </c>
      <c r="AW384">
        <v>2.6653333333333329</v>
      </c>
      <c r="AX384">
        <v>5.9411098053333333</v>
      </c>
      <c r="AY384" s="75"/>
      <c r="AZ384" s="75"/>
      <c r="BA384" s="75"/>
      <c r="BE384">
        <v>4.5485056498782983E-2</v>
      </c>
      <c r="BF384">
        <v>9.0970112997565952E-2</v>
      </c>
      <c r="BG384">
        <v>4.5485056498782983E-2</v>
      </c>
      <c r="BH384">
        <v>0</v>
      </c>
      <c r="BS384" s="79" t="s">
        <v>464</v>
      </c>
      <c r="BT384" s="79" t="s">
        <v>464</v>
      </c>
    </row>
    <row r="385" spans="1:72" x14ac:dyDescent="0.3">
      <c r="A385" s="2" t="s">
        <v>236</v>
      </c>
      <c r="B385" s="13" t="s">
        <v>810</v>
      </c>
      <c r="C385" s="13"/>
      <c r="D385" s="2">
        <v>4.5999999999999996</v>
      </c>
      <c r="E385" s="2" t="s">
        <v>238</v>
      </c>
      <c r="F385" s="9" t="s">
        <v>586</v>
      </c>
      <c r="G385" t="s">
        <v>662</v>
      </c>
      <c r="I385" s="2"/>
      <c r="J385" s="25">
        <v>8</v>
      </c>
      <c r="K385">
        <v>1</v>
      </c>
      <c r="L385">
        <v>0</v>
      </c>
      <c r="M385" s="2"/>
      <c r="N385" s="2"/>
      <c r="O385" s="2"/>
      <c r="P385" s="2"/>
      <c r="Q385" s="2"/>
      <c r="R385" s="25">
        <v>7.5714817599999993</v>
      </c>
      <c r="S385" s="25">
        <v>7.4441355800000002</v>
      </c>
      <c r="T385" s="25">
        <v>14.785262019999999</v>
      </c>
      <c r="U385">
        <v>10.442</v>
      </c>
      <c r="V385">
        <v>10.442</v>
      </c>
      <c r="W385">
        <v>10.442</v>
      </c>
      <c r="X385">
        <v>0</v>
      </c>
      <c r="AA385" s="2"/>
      <c r="AB385">
        <v>12</v>
      </c>
      <c r="AC385" s="55">
        <f t="shared" si="41"/>
        <v>0</v>
      </c>
      <c r="AD385" s="57">
        <v>583.54908217201648</v>
      </c>
      <c r="AE385" s="55">
        <v>1138.547270888</v>
      </c>
      <c r="AF385" s="55">
        <v>0</v>
      </c>
      <c r="AG385" s="52"/>
      <c r="AH385" s="51">
        <v>0.1645105834845636</v>
      </c>
      <c r="AI385" s="52">
        <v>1.053974683953237E-2</v>
      </c>
      <c r="AJ385" s="52"/>
      <c r="AK385" s="28">
        <v>1.8</v>
      </c>
      <c r="AL385" s="28">
        <v>2.4</v>
      </c>
      <c r="AM385" s="28">
        <v>0.6</v>
      </c>
      <c r="AN385" s="28">
        <v>2.8</v>
      </c>
      <c r="AO385" s="28">
        <v>0.23684210526315791</v>
      </c>
      <c r="AP385" s="28">
        <v>0.31578947368421051</v>
      </c>
      <c r="AQ385" s="28">
        <v>7.8947368421052627E-2</v>
      </c>
      <c r="AR385" s="28">
        <v>0.36842105263157893</v>
      </c>
      <c r="AS385" s="25">
        <v>0.93</v>
      </c>
      <c r="AT385" s="25">
        <v>3.44</v>
      </c>
      <c r="AU385" s="25">
        <v>2.5099999999999998</v>
      </c>
      <c r="AV385" s="25">
        <v>2.5499999999999998</v>
      </c>
      <c r="AW385">
        <v>2.5499999999999998</v>
      </c>
      <c r="AX385">
        <v>5.8797175109999991</v>
      </c>
      <c r="AY385" s="75">
        <v>0.46150059156666667</v>
      </c>
      <c r="AZ385" s="75"/>
      <c r="BA385" s="75"/>
      <c r="BC385">
        <v>8.2255291742281814E-2</v>
      </c>
      <c r="BD385">
        <v>5.2698734197661841E-3</v>
      </c>
      <c r="BF385">
        <v>8.7525165162047988E-2</v>
      </c>
      <c r="BG385">
        <v>4.3762582581024001E-2</v>
      </c>
      <c r="BH385">
        <v>0.46150059156666667</v>
      </c>
      <c r="BS385" s="79" t="s">
        <v>464</v>
      </c>
      <c r="BT385" s="79" t="s">
        <v>464</v>
      </c>
    </row>
    <row r="386" spans="1:72" x14ac:dyDescent="0.3">
      <c r="A386" s="2" t="s">
        <v>237</v>
      </c>
      <c r="B386" s="13" t="s">
        <v>811</v>
      </c>
      <c r="C386" s="13"/>
      <c r="D386" s="2">
        <v>4.5</v>
      </c>
      <c r="E386" s="2" t="s">
        <v>238</v>
      </c>
      <c r="F386" s="9" t="s">
        <v>563</v>
      </c>
      <c r="G386">
        <v>-1</v>
      </c>
      <c r="I386" s="2"/>
      <c r="J386" s="25">
        <v>1</v>
      </c>
      <c r="K386">
        <v>0</v>
      </c>
      <c r="L386">
        <v>0</v>
      </c>
      <c r="M386" s="2"/>
      <c r="N386" s="2"/>
      <c r="O386" s="2"/>
      <c r="P386" s="2"/>
      <c r="Q386" s="2"/>
      <c r="R386" s="25">
        <v>3.9948813699999999</v>
      </c>
      <c r="S386" s="25">
        <v>3.9948813699999999</v>
      </c>
      <c r="T386" s="25">
        <v>3.9948813699999999</v>
      </c>
      <c r="U386">
        <v>0</v>
      </c>
      <c r="X386">
        <v>0</v>
      </c>
      <c r="AA386" s="2"/>
      <c r="AB386">
        <v>12</v>
      </c>
      <c r="AC386" s="55">
        <f t="shared" si="41"/>
        <v>0</v>
      </c>
      <c r="AD386" s="57">
        <v>63.754620030366901</v>
      </c>
      <c r="AE386" s="55">
        <v>0</v>
      </c>
      <c r="AF386" s="55">
        <v>0</v>
      </c>
      <c r="AG386" s="52"/>
      <c r="AH386" s="51">
        <v>0.18822165349404149</v>
      </c>
      <c r="AI386" s="52"/>
      <c r="AJ386" s="52"/>
      <c r="AK386" s="28">
        <v>1.8</v>
      </c>
      <c r="AL386" s="28">
        <v>2.4</v>
      </c>
      <c r="AM386" s="28">
        <v>0.6</v>
      </c>
      <c r="AN386" s="28">
        <v>2.8</v>
      </c>
      <c r="AO386" s="28">
        <v>0.23684210526315791</v>
      </c>
      <c r="AP386" s="28">
        <v>0.31578947368421051</v>
      </c>
      <c r="AQ386" s="28">
        <v>7.8947368421052627E-2</v>
      </c>
      <c r="AR386" s="28">
        <v>0.36842105263157893</v>
      </c>
      <c r="AS386" s="25">
        <v>0.82</v>
      </c>
      <c r="AT386" s="25">
        <v>3.44</v>
      </c>
      <c r="AU386" s="25">
        <v>2.62</v>
      </c>
      <c r="AV386" s="25">
        <v>2.528</v>
      </c>
      <c r="AW386">
        <v>2.528</v>
      </c>
      <c r="AX386">
        <v>5.7952294759999994</v>
      </c>
      <c r="AY386" s="75">
        <v>0.65619545508850963</v>
      </c>
      <c r="AZ386" s="75"/>
      <c r="BA386" s="75"/>
      <c r="BC386">
        <v>9.4110826747020773E-2</v>
      </c>
      <c r="BF386">
        <v>0.18822165349404149</v>
      </c>
      <c r="BG386">
        <v>9.4110826747020773E-2</v>
      </c>
      <c r="BH386">
        <v>0.65619545508850963</v>
      </c>
      <c r="BS386" s="79" t="s">
        <v>464</v>
      </c>
      <c r="BT386" s="79" t="s">
        <v>464</v>
      </c>
    </row>
    <row r="387" spans="1:72" x14ac:dyDescent="0.3">
      <c r="A387" s="2" t="s">
        <v>239</v>
      </c>
      <c r="B387" s="13" t="s">
        <v>812</v>
      </c>
      <c r="C387" s="13"/>
      <c r="D387" s="2">
        <v>4.4000000000000004</v>
      </c>
      <c r="E387" s="2" t="s">
        <v>238</v>
      </c>
      <c r="F387" s="9" t="s">
        <v>590</v>
      </c>
      <c r="G387" t="s">
        <v>663</v>
      </c>
      <c r="I387" s="2"/>
      <c r="J387" s="25">
        <v>16</v>
      </c>
      <c r="K387">
        <v>8</v>
      </c>
      <c r="L387">
        <v>0</v>
      </c>
      <c r="M387" s="2"/>
      <c r="N387" s="2"/>
      <c r="O387" s="2"/>
      <c r="P387" s="2"/>
      <c r="Q387" s="2"/>
      <c r="R387" s="25">
        <v>7.4248940299999999</v>
      </c>
      <c r="S387" s="25">
        <v>7.4248940300000008</v>
      </c>
      <c r="T387" s="25">
        <v>48.809404000000001</v>
      </c>
      <c r="U387">
        <v>10.37</v>
      </c>
      <c r="V387">
        <v>10.37</v>
      </c>
      <c r="W387">
        <v>10.37</v>
      </c>
      <c r="X387">
        <v>0</v>
      </c>
      <c r="AA387" s="2"/>
      <c r="AB387">
        <v>14</v>
      </c>
      <c r="AC387" s="55">
        <f t="shared" si="41"/>
        <v>0</v>
      </c>
      <c r="AD387" s="57">
        <v>2333.5692942103669</v>
      </c>
      <c r="AE387" s="55">
        <v>1115.157653</v>
      </c>
      <c r="AF387" s="55">
        <v>0</v>
      </c>
      <c r="AG387" s="52"/>
      <c r="AH387" s="51">
        <v>9.5990292876988306E-2</v>
      </c>
      <c r="AI387" s="52">
        <v>0.10043422981378219</v>
      </c>
      <c r="AJ387" s="52"/>
      <c r="AK387" s="28">
        <v>2</v>
      </c>
      <c r="AL387" s="28">
        <v>2.545454545454545</v>
      </c>
      <c r="AM387" s="28">
        <v>0.54545454545454541</v>
      </c>
      <c r="AN387" s="28">
        <v>2.545454545454545</v>
      </c>
      <c r="AO387" s="28">
        <v>0.26190476190476192</v>
      </c>
      <c r="AP387" s="28">
        <v>0.33333333333333331</v>
      </c>
      <c r="AQ387" s="28">
        <v>7.1428571428571425E-2</v>
      </c>
      <c r="AR387" s="28">
        <v>0.33333333333333331</v>
      </c>
      <c r="AS387" s="25">
        <v>1</v>
      </c>
      <c r="AT387" s="25">
        <v>3.44</v>
      </c>
      <c r="AU387" s="25">
        <v>2.44</v>
      </c>
      <c r="AV387" s="25">
        <v>2.643636363636364</v>
      </c>
      <c r="AW387">
        <v>2.643636363636364</v>
      </c>
      <c r="AX387">
        <v>6.0715871381818181</v>
      </c>
      <c r="AY387" s="75">
        <v>0.51451783825131059</v>
      </c>
      <c r="AZ387" s="75">
        <v>0.53833779709834217</v>
      </c>
      <c r="BA387" s="75"/>
      <c r="BC387">
        <v>4.7995146438494153E-2</v>
      </c>
      <c r="BD387">
        <v>5.0217114906891097E-2</v>
      </c>
      <c r="BF387">
        <v>9.8212261345385243E-2</v>
      </c>
      <c r="BG387">
        <v>4.9106130672692622E-2</v>
      </c>
      <c r="BH387">
        <v>0.52642781767482638</v>
      </c>
      <c r="BS387" s="79" t="s">
        <v>464</v>
      </c>
      <c r="BT387" s="79" t="s">
        <v>464</v>
      </c>
    </row>
    <row r="388" spans="1:72" x14ac:dyDescent="0.3">
      <c r="A388" s="2" t="s">
        <v>48</v>
      </c>
      <c r="B388" s="13" t="s">
        <v>724</v>
      </c>
      <c r="C388" s="13"/>
      <c r="D388" s="2">
        <v>4.0999999999999996</v>
      </c>
      <c r="E388" s="2" t="s">
        <v>238</v>
      </c>
      <c r="F388" s="9" t="s">
        <v>552</v>
      </c>
      <c r="G388" t="s">
        <v>630</v>
      </c>
      <c r="I388" s="2"/>
      <c r="J388" s="25">
        <v>2</v>
      </c>
      <c r="K388">
        <v>8</v>
      </c>
      <c r="L388">
        <v>0</v>
      </c>
      <c r="M388" s="2"/>
      <c r="N388" s="2"/>
      <c r="O388" s="2"/>
      <c r="P388" s="2"/>
      <c r="Q388" s="2"/>
      <c r="R388" s="25">
        <v>7.4836094600000003</v>
      </c>
      <c r="S388" s="25">
        <v>7.4836094600000003</v>
      </c>
      <c r="T388" s="25">
        <v>7.4836094600000003</v>
      </c>
      <c r="U388">
        <v>10.34</v>
      </c>
      <c r="V388">
        <v>10.34</v>
      </c>
      <c r="W388">
        <v>10.34</v>
      </c>
      <c r="X388">
        <v>0</v>
      </c>
      <c r="AA388" s="2"/>
      <c r="AB388">
        <v>14</v>
      </c>
      <c r="AC388" s="55">
        <f t="shared" si="41"/>
        <v>0</v>
      </c>
      <c r="AD388" s="57">
        <v>296.35915518228359</v>
      </c>
      <c r="AE388" s="55">
        <v>1105.507304</v>
      </c>
      <c r="AF388" s="55">
        <v>0</v>
      </c>
      <c r="AG388" s="52"/>
      <c r="AH388" s="51">
        <v>9.4479956196318104E-2</v>
      </c>
      <c r="AI388" s="52">
        <v>0.1013109543417363</v>
      </c>
      <c r="AJ388" s="52"/>
      <c r="AK388" s="28">
        <v>1.8181818181818179</v>
      </c>
      <c r="AL388" s="28">
        <v>2.545454545454545</v>
      </c>
      <c r="AM388" s="28">
        <v>0.72727272727272729</v>
      </c>
      <c r="AN388" s="28">
        <v>0</v>
      </c>
      <c r="AO388" s="28">
        <v>0.35714285714285721</v>
      </c>
      <c r="AP388" s="28">
        <v>0.5</v>
      </c>
      <c r="AQ388" s="28">
        <v>0.1428571428571429</v>
      </c>
      <c r="AR388" s="28">
        <v>0</v>
      </c>
      <c r="AS388" s="25">
        <v>1</v>
      </c>
      <c r="AT388" s="25">
        <v>3.44</v>
      </c>
      <c r="AU388" s="25">
        <v>2.44</v>
      </c>
      <c r="AV388" s="25">
        <v>2.6618181818181821</v>
      </c>
      <c r="AW388">
        <v>2.6618181818181821</v>
      </c>
      <c r="AX388">
        <v>6.0537295018181814</v>
      </c>
      <c r="AY388" s="75">
        <v>0.50642227837041764</v>
      </c>
      <c r="AZ388" s="75">
        <v>0.5430371307011983</v>
      </c>
      <c r="BA388" s="75"/>
      <c r="BC388">
        <v>4.7239978098159073E-2</v>
      </c>
      <c r="BD388">
        <v>5.0655477170868157E-2</v>
      </c>
      <c r="BF388">
        <v>9.789545526902721E-2</v>
      </c>
      <c r="BG388">
        <v>4.8947727634513619E-2</v>
      </c>
      <c r="BH388">
        <v>0.52472970453580792</v>
      </c>
      <c r="BS388" s="79" t="s">
        <v>464</v>
      </c>
      <c r="BT388" s="79" t="s">
        <v>464</v>
      </c>
    </row>
    <row r="389" spans="1:72" x14ac:dyDescent="0.3">
      <c r="A389" s="2" t="s">
        <v>46</v>
      </c>
      <c r="B389" s="13" t="s">
        <v>722</v>
      </c>
      <c r="C389" s="13"/>
      <c r="D389" s="2">
        <v>3.31</v>
      </c>
      <c r="E389" s="2" t="s">
        <v>240</v>
      </c>
      <c r="F389" s="9" t="s">
        <v>551</v>
      </c>
      <c r="G389" t="s">
        <v>629</v>
      </c>
      <c r="I389" s="2"/>
      <c r="J389" s="25">
        <v>2</v>
      </c>
      <c r="K389">
        <v>4</v>
      </c>
      <c r="L389">
        <v>0</v>
      </c>
      <c r="M389" s="2"/>
      <c r="N389" s="2"/>
      <c r="O389" s="2"/>
      <c r="P389" s="2"/>
      <c r="Q389" s="2"/>
      <c r="R389" s="25">
        <v>7.41544296</v>
      </c>
      <c r="S389" s="25">
        <v>7.4154429599999991</v>
      </c>
      <c r="T389" s="25">
        <v>7.41544296</v>
      </c>
      <c r="U389">
        <v>7.8</v>
      </c>
      <c r="V389">
        <v>13.010999999999999</v>
      </c>
      <c r="W389">
        <v>5.5460000000000003</v>
      </c>
      <c r="X389">
        <v>0</v>
      </c>
      <c r="AA389" s="2"/>
      <c r="AB389">
        <v>14</v>
      </c>
      <c r="AC389" s="55">
        <f t="shared" si="41"/>
        <v>0</v>
      </c>
      <c r="AD389" s="57">
        <v>288.33429290182369</v>
      </c>
      <c r="AE389" s="55">
        <v>556.51188553357167</v>
      </c>
      <c r="AF389" s="55">
        <v>0</v>
      </c>
      <c r="AG389" s="52"/>
      <c r="AH389" s="51">
        <v>9.7109503410799117E-2</v>
      </c>
      <c r="AI389" s="52">
        <v>0.10062678166578309</v>
      </c>
      <c r="AJ389" s="52"/>
      <c r="AK389" s="28">
        <v>2</v>
      </c>
      <c r="AL389" s="28">
        <v>2.545454545454545</v>
      </c>
      <c r="AM389" s="28">
        <v>0.54545454545454541</v>
      </c>
      <c r="AN389" s="28">
        <v>0</v>
      </c>
      <c r="AO389" s="28">
        <v>0.39285714285714279</v>
      </c>
      <c r="AP389" s="28">
        <v>0.5</v>
      </c>
      <c r="AQ389" s="28">
        <v>0.1071428571428571</v>
      </c>
      <c r="AR389" s="28">
        <v>0</v>
      </c>
      <c r="AS389" s="25">
        <v>1.1000000000000001</v>
      </c>
      <c r="AT389" s="25">
        <v>3.44</v>
      </c>
      <c r="AU389" s="25">
        <v>2.34</v>
      </c>
      <c r="AV389" s="25">
        <v>2.669090909090909</v>
      </c>
      <c r="AW389">
        <v>2.669090909090909</v>
      </c>
      <c r="AX389">
        <v>5.9831974772727277</v>
      </c>
      <c r="AY389" s="75">
        <v>0.52442413903612473</v>
      </c>
      <c r="AZ389" s="75">
        <v>0.54341863036636606</v>
      </c>
      <c r="BA389" s="75"/>
      <c r="BC389">
        <v>4.8554751705399558E-2</v>
      </c>
      <c r="BD389">
        <v>5.0313390832891547E-2</v>
      </c>
      <c r="BF389">
        <v>9.8868142538291098E-2</v>
      </c>
      <c r="BG389">
        <v>4.9434071269145549E-2</v>
      </c>
      <c r="BH389">
        <v>0.53392138470124539</v>
      </c>
      <c r="BS389" s="79" t="s">
        <v>464</v>
      </c>
      <c r="BT389" s="79" t="s">
        <v>464</v>
      </c>
    </row>
    <row r="390" spans="1:72" x14ac:dyDescent="0.3">
      <c r="A390" s="2" t="s">
        <v>220</v>
      </c>
      <c r="B390" s="13" t="s">
        <v>807</v>
      </c>
      <c r="C390" s="13"/>
      <c r="D390" s="2">
        <v>4.5</v>
      </c>
      <c r="E390" s="2" t="s">
        <v>242</v>
      </c>
      <c r="F390" s="9" t="s">
        <v>588</v>
      </c>
      <c r="G390" t="s">
        <v>661</v>
      </c>
      <c r="I390" s="2"/>
      <c r="J390" s="25">
        <v>1</v>
      </c>
      <c r="K390">
        <v>1</v>
      </c>
      <c r="L390">
        <v>0</v>
      </c>
      <c r="M390" s="2"/>
      <c r="N390" s="2"/>
      <c r="O390" s="2"/>
      <c r="P390" s="2"/>
      <c r="Q390" s="2"/>
      <c r="R390" s="25">
        <v>5.81978595</v>
      </c>
      <c r="S390" s="25">
        <v>5.81978595</v>
      </c>
      <c r="T390" s="25">
        <v>11.88463337</v>
      </c>
      <c r="U390">
        <v>5.7759999999999998</v>
      </c>
      <c r="V390">
        <v>5.7759999999999998</v>
      </c>
      <c r="W390">
        <v>11.82</v>
      </c>
      <c r="X390">
        <v>0</v>
      </c>
      <c r="AA390" s="2"/>
      <c r="AB390">
        <v>30</v>
      </c>
      <c r="AC390" s="55">
        <f t="shared" si="41"/>
        <v>0</v>
      </c>
      <c r="AD390" s="57">
        <v>348.60249769877402</v>
      </c>
      <c r="AE390" s="55">
        <v>341.5092547488552</v>
      </c>
      <c r="AF390" s="55">
        <v>0</v>
      </c>
      <c r="AG390" s="52"/>
      <c r="AH390" s="51">
        <v>8.6057903193576313E-2</v>
      </c>
      <c r="AI390" s="52">
        <v>8.7845349965879851E-2</v>
      </c>
      <c r="AJ390" s="52"/>
      <c r="AK390" s="28">
        <v>2</v>
      </c>
      <c r="AL390" s="28">
        <v>2.5</v>
      </c>
      <c r="AM390" s="28">
        <v>0.5</v>
      </c>
      <c r="AN390" s="28">
        <v>2.333333333333333</v>
      </c>
      <c r="AO390" s="28">
        <v>0.27272727272727282</v>
      </c>
      <c r="AP390" s="28">
        <v>0.34090909090909088</v>
      </c>
      <c r="AQ390" s="28">
        <v>6.8181818181818191E-2</v>
      </c>
      <c r="AR390" s="28">
        <v>0.31818181818181818</v>
      </c>
      <c r="AS390" s="25">
        <v>0.89</v>
      </c>
      <c r="AT390" s="25">
        <v>3.44</v>
      </c>
      <c r="AU390" s="25">
        <v>2.5499999999999998</v>
      </c>
      <c r="AV390" s="25">
        <v>2.5854166666666671</v>
      </c>
      <c r="AW390">
        <v>2.5854166666666671</v>
      </c>
      <c r="AX390">
        <v>5.9262421145833333</v>
      </c>
      <c r="AY390" s="75">
        <v>0.58209579444379334</v>
      </c>
      <c r="AZ390" s="75">
        <v>0.59418608726221844</v>
      </c>
      <c r="BA390" s="75"/>
      <c r="BC390">
        <v>4.3028951596788149E-2</v>
      </c>
      <c r="BD390">
        <v>4.3922674982939933E-2</v>
      </c>
      <c r="BF390">
        <v>8.6951626579728075E-2</v>
      </c>
      <c r="BG390">
        <v>4.3475813289864038E-2</v>
      </c>
      <c r="BH390">
        <v>0.58814094085300583</v>
      </c>
      <c r="BS390" s="79" t="s">
        <v>464</v>
      </c>
      <c r="BT390" s="79" t="s">
        <v>464</v>
      </c>
    </row>
    <row r="391" spans="1:72" x14ac:dyDescent="0.3">
      <c r="A391" s="2" t="s">
        <v>241</v>
      </c>
      <c r="B391" s="13" t="s">
        <v>813</v>
      </c>
      <c r="C391" s="13"/>
      <c r="D391" s="2">
        <v>4.2</v>
      </c>
      <c r="E391" s="2" t="s">
        <v>242</v>
      </c>
      <c r="F391" s="9">
        <v>-1</v>
      </c>
      <c r="G391" t="s">
        <v>664</v>
      </c>
      <c r="H391" t="s">
        <v>1170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5.7946999999999997</v>
      </c>
      <c r="V391">
        <v>5.7946999999999997</v>
      </c>
      <c r="W391">
        <v>11.803000000000001</v>
      </c>
      <c r="X391">
        <v>0</v>
      </c>
      <c r="AA391" s="2"/>
      <c r="AB391">
        <v>30</v>
      </c>
      <c r="AC391" s="55">
        <f t="shared" si="41"/>
        <v>0</v>
      </c>
      <c r="AD391" s="57">
        <v>0</v>
      </c>
      <c r="AE391" s="55">
        <v>343.22977251102628</v>
      </c>
      <c r="AF391" s="55">
        <v>0</v>
      </c>
      <c r="AG391" s="52"/>
      <c r="AH391" s="51"/>
      <c r="AI391" s="52">
        <v>8.7405005051058762E-2</v>
      </c>
      <c r="AJ391" s="52"/>
      <c r="AK391" s="28">
        <v>1.916666666666667</v>
      </c>
      <c r="AL391" s="28">
        <v>2.5</v>
      </c>
      <c r="AM391" s="28">
        <v>0.58333333333333337</v>
      </c>
      <c r="AN391" s="28">
        <v>1.166666666666667</v>
      </c>
      <c r="AO391" s="28">
        <v>0.3108108108108108</v>
      </c>
      <c r="AP391" s="28">
        <v>0.40540540540540537</v>
      </c>
      <c r="AQ391" s="28">
        <v>9.45945945945946E-2</v>
      </c>
      <c r="AR391" s="28">
        <v>0.1891891891891892</v>
      </c>
      <c r="AS391" s="25">
        <v>0.89</v>
      </c>
      <c r="AT391" s="25">
        <v>3.44</v>
      </c>
      <c r="AU391" s="25">
        <v>2.5499999999999998</v>
      </c>
      <c r="AV391" s="25">
        <v>2.59375</v>
      </c>
      <c r="AW391">
        <v>2.59375</v>
      </c>
      <c r="AX391">
        <v>5.9180573645833334</v>
      </c>
      <c r="AY391" s="75"/>
      <c r="AZ391" s="75">
        <v>0</v>
      </c>
      <c r="BA391" s="75"/>
      <c r="BD391">
        <v>4.3702502525529381E-2</v>
      </c>
      <c r="BF391">
        <v>8.7405005051058762E-2</v>
      </c>
      <c r="BG391">
        <v>4.3702502525529381E-2</v>
      </c>
      <c r="BH391">
        <v>0</v>
      </c>
      <c r="BS391" s="79" t="s">
        <v>464</v>
      </c>
      <c r="BT391" s="79" t="s">
        <v>464</v>
      </c>
    </row>
    <row r="392" spans="1:72" x14ac:dyDescent="0.3">
      <c r="A392" s="2" t="s">
        <v>38</v>
      </c>
      <c r="B392" s="13" t="s">
        <v>714</v>
      </c>
      <c r="C392" s="13"/>
      <c r="D392" s="2">
        <v>3.9</v>
      </c>
      <c r="E392" s="2" t="s">
        <v>242</v>
      </c>
      <c r="F392" s="9" t="s">
        <v>545</v>
      </c>
      <c r="G392" t="s">
        <v>626</v>
      </c>
      <c r="I392" s="2"/>
      <c r="J392" s="25">
        <v>1</v>
      </c>
      <c r="K392">
        <v>1</v>
      </c>
      <c r="L392">
        <v>0</v>
      </c>
      <c r="M392" s="2"/>
      <c r="N392" s="2"/>
      <c r="O392" s="2"/>
      <c r="P392" s="2"/>
      <c r="Q392" s="2"/>
      <c r="R392" s="25">
        <v>5.8532381300000003</v>
      </c>
      <c r="S392" s="25">
        <v>5.8532371599999999</v>
      </c>
      <c r="T392" s="25">
        <v>11.912811489999999</v>
      </c>
      <c r="U392">
        <v>5.7946</v>
      </c>
      <c r="V392">
        <v>5.7946</v>
      </c>
      <c r="W392">
        <v>11.787599999999999</v>
      </c>
      <c r="X392">
        <v>0</v>
      </c>
      <c r="AA392" s="2"/>
      <c r="AB392">
        <v>30</v>
      </c>
      <c r="AC392" s="55">
        <f t="shared" si="41"/>
        <v>0</v>
      </c>
      <c r="AD392" s="57">
        <v>353.45760058531442</v>
      </c>
      <c r="AE392" s="55">
        <v>342.77011164986573</v>
      </c>
      <c r="AF392" s="55">
        <v>0</v>
      </c>
      <c r="AG392" s="52"/>
      <c r="AH392" s="51">
        <v>8.487580957467307E-2</v>
      </c>
      <c r="AI392" s="52">
        <v>8.752221672887435E-2</v>
      </c>
      <c r="AJ392" s="52"/>
      <c r="AK392" s="28">
        <v>1.833333333333333</v>
      </c>
      <c r="AL392" s="28">
        <v>2.5</v>
      </c>
      <c r="AM392" s="28">
        <v>0.66666666666666663</v>
      </c>
      <c r="AN392" s="28">
        <v>0</v>
      </c>
      <c r="AO392" s="28">
        <v>0.36666666666666659</v>
      </c>
      <c r="AP392" s="28">
        <v>0.5</v>
      </c>
      <c r="AQ392" s="28">
        <v>0.1333333333333333</v>
      </c>
      <c r="AR392" s="28">
        <v>0</v>
      </c>
      <c r="AS392" s="25">
        <v>0.89</v>
      </c>
      <c r="AT392" s="25">
        <v>3.44</v>
      </c>
      <c r="AU392" s="25">
        <v>2.5499999999999998</v>
      </c>
      <c r="AV392" s="25">
        <v>2.6020833333333329</v>
      </c>
      <c r="AW392">
        <v>2.6020833333333329</v>
      </c>
      <c r="AX392">
        <v>5.9098726145833336</v>
      </c>
      <c r="AY392" s="75">
        <v>0.57410011132036598</v>
      </c>
      <c r="AZ392" s="75">
        <v>0.59200041353179045</v>
      </c>
      <c r="BA392" s="75"/>
      <c r="BC392">
        <v>4.2437904787336528E-2</v>
      </c>
      <c r="BD392">
        <v>4.3761108364437168E-2</v>
      </c>
      <c r="BF392">
        <v>8.619901315177371E-2</v>
      </c>
      <c r="BG392">
        <v>4.3099506575886848E-2</v>
      </c>
      <c r="BH392">
        <v>0.58305026242607827</v>
      </c>
      <c r="BS392" s="79" t="s">
        <v>464</v>
      </c>
      <c r="BT392" s="79" t="s">
        <v>464</v>
      </c>
    </row>
    <row r="393" spans="1:72" x14ac:dyDescent="0.3">
      <c r="A393" s="2" t="s">
        <v>244</v>
      </c>
      <c r="B393" s="13" t="s">
        <v>814</v>
      </c>
      <c r="C393" s="13"/>
      <c r="D393" s="2">
        <v>3.03</v>
      </c>
      <c r="E393" s="2" t="s">
        <v>243</v>
      </c>
      <c r="F393" s="9" t="s">
        <v>591</v>
      </c>
      <c r="G393" t="s">
        <v>665</v>
      </c>
      <c r="I393" s="2"/>
      <c r="J393" s="25">
        <v>40</v>
      </c>
      <c r="K393">
        <v>2</v>
      </c>
      <c r="L393">
        <v>0</v>
      </c>
      <c r="M393" s="2"/>
      <c r="N393" s="2"/>
      <c r="O393" s="2"/>
      <c r="P393" s="2"/>
      <c r="Q393" s="2"/>
      <c r="R393" s="25">
        <v>10.442762460000001</v>
      </c>
      <c r="S393" s="25">
        <v>9.9768317300000007</v>
      </c>
      <c r="T393" s="25">
        <v>10.791803529999999</v>
      </c>
      <c r="U393">
        <v>3.22</v>
      </c>
      <c r="V393">
        <v>3.22</v>
      </c>
      <c r="W393">
        <v>5.2</v>
      </c>
      <c r="X393">
        <v>0</v>
      </c>
      <c r="AA393" s="2"/>
      <c r="AB393">
        <v>2</v>
      </c>
      <c r="AC393" s="55">
        <f t="shared" si="41"/>
        <v>0</v>
      </c>
      <c r="AD393" s="57">
        <v>1118.3380703947059</v>
      </c>
      <c r="AE393" s="55">
        <v>46.692348542312601</v>
      </c>
      <c r="AF393" s="55">
        <v>0</v>
      </c>
      <c r="AG393" s="52"/>
      <c r="AH393" s="51">
        <v>7.1534719346328615E-2</v>
      </c>
      <c r="AI393" s="52">
        <v>8.566714086731364E-2</v>
      </c>
      <c r="AJ393" s="52"/>
      <c r="AK393" s="28">
        <v>2</v>
      </c>
      <c r="AL393" s="28">
        <v>2</v>
      </c>
      <c r="AM393" s="28">
        <v>5</v>
      </c>
      <c r="AN393" s="28">
        <v>0</v>
      </c>
      <c r="AO393" s="28">
        <v>0.22222222222222221</v>
      </c>
      <c r="AP393" s="28">
        <v>0.22222222222222221</v>
      </c>
      <c r="AQ393" s="28">
        <v>0.55555555555555558</v>
      </c>
      <c r="AR393" s="28">
        <v>0</v>
      </c>
      <c r="AS393" s="25">
        <v>1.65</v>
      </c>
      <c r="AT393" s="25">
        <v>3.44</v>
      </c>
      <c r="AU393" s="25">
        <v>1.79</v>
      </c>
      <c r="AV393" s="25">
        <v>2.5449999999999999</v>
      </c>
      <c r="AW393">
        <v>2.5449999999999999</v>
      </c>
      <c r="AX393">
        <v>5.9633393249999997</v>
      </c>
      <c r="AY393" s="75">
        <v>0.40179973947095132</v>
      </c>
      <c r="AZ393" s="75">
        <v>0.48117942163247568</v>
      </c>
      <c r="BA393" s="75"/>
      <c r="BC393">
        <v>3.5767359673164308E-2</v>
      </c>
      <c r="BD393">
        <v>4.283357043365682E-2</v>
      </c>
      <c r="BF393">
        <v>7.8600930106821121E-2</v>
      </c>
      <c r="BG393">
        <v>3.930046505341056E-2</v>
      </c>
      <c r="BH393">
        <v>0.4414895805517135</v>
      </c>
      <c r="BS393" s="79" t="s">
        <v>464</v>
      </c>
      <c r="BT393" s="79" t="s">
        <v>464</v>
      </c>
    </row>
    <row r="394" spans="1:72" x14ac:dyDescent="0.3">
      <c r="A394" s="2" t="s">
        <v>244</v>
      </c>
      <c r="B394" s="13" t="s">
        <v>814</v>
      </c>
      <c r="C394" s="13"/>
      <c r="D394" s="2">
        <v>2.96</v>
      </c>
      <c r="E394" s="2" t="s">
        <v>243</v>
      </c>
      <c r="F394" s="9" t="s">
        <v>591</v>
      </c>
      <c r="G394" t="s">
        <v>665</v>
      </c>
      <c r="I394" s="2"/>
      <c r="J394" s="25">
        <v>40</v>
      </c>
      <c r="K394">
        <v>2</v>
      </c>
      <c r="L394">
        <v>0</v>
      </c>
      <c r="M394" s="2"/>
      <c r="N394" s="2"/>
      <c r="O394" s="2"/>
      <c r="P394" s="2"/>
      <c r="Q394" s="2"/>
      <c r="R394" s="25">
        <v>10.442762460000001</v>
      </c>
      <c r="S394" s="25">
        <v>9.9768317300000007</v>
      </c>
      <c r="T394" s="25">
        <v>10.791803529999999</v>
      </c>
      <c r="U394">
        <v>3.22</v>
      </c>
      <c r="V394">
        <v>3.22</v>
      </c>
      <c r="W394">
        <v>5.2</v>
      </c>
      <c r="X394">
        <v>0</v>
      </c>
      <c r="AA394" s="2"/>
      <c r="AB394">
        <v>2</v>
      </c>
      <c r="AC394" s="55">
        <f t="shared" si="41"/>
        <v>0</v>
      </c>
      <c r="AD394" s="57">
        <v>1118.3380703947059</v>
      </c>
      <c r="AE394" s="55">
        <v>46.692348542312601</v>
      </c>
      <c r="AF394" s="55">
        <v>0</v>
      </c>
      <c r="AG394" s="52"/>
      <c r="AH394" s="51">
        <v>7.1534719346328615E-2</v>
      </c>
      <c r="AI394" s="52">
        <v>8.566714086731364E-2</v>
      </c>
      <c r="AJ394" s="52"/>
      <c r="AK394" s="28">
        <v>2</v>
      </c>
      <c r="AL394" s="28">
        <v>2</v>
      </c>
      <c r="AM394" s="28">
        <v>5</v>
      </c>
      <c r="AN394" s="28">
        <v>0</v>
      </c>
      <c r="AO394" s="28">
        <v>0.22222222222222221</v>
      </c>
      <c r="AP394" s="28">
        <v>0.22222222222222221</v>
      </c>
      <c r="AQ394" s="28">
        <v>0.55555555555555558</v>
      </c>
      <c r="AR394" s="28">
        <v>0</v>
      </c>
      <c r="AS394" s="25">
        <v>1.65</v>
      </c>
      <c r="AT394" s="25">
        <v>3.44</v>
      </c>
      <c r="AU394" s="25">
        <v>1.79</v>
      </c>
      <c r="AV394" s="25">
        <v>2.5449999999999999</v>
      </c>
      <c r="AW394">
        <v>2.5449999999999999</v>
      </c>
      <c r="AX394">
        <v>5.9633393249999997</v>
      </c>
      <c r="AY394" s="75">
        <v>0.40179973947095132</v>
      </c>
      <c r="AZ394" s="75">
        <v>0.48117942163247568</v>
      </c>
      <c r="BA394" s="75"/>
      <c r="BC394">
        <v>3.5767359673164308E-2</v>
      </c>
      <c r="BD394">
        <v>4.283357043365682E-2</v>
      </c>
      <c r="BF394">
        <v>7.8600930106821121E-2</v>
      </c>
      <c r="BG394">
        <v>3.930046505341056E-2</v>
      </c>
      <c r="BH394">
        <v>0.4414895805517135</v>
      </c>
      <c r="BN394" s="79" t="s">
        <v>888</v>
      </c>
      <c r="BO394" s="79">
        <v>1</v>
      </c>
      <c r="BS394" s="79" t="s">
        <v>464</v>
      </c>
      <c r="BT394" s="79" t="s">
        <v>464</v>
      </c>
    </row>
    <row r="395" spans="1:72" x14ac:dyDescent="0.3">
      <c r="A395" s="2" t="s">
        <v>244</v>
      </c>
      <c r="B395" s="13" t="s">
        <v>814</v>
      </c>
      <c r="C395" s="13"/>
      <c r="D395" s="2">
        <v>3.14</v>
      </c>
      <c r="E395" s="2" t="s">
        <v>243</v>
      </c>
      <c r="F395" s="9" t="s">
        <v>591</v>
      </c>
      <c r="G395" t="s">
        <v>665</v>
      </c>
      <c r="I395" s="2"/>
      <c r="J395" s="25">
        <v>40</v>
      </c>
      <c r="K395">
        <v>2</v>
      </c>
      <c r="L395">
        <v>0</v>
      </c>
      <c r="M395" s="2"/>
      <c r="N395" s="2"/>
      <c r="O395" s="2"/>
      <c r="P395" s="2"/>
      <c r="Q395" s="2"/>
      <c r="R395" s="25">
        <v>10.442762460000001</v>
      </c>
      <c r="S395" s="25">
        <v>9.9768317300000007</v>
      </c>
      <c r="T395" s="25">
        <v>10.791803529999999</v>
      </c>
      <c r="U395">
        <v>3.22</v>
      </c>
      <c r="V395">
        <v>3.22</v>
      </c>
      <c r="W395">
        <v>5.2</v>
      </c>
      <c r="X395">
        <v>0</v>
      </c>
      <c r="AA395" s="2"/>
      <c r="AB395">
        <v>2</v>
      </c>
      <c r="AC395" s="55">
        <f t="shared" si="41"/>
        <v>0</v>
      </c>
      <c r="AD395" s="57">
        <v>1118.3380703947059</v>
      </c>
      <c r="AE395" s="55">
        <v>46.692348542312601</v>
      </c>
      <c r="AF395" s="55">
        <v>0</v>
      </c>
      <c r="AG395" s="52"/>
      <c r="AH395" s="51">
        <v>7.1534719346328615E-2</v>
      </c>
      <c r="AI395" s="52">
        <v>8.566714086731364E-2</v>
      </c>
      <c r="AJ395" s="52"/>
      <c r="AK395" s="28">
        <v>2</v>
      </c>
      <c r="AL395" s="28">
        <v>2</v>
      </c>
      <c r="AM395" s="28">
        <v>5</v>
      </c>
      <c r="AN395" s="28">
        <v>0</v>
      </c>
      <c r="AO395" s="28">
        <v>0.22222222222222221</v>
      </c>
      <c r="AP395" s="28">
        <v>0.22222222222222221</v>
      </c>
      <c r="AQ395" s="28">
        <v>0.55555555555555558</v>
      </c>
      <c r="AR395" s="28">
        <v>0</v>
      </c>
      <c r="AS395" s="25">
        <v>1.65</v>
      </c>
      <c r="AT395" s="25">
        <v>3.44</v>
      </c>
      <c r="AU395" s="25">
        <v>1.79</v>
      </c>
      <c r="AV395" s="25">
        <v>2.5449999999999999</v>
      </c>
      <c r="AW395">
        <v>2.5449999999999999</v>
      </c>
      <c r="AX395">
        <v>5.9633393249999997</v>
      </c>
      <c r="AY395" s="75">
        <v>0.40179973947095132</v>
      </c>
      <c r="AZ395" s="75">
        <v>0.48117942163247568</v>
      </c>
      <c r="BA395" s="75"/>
      <c r="BC395">
        <v>3.5767359673164308E-2</v>
      </c>
      <c r="BD395">
        <v>4.283357043365682E-2</v>
      </c>
      <c r="BF395">
        <v>7.8600930106821121E-2</v>
      </c>
      <c r="BG395">
        <v>3.930046505341056E-2</v>
      </c>
      <c r="BH395">
        <v>0.4414895805517135</v>
      </c>
      <c r="BN395" s="79" t="s">
        <v>888</v>
      </c>
      <c r="BO395" s="79">
        <v>3</v>
      </c>
      <c r="BS395" s="79" t="s">
        <v>464</v>
      </c>
      <c r="BT395" s="79" t="s">
        <v>464</v>
      </c>
    </row>
    <row r="396" spans="1:72" x14ac:dyDescent="0.3">
      <c r="A396" s="2" t="s">
        <v>246</v>
      </c>
      <c r="B396" s="13" t="s">
        <v>815</v>
      </c>
      <c r="C396" s="13"/>
      <c r="D396" s="2">
        <v>2.3199999999999998</v>
      </c>
      <c r="E396" s="2" t="s">
        <v>245</v>
      </c>
      <c r="F396" s="9" t="s">
        <v>592</v>
      </c>
      <c r="G396" t="s">
        <v>666</v>
      </c>
      <c r="H396" t="s">
        <v>1173</v>
      </c>
      <c r="I396" s="2"/>
      <c r="J396" s="25">
        <v>1</v>
      </c>
      <c r="K396">
        <v>2</v>
      </c>
      <c r="L396">
        <v>2</v>
      </c>
      <c r="M396" s="2"/>
      <c r="N396" s="2"/>
      <c r="O396" s="2"/>
      <c r="P396" s="2"/>
      <c r="Q396" s="2"/>
      <c r="R396" s="25">
        <v>4.2561477500000002</v>
      </c>
      <c r="S396" s="25">
        <v>4.2561477500000002</v>
      </c>
      <c r="T396" s="25">
        <v>5.9211799999999997</v>
      </c>
      <c r="U396">
        <v>4.1500000000000004</v>
      </c>
      <c r="V396">
        <v>4.1500000000000004</v>
      </c>
      <c r="W396">
        <v>6.7370000000000001</v>
      </c>
      <c r="X396">
        <v>0</v>
      </c>
      <c r="AA396" s="2"/>
      <c r="AB396">
        <v>2</v>
      </c>
      <c r="AC396" s="55">
        <f t="shared" si="41"/>
        <v>0</v>
      </c>
      <c r="AD396" s="57">
        <v>92.890714642371009</v>
      </c>
      <c r="AE396" s="55">
        <v>100.4831803948563</v>
      </c>
      <c r="AF396" s="55">
        <v>100.1</v>
      </c>
      <c r="AG396" s="52"/>
      <c r="AH396" s="51">
        <f>J396*AB396/AD396</f>
        <v>2.1530677287821442E-2</v>
      </c>
      <c r="AI396" s="52"/>
      <c r="AJ396" s="67">
        <f>L396*AB396/AF396</f>
        <v>3.996003996003996E-2</v>
      </c>
      <c r="AK396" s="28">
        <v>2</v>
      </c>
      <c r="AL396" s="28">
        <v>2</v>
      </c>
      <c r="AM396" s="28">
        <v>5</v>
      </c>
      <c r="AN396" s="28">
        <v>0</v>
      </c>
      <c r="AO396" s="28">
        <v>0.22222222222222221</v>
      </c>
      <c r="AP396" s="28">
        <v>0.22222222222222221</v>
      </c>
      <c r="AQ396" s="28">
        <v>0.55555555555555558</v>
      </c>
      <c r="AR396" s="28">
        <v>0</v>
      </c>
      <c r="AS396" s="25">
        <v>1.69</v>
      </c>
      <c r="AT396" s="25">
        <v>2.58</v>
      </c>
      <c r="AU396" s="25">
        <v>0.89000000000000012</v>
      </c>
      <c r="AV396" s="25">
        <v>2.1349999999999998</v>
      </c>
      <c r="AW396">
        <v>2.1349999999999998</v>
      </c>
      <c r="AX396">
        <v>5.1777336280000004</v>
      </c>
      <c r="AY396" s="75">
        <v>0.2799432770686035</v>
      </c>
      <c r="AZ396" s="75">
        <v>0.51758176769574038</v>
      </c>
      <c r="BA396" s="75">
        <v>0.51949166816826697</v>
      </c>
      <c r="BC396">
        <v>0</v>
      </c>
      <c r="BD396">
        <v>0</v>
      </c>
      <c r="BE396">
        <v>0</v>
      </c>
      <c r="BF396">
        <v>3.0745358623930699E-2</v>
      </c>
      <c r="BG396">
        <v>0</v>
      </c>
      <c r="BH396">
        <v>0.43900557097753701</v>
      </c>
      <c r="BS396" s="79" t="s">
        <v>464</v>
      </c>
      <c r="BT396" s="79" t="s">
        <v>464</v>
      </c>
    </row>
    <row r="397" spans="1:72" x14ac:dyDescent="0.3">
      <c r="A397" s="5" t="s">
        <v>247</v>
      </c>
      <c r="B397" s="46" t="s">
        <v>940</v>
      </c>
      <c r="C397" s="39"/>
      <c r="D397" s="5">
        <v>2.41</v>
      </c>
      <c r="E397" s="5" t="s">
        <v>245</v>
      </c>
      <c r="F397" s="40">
        <v>-2</v>
      </c>
      <c r="G397" s="5">
        <v>-1</v>
      </c>
      <c r="H397" s="5"/>
      <c r="I397" s="5"/>
      <c r="J397" s="41">
        <v>0</v>
      </c>
      <c r="K397">
        <v>0</v>
      </c>
      <c r="L397">
        <v>0</v>
      </c>
      <c r="M397" s="5">
        <v>-1</v>
      </c>
      <c r="N397" s="5"/>
      <c r="O397" s="5"/>
      <c r="P397" s="5"/>
      <c r="Q397" s="5"/>
      <c r="R397" s="41">
        <v>0</v>
      </c>
      <c r="S397" s="41"/>
      <c r="T397" s="41"/>
      <c r="U397">
        <v>0</v>
      </c>
      <c r="X397">
        <v>0</v>
      </c>
      <c r="AA397" s="5"/>
      <c r="AB397" s="5">
        <v>0</v>
      </c>
      <c r="AC397" s="55">
        <f t="shared" si="41"/>
        <v>0</v>
      </c>
      <c r="AD397" s="57">
        <v>0</v>
      </c>
      <c r="AE397" s="55">
        <v>0</v>
      </c>
      <c r="AF397" s="55">
        <v>0</v>
      </c>
      <c r="AG397" s="52"/>
      <c r="AH397" s="51"/>
      <c r="AI397" s="52"/>
      <c r="AJ397" s="52"/>
      <c r="AK397" s="5">
        <v>2</v>
      </c>
      <c r="AL397" s="5">
        <v>0</v>
      </c>
      <c r="AM397" s="5">
        <v>10</v>
      </c>
      <c r="AN397" s="5">
        <v>0</v>
      </c>
      <c r="AO397" s="5">
        <v>0.16666666666666671</v>
      </c>
      <c r="AP397" s="5">
        <v>0</v>
      </c>
      <c r="AQ397" s="5">
        <v>0.83333333333333337</v>
      </c>
      <c r="AR397" s="5">
        <v>0</v>
      </c>
      <c r="AS397" s="41">
        <v>1.65</v>
      </c>
      <c r="AT397" s="41">
        <v>1.69</v>
      </c>
      <c r="AU397" s="41">
        <v>4.0000000000000042E-2</v>
      </c>
      <c r="AV397" s="41">
        <v>1.6859999999999999</v>
      </c>
      <c r="AW397" s="5">
        <v>1.6859999999999999</v>
      </c>
      <c r="AX397" s="5">
        <v>4.1619288499999998</v>
      </c>
      <c r="AY397" s="75"/>
      <c r="AZ397" s="75"/>
      <c r="BA397" s="75"/>
      <c r="BF397">
        <v>0</v>
      </c>
      <c r="BG397">
        <v>0</v>
      </c>
      <c r="BH397">
        <v>0</v>
      </c>
      <c r="BS397" s="79" t="s">
        <v>464</v>
      </c>
      <c r="BT397" s="79" t="s">
        <v>464</v>
      </c>
    </row>
    <row r="398" spans="1:72" x14ac:dyDescent="0.3">
      <c r="A398" s="5" t="s">
        <v>252</v>
      </c>
      <c r="B398" s="46" t="s">
        <v>941</v>
      </c>
      <c r="C398" s="39"/>
      <c r="D398" s="5">
        <v>2.54</v>
      </c>
      <c r="E398" s="5" t="s">
        <v>245</v>
      </c>
      <c r="F398" s="40">
        <v>-2</v>
      </c>
      <c r="G398" s="5">
        <v>-1</v>
      </c>
      <c r="H398" s="5"/>
      <c r="I398" s="5"/>
      <c r="J398" s="41">
        <v>0</v>
      </c>
      <c r="K398">
        <v>0</v>
      </c>
      <c r="L398">
        <v>0</v>
      </c>
      <c r="M398" s="5">
        <v>-1</v>
      </c>
      <c r="N398" s="5"/>
      <c r="O398" s="5"/>
      <c r="P398" s="5"/>
      <c r="Q398" s="5"/>
      <c r="R398" s="41">
        <v>0</v>
      </c>
      <c r="S398" s="41"/>
      <c r="T398" s="41"/>
      <c r="U398">
        <v>0</v>
      </c>
      <c r="X398">
        <v>0</v>
      </c>
      <c r="AA398" s="5"/>
      <c r="AB398" s="5">
        <v>0</v>
      </c>
      <c r="AC398" s="55">
        <f t="shared" si="41"/>
        <v>0</v>
      </c>
      <c r="AD398" s="57">
        <v>0</v>
      </c>
      <c r="AE398" s="55">
        <v>0</v>
      </c>
      <c r="AF398" s="55">
        <v>0</v>
      </c>
      <c r="AG398" s="52"/>
      <c r="AH398" s="51"/>
      <c r="AI398" s="52"/>
      <c r="AJ398" s="52"/>
      <c r="AK398" s="5">
        <v>2</v>
      </c>
      <c r="AL398" s="5">
        <v>0</v>
      </c>
      <c r="AM398" s="5">
        <v>10</v>
      </c>
      <c r="AN398" s="5">
        <v>0</v>
      </c>
      <c r="AO398" s="5">
        <v>0.16666666666666671</v>
      </c>
      <c r="AP398" s="5">
        <v>0</v>
      </c>
      <c r="AQ398" s="5">
        <v>0.83333333333333348</v>
      </c>
      <c r="AR398" s="5">
        <v>0</v>
      </c>
      <c r="AS398" s="41">
        <v>1.65</v>
      </c>
      <c r="AT398" s="41">
        <v>1.69</v>
      </c>
      <c r="AU398" s="41">
        <v>4.0000000000000042E-2</v>
      </c>
      <c r="AV398" s="41">
        <v>1.6779999999999999</v>
      </c>
      <c r="AW398" s="5">
        <v>1.6779999999999999</v>
      </c>
      <c r="AX398" s="5">
        <v>4.2119665499999996</v>
      </c>
      <c r="AY398" s="75"/>
      <c r="AZ398" s="75"/>
      <c r="BA398" s="75"/>
      <c r="BF398">
        <v>0</v>
      </c>
      <c r="BG398">
        <v>0</v>
      </c>
      <c r="BH398">
        <v>0</v>
      </c>
      <c r="BS398" s="79" t="s">
        <v>464</v>
      </c>
      <c r="BT398" s="79" t="s">
        <v>464</v>
      </c>
    </row>
    <row r="399" spans="1:72" x14ac:dyDescent="0.3">
      <c r="A399" s="5" t="s">
        <v>251</v>
      </c>
      <c r="B399" s="46" t="s">
        <v>942</v>
      </c>
      <c r="C399" s="39"/>
      <c r="D399" s="5">
        <v>2.68</v>
      </c>
      <c r="E399" s="5" t="s">
        <v>245</v>
      </c>
      <c r="F399" s="40">
        <v>-2</v>
      </c>
      <c r="G399" s="5">
        <v>-1</v>
      </c>
      <c r="H399" s="5"/>
      <c r="I399" s="5"/>
      <c r="J399" s="41">
        <v>0</v>
      </c>
      <c r="K399">
        <v>0</v>
      </c>
      <c r="L399">
        <v>0</v>
      </c>
      <c r="M399" s="5">
        <v>-1</v>
      </c>
      <c r="N399" s="5"/>
      <c r="O399" s="5"/>
      <c r="P399" s="5"/>
      <c r="Q399" s="5"/>
      <c r="R399" s="41">
        <v>0</v>
      </c>
      <c r="S399" s="41"/>
      <c r="T399" s="41"/>
      <c r="U399">
        <v>0</v>
      </c>
      <c r="X399">
        <v>0</v>
      </c>
      <c r="AA399" s="5"/>
      <c r="AB399" s="5">
        <v>0</v>
      </c>
      <c r="AC399" s="55">
        <f t="shared" si="41"/>
        <v>0</v>
      </c>
      <c r="AD399" s="57">
        <v>0</v>
      </c>
      <c r="AE399" s="55">
        <v>0</v>
      </c>
      <c r="AF399" s="55">
        <v>0</v>
      </c>
      <c r="AG399" s="52"/>
      <c r="AH399" s="51"/>
      <c r="AI399" s="52"/>
      <c r="AJ399" s="52"/>
      <c r="AK399" s="5">
        <v>2</v>
      </c>
      <c r="AL399" s="5">
        <v>0</v>
      </c>
      <c r="AM399" s="5">
        <v>10</v>
      </c>
      <c r="AN399" s="5">
        <v>0</v>
      </c>
      <c r="AO399" s="5">
        <v>0.16666666666666671</v>
      </c>
      <c r="AP399" s="5">
        <v>0</v>
      </c>
      <c r="AQ399" s="5">
        <v>0.83333333333333337</v>
      </c>
      <c r="AR399" s="5">
        <v>0</v>
      </c>
      <c r="AS399" s="41">
        <v>1.65</v>
      </c>
      <c r="AT399" s="41">
        <v>1.69</v>
      </c>
      <c r="AU399" s="41">
        <v>4.0000000000000042E-2</v>
      </c>
      <c r="AV399" s="41">
        <v>1.67</v>
      </c>
      <c r="AW399" s="5">
        <v>1.67</v>
      </c>
      <c r="AX399" s="5">
        <v>4.2620042500000004</v>
      </c>
      <c r="AY399" s="75"/>
      <c r="AZ399" s="75"/>
      <c r="BA399" s="75"/>
      <c r="BF399">
        <v>0</v>
      </c>
      <c r="BG399">
        <v>0</v>
      </c>
      <c r="BH399">
        <v>0</v>
      </c>
      <c r="BS399" s="79" t="s">
        <v>464</v>
      </c>
      <c r="BT399" s="79" t="s">
        <v>464</v>
      </c>
    </row>
    <row r="400" spans="1:72" x14ac:dyDescent="0.3">
      <c r="A400" s="5" t="s">
        <v>250</v>
      </c>
      <c r="B400" s="46" t="s">
        <v>943</v>
      </c>
      <c r="C400" s="39"/>
      <c r="D400" s="5">
        <v>2.91</v>
      </c>
      <c r="E400" s="5" t="s">
        <v>245</v>
      </c>
      <c r="F400" s="40">
        <v>-2</v>
      </c>
      <c r="G400" s="5">
        <v>-1</v>
      </c>
      <c r="H400" s="5"/>
      <c r="I400" s="5"/>
      <c r="J400" s="41">
        <v>0</v>
      </c>
      <c r="K400">
        <v>0</v>
      </c>
      <c r="L400">
        <v>0</v>
      </c>
      <c r="M400" s="5">
        <v>-1</v>
      </c>
      <c r="N400" s="5"/>
      <c r="O400" s="5"/>
      <c r="P400" s="5"/>
      <c r="Q400" s="5"/>
      <c r="R400" s="41">
        <v>0</v>
      </c>
      <c r="S400" s="41"/>
      <c r="T400" s="41"/>
      <c r="U400">
        <v>0</v>
      </c>
      <c r="X400">
        <v>0</v>
      </c>
      <c r="AA400" s="5"/>
      <c r="AB400" s="5">
        <v>0</v>
      </c>
      <c r="AC400" s="55">
        <f t="shared" si="41"/>
        <v>0</v>
      </c>
      <c r="AD400" s="57">
        <v>0</v>
      </c>
      <c r="AE400" s="55">
        <v>0</v>
      </c>
      <c r="AF400" s="55">
        <v>0</v>
      </c>
      <c r="AG400" s="52"/>
      <c r="AH400" s="51"/>
      <c r="AI400" s="52"/>
      <c r="AJ400" s="52"/>
      <c r="AK400" s="5">
        <v>2</v>
      </c>
      <c r="AL400" s="5">
        <v>0</v>
      </c>
      <c r="AM400" s="5">
        <v>10</v>
      </c>
      <c r="AN400" s="5">
        <v>0</v>
      </c>
      <c r="AO400" s="5">
        <v>0.16666666666666671</v>
      </c>
      <c r="AP400" s="5">
        <v>0</v>
      </c>
      <c r="AQ400" s="5">
        <v>0.83333333333333348</v>
      </c>
      <c r="AR400" s="5">
        <v>0</v>
      </c>
      <c r="AS400" s="41">
        <v>1.65</v>
      </c>
      <c r="AT400" s="41">
        <v>1.69</v>
      </c>
      <c r="AU400" s="41">
        <v>4.0000000000000042E-2</v>
      </c>
      <c r="AV400" s="41">
        <v>1.6619999999999999</v>
      </c>
      <c r="AW400" s="5">
        <v>1.6619999999999999</v>
      </c>
      <c r="AX400" s="5">
        <v>4.3120419500000002</v>
      </c>
      <c r="AY400" s="75"/>
      <c r="AZ400" s="75"/>
      <c r="BA400" s="75"/>
      <c r="BF400">
        <v>0</v>
      </c>
      <c r="BG400">
        <v>0</v>
      </c>
      <c r="BH400">
        <v>0</v>
      </c>
      <c r="BS400" s="79" t="s">
        <v>464</v>
      </c>
      <c r="BT400" s="79" t="s">
        <v>464</v>
      </c>
    </row>
    <row r="401" spans="1:72" x14ac:dyDescent="0.3">
      <c r="A401" s="5" t="s">
        <v>249</v>
      </c>
      <c r="B401" s="46" t="s">
        <v>944</v>
      </c>
      <c r="C401" s="39"/>
      <c r="D401" s="5">
        <v>3.36</v>
      </c>
      <c r="E401" s="5" t="s">
        <v>245</v>
      </c>
      <c r="F401" s="40">
        <v>-2</v>
      </c>
      <c r="G401" s="5">
        <v>-1</v>
      </c>
      <c r="H401" s="5"/>
      <c r="I401" s="5"/>
      <c r="J401" s="41">
        <v>0</v>
      </c>
      <c r="K401">
        <v>0</v>
      </c>
      <c r="L401">
        <v>0</v>
      </c>
      <c r="M401" s="5">
        <v>-1</v>
      </c>
      <c r="N401" s="5"/>
      <c r="O401" s="5"/>
      <c r="P401" s="5"/>
      <c r="Q401" s="5"/>
      <c r="R401" s="41">
        <v>0</v>
      </c>
      <c r="S401" s="41"/>
      <c r="T401" s="41"/>
      <c r="U401">
        <v>0</v>
      </c>
      <c r="X401">
        <v>0</v>
      </c>
      <c r="AA401" s="5"/>
      <c r="AB401" s="5">
        <v>0</v>
      </c>
      <c r="AC401" s="55">
        <f t="shared" si="41"/>
        <v>0</v>
      </c>
      <c r="AD401" s="57">
        <v>0</v>
      </c>
      <c r="AE401" s="55">
        <v>0</v>
      </c>
      <c r="AF401" s="55">
        <v>0</v>
      </c>
      <c r="AG401" s="52"/>
      <c r="AH401" s="51"/>
      <c r="AI401" s="52"/>
      <c r="AJ401" s="52"/>
      <c r="AK401" s="5">
        <v>2</v>
      </c>
      <c r="AL401" s="5">
        <v>0</v>
      </c>
      <c r="AM401" s="5">
        <v>10</v>
      </c>
      <c r="AN401" s="5">
        <v>0</v>
      </c>
      <c r="AO401" s="5">
        <v>0.16666666666666671</v>
      </c>
      <c r="AP401" s="5">
        <v>0</v>
      </c>
      <c r="AQ401" s="5">
        <v>0.83333333333333337</v>
      </c>
      <c r="AR401" s="5">
        <v>0</v>
      </c>
      <c r="AS401" s="41">
        <v>1.65</v>
      </c>
      <c r="AT401" s="41">
        <v>1.69</v>
      </c>
      <c r="AU401" s="41">
        <v>4.0000000000000042E-2</v>
      </c>
      <c r="AV401" s="41">
        <v>1.6539999999999999</v>
      </c>
      <c r="AW401" s="5">
        <v>1.6539999999999999</v>
      </c>
      <c r="AX401" s="5">
        <v>4.3620796500000001</v>
      </c>
      <c r="AY401" s="75"/>
      <c r="AZ401" s="75"/>
      <c r="BA401" s="75"/>
      <c r="BF401">
        <v>0</v>
      </c>
      <c r="BG401">
        <v>0</v>
      </c>
      <c r="BH401">
        <v>0</v>
      </c>
      <c r="BS401" s="79" t="s">
        <v>464</v>
      </c>
      <c r="BT401" s="79" t="s">
        <v>464</v>
      </c>
    </row>
    <row r="402" spans="1:72" x14ac:dyDescent="0.3">
      <c r="A402" s="2" t="s">
        <v>248</v>
      </c>
      <c r="B402" s="13" t="s">
        <v>816</v>
      </c>
      <c r="C402" s="13"/>
      <c r="D402" s="2">
        <v>3.6</v>
      </c>
      <c r="E402" s="2" t="s">
        <v>245</v>
      </c>
      <c r="F402" s="9" t="s">
        <v>593</v>
      </c>
      <c r="G402" t="s">
        <v>667</v>
      </c>
      <c r="H402" t="s">
        <v>1172</v>
      </c>
      <c r="I402" s="2"/>
      <c r="J402" s="25">
        <v>50</v>
      </c>
      <c r="K402">
        <v>2</v>
      </c>
      <c r="L402">
        <v>0</v>
      </c>
      <c r="M402" s="2"/>
      <c r="N402" s="2"/>
      <c r="O402" s="2"/>
      <c r="P402" s="2"/>
      <c r="Q402" s="2"/>
      <c r="R402" s="25">
        <v>12.345150759999999</v>
      </c>
      <c r="S402" s="25">
        <v>15.34169717</v>
      </c>
      <c r="T402" s="25">
        <v>13.410947439999999</v>
      </c>
      <c r="U402">
        <v>3.8</v>
      </c>
      <c r="V402">
        <v>3.8</v>
      </c>
      <c r="W402">
        <v>6.23</v>
      </c>
      <c r="X402">
        <v>0</v>
      </c>
      <c r="AA402" s="2"/>
      <c r="AB402">
        <v>0</v>
      </c>
      <c r="AC402" s="55">
        <f t="shared" si="41"/>
        <v>0</v>
      </c>
      <c r="AD402" s="57">
        <v>2502.9167389596269</v>
      </c>
      <c r="AE402" s="55">
        <v>77.908684554932648</v>
      </c>
      <c r="AF402" s="55">
        <v>0</v>
      </c>
      <c r="AG402" s="52"/>
      <c r="AH402" s="51">
        <v>0</v>
      </c>
      <c r="AI402" s="52">
        <v>0</v>
      </c>
      <c r="AJ402" s="52"/>
      <c r="AK402" s="28">
        <v>2</v>
      </c>
      <c r="AL402" s="28">
        <v>2</v>
      </c>
      <c r="AM402" s="28">
        <v>5</v>
      </c>
      <c r="AN402" s="28">
        <v>0</v>
      </c>
      <c r="AO402" s="28">
        <v>0.22222222222222221</v>
      </c>
      <c r="AP402" s="28">
        <v>0.22222222222222221</v>
      </c>
      <c r="AQ402" s="28">
        <v>0.55555555555555558</v>
      </c>
      <c r="AR402" s="28">
        <v>0</v>
      </c>
      <c r="AS402" s="25">
        <v>1.65</v>
      </c>
      <c r="AT402" s="25">
        <v>2.58</v>
      </c>
      <c r="AU402" s="25">
        <v>0.93000000000000016</v>
      </c>
      <c r="AV402" s="25">
        <v>2.1150000000000002</v>
      </c>
      <c r="AW402">
        <v>2.1150000000000002</v>
      </c>
      <c r="AX402">
        <v>5.3028278780000004</v>
      </c>
      <c r="AY402" s="75">
        <v>0.46813521899838401</v>
      </c>
      <c r="AZ402" s="75">
        <v>0.6015778510039812</v>
      </c>
      <c r="BA402" s="75"/>
      <c r="BC402">
        <v>0</v>
      </c>
      <c r="BD402">
        <v>0</v>
      </c>
      <c r="BF402">
        <v>0</v>
      </c>
      <c r="BG402">
        <v>0</v>
      </c>
      <c r="BH402">
        <v>0.53485653500118258</v>
      </c>
      <c r="BS402" s="79" t="s">
        <v>464</v>
      </c>
      <c r="BT402" s="79" t="s">
        <v>464</v>
      </c>
    </row>
    <row r="403" spans="1:72" x14ac:dyDescent="0.3">
      <c r="A403" s="2" t="s">
        <v>15</v>
      </c>
      <c r="B403" s="13" t="s">
        <v>700</v>
      </c>
      <c r="C403" s="13"/>
      <c r="D403" s="2">
        <v>4.49</v>
      </c>
      <c r="E403" s="2" t="s">
        <v>253</v>
      </c>
      <c r="F403" s="9" t="s">
        <v>533</v>
      </c>
      <c r="G403" t="s">
        <v>614</v>
      </c>
      <c r="I403" s="2"/>
      <c r="J403" s="25">
        <v>4</v>
      </c>
      <c r="K403">
        <v>4</v>
      </c>
      <c r="L403">
        <v>0</v>
      </c>
      <c r="M403" s="2"/>
      <c r="N403" s="2"/>
      <c r="O403" s="2"/>
      <c r="P403" s="2"/>
      <c r="Q403" s="2"/>
      <c r="R403" s="25">
        <v>5.63450966</v>
      </c>
      <c r="S403" s="25">
        <v>7.6422105</v>
      </c>
      <c r="T403" s="25">
        <v>11.066420430000001</v>
      </c>
      <c r="U403">
        <v>11.013</v>
      </c>
      <c r="V403">
        <v>7.6319999999999997</v>
      </c>
      <c r="W403">
        <v>5.6210000000000004</v>
      </c>
      <c r="X403">
        <v>0</v>
      </c>
      <c r="AA403" s="2"/>
      <c r="AB403">
        <v>12</v>
      </c>
      <c r="AC403" s="55">
        <f t="shared" si="41"/>
        <v>0</v>
      </c>
      <c r="AD403" s="57">
        <v>476.5212686940929</v>
      </c>
      <c r="AE403" s="55">
        <v>472.45188513599999</v>
      </c>
      <c r="AF403" s="55">
        <v>0</v>
      </c>
      <c r="AG403" s="52"/>
      <c r="AH403" s="51">
        <v>0.1007300264509579</v>
      </c>
      <c r="AI403" s="52">
        <v>0.1015976473163669</v>
      </c>
      <c r="AJ403" s="52"/>
      <c r="AK403" s="28">
        <v>2</v>
      </c>
      <c r="AL403" s="28">
        <v>2.666666666666667</v>
      </c>
      <c r="AM403" s="28">
        <v>0.66666666666666663</v>
      </c>
      <c r="AN403" s="28">
        <v>3.1111111111111112</v>
      </c>
      <c r="AO403" s="28">
        <v>0.23684210526315791</v>
      </c>
      <c r="AP403" s="28">
        <v>0.31578947368421051</v>
      </c>
      <c r="AQ403" s="28">
        <v>7.8947368421052627E-2</v>
      </c>
      <c r="AR403" s="28">
        <v>0.36842105263157893</v>
      </c>
      <c r="AS403" s="25">
        <v>0.95</v>
      </c>
      <c r="AT403" s="25">
        <v>3.44</v>
      </c>
      <c r="AU403" s="25">
        <v>2.4900000000000002</v>
      </c>
      <c r="AV403" s="25">
        <v>2.7322222222222221</v>
      </c>
      <c r="AW403">
        <v>2.7322222222222221</v>
      </c>
      <c r="AX403">
        <v>6.2204042916666662</v>
      </c>
      <c r="AY403" s="75">
        <v>0.5362582325986015</v>
      </c>
      <c r="AZ403" s="75">
        <v>0.54087720122437066</v>
      </c>
      <c r="BA403" s="75"/>
      <c r="BC403">
        <v>5.0365013225478962E-2</v>
      </c>
      <c r="BD403">
        <v>5.0798823658183438E-2</v>
      </c>
      <c r="BF403">
        <v>0.1011638368836624</v>
      </c>
      <c r="BG403">
        <v>5.05819184418312E-2</v>
      </c>
      <c r="BH403">
        <v>0.53856771691148608</v>
      </c>
      <c r="BS403" s="79" t="s">
        <v>464</v>
      </c>
      <c r="BT403" s="79" t="s">
        <v>464</v>
      </c>
    </row>
    <row r="404" spans="1:72" x14ac:dyDescent="0.3">
      <c r="A404" s="2" t="s">
        <v>254</v>
      </c>
      <c r="B404" s="13" t="s">
        <v>817</v>
      </c>
      <c r="C404" s="13"/>
      <c r="D404" s="2">
        <v>4.8099999999999996</v>
      </c>
      <c r="E404" s="2" t="s">
        <v>253</v>
      </c>
      <c r="F404" s="9" t="s">
        <v>594</v>
      </c>
      <c r="G404">
        <v>-1</v>
      </c>
      <c r="I404" s="2"/>
      <c r="J404" s="25">
        <v>4</v>
      </c>
      <c r="K404">
        <v>0</v>
      </c>
      <c r="L404">
        <v>0</v>
      </c>
      <c r="M404" s="2"/>
      <c r="N404" s="2"/>
      <c r="O404" s="2"/>
      <c r="P404" s="2"/>
      <c r="Q404" s="2"/>
      <c r="R404" s="25">
        <v>5.8119930000000002</v>
      </c>
      <c r="S404" s="25">
        <v>10.228956</v>
      </c>
      <c r="T404" s="25">
        <v>17.904929589999998</v>
      </c>
      <c r="U404">
        <v>0</v>
      </c>
      <c r="X404">
        <v>0</v>
      </c>
      <c r="AA404" s="2"/>
      <c r="AB404">
        <v>18</v>
      </c>
      <c r="AC404" s="55">
        <f t="shared" ref="AC404:AC467" si="46">M404*N404*O404</f>
        <v>0</v>
      </c>
      <c r="AD404" s="57">
        <v>882.26177591634428</v>
      </c>
      <c r="AE404" s="55">
        <v>0</v>
      </c>
      <c r="AF404" s="55">
        <v>0</v>
      </c>
      <c r="AG404" s="52"/>
      <c r="AH404" s="51">
        <v>8.1608431834438916E-2</v>
      </c>
      <c r="AI404" s="52"/>
      <c r="AJ404" s="52"/>
      <c r="AK404" s="28">
        <v>2</v>
      </c>
      <c r="AL404" s="28">
        <v>2.4</v>
      </c>
      <c r="AM404" s="28">
        <v>0.4</v>
      </c>
      <c r="AN404" s="28">
        <v>1.8666666666666669</v>
      </c>
      <c r="AO404" s="28">
        <v>0.3</v>
      </c>
      <c r="AP404" s="28">
        <v>0.36</v>
      </c>
      <c r="AQ404" s="28">
        <v>0.06</v>
      </c>
      <c r="AR404" s="28">
        <v>0.28000000000000003</v>
      </c>
      <c r="AS404" s="25">
        <v>0.95</v>
      </c>
      <c r="AT404" s="25">
        <v>3.44</v>
      </c>
      <c r="AU404" s="25">
        <v>2.4900000000000002</v>
      </c>
      <c r="AV404" s="25">
        <v>2.5173333333333332</v>
      </c>
      <c r="AW404">
        <v>2.5173333333333341</v>
      </c>
      <c r="AX404">
        <v>5.8148519500000004</v>
      </c>
      <c r="AY404" s="75">
        <v>0.53464553504946077</v>
      </c>
      <c r="AZ404" s="75"/>
      <c r="BA404" s="75"/>
      <c r="BC404">
        <v>4.0804215917219458E-2</v>
      </c>
      <c r="BF404">
        <v>8.1608431834438916E-2</v>
      </c>
      <c r="BG404">
        <v>4.0804215917219458E-2</v>
      </c>
      <c r="BH404">
        <v>0.53464553504946077</v>
      </c>
      <c r="BS404" s="79" t="s">
        <v>464</v>
      </c>
      <c r="BT404" s="79" t="s">
        <v>464</v>
      </c>
    </row>
    <row r="405" spans="1:72" x14ac:dyDescent="0.3">
      <c r="A405" s="2" t="s">
        <v>221</v>
      </c>
      <c r="B405" s="13" t="s">
        <v>808</v>
      </c>
      <c r="C405" s="13"/>
      <c r="D405" s="2">
        <v>4.75</v>
      </c>
      <c r="E405" s="2" t="s">
        <v>253</v>
      </c>
      <c r="F405" s="9" t="s">
        <v>589</v>
      </c>
      <c r="G405">
        <v>-1</v>
      </c>
      <c r="I405" s="2"/>
      <c r="J405" s="25">
        <v>1</v>
      </c>
      <c r="K405">
        <v>0</v>
      </c>
      <c r="L405">
        <v>0</v>
      </c>
      <c r="M405" s="2"/>
      <c r="N405" s="2"/>
      <c r="O405" s="2"/>
      <c r="P405" s="2"/>
      <c r="Q405" s="2"/>
      <c r="R405" s="25">
        <v>5.6694849300000003</v>
      </c>
      <c r="S405" s="25">
        <v>5.6694842000000003</v>
      </c>
      <c r="T405" s="25">
        <v>11.54266629</v>
      </c>
      <c r="U405">
        <v>0</v>
      </c>
      <c r="X405">
        <v>0</v>
      </c>
      <c r="AA405" s="2"/>
      <c r="AB405">
        <v>30</v>
      </c>
      <c r="AC405" s="55">
        <f t="shared" si="46"/>
        <v>0</v>
      </c>
      <c r="AD405" s="57">
        <v>321.30962315738361</v>
      </c>
      <c r="AE405" s="55">
        <v>0</v>
      </c>
      <c r="AF405" s="55">
        <v>0</v>
      </c>
      <c r="AG405" s="52"/>
      <c r="AH405" s="51">
        <v>9.3367885173191417E-2</v>
      </c>
      <c r="AI405" s="52"/>
      <c r="AJ405" s="52"/>
      <c r="AK405" s="28">
        <v>2</v>
      </c>
      <c r="AL405" s="28">
        <v>2.5</v>
      </c>
      <c r="AM405" s="28">
        <v>0.5</v>
      </c>
      <c r="AN405" s="28">
        <v>2.333333333333333</v>
      </c>
      <c r="AO405" s="28">
        <v>0.27272727272727282</v>
      </c>
      <c r="AP405" s="28">
        <v>0.34090909090909088</v>
      </c>
      <c r="AQ405" s="28">
        <v>6.8181818181818191E-2</v>
      </c>
      <c r="AR405" s="28">
        <v>0.31818181818181818</v>
      </c>
      <c r="AS405" s="25">
        <v>0.95</v>
      </c>
      <c r="AT405" s="25">
        <v>3.44</v>
      </c>
      <c r="AU405" s="25">
        <v>2.4900000000000002</v>
      </c>
      <c r="AV405" s="25">
        <v>2.5979166666666669</v>
      </c>
      <c r="AW405">
        <v>2.597916666666666</v>
      </c>
      <c r="AX405">
        <v>5.966934078125</v>
      </c>
      <c r="AY405" s="75">
        <v>0.56583721757051464</v>
      </c>
      <c r="AZ405" s="75"/>
      <c r="BA405" s="75"/>
      <c r="BC405">
        <v>4.6683942586595709E-2</v>
      </c>
      <c r="BF405">
        <v>9.3367885173191417E-2</v>
      </c>
      <c r="BG405">
        <v>4.6683942586595709E-2</v>
      </c>
      <c r="BH405">
        <v>0.56583721757051464</v>
      </c>
      <c r="BS405" s="79" t="s">
        <v>464</v>
      </c>
      <c r="BT405" s="79" t="s">
        <v>464</v>
      </c>
    </row>
    <row r="406" spans="1:72" x14ac:dyDescent="0.3">
      <c r="A406" s="2" t="s">
        <v>255</v>
      </c>
      <c r="B406" s="13" t="s">
        <v>818</v>
      </c>
      <c r="C406" s="13"/>
      <c r="D406" s="2">
        <v>1.55</v>
      </c>
      <c r="E406" s="2" t="s">
        <v>256</v>
      </c>
      <c r="F406" s="9" t="s">
        <v>595</v>
      </c>
      <c r="G406" t="s">
        <v>668</v>
      </c>
      <c r="I406" s="2"/>
      <c r="J406" s="25">
        <v>2</v>
      </c>
      <c r="K406">
        <v>4</v>
      </c>
      <c r="L406">
        <v>0</v>
      </c>
      <c r="M406" s="2"/>
      <c r="N406" s="2"/>
      <c r="O406" s="2"/>
      <c r="P406" s="2"/>
      <c r="Q406" s="2"/>
      <c r="R406" s="25">
        <v>6.8866614799999999</v>
      </c>
      <c r="S406" s="25">
        <v>6.8866614799999999</v>
      </c>
      <c r="T406" s="25">
        <v>6.8866614799999999</v>
      </c>
      <c r="U406">
        <v>8.51</v>
      </c>
      <c r="V406">
        <v>8.51</v>
      </c>
      <c r="W406">
        <v>5.8140000000000001</v>
      </c>
      <c r="X406">
        <v>0</v>
      </c>
      <c r="AA406" s="2"/>
      <c r="AB406">
        <v>8</v>
      </c>
      <c r="AC406" s="55">
        <f t="shared" si="46"/>
        <v>0</v>
      </c>
      <c r="AD406" s="57">
        <v>222.33131811857061</v>
      </c>
      <c r="AE406" s="55">
        <v>421.05046140000002</v>
      </c>
      <c r="AF406" s="55">
        <v>0</v>
      </c>
      <c r="AG406" s="52"/>
      <c r="AH406" s="51">
        <v>7.1964670274059672E-2</v>
      </c>
      <c r="AI406" s="52">
        <v>7.6000391719318994E-2</v>
      </c>
      <c r="AJ406" s="52"/>
      <c r="AK406" s="28">
        <v>1.857142857142857</v>
      </c>
      <c r="AL406" s="28">
        <v>3.1428571428571428</v>
      </c>
      <c r="AM406" s="28">
        <v>4.2857142857142856</v>
      </c>
      <c r="AN406" s="28">
        <v>4</v>
      </c>
      <c r="AO406" s="28">
        <v>0.1397849462365591</v>
      </c>
      <c r="AP406" s="28">
        <v>0.23655913978494619</v>
      </c>
      <c r="AQ406" s="28">
        <v>0.32258064516129031</v>
      </c>
      <c r="AR406" s="28">
        <v>0.30107526881720431</v>
      </c>
      <c r="AS406" s="25">
        <v>1.9</v>
      </c>
      <c r="AT406" s="25">
        <v>3.44</v>
      </c>
      <c r="AU406" s="25">
        <v>1.54</v>
      </c>
      <c r="AV406" s="25">
        <v>2.8142857142857141</v>
      </c>
      <c r="AW406">
        <v>2.8142857142857141</v>
      </c>
      <c r="AX406">
        <v>6.1238972471428568</v>
      </c>
      <c r="AY406" s="75">
        <v>0.44701389447074941</v>
      </c>
      <c r="AZ406" s="75">
        <v>0.47208207797488139</v>
      </c>
      <c r="BA406" s="75"/>
      <c r="BC406">
        <v>3.5982335137029829E-2</v>
      </c>
      <c r="BD406">
        <v>3.800019585965949E-2</v>
      </c>
      <c r="BF406">
        <v>7.3982530996689333E-2</v>
      </c>
      <c r="BG406">
        <v>3.699126549834466E-2</v>
      </c>
      <c r="BH406">
        <v>0.4595479862228154</v>
      </c>
      <c r="BS406" s="79" t="s">
        <v>464</v>
      </c>
      <c r="BT406" s="79" t="s">
        <v>464</v>
      </c>
    </row>
    <row r="407" spans="1:72" x14ac:dyDescent="0.3">
      <c r="A407" s="2" t="s">
        <v>0</v>
      </c>
      <c r="B407" s="13" t="s">
        <v>685</v>
      </c>
      <c r="C407" s="13"/>
      <c r="D407" s="2">
        <v>3.3</v>
      </c>
      <c r="E407" s="2" t="s">
        <v>257</v>
      </c>
      <c r="F407" s="9" t="s">
        <v>523</v>
      </c>
      <c r="G407" t="s">
        <v>606</v>
      </c>
      <c r="I407" s="2"/>
      <c r="J407" s="25">
        <v>4</v>
      </c>
      <c r="K407">
        <v>4</v>
      </c>
      <c r="L407">
        <v>0</v>
      </c>
      <c r="M407" s="2"/>
      <c r="N407" s="2"/>
      <c r="O407" s="2"/>
      <c r="P407" s="2"/>
      <c r="Q407" s="2"/>
      <c r="R407" s="25">
        <v>6.6040679999999998</v>
      </c>
      <c r="S407" s="25">
        <v>7.9389519999999996</v>
      </c>
      <c r="T407" s="25">
        <v>33.703336</v>
      </c>
      <c r="U407">
        <v>7.83</v>
      </c>
      <c r="V407">
        <v>33.209989999999998</v>
      </c>
      <c r="W407">
        <v>6.46</v>
      </c>
      <c r="X407">
        <v>0</v>
      </c>
      <c r="AA407" s="2"/>
      <c r="AB407">
        <v>34</v>
      </c>
      <c r="AC407" s="55">
        <f t="shared" si="46"/>
        <v>0</v>
      </c>
      <c r="AD407" s="57">
        <v>1767.0449718798691</v>
      </c>
      <c r="AE407" s="55">
        <v>1679.8210721820001</v>
      </c>
      <c r="AF407" s="55">
        <v>0</v>
      </c>
      <c r="AG407" s="52"/>
      <c r="AH407" s="51">
        <v>7.6964651247849417E-2</v>
      </c>
      <c r="AI407" s="52">
        <v>8.0961003676030277E-2</v>
      </c>
      <c r="AJ407" s="52"/>
      <c r="AK407" s="28">
        <v>1.62962962962963</v>
      </c>
      <c r="AL407" s="28">
        <v>2.518518518518519</v>
      </c>
      <c r="AM407" s="28">
        <v>0.88888888888888884</v>
      </c>
      <c r="AN407" s="28">
        <v>0</v>
      </c>
      <c r="AO407" s="28">
        <v>0.32352941176470579</v>
      </c>
      <c r="AP407" s="28">
        <v>0.5</v>
      </c>
      <c r="AQ407" s="28">
        <v>0.1764705882352941</v>
      </c>
      <c r="AR407" s="28">
        <v>0</v>
      </c>
      <c r="AS407" s="25">
        <v>0.82</v>
      </c>
      <c r="AT407" s="25">
        <v>3.44</v>
      </c>
      <c r="AU407" s="25">
        <v>2.62</v>
      </c>
      <c r="AV407" s="25">
        <v>2.642962962962963</v>
      </c>
      <c r="AW407">
        <v>2.642962962962963</v>
      </c>
      <c r="AX407">
        <v>5.9587362692592576</v>
      </c>
      <c r="AY407" s="75">
        <v>0.48264383878002159</v>
      </c>
      <c r="AZ407" s="75">
        <v>0.50770488753139842</v>
      </c>
      <c r="BA407" s="75"/>
      <c r="BC407">
        <v>3.8482325623924708E-2</v>
      </c>
      <c r="BD407">
        <v>4.0480501838015132E-2</v>
      </c>
      <c r="BF407">
        <v>7.8962827461939847E-2</v>
      </c>
      <c r="BG407">
        <v>3.9481413730969923E-2</v>
      </c>
      <c r="BH407">
        <v>0.49517436315571001</v>
      </c>
      <c r="BS407" s="79" t="s">
        <v>464</v>
      </c>
      <c r="BT407" s="79" t="s">
        <v>464</v>
      </c>
    </row>
    <row r="408" spans="1:72" x14ac:dyDescent="0.3">
      <c r="A408" s="2" t="s">
        <v>215</v>
      </c>
      <c r="B408" s="13" t="s">
        <v>734</v>
      </c>
      <c r="C408" s="13"/>
      <c r="D408" s="2">
        <v>4.13</v>
      </c>
      <c r="E408" s="2" t="s">
        <v>258</v>
      </c>
      <c r="F408" s="9" t="s">
        <v>587</v>
      </c>
      <c r="G408" t="s">
        <v>636</v>
      </c>
      <c r="I408" s="2"/>
      <c r="J408" s="25">
        <v>1</v>
      </c>
      <c r="K408">
        <v>1</v>
      </c>
      <c r="L408">
        <v>0</v>
      </c>
      <c r="M408" s="2"/>
      <c r="N408" s="2"/>
      <c r="O408" s="2"/>
      <c r="P408" s="2"/>
      <c r="Q408" s="2"/>
      <c r="R408" s="25">
        <v>3.950634</v>
      </c>
      <c r="S408" s="25">
        <v>3.950634</v>
      </c>
      <c r="T408" s="25">
        <v>15.513552000000001</v>
      </c>
      <c r="U408">
        <v>3.8658999999999999</v>
      </c>
      <c r="V408">
        <v>3.8658999999999999</v>
      </c>
      <c r="W408">
        <v>15.2538</v>
      </c>
      <c r="X408">
        <v>0</v>
      </c>
      <c r="AA408" s="2"/>
      <c r="AB408">
        <v>20</v>
      </c>
      <c r="AC408" s="55">
        <f t="shared" si="46"/>
        <v>0</v>
      </c>
      <c r="AD408" s="57">
        <v>242.1279024923125</v>
      </c>
      <c r="AE408" s="55">
        <v>227.970829547178</v>
      </c>
      <c r="AF408" s="55">
        <v>0</v>
      </c>
      <c r="AG408" s="52"/>
      <c r="AH408" s="51">
        <v>8.2600971611006269E-2</v>
      </c>
      <c r="AI408" s="52">
        <v>8.7730522539775438E-2</v>
      </c>
      <c r="AJ408" s="52"/>
      <c r="AK408" s="28">
        <v>1.9375</v>
      </c>
      <c r="AL408" s="28">
        <v>2.5</v>
      </c>
      <c r="AM408" s="28">
        <v>0.5625</v>
      </c>
      <c r="AN408" s="28">
        <v>2.625</v>
      </c>
      <c r="AO408" s="28">
        <v>0.25409836065573771</v>
      </c>
      <c r="AP408" s="28">
        <v>0.32786885245901642</v>
      </c>
      <c r="AQ408" s="28">
        <v>7.3770491803278687E-2</v>
      </c>
      <c r="AR408" s="28">
        <v>0.34426229508196721</v>
      </c>
      <c r="AS408" s="25">
        <v>0.79</v>
      </c>
      <c r="AT408" s="25">
        <v>3.44</v>
      </c>
      <c r="AU408" s="25">
        <v>2.65</v>
      </c>
      <c r="AV408" s="25">
        <v>2.6056249999999999</v>
      </c>
      <c r="AW408">
        <v>2.6056249999999999</v>
      </c>
      <c r="AX408">
        <v>5.9703320286696879</v>
      </c>
      <c r="AY408" s="75">
        <v>0.52453741991489755</v>
      </c>
      <c r="AZ408" s="75">
        <v>0.55711138795694093</v>
      </c>
      <c r="BA408" s="75"/>
      <c r="BC408">
        <v>4.1300485805503127E-2</v>
      </c>
      <c r="BD408">
        <v>4.3865261269887712E-2</v>
      </c>
      <c r="BF408">
        <v>8.5165747075390846E-2</v>
      </c>
      <c r="BG408">
        <v>4.2582873537695423E-2</v>
      </c>
      <c r="BH408">
        <v>0.54082440393591924</v>
      </c>
      <c r="BS408" s="79" t="s">
        <v>464</v>
      </c>
      <c r="BT408" s="79" t="s">
        <v>464</v>
      </c>
    </row>
    <row r="409" spans="1:72" x14ac:dyDescent="0.3">
      <c r="A409" s="2" t="s">
        <v>259</v>
      </c>
      <c r="B409" s="17" t="s">
        <v>734</v>
      </c>
      <c r="C409" s="13"/>
      <c r="D409" s="2">
        <v>2.17</v>
      </c>
      <c r="E409" s="2" t="s">
        <v>258</v>
      </c>
      <c r="F409" s="9" t="s">
        <v>587</v>
      </c>
      <c r="G409" t="s">
        <v>636</v>
      </c>
      <c r="I409" s="2"/>
      <c r="J409" s="25">
        <v>1</v>
      </c>
      <c r="K409">
        <v>1</v>
      </c>
      <c r="L409">
        <v>0</v>
      </c>
      <c r="M409" s="2"/>
      <c r="N409" s="2"/>
      <c r="O409" s="2"/>
      <c r="P409" s="2"/>
      <c r="Q409" s="2"/>
      <c r="R409" s="25">
        <v>3.950634</v>
      </c>
      <c r="S409" s="25">
        <v>3.950634</v>
      </c>
      <c r="T409" s="25">
        <v>15.513552000000001</v>
      </c>
      <c r="U409">
        <v>3.8658999999999999</v>
      </c>
      <c r="V409">
        <v>3.8658999999999999</v>
      </c>
      <c r="W409">
        <v>15.2538</v>
      </c>
      <c r="X409">
        <v>0</v>
      </c>
      <c r="AA409" s="2"/>
      <c r="AB409">
        <v>20</v>
      </c>
      <c r="AC409" s="55">
        <f t="shared" si="46"/>
        <v>0</v>
      </c>
      <c r="AD409" s="57">
        <v>242.1279024923125</v>
      </c>
      <c r="AE409" s="55">
        <v>227.970829547178</v>
      </c>
      <c r="AF409" s="55">
        <v>0</v>
      </c>
      <c r="AG409" s="52"/>
      <c r="AH409" s="51">
        <v>8.2600971611006269E-2</v>
      </c>
      <c r="AI409" s="52">
        <v>8.7730522539775438E-2</v>
      </c>
      <c r="AJ409" s="52"/>
      <c r="AK409" s="28">
        <v>1.9375</v>
      </c>
      <c r="AL409" s="28">
        <v>2.5</v>
      </c>
      <c r="AM409" s="28">
        <v>0.5625</v>
      </c>
      <c r="AN409" s="28">
        <v>2.625</v>
      </c>
      <c r="AO409" s="28">
        <v>0.25409836065573771</v>
      </c>
      <c r="AP409" s="28">
        <v>0.32786885245901642</v>
      </c>
      <c r="AQ409" s="28">
        <v>7.3770491803278687E-2</v>
      </c>
      <c r="AR409" s="28">
        <v>0.34426229508196721</v>
      </c>
      <c r="AS409" s="25">
        <v>0.79</v>
      </c>
      <c r="AT409" s="25">
        <v>3.44</v>
      </c>
      <c r="AU409" s="25">
        <v>2.65</v>
      </c>
      <c r="AV409" s="25">
        <v>2.6056249999999999</v>
      </c>
      <c r="AW409">
        <v>2.6056249999999999</v>
      </c>
      <c r="AX409">
        <v>5.9703320286696879</v>
      </c>
      <c r="AY409" s="75">
        <v>0.52453741991489755</v>
      </c>
      <c r="AZ409" s="75">
        <v>0.55711138795694093</v>
      </c>
      <c r="BA409" s="75"/>
      <c r="BC409">
        <v>4.1300485805503127E-2</v>
      </c>
      <c r="BD409">
        <v>4.3865261269887712E-2</v>
      </c>
      <c r="BF409">
        <v>8.5165747075390846E-2</v>
      </c>
      <c r="BG409">
        <v>4.2582873537695423E-2</v>
      </c>
      <c r="BH409">
        <v>0.54082440393591924</v>
      </c>
      <c r="BN409" s="79" t="s">
        <v>676</v>
      </c>
      <c r="BO409" s="79">
        <v>0.3</v>
      </c>
      <c r="BS409" s="79" t="s">
        <v>464</v>
      </c>
      <c r="BT409" s="79" t="s">
        <v>464</v>
      </c>
    </row>
    <row r="410" spans="1:72" x14ac:dyDescent="0.3">
      <c r="A410" s="2" t="s">
        <v>4</v>
      </c>
      <c r="B410" s="13" t="s">
        <v>689</v>
      </c>
      <c r="C410" s="13"/>
      <c r="D410" s="2">
        <v>3.35</v>
      </c>
      <c r="E410" s="2" t="s">
        <v>260</v>
      </c>
      <c r="F410" s="9" t="s">
        <v>527</v>
      </c>
      <c r="G410" t="s">
        <v>609</v>
      </c>
      <c r="I410" s="2"/>
      <c r="J410" s="25">
        <v>4</v>
      </c>
      <c r="K410">
        <v>4</v>
      </c>
      <c r="L410">
        <v>0</v>
      </c>
      <c r="M410" s="2"/>
      <c r="N410" s="2"/>
      <c r="O410" s="2"/>
      <c r="P410" s="2"/>
      <c r="Q410" s="2"/>
      <c r="R410" s="25">
        <v>7.8084429999999996</v>
      </c>
      <c r="S410" s="25">
        <v>7.8548809999999998</v>
      </c>
      <c r="T410" s="25">
        <v>15.19056011</v>
      </c>
      <c r="U410">
        <v>3.8801999999999999</v>
      </c>
      <c r="V410">
        <v>29.507999999999999</v>
      </c>
      <c r="W410">
        <v>7.7140000000000004</v>
      </c>
      <c r="X410">
        <v>0</v>
      </c>
      <c r="AA410" s="2"/>
      <c r="AB410">
        <v>20</v>
      </c>
      <c r="AC410" s="55">
        <f t="shared" si="46"/>
        <v>0</v>
      </c>
      <c r="AD410" s="57">
        <v>924.74694800021894</v>
      </c>
      <c r="AE410" s="55">
        <v>883.22940750240002</v>
      </c>
      <c r="AF410" s="55">
        <v>0</v>
      </c>
      <c r="AG410" s="52"/>
      <c r="AH410" s="51">
        <v>8.6510153045653584E-2</v>
      </c>
      <c r="AI410" s="52">
        <v>9.0576694254581439E-2</v>
      </c>
      <c r="AJ410" s="52"/>
      <c r="AK410" s="28">
        <v>1.75</v>
      </c>
      <c r="AL410" s="28">
        <v>2.5</v>
      </c>
      <c r="AM410" s="28">
        <v>0.75</v>
      </c>
      <c r="AN410" s="28">
        <v>0</v>
      </c>
      <c r="AO410" s="28">
        <v>0.35</v>
      </c>
      <c r="AP410" s="28">
        <v>0.5</v>
      </c>
      <c r="AQ410" s="28">
        <v>0.15</v>
      </c>
      <c r="AR410" s="28">
        <v>0</v>
      </c>
      <c r="AS410" s="25">
        <v>0.82</v>
      </c>
      <c r="AT410" s="25">
        <v>3.44</v>
      </c>
      <c r="AU410" s="25">
        <v>2.62</v>
      </c>
      <c r="AV410" s="25">
        <v>2.6262500000000002</v>
      </c>
      <c r="AW410">
        <v>2.6262500000000002</v>
      </c>
      <c r="AX410">
        <v>5.96680968125</v>
      </c>
      <c r="AY410" s="75">
        <v>0.50555206026575039</v>
      </c>
      <c r="AZ410" s="75">
        <v>0</v>
      </c>
      <c r="BA410" s="75"/>
      <c r="BC410">
        <v>4.3255076522826792E-2</v>
      </c>
      <c r="BD410">
        <v>4.5288347127290719E-2</v>
      </c>
      <c r="BF410">
        <v>8.8543423650117511E-2</v>
      </c>
      <c r="BG410">
        <v>4.4271711825058763E-2</v>
      </c>
      <c r="BH410">
        <v>0.2527760301328752</v>
      </c>
      <c r="BS410" s="79" t="s">
        <v>464</v>
      </c>
      <c r="BT410" s="79" t="s">
        <v>464</v>
      </c>
    </row>
    <row r="411" spans="1:72" x14ac:dyDescent="0.3">
      <c r="A411" s="2" t="s">
        <v>38</v>
      </c>
      <c r="B411" s="13" t="s">
        <v>714</v>
      </c>
      <c r="C411" s="13"/>
      <c r="D411" s="2">
        <v>3.92</v>
      </c>
      <c r="E411" s="2" t="s">
        <v>261</v>
      </c>
      <c r="F411" s="9" t="s">
        <v>545</v>
      </c>
      <c r="G411" t="s">
        <v>626</v>
      </c>
      <c r="I411" s="2"/>
      <c r="J411" s="25">
        <v>1</v>
      </c>
      <c r="K411">
        <v>1</v>
      </c>
      <c r="L411">
        <v>0</v>
      </c>
      <c r="M411" s="2"/>
      <c r="N411" s="2"/>
      <c r="O411" s="2"/>
      <c r="P411" s="2"/>
      <c r="Q411" s="2"/>
      <c r="R411" s="25">
        <v>5.8532381300000003</v>
      </c>
      <c r="S411" s="25">
        <v>5.8532371599999999</v>
      </c>
      <c r="T411" s="25">
        <v>11.912811489999999</v>
      </c>
      <c r="U411">
        <v>5.7946</v>
      </c>
      <c r="V411">
        <v>5.7946</v>
      </c>
      <c r="W411">
        <v>11.787599999999999</v>
      </c>
      <c r="X411">
        <v>0</v>
      </c>
      <c r="AA411" s="2"/>
      <c r="AB411">
        <v>30</v>
      </c>
      <c r="AC411" s="55">
        <f t="shared" si="46"/>
        <v>0</v>
      </c>
      <c r="AD411" s="57">
        <v>353.45760058531442</v>
      </c>
      <c r="AE411" s="55">
        <v>342.77011164986573</v>
      </c>
      <c r="AF411" s="55">
        <v>0</v>
      </c>
      <c r="AG411" s="52"/>
      <c r="AH411" s="51">
        <v>8.487580957467307E-2</v>
      </c>
      <c r="AI411" s="52">
        <v>8.752221672887435E-2</v>
      </c>
      <c r="AJ411" s="52"/>
      <c r="AK411" s="28">
        <v>1.833333333333333</v>
      </c>
      <c r="AL411" s="28">
        <v>2.5</v>
      </c>
      <c r="AM411" s="28">
        <v>0.66666666666666663</v>
      </c>
      <c r="AN411" s="28">
        <v>0</v>
      </c>
      <c r="AO411" s="28">
        <v>0.36666666666666659</v>
      </c>
      <c r="AP411" s="28">
        <v>0.5</v>
      </c>
      <c r="AQ411" s="28">
        <v>0.1333333333333333</v>
      </c>
      <c r="AR411" s="28">
        <v>0</v>
      </c>
      <c r="AS411" s="25">
        <v>0.89</v>
      </c>
      <c r="AT411" s="25">
        <v>3.44</v>
      </c>
      <c r="AU411" s="25">
        <v>2.5499999999999998</v>
      </c>
      <c r="AV411" s="25">
        <v>2.6020833333333329</v>
      </c>
      <c r="AW411">
        <v>2.6020833333333329</v>
      </c>
      <c r="AX411">
        <v>5.9098726145833336</v>
      </c>
      <c r="AY411" s="75">
        <v>0.57410011132036598</v>
      </c>
      <c r="AZ411" s="75">
        <v>0.59200041353179045</v>
      </c>
      <c r="BA411" s="75"/>
      <c r="BC411">
        <v>4.2437904787336528E-2</v>
      </c>
      <c r="BD411">
        <v>4.3761108364437168E-2</v>
      </c>
      <c r="BF411">
        <v>8.619901315177371E-2</v>
      </c>
      <c r="BG411">
        <v>4.3099506575886848E-2</v>
      </c>
      <c r="BH411">
        <v>0.58305026242607827</v>
      </c>
      <c r="BS411" s="79" t="s">
        <v>464</v>
      </c>
      <c r="BT411" s="79" t="s">
        <v>464</v>
      </c>
    </row>
    <row r="412" spans="1:72" x14ac:dyDescent="0.3">
      <c r="A412" s="2" t="s">
        <v>4</v>
      </c>
      <c r="B412" s="20" t="s">
        <v>689</v>
      </c>
      <c r="C412" s="13"/>
      <c r="D412" s="2">
        <v>3.55</v>
      </c>
      <c r="E412" s="2" t="s">
        <v>263</v>
      </c>
      <c r="F412" s="9">
        <v>-1</v>
      </c>
      <c r="G412">
        <v>-1</v>
      </c>
      <c r="I412" s="2">
        <v>4</v>
      </c>
      <c r="J412" s="25">
        <v>0</v>
      </c>
      <c r="K412">
        <v>0</v>
      </c>
      <c r="L412">
        <v>0</v>
      </c>
      <c r="M412" s="2">
        <v>3.8450000000000002</v>
      </c>
      <c r="N412" s="2">
        <v>29.35</v>
      </c>
      <c r="O412" s="2">
        <v>7.6580000000000004</v>
      </c>
      <c r="P412" s="2" t="s">
        <v>472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20</v>
      </c>
      <c r="AC412" s="55">
        <f t="shared" si="46"/>
        <v>864.21104350000007</v>
      </c>
      <c r="AD412" s="57">
        <v>0</v>
      </c>
      <c r="AE412" s="55">
        <v>0</v>
      </c>
      <c r="AF412" s="55">
        <v>0</v>
      </c>
      <c r="AG412" s="52">
        <f t="shared" ref="AG412:AG413" si="47">I412*AB412/AC412</f>
        <v>9.256998114257492E-2</v>
      </c>
      <c r="AH412" s="51"/>
      <c r="AI412" s="52"/>
      <c r="AJ412" s="52"/>
      <c r="AK412" s="28">
        <v>1.75</v>
      </c>
      <c r="AL412" s="28">
        <v>2.5</v>
      </c>
      <c r="AM412" s="28">
        <v>0.75</v>
      </c>
      <c r="AN412" s="28">
        <v>0</v>
      </c>
      <c r="AO412" s="28">
        <v>0.35</v>
      </c>
      <c r="AP412" s="28">
        <v>0.5</v>
      </c>
      <c r="AQ412" s="28">
        <v>0.15</v>
      </c>
      <c r="AR412" s="28">
        <v>0</v>
      </c>
      <c r="AS412" s="25">
        <v>0.82</v>
      </c>
      <c r="AT412" s="25">
        <v>3.44</v>
      </c>
      <c r="AU412" s="25">
        <v>2.62</v>
      </c>
      <c r="AV412" s="25">
        <v>2.6262500000000002</v>
      </c>
      <c r="AW412">
        <v>2.7466666666666661</v>
      </c>
      <c r="AX412">
        <v>6.2031928980000002</v>
      </c>
      <c r="AY412" s="75"/>
      <c r="AZ412" s="75"/>
      <c r="BA412" s="75"/>
      <c r="BB412">
        <v>4.628499057128746E-2</v>
      </c>
      <c r="BF412">
        <v>9.256998114257492E-2</v>
      </c>
      <c r="BG412">
        <v>4.628499057128746E-2</v>
      </c>
      <c r="BH412">
        <v>0</v>
      </c>
      <c r="BS412" s="79" t="s">
        <v>464</v>
      </c>
      <c r="BT412" s="79" t="s">
        <v>464</v>
      </c>
    </row>
    <row r="413" spans="1:72" x14ac:dyDescent="0.3">
      <c r="A413" s="2" t="s">
        <v>4</v>
      </c>
      <c r="B413" s="20" t="s">
        <v>689</v>
      </c>
      <c r="C413" s="13"/>
      <c r="D413" s="2">
        <v>3.03</v>
      </c>
      <c r="E413" s="2" t="s">
        <v>263</v>
      </c>
      <c r="F413" s="9">
        <v>-1</v>
      </c>
      <c r="G413">
        <v>-1</v>
      </c>
      <c r="I413" s="2">
        <v>4</v>
      </c>
      <c r="J413" s="25">
        <v>0</v>
      </c>
      <c r="K413">
        <v>0</v>
      </c>
      <c r="L413">
        <v>0</v>
      </c>
      <c r="M413" s="2">
        <v>3.8490000000000002</v>
      </c>
      <c r="N413" s="2">
        <v>29.42</v>
      </c>
      <c r="O413" s="2">
        <v>7.6680000000000001</v>
      </c>
      <c r="P413" s="2" t="s">
        <v>472</v>
      </c>
      <c r="Q413" s="2"/>
      <c r="R413" s="25">
        <v>0</v>
      </c>
      <c r="S413" s="25"/>
      <c r="T413" s="25"/>
      <c r="U413">
        <v>0</v>
      </c>
      <c r="X413">
        <v>0</v>
      </c>
      <c r="AA413" s="2"/>
      <c r="AB413">
        <v>20</v>
      </c>
      <c r="AC413" s="55">
        <f t="shared" si="46"/>
        <v>868.30576344000008</v>
      </c>
      <c r="AD413" s="57">
        <v>0</v>
      </c>
      <c r="AE413" s="55">
        <v>0</v>
      </c>
      <c r="AF413" s="55">
        <v>0</v>
      </c>
      <c r="AG413" s="52">
        <f t="shared" si="47"/>
        <v>9.2133443503888482E-2</v>
      </c>
      <c r="AH413" s="51"/>
      <c r="AI413" s="52"/>
      <c r="AJ413" s="52"/>
      <c r="AK413" s="28">
        <v>1.75</v>
      </c>
      <c r="AL413" s="28">
        <v>2.5</v>
      </c>
      <c r="AM413" s="28">
        <v>0.75</v>
      </c>
      <c r="AN413" s="28">
        <v>0</v>
      </c>
      <c r="AO413" s="28">
        <v>0.35</v>
      </c>
      <c r="AP413" s="28">
        <v>0.5</v>
      </c>
      <c r="AQ413" s="28">
        <v>0.15</v>
      </c>
      <c r="AR413" s="28">
        <v>0</v>
      </c>
      <c r="AS413" s="25">
        <v>0.82</v>
      </c>
      <c r="AT413" s="25">
        <v>3.44</v>
      </c>
      <c r="AU413" s="25">
        <v>2.62</v>
      </c>
      <c r="AV413" s="25">
        <v>2.6262500000000002</v>
      </c>
      <c r="AW413">
        <v>2.7466666666666661</v>
      </c>
      <c r="AX413">
        <v>6.2031928980000002</v>
      </c>
      <c r="AY413" s="75"/>
      <c r="AZ413" s="75"/>
      <c r="BA413" s="75"/>
      <c r="BB413">
        <v>4.6066721751944241E-2</v>
      </c>
      <c r="BF413">
        <v>9.2133443503888482E-2</v>
      </c>
      <c r="BG413">
        <v>4.6066721751944241E-2</v>
      </c>
      <c r="BH413">
        <v>0</v>
      </c>
      <c r="BN413" s="79" t="s">
        <v>676</v>
      </c>
      <c r="BO413" s="79">
        <v>1.37</v>
      </c>
      <c r="BS413" s="79" t="s">
        <v>464</v>
      </c>
      <c r="BT413" s="79" t="s">
        <v>464</v>
      </c>
    </row>
    <row r="414" spans="1:72" x14ac:dyDescent="0.3">
      <c r="A414" s="2" t="s">
        <v>889</v>
      </c>
      <c r="B414" s="17" t="s">
        <v>945</v>
      </c>
      <c r="C414" s="13"/>
      <c r="D414" s="2">
        <v>2.1800000000000002</v>
      </c>
      <c r="E414" s="2" t="s">
        <v>264</v>
      </c>
      <c r="F414" s="9">
        <v>-1</v>
      </c>
      <c r="G414">
        <v>-1</v>
      </c>
      <c r="H414" t="s">
        <v>1174</v>
      </c>
      <c r="I414" s="2">
        <v>1</v>
      </c>
      <c r="J414" s="25">
        <v>0</v>
      </c>
      <c r="K414">
        <v>0</v>
      </c>
      <c r="L414">
        <v>1</v>
      </c>
      <c r="M414" s="2">
        <v>3.899</v>
      </c>
      <c r="N414" s="2">
        <v>3.899</v>
      </c>
      <c r="O414" s="2">
        <v>15.5359</v>
      </c>
      <c r="P414" s="2"/>
      <c r="Q414" s="2"/>
      <c r="R414" s="25">
        <v>0</v>
      </c>
      <c r="S414" s="25"/>
      <c r="T414" s="25"/>
      <c r="U414">
        <v>0</v>
      </c>
      <c r="X414">
        <v>0</v>
      </c>
      <c r="AA414" s="2"/>
      <c r="AB414">
        <v>20</v>
      </c>
      <c r="AC414" s="55">
        <f t="shared" si="46"/>
        <v>236.1798745159</v>
      </c>
      <c r="AD414" s="57">
        <v>0</v>
      </c>
      <c r="AE414" s="55">
        <v>0</v>
      </c>
      <c r="AF414" s="55">
        <v>236.2</v>
      </c>
      <c r="AG414" s="52"/>
      <c r="AH414" s="51"/>
      <c r="AI414" s="52"/>
      <c r="AJ414" s="67">
        <f>L414*AB414/AF414</f>
        <v>8.4674005080440304E-2</v>
      </c>
      <c r="AK414" s="28">
        <v>1.9375</v>
      </c>
      <c r="AL414" s="28">
        <v>2.5</v>
      </c>
      <c r="AM414" s="28">
        <v>0.5625</v>
      </c>
      <c r="AN414" s="28">
        <v>2.625</v>
      </c>
      <c r="AO414" s="28">
        <v>0.25409836065573771</v>
      </c>
      <c r="AP414" s="28">
        <v>0.32786885245901642</v>
      </c>
      <c r="AQ414" s="28">
        <v>7.3770491803278687E-2</v>
      </c>
      <c r="AR414" s="28">
        <v>0.34426229508196721</v>
      </c>
      <c r="AS414" s="25">
        <v>0.79</v>
      </c>
      <c r="AT414" s="25">
        <v>3.44</v>
      </c>
      <c r="AU414" s="25">
        <v>2.65</v>
      </c>
      <c r="AV414" s="25">
        <v>2.5975000000000001</v>
      </c>
      <c r="AW414">
        <v>2.5975000000000001</v>
      </c>
      <c r="AX414">
        <v>5.9398049203884389</v>
      </c>
      <c r="AY414" s="75"/>
      <c r="AZ414" s="75"/>
      <c r="BA414" s="75">
        <v>0.56677800513792698</v>
      </c>
      <c r="BB414">
        <v>4.2340610183221959E-2</v>
      </c>
      <c r="BE414">
        <v>4.2337002540220152E-2</v>
      </c>
      <c r="BF414">
        <v>8.4674005080440304E-2</v>
      </c>
      <c r="BG414">
        <v>4.2338806361721062E-2</v>
      </c>
      <c r="BH414">
        <v>0.56677800513792698</v>
      </c>
      <c r="BN414" s="79" t="s">
        <v>676</v>
      </c>
      <c r="BO414" s="79">
        <v>0.41</v>
      </c>
    </row>
    <row r="415" spans="1:72" x14ac:dyDescent="0.3">
      <c r="A415" s="2" t="s">
        <v>4</v>
      </c>
      <c r="B415" s="13" t="s">
        <v>689</v>
      </c>
      <c r="C415" s="13"/>
      <c r="D415" s="2">
        <v>2.92</v>
      </c>
      <c r="E415" s="2" t="s">
        <v>265</v>
      </c>
      <c r="F415" s="9" t="s">
        <v>527</v>
      </c>
      <c r="G415" t="s">
        <v>609</v>
      </c>
      <c r="I415" s="2"/>
      <c r="J415" s="25">
        <v>4</v>
      </c>
      <c r="K415">
        <v>4</v>
      </c>
      <c r="L415">
        <v>0</v>
      </c>
      <c r="M415" s="2"/>
      <c r="N415" s="2"/>
      <c r="O415" s="2"/>
      <c r="P415" s="2"/>
      <c r="Q415" s="2"/>
      <c r="R415" s="25">
        <v>7.8084429999999996</v>
      </c>
      <c r="S415" s="25">
        <v>7.8548809999999998</v>
      </c>
      <c r="T415" s="25">
        <v>15.19056011</v>
      </c>
      <c r="U415">
        <v>3.8801999999999999</v>
      </c>
      <c r="V415">
        <v>29.507999999999999</v>
      </c>
      <c r="W415">
        <v>7.7140000000000004</v>
      </c>
      <c r="X415">
        <v>0</v>
      </c>
      <c r="AA415" s="2"/>
      <c r="AB415">
        <v>20</v>
      </c>
      <c r="AC415" s="55">
        <f t="shared" si="46"/>
        <v>0</v>
      </c>
      <c r="AD415" s="57">
        <v>924.74694800021894</v>
      </c>
      <c r="AE415" s="55">
        <v>883.22940750240002</v>
      </c>
      <c r="AF415" s="55">
        <v>0</v>
      </c>
      <c r="AG415" s="52"/>
      <c r="AH415" s="51">
        <v>8.6510153045653584E-2</v>
      </c>
      <c r="AI415" s="52">
        <v>9.0576694254581439E-2</v>
      </c>
      <c r="AJ415" s="52"/>
      <c r="AK415" s="28">
        <v>1.75</v>
      </c>
      <c r="AL415" s="28">
        <v>2.5</v>
      </c>
      <c r="AM415" s="28">
        <v>0.75</v>
      </c>
      <c r="AN415" s="28">
        <v>0</v>
      </c>
      <c r="AO415" s="28">
        <v>0.35</v>
      </c>
      <c r="AP415" s="28">
        <v>0.5</v>
      </c>
      <c r="AQ415" s="28">
        <v>0.15</v>
      </c>
      <c r="AR415" s="28">
        <v>0</v>
      </c>
      <c r="AS415" s="25">
        <v>0.82</v>
      </c>
      <c r="AT415" s="25">
        <v>3.44</v>
      </c>
      <c r="AU415" s="25">
        <v>2.62</v>
      </c>
      <c r="AV415" s="25">
        <v>2.6262500000000002</v>
      </c>
      <c r="AW415">
        <v>2.6262500000000002</v>
      </c>
      <c r="AX415">
        <v>5.96680968125</v>
      </c>
      <c r="AY415" s="75">
        <v>0.50555206026575039</v>
      </c>
      <c r="AZ415" s="75">
        <v>0</v>
      </c>
      <c r="BA415" s="75"/>
      <c r="BC415">
        <v>4.3255076522826792E-2</v>
      </c>
      <c r="BD415">
        <v>4.5288347127290719E-2</v>
      </c>
      <c r="BF415">
        <v>8.8543423650117511E-2</v>
      </c>
      <c r="BG415">
        <v>4.4271711825058763E-2</v>
      </c>
      <c r="BH415">
        <v>0.2527760301328752</v>
      </c>
      <c r="BN415" s="79" t="s">
        <v>890</v>
      </c>
      <c r="BO415" s="79">
        <v>0.55000000000000004</v>
      </c>
    </row>
    <row r="416" spans="1:72" x14ac:dyDescent="0.3">
      <c r="A416" s="2" t="s">
        <v>4</v>
      </c>
      <c r="B416" s="13" t="s">
        <v>689</v>
      </c>
      <c r="C416" s="13"/>
      <c r="D416" s="2">
        <v>3.55</v>
      </c>
      <c r="E416" s="2" t="s">
        <v>265</v>
      </c>
      <c r="F416" s="9" t="s">
        <v>527</v>
      </c>
      <c r="G416" t="s">
        <v>609</v>
      </c>
      <c r="I416" s="2"/>
      <c r="J416" s="25">
        <v>4</v>
      </c>
      <c r="K416">
        <v>4</v>
      </c>
      <c r="L416">
        <v>0</v>
      </c>
      <c r="M416" s="2"/>
      <c r="N416" s="2"/>
      <c r="O416" s="2"/>
      <c r="P416" s="2"/>
      <c r="Q416" s="2"/>
      <c r="R416" s="25">
        <v>7.8084429999999996</v>
      </c>
      <c r="S416" s="25">
        <v>7.8548809999999998</v>
      </c>
      <c r="T416" s="25">
        <v>15.19056011</v>
      </c>
      <c r="U416">
        <v>3.8801999999999999</v>
      </c>
      <c r="V416">
        <v>29.507999999999999</v>
      </c>
      <c r="W416">
        <v>7.7140000000000004</v>
      </c>
      <c r="X416">
        <v>0</v>
      </c>
      <c r="AA416" s="2"/>
      <c r="AB416">
        <v>20</v>
      </c>
      <c r="AC416" s="55">
        <f t="shared" si="46"/>
        <v>0</v>
      </c>
      <c r="AD416" s="57">
        <v>924.74694800021894</v>
      </c>
      <c r="AE416" s="55">
        <v>883.22940750240002</v>
      </c>
      <c r="AF416" s="55">
        <v>0</v>
      </c>
      <c r="AG416" s="52"/>
      <c r="AH416" s="51">
        <v>8.6510153045653584E-2</v>
      </c>
      <c r="AI416" s="52">
        <v>9.0576694254581439E-2</v>
      </c>
      <c r="AJ416" s="52"/>
      <c r="AK416" s="28">
        <v>1.75</v>
      </c>
      <c r="AL416" s="28">
        <v>2.5</v>
      </c>
      <c r="AM416" s="28">
        <v>0.75</v>
      </c>
      <c r="AN416" s="28">
        <v>0</v>
      </c>
      <c r="AO416" s="28">
        <v>0.35</v>
      </c>
      <c r="AP416" s="28">
        <v>0.5</v>
      </c>
      <c r="AQ416" s="28">
        <v>0.15</v>
      </c>
      <c r="AR416" s="28">
        <v>0</v>
      </c>
      <c r="AS416" s="25">
        <v>0.82</v>
      </c>
      <c r="AT416" s="25">
        <v>3.44</v>
      </c>
      <c r="AU416" s="25">
        <v>2.62</v>
      </c>
      <c r="AV416" s="25">
        <v>2.6262500000000002</v>
      </c>
      <c r="AW416">
        <v>2.6262500000000002</v>
      </c>
      <c r="AX416">
        <v>5.96680968125</v>
      </c>
      <c r="AY416" s="75">
        <v>0.50555206026575039</v>
      </c>
      <c r="AZ416" s="75">
        <v>0</v>
      </c>
      <c r="BA416" s="75"/>
      <c r="BC416">
        <v>4.3255076522826792E-2</v>
      </c>
      <c r="BD416">
        <v>4.5288347127290719E-2</v>
      </c>
      <c r="BF416">
        <v>8.8543423650117511E-2</v>
      </c>
      <c r="BG416">
        <v>4.4271711825058763E-2</v>
      </c>
      <c r="BH416">
        <v>0.2527760301328752</v>
      </c>
    </row>
    <row r="417" spans="1:60" x14ac:dyDescent="0.3">
      <c r="A417" s="2" t="s">
        <v>266</v>
      </c>
      <c r="B417" s="13" t="s">
        <v>819</v>
      </c>
      <c r="C417" s="13"/>
      <c r="D417" s="2">
        <v>2.8</v>
      </c>
      <c r="E417" s="2" t="s">
        <v>267</v>
      </c>
      <c r="F417" s="9" t="s">
        <v>596</v>
      </c>
      <c r="G417" t="s">
        <v>669</v>
      </c>
      <c r="I417" s="2"/>
      <c r="J417" s="25">
        <v>1</v>
      </c>
      <c r="K417">
        <v>1</v>
      </c>
      <c r="L417">
        <v>0</v>
      </c>
      <c r="M417" s="2">
        <v>3.97</v>
      </c>
      <c r="N417" s="2">
        <v>3.97</v>
      </c>
      <c r="O417" s="2">
        <v>15.56</v>
      </c>
      <c r="P417" s="2" t="s">
        <v>519</v>
      </c>
      <c r="Q417" s="2"/>
      <c r="R417" s="25">
        <v>4.0290549999999996</v>
      </c>
      <c r="S417" s="25">
        <v>4.0290549999999996</v>
      </c>
      <c r="T417" s="25">
        <v>16.069894999999999</v>
      </c>
      <c r="U417">
        <v>3.9765999999999999</v>
      </c>
      <c r="V417">
        <v>3.9765999999999999</v>
      </c>
      <c r="W417">
        <v>15.5792</v>
      </c>
      <c r="X417">
        <v>0</v>
      </c>
      <c r="AA417" s="2"/>
      <c r="AB417">
        <v>20</v>
      </c>
      <c r="AC417" s="55">
        <f t="shared" si="46"/>
        <v>245.23960400000001</v>
      </c>
      <c r="AD417" s="57">
        <v>260.8671724870714</v>
      </c>
      <c r="AE417" s="55">
        <v>246.35930430675199</v>
      </c>
      <c r="AF417" s="55">
        <v>0</v>
      </c>
      <c r="AG417" s="52"/>
      <c r="AH417" s="51">
        <v>7.6667369869971663E-2</v>
      </c>
      <c r="AI417" s="52">
        <v>8.1182239316186677E-2</v>
      </c>
      <c r="AJ417" s="52"/>
      <c r="AK417" s="28">
        <v>1.75</v>
      </c>
      <c r="AL417" s="28">
        <v>2.5</v>
      </c>
      <c r="AM417" s="28">
        <v>0.75</v>
      </c>
      <c r="AN417" s="28">
        <v>0</v>
      </c>
      <c r="AO417" s="28">
        <v>0.35</v>
      </c>
      <c r="AP417" s="28">
        <v>0.5</v>
      </c>
      <c r="AQ417" s="28">
        <v>0.15</v>
      </c>
      <c r="AR417" s="28">
        <v>0</v>
      </c>
      <c r="AS417" s="25">
        <v>0.79</v>
      </c>
      <c r="AT417" s="25">
        <v>3.44</v>
      </c>
      <c r="AU417" s="25">
        <v>2.65</v>
      </c>
      <c r="AV417" s="25">
        <v>2.6106250000000002</v>
      </c>
      <c r="AW417">
        <v>2.6106250000000002</v>
      </c>
      <c r="AX417">
        <v>5.9030778492946876</v>
      </c>
      <c r="AY417" s="75">
        <v>0.54551133687670861</v>
      </c>
      <c r="AZ417" s="75">
        <v>0.57763598744977085</v>
      </c>
      <c r="BA417" s="75"/>
      <c r="BC417">
        <v>3.8333684934985832E-2</v>
      </c>
      <c r="BD417">
        <v>4.0591119658093339E-2</v>
      </c>
      <c r="BF417">
        <v>7.892480459307917E-2</v>
      </c>
      <c r="BG417">
        <v>3.9462402296539592E-2</v>
      </c>
      <c r="BH417">
        <v>0.56157366216323967</v>
      </c>
    </row>
    <row r="418" spans="1:60" x14ac:dyDescent="0.3">
      <c r="A418" s="2" t="s">
        <v>268</v>
      </c>
      <c r="B418" s="13" t="s">
        <v>820</v>
      </c>
      <c r="C418" s="13"/>
      <c r="D418" s="2">
        <v>2.8</v>
      </c>
      <c r="E418" s="2" t="s">
        <v>267</v>
      </c>
      <c r="F418" s="9">
        <v>-1</v>
      </c>
      <c r="G418">
        <v>-1</v>
      </c>
      <c r="I418" s="2">
        <v>1</v>
      </c>
      <c r="J418" s="25">
        <v>0</v>
      </c>
      <c r="K418">
        <v>0</v>
      </c>
      <c r="L418">
        <v>0</v>
      </c>
      <c r="M418" s="2">
        <v>3.97</v>
      </c>
      <c r="N418" s="2">
        <v>3.97</v>
      </c>
      <c r="O418" s="2">
        <v>15.56</v>
      </c>
      <c r="P418" s="2" t="s">
        <v>519</v>
      </c>
      <c r="Q418" s="2"/>
      <c r="R418" s="25">
        <v>0</v>
      </c>
      <c r="S418" s="25"/>
      <c r="T418" s="25"/>
      <c r="U418">
        <v>0</v>
      </c>
      <c r="X418">
        <v>0</v>
      </c>
      <c r="AA418" s="2"/>
      <c r="AB418">
        <v>20</v>
      </c>
      <c r="AC418" s="55">
        <f t="shared" si="46"/>
        <v>245.23960400000001</v>
      </c>
      <c r="AD418" s="57">
        <v>0</v>
      </c>
      <c r="AE418" s="55">
        <v>0</v>
      </c>
      <c r="AF418" s="55">
        <v>0</v>
      </c>
      <c r="AG418" s="52">
        <f t="shared" ref="AG418:AG431" si="48">I418*AB418/AC418</f>
        <v>8.1552896325831611E-2</v>
      </c>
      <c r="AH418" s="51"/>
      <c r="AI418" s="52"/>
      <c r="AJ418" s="52"/>
      <c r="AK418" s="28">
        <v>1.75</v>
      </c>
      <c r="AL418" s="28">
        <v>2.5</v>
      </c>
      <c r="AM418" s="28">
        <v>0.75</v>
      </c>
      <c r="AN418" s="28">
        <v>0</v>
      </c>
      <c r="AO418" s="28">
        <v>0.35</v>
      </c>
      <c r="AP418" s="28">
        <v>0.5</v>
      </c>
      <c r="AQ418" s="28">
        <v>0.15</v>
      </c>
      <c r="AR418" s="28">
        <v>0</v>
      </c>
      <c r="AS418" s="25">
        <v>0.89</v>
      </c>
      <c r="AT418" s="25">
        <v>3.44</v>
      </c>
      <c r="AU418" s="25">
        <v>2.5499999999999998</v>
      </c>
      <c r="AV418" s="25">
        <v>2.69875</v>
      </c>
      <c r="AW418">
        <v>2.69875</v>
      </c>
      <c r="AX418">
        <v>6.2151871187406877</v>
      </c>
      <c r="AY418" s="75"/>
      <c r="AZ418" s="75"/>
      <c r="BA418" s="75"/>
      <c r="BB418">
        <v>4.0776448162915813E-2</v>
      </c>
      <c r="BF418">
        <v>8.1552896325831611E-2</v>
      </c>
      <c r="BG418">
        <v>4.0776448162915813E-2</v>
      </c>
      <c r="BH418">
        <v>0</v>
      </c>
    </row>
    <row r="419" spans="1:60" x14ac:dyDescent="0.3">
      <c r="A419" s="2" t="s">
        <v>270</v>
      </c>
      <c r="B419" s="18" t="s">
        <v>977</v>
      </c>
      <c r="C419" s="13"/>
      <c r="D419" s="2">
        <v>3.29</v>
      </c>
      <c r="E419" s="2" t="s">
        <v>269</v>
      </c>
      <c r="F419" s="9">
        <v>-1</v>
      </c>
      <c r="G419">
        <v>-1</v>
      </c>
      <c r="I419" s="2">
        <v>1</v>
      </c>
      <c r="J419" s="25">
        <v>0</v>
      </c>
      <c r="K419">
        <v>0</v>
      </c>
      <c r="L419">
        <v>0</v>
      </c>
      <c r="M419" s="2">
        <v>3.89</v>
      </c>
      <c r="N419" s="2">
        <v>3.89</v>
      </c>
      <c r="O419" s="2">
        <v>16.43</v>
      </c>
      <c r="P419" s="2" t="s">
        <v>519</v>
      </c>
      <c r="Q419" s="2"/>
      <c r="R419" s="25">
        <v>0</v>
      </c>
      <c r="S419" s="25"/>
      <c r="T419" s="25"/>
      <c r="U419">
        <v>0</v>
      </c>
      <c r="X419">
        <v>0</v>
      </c>
      <c r="AA419" s="2"/>
      <c r="AB419">
        <v>38</v>
      </c>
      <c r="AC419" s="55">
        <f t="shared" si="46"/>
        <v>248.62040300000001</v>
      </c>
      <c r="AD419" s="57">
        <v>0</v>
      </c>
      <c r="AE419" s="55">
        <v>0</v>
      </c>
      <c r="AF419" s="55">
        <v>0</v>
      </c>
      <c r="AG419" s="52">
        <f t="shared" si="48"/>
        <v>0.15284344945736411</v>
      </c>
      <c r="AH419" s="51"/>
      <c r="AI419" s="52"/>
      <c r="AJ419" s="52"/>
      <c r="AK419" s="28">
        <v>1.84</v>
      </c>
      <c r="AL419" s="28">
        <v>3.04</v>
      </c>
      <c r="AM419" s="28">
        <v>0.48</v>
      </c>
      <c r="AN419" s="28">
        <v>0</v>
      </c>
      <c r="AO419" s="28">
        <v>0.34328358208955218</v>
      </c>
      <c r="AP419" s="28">
        <v>0.56716417910447758</v>
      </c>
      <c r="AQ419" s="28">
        <v>8.9552238805970144E-2</v>
      </c>
      <c r="AR419" s="28">
        <v>0</v>
      </c>
      <c r="AS419" s="25">
        <v>0.95</v>
      </c>
      <c r="AT419" s="25">
        <v>3.44</v>
      </c>
      <c r="AU419" s="25">
        <v>2.4900000000000002</v>
      </c>
      <c r="AV419" s="25">
        <v>2.9704000000000002</v>
      </c>
      <c r="AW419">
        <v>2.9704000000000002</v>
      </c>
      <c r="AX419">
        <v>6.7075943239940399</v>
      </c>
      <c r="AY419" s="75"/>
      <c r="AZ419" s="75"/>
      <c r="BA419" s="75"/>
      <c r="BB419">
        <v>7.6421724728682056E-2</v>
      </c>
      <c r="BF419">
        <v>0.15284344945736411</v>
      </c>
      <c r="BG419">
        <v>7.6421724728682056E-2</v>
      </c>
      <c r="BH419">
        <v>0</v>
      </c>
    </row>
    <row r="420" spans="1:60" x14ac:dyDescent="0.3">
      <c r="A420" s="2" t="s">
        <v>271</v>
      </c>
      <c r="B420" s="18" t="s">
        <v>978</v>
      </c>
      <c r="C420" s="13"/>
      <c r="D420" s="2">
        <v>3.29</v>
      </c>
      <c r="E420" s="2" t="s">
        <v>269</v>
      </c>
      <c r="F420" s="9">
        <v>-1</v>
      </c>
      <c r="G420">
        <v>-1</v>
      </c>
      <c r="I420" s="2">
        <v>1</v>
      </c>
      <c r="J420" s="25">
        <v>0</v>
      </c>
      <c r="K420">
        <v>0</v>
      </c>
      <c r="L420">
        <v>0</v>
      </c>
      <c r="M420" s="2">
        <v>3.9</v>
      </c>
      <c r="N420" s="2">
        <v>3.9</v>
      </c>
      <c r="O420" s="2">
        <v>16.54</v>
      </c>
      <c r="P420" s="2" t="s">
        <v>519</v>
      </c>
      <c r="Q420" s="2"/>
      <c r="R420" s="25">
        <v>0</v>
      </c>
      <c r="S420" s="25"/>
      <c r="T420" s="25"/>
      <c r="U420">
        <v>0</v>
      </c>
      <c r="X420">
        <v>0</v>
      </c>
      <c r="AA420" s="2"/>
      <c r="AB420">
        <v>38</v>
      </c>
      <c r="AC420" s="55">
        <f t="shared" si="46"/>
        <v>251.57339999999996</v>
      </c>
      <c r="AD420" s="57">
        <v>0</v>
      </c>
      <c r="AE420" s="55">
        <v>0</v>
      </c>
      <c r="AF420" s="55">
        <v>0</v>
      </c>
      <c r="AG420" s="52">
        <f t="shared" si="48"/>
        <v>0.15104935577449766</v>
      </c>
      <c r="AH420" s="51"/>
      <c r="AI420" s="52"/>
      <c r="AJ420" s="52"/>
      <c r="AK420" s="28">
        <v>1.71875</v>
      </c>
      <c r="AL420" s="28">
        <v>2.53125</v>
      </c>
      <c r="AM420" s="28">
        <v>0.375</v>
      </c>
      <c r="AN420" s="28">
        <v>0</v>
      </c>
      <c r="AO420" s="28">
        <v>0.3716216216216216</v>
      </c>
      <c r="AP420" s="28">
        <v>0.54729729729729726</v>
      </c>
      <c r="AQ420" s="28">
        <v>8.1081081081081086E-2</v>
      </c>
      <c r="AR420" s="28">
        <v>0</v>
      </c>
      <c r="AS420" s="25">
        <v>0.95</v>
      </c>
      <c r="AT420" s="25">
        <v>3.44</v>
      </c>
      <c r="AU420" s="25">
        <v>2.4900000000000002</v>
      </c>
      <c r="AV420" s="25">
        <v>2.8390624999999998</v>
      </c>
      <c r="AW420">
        <v>2.8390624999999998</v>
      </c>
      <c r="AX420">
        <v>6.7833032939095634</v>
      </c>
      <c r="AY420" s="75"/>
      <c r="AZ420" s="75"/>
      <c r="BA420" s="75"/>
      <c r="BB420">
        <v>7.5524677887248828E-2</v>
      </c>
      <c r="BF420">
        <v>0.15104935577449771</v>
      </c>
      <c r="BG420">
        <v>7.5524677887248828E-2</v>
      </c>
      <c r="BH420">
        <v>0</v>
      </c>
    </row>
    <row r="421" spans="1:60" x14ac:dyDescent="0.3">
      <c r="A421" s="2" t="s">
        <v>272</v>
      </c>
      <c r="B421" s="18" t="s">
        <v>983</v>
      </c>
      <c r="C421" s="13"/>
      <c r="D421" s="2">
        <v>3.3</v>
      </c>
      <c r="E421" s="2" t="s">
        <v>269</v>
      </c>
      <c r="F421" s="9">
        <v>-1</v>
      </c>
      <c r="G421">
        <v>-1</v>
      </c>
      <c r="I421" s="2">
        <v>1</v>
      </c>
      <c r="J421" s="25">
        <v>0</v>
      </c>
      <c r="K421">
        <v>0</v>
      </c>
      <c r="L421">
        <v>0</v>
      </c>
      <c r="M421" s="2">
        <v>3.9</v>
      </c>
      <c r="N421" s="2">
        <v>3.9</v>
      </c>
      <c r="O421" s="2">
        <v>20.78</v>
      </c>
      <c r="P421" s="2" t="s">
        <v>519</v>
      </c>
      <c r="Q421" s="2"/>
      <c r="R421" s="25">
        <v>0</v>
      </c>
      <c r="S421" s="25"/>
      <c r="T421" s="25"/>
      <c r="U421">
        <v>0</v>
      </c>
      <c r="X421">
        <v>0</v>
      </c>
      <c r="AA421" s="2"/>
      <c r="AB421">
        <v>38</v>
      </c>
      <c r="AC421" s="55">
        <f t="shared" si="46"/>
        <v>316.06380000000001</v>
      </c>
      <c r="AD421" s="57">
        <v>0</v>
      </c>
      <c r="AE421" s="55">
        <v>0</v>
      </c>
      <c r="AF421" s="55">
        <v>0</v>
      </c>
      <c r="AG421" s="52">
        <f t="shared" si="48"/>
        <v>0.12022889049615931</v>
      </c>
      <c r="AH421" s="51"/>
      <c r="AI421" s="52"/>
      <c r="AJ421" s="52"/>
      <c r="AK421" s="28">
        <v>1.6857142857142859</v>
      </c>
      <c r="AL421" s="28">
        <v>2.371428571428571</v>
      </c>
      <c r="AM421" s="28">
        <v>0.34285714285714292</v>
      </c>
      <c r="AN421" s="28">
        <v>0</v>
      </c>
      <c r="AO421" s="28">
        <v>0.38311688311688308</v>
      </c>
      <c r="AP421" s="28">
        <v>0.53896103896103897</v>
      </c>
      <c r="AQ421" s="28">
        <v>7.792207792207792E-2</v>
      </c>
      <c r="AR421" s="28">
        <v>0</v>
      </c>
      <c r="AS421" s="25">
        <v>0.95</v>
      </c>
      <c r="AT421" s="25">
        <v>3.44</v>
      </c>
      <c r="AU421" s="25">
        <v>2.4900000000000002</v>
      </c>
      <c r="AV421" s="25">
        <v>2.794285714285714</v>
      </c>
      <c r="AW421">
        <v>2.794285714285714</v>
      </c>
      <c r="AX421">
        <v>6.7908553945945132</v>
      </c>
      <c r="AY421" s="75"/>
      <c r="AZ421" s="75"/>
      <c r="BA421" s="75"/>
      <c r="BB421">
        <v>6.0114445248079663E-2</v>
      </c>
      <c r="BF421">
        <v>0.1202288904961593</v>
      </c>
      <c r="BG421">
        <v>6.0114445248079663E-2</v>
      </c>
      <c r="BH421">
        <v>0</v>
      </c>
    </row>
    <row r="422" spans="1:60" x14ac:dyDescent="0.3">
      <c r="A422" s="2" t="s">
        <v>273</v>
      </c>
      <c r="B422" s="18" t="s">
        <v>982</v>
      </c>
      <c r="C422" s="13"/>
      <c r="D422" s="2">
        <v>3.31</v>
      </c>
      <c r="E422" s="2" t="s">
        <v>269</v>
      </c>
      <c r="F422" s="9">
        <v>-1</v>
      </c>
      <c r="G422">
        <v>-1</v>
      </c>
      <c r="I422" s="2">
        <v>1</v>
      </c>
      <c r="J422" s="25">
        <v>0</v>
      </c>
      <c r="K422">
        <v>0</v>
      </c>
      <c r="L422">
        <v>0</v>
      </c>
      <c r="M422" s="2">
        <v>3.89</v>
      </c>
      <c r="N422" s="2">
        <v>3.89</v>
      </c>
      <c r="O422" s="2">
        <v>22.41</v>
      </c>
      <c r="P422" s="2" t="s">
        <v>519</v>
      </c>
      <c r="Q422" s="2"/>
      <c r="R422" s="25">
        <v>0</v>
      </c>
      <c r="S422" s="25"/>
      <c r="T422" s="25"/>
      <c r="U422">
        <v>0</v>
      </c>
      <c r="X422">
        <v>0</v>
      </c>
      <c r="AA422" s="2"/>
      <c r="AB422">
        <v>38</v>
      </c>
      <c r="AC422" s="55">
        <f t="shared" si="46"/>
        <v>339.11036100000001</v>
      </c>
      <c r="AD422" s="57">
        <v>0</v>
      </c>
      <c r="AE422" s="55">
        <v>0</v>
      </c>
      <c r="AF422" s="55">
        <v>0</v>
      </c>
      <c r="AG422" s="52">
        <f t="shared" si="48"/>
        <v>0.11205791497476539</v>
      </c>
      <c r="AH422" s="51"/>
      <c r="AI422" s="52"/>
      <c r="AJ422" s="52"/>
      <c r="AK422" s="28">
        <v>1.6578947368421051</v>
      </c>
      <c r="AL422" s="28">
        <v>2.236842105263158</v>
      </c>
      <c r="AM422" s="28">
        <v>0.31578947368421051</v>
      </c>
      <c r="AN422" s="28">
        <v>0</v>
      </c>
      <c r="AO422" s="28">
        <v>0.39374999999999999</v>
      </c>
      <c r="AP422" s="28">
        <v>0.53125</v>
      </c>
      <c r="AQ422" s="28">
        <v>7.4999999999999997E-2</v>
      </c>
      <c r="AR422" s="28">
        <v>0</v>
      </c>
      <c r="AS422" s="25">
        <v>0.95</v>
      </c>
      <c r="AT422" s="25">
        <v>3.44</v>
      </c>
      <c r="AU422" s="25">
        <v>2.4900000000000002</v>
      </c>
      <c r="AV422" s="25">
        <v>2.7565789473684208</v>
      </c>
      <c r="AW422">
        <v>2.7565789473684208</v>
      </c>
      <c r="AX422">
        <v>6.7972150583292086</v>
      </c>
      <c r="AY422" s="75"/>
      <c r="AZ422" s="75"/>
      <c r="BA422" s="75"/>
      <c r="BB422">
        <v>5.6028957487382687E-2</v>
      </c>
      <c r="BF422">
        <v>0.1120579149747654</v>
      </c>
      <c r="BG422">
        <v>5.6028957487382687E-2</v>
      </c>
      <c r="BH422">
        <v>0</v>
      </c>
    </row>
    <row r="423" spans="1:60" x14ac:dyDescent="0.3">
      <c r="A423" s="2" t="s">
        <v>274</v>
      </c>
      <c r="B423" s="18" t="s">
        <v>981</v>
      </c>
      <c r="C423" s="13"/>
      <c r="D423" s="2">
        <v>3.32</v>
      </c>
      <c r="E423" s="2" t="s">
        <v>269</v>
      </c>
      <c r="F423" s="9">
        <v>-1</v>
      </c>
      <c r="G423">
        <v>-1</v>
      </c>
      <c r="I423" s="2">
        <v>1</v>
      </c>
      <c r="J423" s="25">
        <v>0</v>
      </c>
      <c r="K423">
        <v>0</v>
      </c>
      <c r="L423">
        <v>0</v>
      </c>
      <c r="M423" s="2">
        <v>3.9</v>
      </c>
      <c r="N423" s="2">
        <v>3.9</v>
      </c>
      <c r="O423" s="2">
        <v>25.55</v>
      </c>
      <c r="P423" s="2" t="s">
        <v>519</v>
      </c>
      <c r="Q423" s="2"/>
      <c r="R423" s="25">
        <v>0</v>
      </c>
      <c r="S423" s="25"/>
      <c r="T423" s="25"/>
      <c r="U423">
        <v>0</v>
      </c>
      <c r="X423">
        <v>0</v>
      </c>
      <c r="AA423" s="2"/>
      <c r="AB423">
        <v>38</v>
      </c>
      <c r="AC423" s="55">
        <f t="shared" si="46"/>
        <v>388.6155</v>
      </c>
      <c r="AD423" s="57">
        <v>0</v>
      </c>
      <c r="AE423" s="55">
        <v>0</v>
      </c>
      <c r="AF423" s="55">
        <v>0</v>
      </c>
      <c r="AG423" s="52">
        <f t="shared" si="48"/>
        <v>9.7783027182394941E-2</v>
      </c>
      <c r="AH423" s="51"/>
      <c r="AI423" s="52"/>
      <c r="AJ423" s="52"/>
      <c r="AK423" s="28">
        <v>1.634146341463415</v>
      </c>
      <c r="AL423" s="28">
        <v>2.1219512195121948</v>
      </c>
      <c r="AM423" s="28">
        <v>0.29268292682926828</v>
      </c>
      <c r="AN423" s="28">
        <v>0</v>
      </c>
      <c r="AO423" s="28">
        <v>0.40361445783132532</v>
      </c>
      <c r="AP423" s="28">
        <v>0.52409638554216864</v>
      </c>
      <c r="AQ423" s="28">
        <v>7.2289156626506021E-2</v>
      </c>
      <c r="AR423" s="28">
        <v>0</v>
      </c>
      <c r="AS423" s="25">
        <v>0.95</v>
      </c>
      <c r="AT423" s="25">
        <v>3.44</v>
      </c>
      <c r="AU423" s="25">
        <v>2.4900000000000002</v>
      </c>
      <c r="AV423" s="25">
        <v>2.7243902439024388</v>
      </c>
      <c r="AW423">
        <v>2.7243902439024388</v>
      </c>
      <c r="AX423">
        <v>6.8026440395661458</v>
      </c>
      <c r="AY423" s="75"/>
      <c r="AZ423" s="75"/>
      <c r="BA423" s="75"/>
      <c r="BB423">
        <v>4.889151359119747E-2</v>
      </c>
      <c r="BF423">
        <v>9.7783027182394941E-2</v>
      </c>
      <c r="BG423">
        <v>4.889151359119747E-2</v>
      </c>
      <c r="BH423">
        <v>0</v>
      </c>
    </row>
    <row r="424" spans="1:60" x14ac:dyDescent="0.3">
      <c r="A424" s="2" t="s">
        <v>275</v>
      </c>
      <c r="B424" s="18" t="s">
        <v>980</v>
      </c>
      <c r="C424" s="13"/>
      <c r="D424" s="2">
        <v>3.32</v>
      </c>
      <c r="E424" s="2" t="s">
        <v>269</v>
      </c>
      <c r="F424" s="9">
        <v>-1</v>
      </c>
      <c r="G424">
        <v>-1</v>
      </c>
      <c r="I424" s="2">
        <v>1</v>
      </c>
      <c r="J424" s="25">
        <v>0</v>
      </c>
      <c r="K424">
        <v>0</v>
      </c>
      <c r="L424">
        <v>0</v>
      </c>
      <c r="M424" s="2">
        <v>3.93</v>
      </c>
      <c r="N424" s="2">
        <v>3.93</v>
      </c>
      <c r="O424" s="2">
        <v>29.52</v>
      </c>
      <c r="P424" s="2" t="s">
        <v>519</v>
      </c>
      <c r="Q424" s="2"/>
      <c r="R424" s="25">
        <v>0</v>
      </c>
      <c r="S424" s="25"/>
      <c r="T424" s="25"/>
      <c r="U424">
        <v>0</v>
      </c>
      <c r="X424">
        <v>0</v>
      </c>
      <c r="AA424" s="2"/>
      <c r="AB424">
        <v>38</v>
      </c>
      <c r="AC424" s="55">
        <f t="shared" si="46"/>
        <v>455.933448</v>
      </c>
      <c r="AD424" s="57">
        <v>0</v>
      </c>
      <c r="AE424" s="55">
        <v>0</v>
      </c>
      <c r="AF424" s="55">
        <v>0</v>
      </c>
      <c r="AG424" s="52">
        <f t="shared" si="48"/>
        <v>8.3345497389347059E-2</v>
      </c>
      <c r="AH424" s="51"/>
      <c r="AI424" s="52"/>
      <c r="AJ424" s="52"/>
      <c r="AK424" s="28">
        <v>1.595744680851064</v>
      </c>
      <c r="AL424" s="28">
        <v>1.936170212765957</v>
      </c>
      <c r="AM424" s="28">
        <v>0.25531914893617019</v>
      </c>
      <c r="AN424" s="28">
        <v>0</v>
      </c>
      <c r="AO424" s="28">
        <v>0.42134831460674149</v>
      </c>
      <c r="AP424" s="28">
        <v>0.5112359550561798</v>
      </c>
      <c r="AQ424" s="28">
        <v>6.741573033707865E-2</v>
      </c>
      <c r="AR424" s="28">
        <v>0</v>
      </c>
      <c r="AS424" s="25">
        <v>0.95</v>
      </c>
      <c r="AT424" s="25">
        <v>3.44</v>
      </c>
      <c r="AU424" s="25">
        <v>2.4900000000000002</v>
      </c>
      <c r="AV424" s="25">
        <v>2.6723404255319152</v>
      </c>
      <c r="AW424">
        <v>2.6723404255319152</v>
      </c>
      <c r="AX424">
        <v>6.8114228177365099</v>
      </c>
      <c r="AY424" s="75"/>
      <c r="AZ424" s="75"/>
      <c r="BA424" s="75"/>
      <c r="BB424">
        <v>4.167274869467353E-2</v>
      </c>
      <c r="BF424">
        <v>8.3345497389347059E-2</v>
      </c>
      <c r="BG424">
        <v>4.167274869467353E-2</v>
      </c>
      <c r="BH424">
        <v>0</v>
      </c>
    </row>
    <row r="425" spans="1:60" x14ac:dyDescent="0.3">
      <c r="A425" s="2" t="s">
        <v>276</v>
      </c>
      <c r="B425" s="18" t="s">
        <v>979</v>
      </c>
      <c r="C425" s="13"/>
      <c r="D425" s="2">
        <v>3.32</v>
      </c>
      <c r="E425" s="2" t="s">
        <v>269</v>
      </c>
      <c r="F425" s="9">
        <v>-1</v>
      </c>
      <c r="G425">
        <v>-1</v>
      </c>
      <c r="I425" s="2">
        <v>1</v>
      </c>
      <c r="J425" s="25">
        <v>0</v>
      </c>
      <c r="K425">
        <v>0</v>
      </c>
      <c r="L425">
        <v>0</v>
      </c>
      <c r="M425" s="2">
        <v>3.9</v>
      </c>
      <c r="N425" s="2">
        <v>3.9</v>
      </c>
      <c r="O425" s="2">
        <v>33.729999999999997</v>
      </c>
      <c r="P425" s="2" t="s">
        <v>519</v>
      </c>
      <c r="Q425" s="2"/>
      <c r="R425" s="25">
        <v>0</v>
      </c>
      <c r="S425" s="25"/>
      <c r="T425" s="25"/>
      <c r="U425">
        <v>0</v>
      </c>
      <c r="X425">
        <v>0</v>
      </c>
      <c r="AA425" s="2"/>
      <c r="AB425">
        <v>38</v>
      </c>
      <c r="AC425" s="55">
        <f t="shared" si="46"/>
        <v>513.03329999999994</v>
      </c>
      <c r="AD425" s="57">
        <v>0</v>
      </c>
      <c r="AE425" s="55">
        <v>0</v>
      </c>
      <c r="AF425" s="55">
        <v>0</v>
      </c>
      <c r="AG425" s="52">
        <f t="shared" si="48"/>
        <v>7.4069266069083636E-2</v>
      </c>
      <c r="AH425" s="51"/>
      <c r="AI425" s="52"/>
      <c r="AJ425" s="52"/>
      <c r="AK425" s="28">
        <v>1.5660377358490569</v>
      </c>
      <c r="AL425" s="28">
        <v>1.7924528301886791</v>
      </c>
      <c r="AM425" s="28">
        <v>0.22641509433962259</v>
      </c>
      <c r="AN425" s="28">
        <v>0</v>
      </c>
      <c r="AO425" s="28">
        <v>0.43684210526315792</v>
      </c>
      <c r="AP425" s="28">
        <v>0.5</v>
      </c>
      <c r="AQ425" s="28">
        <v>6.3157894736842107E-2</v>
      </c>
      <c r="AR425" s="28">
        <v>0</v>
      </c>
      <c r="AS425" s="25">
        <v>0.95</v>
      </c>
      <c r="AT425" s="25">
        <v>3.44</v>
      </c>
      <c r="AU425" s="25">
        <v>2.4900000000000002</v>
      </c>
      <c r="AV425" s="25">
        <v>2.6320754716981138</v>
      </c>
      <c r="AW425">
        <v>2.632075471698113</v>
      </c>
      <c r="AX425">
        <v>6.8182139480192454</v>
      </c>
      <c r="AY425" s="75"/>
      <c r="AZ425" s="75"/>
      <c r="BA425" s="75"/>
      <c r="BB425">
        <v>3.7034633034541818E-2</v>
      </c>
      <c r="BF425">
        <v>7.4069266069083636E-2</v>
      </c>
      <c r="BG425">
        <v>3.7034633034541818E-2</v>
      </c>
      <c r="BH425">
        <v>0</v>
      </c>
    </row>
    <row r="426" spans="1:60" x14ac:dyDescent="0.3">
      <c r="A426" s="2" t="s">
        <v>277</v>
      </c>
      <c r="B426" s="18" t="s">
        <v>976</v>
      </c>
      <c r="C426" s="13"/>
      <c r="D426" s="2">
        <v>3.22</v>
      </c>
      <c r="E426" s="2" t="s">
        <v>269</v>
      </c>
      <c r="F426" s="9">
        <v>-1</v>
      </c>
      <c r="G426">
        <v>-1</v>
      </c>
      <c r="I426" s="2">
        <v>2</v>
      </c>
      <c r="J426" s="25">
        <v>0</v>
      </c>
      <c r="K426">
        <v>0</v>
      </c>
      <c r="L426">
        <v>0</v>
      </c>
      <c r="M426" s="2">
        <v>3.9</v>
      </c>
      <c r="N426" s="2">
        <v>3.9</v>
      </c>
      <c r="O426" s="2">
        <v>31.44</v>
      </c>
      <c r="P426" s="2" t="s">
        <v>519</v>
      </c>
      <c r="Q426" s="2"/>
      <c r="R426" s="25">
        <v>0</v>
      </c>
      <c r="S426" s="25"/>
      <c r="T426" s="25"/>
      <c r="U426">
        <v>0</v>
      </c>
      <c r="X426">
        <v>0</v>
      </c>
      <c r="AA426" s="2"/>
      <c r="AB426">
        <v>40</v>
      </c>
      <c r="AC426" s="55">
        <f t="shared" si="46"/>
        <v>478.20240000000001</v>
      </c>
      <c r="AD426" s="57">
        <v>0</v>
      </c>
      <c r="AE426" s="55">
        <v>0</v>
      </c>
      <c r="AF426" s="55">
        <v>0</v>
      </c>
      <c r="AG426" s="52">
        <f t="shared" si="48"/>
        <v>0.16729317962435988</v>
      </c>
      <c r="AH426" s="51"/>
      <c r="AI426" s="52"/>
      <c r="AJ426" s="52"/>
      <c r="AK426" s="28">
        <v>1.75</v>
      </c>
      <c r="AL426" s="28">
        <v>2.65625</v>
      </c>
      <c r="AM426" s="28">
        <v>0.375</v>
      </c>
      <c r="AN426" s="28">
        <v>0</v>
      </c>
      <c r="AO426" s="28">
        <v>0.36601307189542481</v>
      </c>
      <c r="AP426" s="28">
        <v>0.55555555555555558</v>
      </c>
      <c r="AQ426" s="28">
        <v>7.8431372549019607E-2</v>
      </c>
      <c r="AR426" s="28">
        <v>0</v>
      </c>
      <c r="AS426" s="25">
        <v>0.95</v>
      </c>
      <c r="AT426" s="25">
        <v>3.44</v>
      </c>
      <c r="AU426" s="25">
        <v>2.4900000000000002</v>
      </c>
      <c r="AV426" s="25">
        <v>2.8778125000000001</v>
      </c>
      <c r="AW426">
        <v>2.8778125000000001</v>
      </c>
      <c r="AX426">
        <v>6.7946490392267176</v>
      </c>
      <c r="AY426" s="75"/>
      <c r="AZ426" s="75"/>
      <c r="BA426" s="75"/>
      <c r="BB426">
        <v>8.3646589812179942E-2</v>
      </c>
      <c r="BF426">
        <v>0.16729317962435991</v>
      </c>
      <c r="BG426">
        <v>8.3646589812179942E-2</v>
      </c>
      <c r="BH426">
        <v>0</v>
      </c>
    </row>
    <row r="427" spans="1:60" x14ac:dyDescent="0.3">
      <c r="A427" s="2" t="s">
        <v>278</v>
      </c>
      <c r="B427" s="18" t="s">
        <v>984</v>
      </c>
      <c r="C427" s="13"/>
      <c r="D427" s="2">
        <v>3.25</v>
      </c>
      <c r="E427" s="2" t="s">
        <v>269</v>
      </c>
      <c r="F427" s="9">
        <v>-1</v>
      </c>
      <c r="G427">
        <v>-1</v>
      </c>
      <c r="I427" s="2">
        <v>1</v>
      </c>
      <c r="J427" s="25">
        <v>0</v>
      </c>
      <c r="K427">
        <v>0</v>
      </c>
      <c r="L427">
        <v>0</v>
      </c>
      <c r="M427" s="2">
        <v>3.91</v>
      </c>
      <c r="N427" s="2">
        <v>3.91</v>
      </c>
      <c r="O427" s="2">
        <v>18.2</v>
      </c>
      <c r="P427" s="2" t="s">
        <v>519</v>
      </c>
      <c r="Q427" s="2"/>
      <c r="R427" s="25">
        <v>0</v>
      </c>
      <c r="S427" s="25"/>
      <c r="T427" s="25"/>
      <c r="U427">
        <v>0</v>
      </c>
      <c r="X427">
        <v>0</v>
      </c>
      <c r="AA427" s="2"/>
      <c r="AB427">
        <v>40</v>
      </c>
      <c r="AC427" s="55">
        <f t="shared" si="46"/>
        <v>278.24342000000001</v>
      </c>
      <c r="AD427" s="57">
        <v>0</v>
      </c>
      <c r="AE427" s="55">
        <v>0</v>
      </c>
      <c r="AF427" s="55">
        <v>0</v>
      </c>
      <c r="AG427" s="52">
        <f t="shared" si="48"/>
        <v>0.14375901503798363</v>
      </c>
      <c r="AH427" s="51"/>
      <c r="AI427" s="52"/>
      <c r="AJ427" s="52"/>
      <c r="AK427" s="28">
        <v>1.714285714285714</v>
      </c>
      <c r="AL427" s="28">
        <v>2.4857142857142862</v>
      </c>
      <c r="AM427" s="28">
        <v>0.34285714285714292</v>
      </c>
      <c r="AN427" s="28">
        <v>0</v>
      </c>
      <c r="AO427" s="28">
        <v>0.37735849056603771</v>
      </c>
      <c r="AP427" s="28">
        <v>0.54716981132075471</v>
      </c>
      <c r="AQ427" s="28">
        <v>7.5471698113207544E-2</v>
      </c>
      <c r="AR427" s="28">
        <v>0</v>
      </c>
      <c r="AS427" s="25">
        <v>0.95</v>
      </c>
      <c r="AT427" s="25">
        <v>3.44</v>
      </c>
      <c r="AU427" s="25">
        <v>2.4900000000000002</v>
      </c>
      <c r="AV427" s="25">
        <v>2.8297142857142861</v>
      </c>
      <c r="AW427">
        <v>2.8297142857142861</v>
      </c>
      <c r="AX427">
        <v>6.8012286474559138</v>
      </c>
      <c r="AY427" s="75"/>
      <c r="AZ427" s="75"/>
      <c r="BA427" s="75"/>
      <c r="BB427">
        <v>7.1879507518991817E-2</v>
      </c>
      <c r="BF427">
        <v>0.14375901503798361</v>
      </c>
      <c r="BG427">
        <v>7.1879507518991817E-2</v>
      </c>
      <c r="BH427">
        <v>0</v>
      </c>
    </row>
    <row r="428" spans="1:60" x14ac:dyDescent="0.3">
      <c r="A428" s="2" t="s">
        <v>279</v>
      </c>
      <c r="B428" s="18" t="s">
        <v>985</v>
      </c>
      <c r="C428" s="13"/>
      <c r="D428" s="2">
        <v>3.27</v>
      </c>
      <c r="E428" s="2" t="s">
        <v>269</v>
      </c>
      <c r="F428" s="9">
        <v>-1</v>
      </c>
      <c r="G428">
        <v>-1</v>
      </c>
      <c r="I428" s="2">
        <v>1</v>
      </c>
      <c r="J428" s="25">
        <v>0</v>
      </c>
      <c r="K428">
        <v>0</v>
      </c>
      <c r="L428">
        <v>0</v>
      </c>
      <c r="M428" s="2">
        <v>3.9</v>
      </c>
      <c r="N428" s="2">
        <v>3.9</v>
      </c>
      <c r="O428" s="2">
        <v>20.25</v>
      </c>
      <c r="P428" s="2" t="s">
        <v>519</v>
      </c>
      <c r="Q428" s="2"/>
      <c r="R428" s="25">
        <v>0</v>
      </c>
      <c r="S428" s="25"/>
      <c r="T428" s="25"/>
      <c r="U428">
        <v>0</v>
      </c>
      <c r="X428">
        <v>0</v>
      </c>
      <c r="AA428" s="2"/>
      <c r="AB428">
        <v>40</v>
      </c>
      <c r="AC428" s="55">
        <f t="shared" si="46"/>
        <v>308.0025</v>
      </c>
      <c r="AD428" s="57">
        <v>0</v>
      </c>
      <c r="AE428" s="55">
        <v>0</v>
      </c>
      <c r="AF428" s="55">
        <v>0</v>
      </c>
      <c r="AG428" s="52">
        <f t="shared" si="48"/>
        <v>0.12986907573802162</v>
      </c>
      <c r="AH428" s="51"/>
      <c r="AI428" s="52"/>
      <c r="AJ428" s="52"/>
      <c r="AK428" s="28">
        <v>1.6842105263157889</v>
      </c>
      <c r="AL428" s="28">
        <v>2.3421052631578951</v>
      </c>
      <c r="AM428" s="28">
        <v>0.31578947368421051</v>
      </c>
      <c r="AN428" s="28">
        <v>0</v>
      </c>
      <c r="AO428" s="28">
        <v>0.38787878787878788</v>
      </c>
      <c r="AP428" s="28">
        <v>0.53939393939393943</v>
      </c>
      <c r="AQ428" s="28">
        <v>7.2727272727272724E-2</v>
      </c>
      <c r="AR428" s="28">
        <v>0</v>
      </c>
      <c r="AS428" s="25">
        <v>0.95</v>
      </c>
      <c r="AT428" s="25">
        <v>3.44</v>
      </c>
      <c r="AU428" s="25">
        <v>2.4900000000000002</v>
      </c>
      <c r="AV428" s="25">
        <v>2.7892105263157898</v>
      </c>
      <c r="AW428">
        <v>2.7892105263157889</v>
      </c>
      <c r="AX428">
        <v>6.8067693701752354</v>
      </c>
      <c r="AY428" s="75"/>
      <c r="AZ428" s="75"/>
      <c r="BA428" s="75"/>
      <c r="BB428">
        <v>6.4934537869010808E-2</v>
      </c>
      <c r="BF428">
        <v>0.12986907573802159</v>
      </c>
      <c r="BG428">
        <v>6.4934537869010808E-2</v>
      </c>
      <c r="BH428">
        <v>0</v>
      </c>
    </row>
    <row r="429" spans="1:60" x14ac:dyDescent="0.3">
      <c r="A429" s="2" t="s">
        <v>280</v>
      </c>
      <c r="B429" s="18" t="s">
        <v>986</v>
      </c>
      <c r="C429" s="13"/>
      <c r="D429" s="2">
        <v>3.3</v>
      </c>
      <c r="E429" s="2" t="s">
        <v>269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</v>
      </c>
      <c r="N429" s="2">
        <v>3.9</v>
      </c>
      <c r="O429" s="2">
        <v>22.01</v>
      </c>
      <c r="P429" s="2" t="s">
        <v>519</v>
      </c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40</v>
      </c>
      <c r="AC429" s="55">
        <f t="shared" si="46"/>
        <v>334.77210000000002</v>
      </c>
      <c r="AD429" s="57">
        <v>0</v>
      </c>
      <c r="AE429" s="55">
        <v>0</v>
      </c>
      <c r="AF429" s="55">
        <v>0</v>
      </c>
      <c r="AG429" s="52">
        <f t="shared" si="48"/>
        <v>0.11948427004520387</v>
      </c>
      <c r="AH429" s="51"/>
      <c r="AI429" s="52"/>
      <c r="AJ429" s="52"/>
      <c r="AK429" s="28">
        <v>1.658536585365854</v>
      </c>
      <c r="AL429" s="28">
        <v>2.219512195121951</v>
      </c>
      <c r="AM429" s="28">
        <v>0.29268292682926828</v>
      </c>
      <c r="AN429" s="28">
        <v>0</v>
      </c>
      <c r="AO429" s="28">
        <v>0.39766081871345033</v>
      </c>
      <c r="AP429" s="28">
        <v>0.53216374269005851</v>
      </c>
      <c r="AQ429" s="28">
        <v>7.0175438596491224E-2</v>
      </c>
      <c r="AR429" s="28">
        <v>0</v>
      </c>
      <c r="AS429" s="25">
        <v>0.95</v>
      </c>
      <c r="AT429" s="25">
        <v>3.44</v>
      </c>
      <c r="AU429" s="25">
        <v>2.4900000000000002</v>
      </c>
      <c r="AV429" s="25">
        <v>2.7546341463414641</v>
      </c>
      <c r="AW429">
        <v>2.7546341463414632</v>
      </c>
      <c r="AX429">
        <v>6.8114992554234393</v>
      </c>
      <c r="AY429" s="75"/>
      <c r="AZ429" s="75"/>
      <c r="BA429" s="75"/>
      <c r="BB429">
        <v>5.9742135022601943E-2</v>
      </c>
      <c r="BF429">
        <v>0.1194842700452039</v>
      </c>
      <c r="BG429">
        <v>5.9742135022601943E-2</v>
      </c>
      <c r="BH429">
        <v>0</v>
      </c>
    </row>
    <row r="430" spans="1:60" x14ac:dyDescent="0.3">
      <c r="A430" s="2" t="s">
        <v>281</v>
      </c>
      <c r="B430" s="18" t="s">
        <v>987</v>
      </c>
      <c r="C430" s="13"/>
      <c r="D430" s="2">
        <v>3.3</v>
      </c>
      <c r="E430" s="2" t="s">
        <v>269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</v>
      </c>
      <c r="N430" s="2">
        <v>3.9</v>
      </c>
      <c r="O430" s="2">
        <v>25.65</v>
      </c>
      <c r="P430" s="2" t="s">
        <v>519</v>
      </c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40</v>
      </c>
      <c r="AC430" s="55">
        <f t="shared" si="46"/>
        <v>390.13649999999996</v>
      </c>
      <c r="AD430" s="57">
        <v>0</v>
      </c>
      <c r="AE430" s="55">
        <v>0</v>
      </c>
      <c r="AF430" s="55">
        <v>0</v>
      </c>
      <c r="AG430" s="52">
        <f t="shared" si="48"/>
        <v>0.1025282176879118</v>
      </c>
      <c r="AH430" s="51"/>
      <c r="AI430" s="52"/>
      <c r="AJ430" s="52"/>
      <c r="AK430" s="28">
        <v>1.617021276595745</v>
      </c>
      <c r="AL430" s="28">
        <v>2.021276595744681</v>
      </c>
      <c r="AM430" s="28">
        <v>0.25531914893617019</v>
      </c>
      <c r="AN430" s="28">
        <v>0</v>
      </c>
      <c r="AO430" s="28">
        <v>0.41530054644808739</v>
      </c>
      <c r="AP430" s="28">
        <v>0.51912568306010931</v>
      </c>
      <c r="AQ430" s="28">
        <v>6.5573770491803268E-2</v>
      </c>
      <c r="AR430" s="28">
        <v>0</v>
      </c>
      <c r="AS430" s="25">
        <v>0.95</v>
      </c>
      <c r="AT430" s="25">
        <v>3.44</v>
      </c>
      <c r="AU430" s="25">
        <v>2.4900000000000002</v>
      </c>
      <c r="AV430" s="25">
        <v>2.6987234042553192</v>
      </c>
      <c r="AW430">
        <v>2.6987234042553192</v>
      </c>
      <c r="AX430">
        <v>6.8191475805056392</v>
      </c>
      <c r="AY430" s="75"/>
      <c r="AZ430" s="75"/>
      <c r="BA430" s="75"/>
      <c r="BB430">
        <v>5.1264108843955901E-2</v>
      </c>
      <c r="BF430">
        <v>0.1025282176879118</v>
      </c>
      <c r="BG430">
        <v>5.1264108843955901E-2</v>
      </c>
      <c r="BH430">
        <v>0</v>
      </c>
    </row>
    <row r="431" spans="1:60" x14ac:dyDescent="0.3">
      <c r="A431" s="2" t="s">
        <v>276</v>
      </c>
      <c r="B431" s="18" t="s">
        <v>988</v>
      </c>
      <c r="C431" s="13"/>
      <c r="D431" s="2">
        <v>3.34</v>
      </c>
      <c r="E431" s="2" t="s">
        <v>269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3.89</v>
      </c>
      <c r="N431" s="2">
        <v>3.89</v>
      </c>
      <c r="O431" s="2">
        <v>33.799999999999997</v>
      </c>
      <c r="P431" s="2" t="s">
        <v>519</v>
      </c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40</v>
      </c>
      <c r="AC431" s="55">
        <f t="shared" si="46"/>
        <v>511.46498000000003</v>
      </c>
      <c r="AD431" s="57">
        <v>0</v>
      </c>
      <c r="AE431" s="55">
        <v>0</v>
      </c>
      <c r="AF431" s="55">
        <v>0</v>
      </c>
      <c r="AG431" s="52">
        <f t="shared" si="48"/>
        <v>7.8206722970554116E-2</v>
      </c>
      <c r="AH431" s="51"/>
      <c r="AI431" s="52"/>
      <c r="AJ431" s="52"/>
      <c r="AK431" s="28">
        <v>1.584905660377359</v>
      </c>
      <c r="AL431" s="28">
        <v>1.867924528301887</v>
      </c>
      <c r="AM431" s="28">
        <v>0.22641509433962259</v>
      </c>
      <c r="AN431" s="28">
        <v>0</v>
      </c>
      <c r="AO431" s="28">
        <v>0.43076923076923079</v>
      </c>
      <c r="AP431" s="28">
        <v>0.50769230769230778</v>
      </c>
      <c r="AQ431" s="28">
        <v>6.1538461538461542E-2</v>
      </c>
      <c r="AR431" s="28">
        <v>0</v>
      </c>
      <c r="AS431" s="25">
        <v>0.95</v>
      </c>
      <c r="AT431" s="25">
        <v>3.44</v>
      </c>
      <c r="AU431" s="25">
        <v>2.4900000000000002</v>
      </c>
      <c r="AV431" s="25">
        <v>2.655471698113208</v>
      </c>
      <c r="AW431">
        <v>2.655471698113208</v>
      </c>
      <c r="AX431">
        <v>6.8250642093428109</v>
      </c>
      <c r="AY431" s="75"/>
      <c r="AZ431" s="75"/>
      <c r="BA431" s="75"/>
      <c r="BB431">
        <v>3.9103361485277058E-2</v>
      </c>
      <c r="BF431">
        <v>7.8206722970554116E-2</v>
      </c>
      <c r="BG431">
        <v>3.9103361485277058E-2</v>
      </c>
      <c r="BH431">
        <v>0</v>
      </c>
    </row>
    <row r="432" spans="1:60" x14ac:dyDescent="0.3">
      <c r="A432" s="2" t="s">
        <v>282</v>
      </c>
      <c r="B432" s="13" t="s">
        <v>821</v>
      </c>
      <c r="C432" s="13"/>
      <c r="D432" s="2">
        <v>3.5</v>
      </c>
      <c r="E432" s="2" t="s">
        <v>283</v>
      </c>
      <c r="F432" s="9" t="s">
        <v>597</v>
      </c>
      <c r="G432">
        <v>-1</v>
      </c>
      <c r="I432" s="2"/>
      <c r="J432" s="25">
        <v>1</v>
      </c>
      <c r="K432">
        <v>0</v>
      </c>
      <c r="L432">
        <v>0</v>
      </c>
      <c r="M432" s="2"/>
      <c r="N432" s="2"/>
      <c r="O432" s="2"/>
      <c r="P432" s="2"/>
      <c r="Q432" s="2"/>
      <c r="R432" s="25">
        <v>13.656835900000001</v>
      </c>
      <c r="S432" s="25">
        <v>13.656835900000001</v>
      </c>
      <c r="T432" s="25">
        <v>13.656835900000001</v>
      </c>
      <c r="U432">
        <v>0</v>
      </c>
      <c r="X432">
        <v>0</v>
      </c>
      <c r="AA432" s="2"/>
      <c r="AB432">
        <v>20</v>
      </c>
      <c r="AC432" s="55">
        <f t="shared" si="46"/>
        <v>0</v>
      </c>
      <c r="AD432" s="57">
        <v>201.0880346354428</v>
      </c>
      <c r="AE432" s="55">
        <v>0</v>
      </c>
      <c r="AF432" s="55">
        <v>0</v>
      </c>
      <c r="AG432" s="52"/>
      <c r="AH432" s="51">
        <v>9.9458926217357829E-2</v>
      </c>
      <c r="AI432" s="52"/>
      <c r="AJ432" s="52"/>
      <c r="AK432" s="28">
        <v>1.882352941176471</v>
      </c>
      <c r="AL432" s="28">
        <v>2.3529411764705879</v>
      </c>
      <c r="AM432" s="28">
        <v>0.47058823529411759</v>
      </c>
      <c r="AN432" s="28">
        <v>0</v>
      </c>
      <c r="AO432" s="28">
        <v>0.4</v>
      </c>
      <c r="AP432" s="28">
        <v>0.5</v>
      </c>
      <c r="AQ432" s="28">
        <v>9.9999999999999992E-2</v>
      </c>
      <c r="AR432" s="28">
        <v>0</v>
      </c>
      <c r="AS432" s="25">
        <v>0.98</v>
      </c>
      <c r="AT432" s="25">
        <v>3.44</v>
      </c>
      <c r="AU432" s="25">
        <v>2.46</v>
      </c>
      <c r="AV432" s="25">
        <v>2.54</v>
      </c>
      <c r="AW432">
        <v>2.54</v>
      </c>
      <c r="AX432">
        <v>5.758559377411764</v>
      </c>
      <c r="AY432" s="75">
        <v>0.53996993008785332</v>
      </c>
      <c r="AZ432" s="75"/>
      <c r="BA432" s="75"/>
      <c r="BC432">
        <v>4.9729463108678908E-2</v>
      </c>
      <c r="BF432">
        <v>9.9458926217357829E-2</v>
      </c>
      <c r="BG432">
        <v>4.9729463108678908E-2</v>
      </c>
      <c r="BH432">
        <v>0.53996993008785332</v>
      </c>
    </row>
    <row r="433" spans="1:67" x14ac:dyDescent="0.3">
      <c r="A433" s="2" t="s">
        <v>284</v>
      </c>
      <c r="B433" s="13" t="s">
        <v>822</v>
      </c>
      <c r="C433" s="13"/>
      <c r="D433" s="2">
        <v>3.3</v>
      </c>
      <c r="E433" s="2" t="s">
        <v>283</v>
      </c>
      <c r="F433" s="9" t="s">
        <v>598</v>
      </c>
      <c r="G433" t="s">
        <v>670</v>
      </c>
      <c r="I433" s="2"/>
      <c r="J433" s="25">
        <v>1</v>
      </c>
      <c r="K433">
        <v>2</v>
      </c>
      <c r="L433">
        <v>0</v>
      </c>
      <c r="M433" s="2"/>
      <c r="N433" s="2"/>
      <c r="O433" s="2"/>
      <c r="P433" s="2"/>
      <c r="Q433" s="2"/>
      <c r="R433" s="25">
        <v>14.696413339999999</v>
      </c>
      <c r="S433" s="25">
        <v>14.696413339999999</v>
      </c>
      <c r="T433" s="25">
        <v>14.696413339999999</v>
      </c>
      <c r="U433">
        <v>3.83528</v>
      </c>
      <c r="V433">
        <v>3.83528</v>
      </c>
      <c r="W433">
        <v>28.573699999999999</v>
      </c>
      <c r="X433">
        <v>0</v>
      </c>
      <c r="AA433" s="2"/>
      <c r="AB433">
        <v>20</v>
      </c>
      <c r="AC433" s="55">
        <f t="shared" si="46"/>
        <v>0</v>
      </c>
      <c r="AD433" s="57">
        <v>216.40687730768099</v>
      </c>
      <c r="AE433" s="55">
        <v>420.30120210079798</v>
      </c>
      <c r="AF433" s="55">
        <v>0</v>
      </c>
      <c r="AG433" s="52"/>
      <c r="AH433" s="51">
        <v>9.2418504665009241E-2</v>
      </c>
      <c r="AI433" s="52">
        <v>9.516984438794697E-2</v>
      </c>
      <c r="AJ433" s="52"/>
      <c r="AK433" s="28">
        <v>1.882352941176471</v>
      </c>
      <c r="AL433" s="28">
        <v>2.3529411764705879</v>
      </c>
      <c r="AM433" s="28">
        <v>0.47058823529411759</v>
      </c>
      <c r="AN433" s="28">
        <v>0</v>
      </c>
      <c r="AO433" s="28">
        <v>0.4</v>
      </c>
      <c r="AP433" s="28">
        <v>0.5</v>
      </c>
      <c r="AQ433" s="28">
        <v>9.9999999999999992E-2</v>
      </c>
      <c r="AR433" s="28">
        <v>0</v>
      </c>
      <c r="AS433" s="25">
        <v>0.93</v>
      </c>
      <c r="AT433" s="25">
        <v>3.44</v>
      </c>
      <c r="AU433" s="25">
        <v>2.5099999999999998</v>
      </c>
      <c r="AV433" s="25">
        <v>2.534117647058824</v>
      </c>
      <c r="AW433">
        <v>2.534117647058824</v>
      </c>
      <c r="AX433">
        <v>5.7395734358823516</v>
      </c>
      <c r="AY433" s="75">
        <v>0.5339514578906801</v>
      </c>
      <c r="AZ433" s="75">
        <v>0.54984742874132453</v>
      </c>
      <c r="BA433" s="75"/>
      <c r="BC433">
        <v>4.6209252332504627E-2</v>
      </c>
      <c r="BD433">
        <v>4.7584922193973492E-2</v>
      </c>
      <c r="BF433">
        <v>9.3794174526478105E-2</v>
      </c>
      <c r="BG433">
        <v>4.689708726323906E-2</v>
      </c>
      <c r="BH433">
        <v>0.54189944331600226</v>
      </c>
    </row>
    <row r="434" spans="1:67" x14ac:dyDescent="0.3">
      <c r="A434" s="2" t="s">
        <v>44</v>
      </c>
      <c r="B434" s="13" t="s">
        <v>720</v>
      </c>
      <c r="C434" s="13"/>
      <c r="D434" s="2">
        <v>3.2</v>
      </c>
      <c r="E434" s="2" t="s">
        <v>283</v>
      </c>
      <c r="F434" s="9" t="s">
        <v>549</v>
      </c>
      <c r="G434">
        <v>-1</v>
      </c>
      <c r="I434" s="2"/>
      <c r="J434" s="25">
        <v>1</v>
      </c>
      <c r="K434">
        <v>0</v>
      </c>
      <c r="L434">
        <v>0</v>
      </c>
      <c r="M434" s="2"/>
      <c r="N434" s="2"/>
      <c r="O434" s="2"/>
      <c r="P434" s="2"/>
      <c r="Q434" s="2"/>
      <c r="R434" s="25">
        <v>15.28115725</v>
      </c>
      <c r="S434" s="25">
        <v>15.28115725</v>
      </c>
      <c r="T434" s="25">
        <v>15.28115725</v>
      </c>
      <c r="U434">
        <v>0</v>
      </c>
      <c r="X434">
        <v>0</v>
      </c>
      <c r="AA434" s="2"/>
      <c r="AB434">
        <v>20</v>
      </c>
      <c r="AC434" s="55">
        <f t="shared" si="46"/>
        <v>0</v>
      </c>
      <c r="AD434" s="57">
        <v>229.90248606119221</v>
      </c>
      <c r="AE434" s="55">
        <v>0</v>
      </c>
      <c r="AF434" s="55">
        <v>0</v>
      </c>
      <c r="AG434" s="52"/>
      <c r="AH434" s="51">
        <v>8.6993404650164072E-2</v>
      </c>
      <c r="AI434" s="52"/>
      <c r="AJ434" s="52"/>
      <c r="AK434" s="28">
        <v>1.882352941176471</v>
      </c>
      <c r="AL434" s="28">
        <v>2.3529411764705879</v>
      </c>
      <c r="AM434" s="28">
        <v>0.47058823529411759</v>
      </c>
      <c r="AN434" s="28">
        <v>0</v>
      </c>
      <c r="AO434" s="28">
        <v>0.4</v>
      </c>
      <c r="AP434" s="28">
        <v>0.5</v>
      </c>
      <c r="AQ434" s="28">
        <v>9.9999999999999992E-2</v>
      </c>
      <c r="AR434" s="28">
        <v>0</v>
      </c>
      <c r="AS434" s="25">
        <v>0.82</v>
      </c>
      <c r="AT434" s="25">
        <v>3.44</v>
      </c>
      <c r="AU434" s="25">
        <v>2.62</v>
      </c>
      <c r="AV434" s="25">
        <v>2.5211764705882351</v>
      </c>
      <c r="AW434">
        <v>2.521176470588236</v>
      </c>
      <c r="AX434">
        <v>5.6898745917647062</v>
      </c>
      <c r="AY434" s="75">
        <v>0.57369840599679445</v>
      </c>
      <c r="AZ434" s="75"/>
      <c r="BA434" s="75"/>
      <c r="BC434">
        <v>4.3496702325082043E-2</v>
      </c>
      <c r="BF434">
        <v>8.6993404650164072E-2</v>
      </c>
      <c r="BG434">
        <v>4.3496702325082043E-2</v>
      </c>
      <c r="BH434">
        <v>0.57369840599679445</v>
      </c>
    </row>
    <row r="435" spans="1:67" x14ac:dyDescent="0.3">
      <c r="A435" s="5" t="s">
        <v>285</v>
      </c>
      <c r="B435" s="39" t="s">
        <v>823</v>
      </c>
      <c r="C435" s="39"/>
      <c r="D435" s="5">
        <v>3.6</v>
      </c>
      <c r="E435" s="5" t="s">
        <v>283</v>
      </c>
      <c r="F435" s="40">
        <v>-2</v>
      </c>
      <c r="G435" s="5">
        <v>-1</v>
      </c>
      <c r="H435" s="5"/>
      <c r="I435" s="5"/>
      <c r="J435" s="41">
        <v>0</v>
      </c>
      <c r="K435">
        <v>0</v>
      </c>
      <c r="L435">
        <v>0</v>
      </c>
      <c r="M435" s="5">
        <v>-1</v>
      </c>
      <c r="N435" s="5"/>
      <c r="O435" s="5"/>
      <c r="P435" s="5"/>
      <c r="Q435" s="5"/>
      <c r="R435" s="41">
        <v>0</v>
      </c>
      <c r="S435" s="41"/>
      <c r="T435" s="41"/>
      <c r="U435">
        <v>0</v>
      </c>
      <c r="X435">
        <v>0</v>
      </c>
      <c r="AA435" s="5"/>
      <c r="AB435" s="5">
        <v>20</v>
      </c>
      <c r="AC435" s="55">
        <f t="shared" si="46"/>
        <v>0</v>
      </c>
      <c r="AD435" s="57">
        <v>0</v>
      </c>
      <c r="AE435" s="55">
        <v>0</v>
      </c>
      <c r="AF435" s="55">
        <v>0</v>
      </c>
      <c r="AG435" s="52"/>
      <c r="AH435" s="51"/>
      <c r="AI435" s="52"/>
      <c r="AJ435" s="52"/>
      <c r="AK435" s="5">
        <v>1.882352941176471</v>
      </c>
      <c r="AL435" s="5">
        <v>2.3529411764705879</v>
      </c>
      <c r="AM435" s="5">
        <v>0.35294117647058831</v>
      </c>
      <c r="AN435" s="5">
        <v>0.47058823529411759</v>
      </c>
      <c r="AO435" s="5">
        <v>0.37209302325581389</v>
      </c>
      <c r="AP435" s="5">
        <v>0.46511627906976749</v>
      </c>
      <c r="AQ435" s="5">
        <v>6.9767441860465129E-2</v>
      </c>
      <c r="AR435" s="5">
        <v>9.3023255813953487E-2</v>
      </c>
      <c r="AS435" s="41">
        <v>0.98</v>
      </c>
      <c r="AT435" s="41">
        <v>3.44</v>
      </c>
      <c r="AU435" s="41">
        <v>2.46</v>
      </c>
      <c r="AV435" s="41">
        <v>2.5447058823529409</v>
      </c>
      <c r="AW435" s="5">
        <v>2.5447058823529409</v>
      </c>
      <c r="AX435" s="5">
        <v>5.7284445009411762</v>
      </c>
      <c r="AY435" s="75"/>
      <c r="AZ435" s="75"/>
      <c r="BA435" s="75"/>
      <c r="BF435">
        <v>0</v>
      </c>
      <c r="BG435">
        <v>0</v>
      </c>
      <c r="BH435">
        <v>0</v>
      </c>
    </row>
    <row r="436" spans="1:67" x14ac:dyDescent="0.3">
      <c r="A436" s="2" t="s">
        <v>286</v>
      </c>
      <c r="B436" s="13" t="s">
        <v>824</v>
      </c>
      <c r="C436" s="13"/>
      <c r="D436" s="2">
        <v>3.4</v>
      </c>
      <c r="E436" s="2" t="s">
        <v>283</v>
      </c>
      <c r="F436" s="9" t="s">
        <v>599</v>
      </c>
      <c r="G436">
        <v>-1</v>
      </c>
      <c r="I436" s="2"/>
      <c r="J436" s="25">
        <v>1</v>
      </c>
      <c r="K436">
        <v>0</v>
      </c>
      <c r="L436">
        <v>0</v>
      </c>
      <c r="M436" s="2"/>
      <c r="N436" s="2"/>
      <c r="O436" s="2"/>
      <c r="P436" s="2"/>
      <c r="Q436" s="2"/>
      <c r="R436" s="25">
        <v>14.64115209</v>
      </c>
      <c r="S436" s="25">
        <v>14.64115209</v>
      </c>
      <c r="T436" s="25">
        <v>14.64115209</v>
      </c>
      <c r="U436">
        <v>0</v>
      </c>
      <c r="X436">
        <v>0</v>
      </c>
      <c r="AA436" s="2"/>
      <c r="AB436">
        <v>20</v>
      </c>
      <c r="AC436" s="55">
        <f t="shared" si="46"/>
        <v>0</v>
      </c>
      <c r="AD436" s="57">
        <v>213.3423200442661</v>
      </c>
      <c r="AE436" s="55">
        <v>0</v>
      </c>
      <c r="AF436" s="55">
        <v>0</v>
      </c>
      <c r="AG436" s="52"/>
      <c r="AH436" s="51">
        <v>9.374605092815258E-2</v>
      </c>
      <c r="AI436" s="52"/>
      <c r="AJ436" s="52"/>
      <c r="AK436" s="28">
        <v>1.882352941176471</v>
      </c>
      <c r="AL436" s="28">
        <v>2.3529411764705879</v>
      </c>
      <c r="AM436" s="28">
        <v>0.35294117647058831</v>
      </c>
      <c r="AN436" s="28">
        <v>0.47058823529411759</v>
      </c>
      <c r="AO436" s="28">
        <v>0.37209302325581389</v>
      </c>
      <c r="AP436" s="28">
        <v>0.46511627906976749</v>
      </c>
      <c r="AQ436" s="28">
        <v>6.9767441860465129E-2</v>
      </c>
      <c r="AR436" s="28">
        <v>9.3023255813953487E-2</v>
      </c>
      <c r="AS436" s="25">
        <v>0.93</v>
      </c>
      <c r="AT436" s="25">
        <v>3.44</v>
      </c>
      <c r="AU436" s="25">
        <v>2.5099999999999998</v>
      </c>
      <c r="AV436" s="25">
        <v>2.538823529411764</v>
      </c>
      <c r="AW436">
        <v>2.5388235294117649</v>
      </c>
      <c r="AX436">
        <v>5.7094585594117646</v>
      </c>
      <c r="AY436" s="75">
        <v>0.53401936473899148</v>
      </c>
      <c r="AZ436" s="75"/>
      <c r="BA436" s="75"/>
      <c r="BC436">
        <v>4.6873025464076297E-2</v>
      </c>
      <c r="BF436">
        <v>9.374605092815258E-2</v>
      </c>
      <c r="BG436">
        <v>4.6873025464076297E-2</v>
      </c>
      <c r="BH436">
        <v>0.53401936473899148</v>
      </c>
    </row>
    <row r="437" spans="1:67" x14ac:dyDescent="0.3">
      <c r="A437" s="2" t="s">
        <v>287</v>
      </c>
      <c r="B437" s="13" t="s">
        <v>825</v>
      </c>
      <c r="C437" s="13"/>
      <c r="D437" s="2">
        <v>3.3</v>
      </c>
      <c r="E437" s="2" t="s">
        <v>283</v>
      </c>
      <c r="F437" s="9" t="s">
        <v>600</v>
      </c>
      <c r="G437" t="s">
        <v>671</v>
      </c>
      <c r="I437" s="2"/>
      <c r="J437" s="25">
        <v>1</v>
      </c>
      <c r="K437">
        <v>2</v>
      </c>
      <c r="L437">
        <v>0</v>
      </c>
      <c r="M437" s="2"/>
      <c r="N437" s="2"/>
      <c r="O437" s="2"/>
      <c r="P437" s="2"/>
      <c r="Q437" s="2"/>
      <c r="R437" s="25">
        <v>15.19820412</v>
      </c>
      <c r="S437" s="25">
        <v>15.194836840000001</v>
      </c>
      <c r="T437" s="25">
        <v>3.9043439100000001</v>
      </c>
      <c r="U437">
        <v>3.8588</v>
      </c>
      <c r="V437">
        <v>3.8588</v>
      </c>
      <c r="W437">
        <v>29.656099999999999</v>
      </c>
      <c r="X437">
        <v>0</v>
      </c>
      <c r="AA437" s="2"/>
      <c r="AB437">
        <v>20</v>
      </c>
      <c r="AC437" s="55">
        <f t="shared" si="46"/>
        <v>0</v>
      </c>
      <c r="AD437" s="57">
        <v>227.79419475650769</v>
      </c>
      <c r="AE437" s="55">
        <v>441.58933615438389</v>
      </c>
      <c r="AF437" s="55">
        <v>0</v>
      </c>
      <c r="AG437" s="52"/>
      <c r="AH437" s="51">
        <v>8.7798550008608742E-2</v>
      </c>
      <c r="AI437" s="52">
        <v>9.0581897534807332E-2</v>
      </c>
      <c r="AJ437" s="52"/>
      <c r="AK437" s="28">
        <v>1.882352941176471</v>
      </c>
      <c r="AL437" s="28">
        <v>2.3529411764705879</v>
      </c>
      <c r="AM437" s="28">
        <v>0.35294117647058831</v>
      </c>
      <c r="AN437" s="28">
        <v>0.47058823529411759</v>
      </c>
      <c r="AO437" s="28">
        <v>0.37209302325581389</v>
      </c>
      <c r="AP437" s="28">
        <v>0.46511627906976749</v>
      </c>
      <c r="AQ437" s="28">
        <v>6.9767441860465129E-2</v>
      </c>
      <c r="AR437" s="28">
        <v>9.3023255813953487E-2</v>
      </c>
      <c r="AS437" s="25">
        <v>0.82</v>
      </c>
      <c r="AT437" s="25">
        <v>3.44</v>
      </c>
      <c r="AU437" s="25">
        <v>2.62</v>
      </c>
      <c r="AV437" s="25">
        <v>2.525882352941176</v>
      </c>
      <c r="AW437">
        <v>2.525882352941176</v>
      </c>
      <c r="AX437">
        <v>5.6597597152941184</v>
      </c>
      <c r="AY437" s="75">
        <v>0.57188837719605823</v>
      </c>
      <c r="AZ437" s="75">
        <v>0</v>
      </c>
      <c r="BA437" s="75"/>
      <c r="BC437">
        <v>4.3899275004304371E-2</v>
      </c>
      <c r="BD437">
        <v>4.5290948767403673E-2</v>
      </c>
      <c r="BF437">
        <v>8.9190223771708044E-2</v>
      </c>
      <c r="BG437">
        <v>4.4595111885854022E-2</v>
      </c>
      <c r="BH437">
        <v>0.28594418859802911</v>
      </c>
    </row>
    <row r="438" spans="1:67" x14ac:dyDescent="0.3">
      <c r="A438" s="2" t="s">
        <v>4</v>
      </c>
      <c r="B438" s="13" t="s">
        <v>689</v>
      </c>
      <c r="C438" s="13"/>
      <c r="D438" s="2">
        <v>3.26</v>
      </c>
      <c r="E438" s="2" t="s">
        <v>290</v>
      </c>
      <c r="F438" s="9" t="s">
        <v>527</v>
      </c>
      <c r="G438" t="s">
        <v>609</v>
      </c>
      <c r="I438" s="2"/>
      <c r="J438" s="25">
        <v>4</v>
      </c>
      <c r="K438">
        <v>4</v>
      </c>
      <c r="L438">
        <v>0</v>
      </c>
      <c r="M438" s="2"/>
      <c r="N438" s="2"/>
      <c r="O438" s="2"/>
      <c r="P438" s="2"/>
      <c r="Q438" s="2"/>
      <c r="R438" s="25">
        <v>7.8084429999999996</v>
      </c>
      <c r="S438" s="25">
        <v>7.8548809999999998</v>
      </c>
      <c r="T438" s="25">
        <v>15.19056011</v>
      </c>
      <c r="U438">
        <v>3.8801999999999999</v>
      </c>
      <c r="V438">
        <v>29.507999999999999</v>
      </c>
      <c r="W438">
        <v>7.7140000000000004</v>
      </c>
      <c r="X438">
        <v>0</v>
      </c>
      <c r="AA438" s="2"/>
      <c r="AB438">
        <v>20</v>
      </c>
      <c r="AC438" s="55">
        <f t="shared" si="46"/>
        <v>0</v>
      </c>
      <c r="AD438" s="57">
        <v>924.74694800021894</v>
      </c>
      <c r="AE438" s="55">
        <v>883.22940750240002</v>
      </c>
      <c r="AF438" s="55">
        <v>0</v>
      </c>
      <c r="AG438" s="52"/>
      <c r="AH438" s="51">
        <v>8.6510153045653584E-2</v>
      </c>
      <c r="AI438" s="52">
        <v>9.0576694254581439E-2</v>
      </c>
      <c r="AJ438" s="52"/>
      <c r="AK438" s="28">
        <v>1.75</v>
      </c>
      <c r="AL438" s="28">
        <v>2.5</v>
      </c>
      <c r="AM438" s="28">
        <v>0.75</v>
      </c>
      <c r="AN438" s="28">
        <v>0</v>
      </c>
      <c r="AO438" s="28">
        <v>0.35</v>
      </c>
      <c r="AP438" s="28">
        <v>0.5</v>
      </c>
      <c r="AQ438" s="28">
        <v>0.15</v>
      </c>
      <c r="AR438" s="28">
        <v>0</v>
      </c>
      <c r="AS438" s="25">
        <v>0.82</v>
      </c>
      <c r="AT438" s="25">
        <v>3.44</v>
      </c>
      <c r="AU438" s="25">
        <v>2.62</v>
      </c>
      <c r="AV438" s="25">
        <v>2.6262500000000002</v>
      </c>
      <c r="AW438">
        <v>2.6262500000000002</v>
      </c>
      <c r="AX438">
        <v>5.96680968125</v>
      </c>
      <c r="AY438" s="75">
        <v>0.50555206026575039</v>
      </c>
      <c r="AZ438" s="75">
        <v>0</v>
      </c>
      <c r="BA438" s="75"/>
      <c r="BC438">
        <v>4.3255076522826792E-2</v>
      </c>
      <c r="BD438">
        <v>4.5288347127290719E-2</v>
      </c>
      <c r="BF438">
        <v>8.8543423650117511E-2</v>
      </c>
      <c r="BG438">
        <v>4.4271711825058763E-2</v>
      </c>
      <c r="BH438">
        <v>0.2527760301328752</v>
      </c>
    </row>
    <row r="439" spans="1:67" x14ac:dyDescent="0.3">
      <c r="A439" s="1" t="s">
        <v>288</v>
      </c>
      <c r="B439" s="13" t="s">
        <v>689</v>
      </c>
      <c r="C439" s="15"/>
      <c r="D439" s="1">
        <v>2.4700000000000002</v>
      </c>
      <c r="E439" s="1" t="s">
        <v>290</v>
      </c>
      <c r="F439" s="9" t="s">
        <v>527</v>
      </c>
      <c r="G439" t="s">
        <v>609</v>
      </c>
      <c r="I439" s="1"/>
      <c r="J439" s="25">
        <v>4</v>
      </c>
      <c r="K439">
        <v>4</v>
      </c>
      <c r="L439">
        <v>0</v>
      </c>
      <c r="M439" s="1"/>
      <c r="N439" s="1"/>
      <c r="O439" s="1"/>
      <c r="P439" s="1"/>
      <c r="Q439" s="1"/>
      <c r="R439" s="25">
        <v>7.8084429999999996</v>
      </c>
      <c r="S439" s="25">
        <v>7.8548809999999998</v>
      </c>
      <c r="T439" s="25">
        <v>15.19056011</v>
      </c>
      <c r="U439">
        <v>3.8801999999999999</v>
      </c>
      <c r="V439">
        <v>29.507999999999999</v>
      </c>
      <c r="W439">
        <v>7.7140000000000004</v>
      </c>
      <c r="X439">
        <v>0</v>
      </c>
      <c r="AA439" s="1"/>
      <c r="AB439">
        <v>20</v>
      </c>
      <c r="AC439" s="55">
        <f t="shared" si="46"/>
        <v>0</v>
      </c>
      <c r="AD439" s="57">
        <v>924.74694800021894</v>
      </c>
      <c r="AE439" s="55">
        <v>883.22940750240002</v>
      </c>
      <c r="AF439" s="55">
        <v>0</v>
      </c>
      <c r="AG439" s="52"/>
      <c r="AH439" s="51">
        <v>8.6510153045653584E-2</v>
      </c>
      <c r="AI439" s="52">
        <v>9.0576694254581439E-2</v>
      </c>
      <c r="AJ439" s="52"/>
      <c r="AK439" s="28">
        <v>1.75</v>
      </c>
      <c r="AL439" s="28">
        <v>2.5</v>
      </c>
      <c r="AM439" s="28">
        <v>0.75</v>
      </c>
      <c r="AN439" s="28">
        <v>0</v>
      </c>
      <c r="AO439" s="28">
        <v>0.35</v>
      </c>
      <c r="AP439" s="28">
        <v>0.5</v>
      </c>
      <c r="AQ439" s="28">
        <v>0.15</v>
      </c>
      <c r="AR439" s="28">
        <v>0</v>
      </c>
      <c r="AS439" s="25">
        <v>0.82</v>
      </c>
      <c r="AT439" s="25">
        <v>3.44</v>
      </c>
      <c r="AU439" s="25">
        <v>2.62</v>
      </c>
      <c r="AV439" s="25">
        <v>2.6262500000000002</v>
      </c>
      <c r="AW439">
        <v>2.6262500000000002</v>
      </c>
      <c r="AX439">
        <v>5.96680968125</v>
      </c>
      <c r="AY439" s="75">
        <v>0.50555206026575039</v>
      </c>
      <c r="AZ439" s="75">
        <v>0</v>
      </c>
      <c r="BA439" s="75"/>
      <c r="BC439">
        <v>4.3255076522826792E-2</v>
      </c>
      <c r="BD439">
        <v>4.5288347127290719E-2</v>
      </c>
      <c r="BF439">
        <v>8.8543423650117511E-2</v>
      </c>
      <c r="BG439">
        <v>4.4271711825058763E-2</v>
      </c>
      <c r="BH439">
        <v>0.2527760301328752</v>
      </c>
      <c r="BN439" s="79" t="s">
        <v>676</v>
      </c>
      <c r="BO439" s="79" t="s">
        <v>1067</v>
      </c>
    </row>
    <row r="440" spans="1:67" x14ac:dyDescent="0.3">
      <c r="A440" s="1" t="s">
        <v>289</v>
      </c>
      <c r="B440" s="13" t="s">
        <v>689</v>
      </c>
      <c r="C440" s="15"/>
      <c r="D440" s="1">
        <v>2.4700000000000002</v>
      </c>
      <c r="E440" s="1" t="s">
        <v>290</v>
      </c>
      <c r="F440" s="9" t="s">
        <v>527</v>
      </c>
      <c r="G440" t="s">
        <v>609</v>
      </c>
      <c r="I440" s="1"/>
      <c r="J440" s="25">
        <v>4</v>
      </c>
      <c r="K440">
        <v>4</v>
      </c>
      <c r="L440">
        <v>0</v>
      </c>
      <c r="M440" s="1"/>
      <c r="N440" s="1"/>
      <c r="O440" s="1"/>
      <c r="P440" s="1"/>
      <c r="Q440" s="1"/>
      <c r="R440" s="25">
        <v>7.8084429999999996</v>
      </c>
      <c r="S440" s="25">
        <v>7.8548809999999998</v>
      </c>
      <c r="T440" s="25">
        <v>15.19056011</v>
      </c>
      <c r="U440">
        <v>3.8801999999999999</v>
      </c>
      <c r="V440">
        <v>29.507999999999999</v>
      </c>
      <c r="W440">
        <v>7.7140000000000004</v>
      </c>
      <c r="X440">
        <v>0</v>
      </c>
      <c r="AA440" s="1"/>
      <c r="AB440">
        <v>20</v>
      </c>
      <c r="AC440" s="55">
        <f t="shared" si="46"/>
        <v>0</v>
      </c>
      <c r="AD440" s="57">
        <v>924.74694800021894</v>
      </c>
      <c r="AE440" s="55">
        <v>883.22940750240002</v>
      </c>
      <c r="AF440" s="55">
        <v>0</v>
      </c>
      <c r="AG440" s="52"/>
      <c r="AH440" s="51">
        <v>8.6510153045653584E-2</v>
      </c>
      <c r="AI440" s="52">
        <v>9.0576694254581439E-2</v>
      </c>
      <c r="AJ440" s="52"/>
      <c r="AK440" s="28">
        <v>1.75</v>
      </c>
      <c r="AL440" s="28">
        <v>2.5</v>
      </c>
      <c r="AM440" s="28">
        <v>0.75</v>
      </c>
      <c r="AN440" s="28">
        <v>0</v>
      </c>
      <c r="AO440" s="28">
        <v>0.35</v>
      </c>
      <c r="AP440" s="28">
        <v>0.5</v>
      </c>
      <c r="AQ440" s="28">
        <v>0.15</v>
      </c>
      <c r="AR440" s="28">
        <v>0</v>
      </c>
      <c r="AS440" s="25">
        <v>0.82</v>
      </c>
      <c r="AT440" s="25">
        <v>3.44</v>
      </c>
      <c r="AU440" s="25">
        <v>2.62</v>
      </c>
      <c r="AV440" s="25">
        <v>2.6262500000000002</v>
      </c>
      <c r="AW440">
        <v>2.6262500000000002</v>
      </c>
      <c r="AX440">
        <v>5.96680968125</v>
      </c>
      <c r="AY440" s="75">
        <v>0.50555206026575039</v>
      </c>
      <c r="AZ440" s="75">
        <v>0</v>
      </c>
      <c r="BA440" s="75"/>
      <c r="BC440">
        <v>4.3255076522826792E-2</v>
      </c>
      <c r="BD440">
        <v>4.5288347127290719E-2</v>
      </c>
      <c r="BF440">
        <v>8.8543423650117511E-2</v>
      </c>
      <c r="BG440">
        <v>4.4271711825058763E-2</v>
      </c>
      <c r="BH440">
        <v>0.2527760301328752</v>
      </c>
      <c r="BN440" s="79" t="s">
        <v>946</v>
      </c>
      <c r="BO440" s="79" t="s">
        <v>1067</v>
      </c>
    </row>
    <row r="441" spans="1:67" x14ac:dyDescent="0.3">
      <c r="A441" s="2" t="s">
        <v>10</v>
      </c>
      <c r="B441" s="13" t="s">
        <v>695</v>
      </c>
      <c r="C441" s="13"/>
      <c r="D441" s="2">
        <v>4.26</v>
      </c>
      <c r="E441" s="2" t="s">
        <v>291</v>
      </c>
      <c r="F441" s="9" t="s">
        <v>531</v>
      </c>
      <c r="G441">
        <v>-1</v>
      </c>
      <c r="I441" s="2"/>
      <c r="J441" s="25">
        <v>1</v>
      </c>
      <c r="K441">
        <v>0</v>
      </c>
      <c r="L441">
        <v>0</v>
      </c>
      <c r="M441" s="2"/>
      <c r="N441" s="2"/>
      <c r="O441" s="2"/>
      <c r="P441" s="2"/>
      <c r="Q441" s="2"/>
      <c r="R441" s="25">
        <v>3.9103940000000001</v>
      </c>
      <c r="S441" s="25">
        <v>3.9103940000000001</v>
      </c>
      <c r="T441" s="25">
        <v>11.314458</v>
      </c>
      <c r="U441">
        <v>0</v>
      </c>
      <c r="X441">
        <v>0</v>
      </c>
      <c r="AA441" s="2"/>
      <c r="AB441">
        <v>14</v>
      </c>
      <c r="AC441" s="55">
        <f t="shared" si="46"/>
        <v>0</v>
      </c>
      <c r="AD441" s="57">
        <v>173.0114278564659</v>
      </c>
      <c r="AE441" s="55">
        <v>0</v>
      </c>
      <c r="AF441" s="55">
        <v>0</v>
      </c>
      <c r="AG441" s="52"/>
      <c r="AH441" s="51">
        <v>8.0919510193365449E-2</v>
      </c>
      <c r="AI441" s="52"/>
      <c r="AJ441" s="52"/>
      <c r="AK441" s="28">
        <v>1.9090909090909089</v>
      </c>
      <c r="AL441" s="28">
        <v>2.545454545454545</v>
      </c>
      <c r="AM441" s="28">
        <v>0.63636363636363635</v>
      </c>
      <c r="AN441" s="28">
        <v>2.545454545454545</v>
      </c>
      <c r="AO441" s="28">
        <v>0.25</v>
      </c>
      <c r="AP441" s="28">
        <v>0.33333333333333331</v>
      </c>
      <c r="AQ441" s="28">
        <v>8.3333333333333329E-2</v>
      </c>
      <c r="AR441" s="28">
        <v>0.33333333333333331</v>
      </c>
      <c r="AS441" s="25">
        <v>0.82</v>
      </c>
      <c r="AT441" s="25">
        <v>3.44</v>
      </c>
      <c r="AU441" s="25">
        <v>2.62</v>
      </c>
      <c r="AV441" s="25">
        <v>2.6363636363636358</v>
      </c>
      <c r="AW441">
        <v>2.6363636363636371</v>
      </c>
      <c r="AX441">
        <v>6.0044088459090901</v>
      </c>
      <c r="AY441" s="75">
        <v>0.5117218936152963</v>
      </c>
      <c r="AZ441" s="75"/>
      <c r="BA441" s="75"/>
      <c r="BC441">
        <v>4.0459755096682717E-2</v>
      </c>
      <c r="BF441">
        <v>8.0919510193365449E-2</v>
      </c>
      <c r="BG441">
        <v>4.0459755096682717E-2</v>
      </c>
      <c r="BH441">
        <v>0.5117218936152963</v>
      </c>
    </row>
    <row r="442" spans="1:67" x14ac:dyDescent="0.3">
      <c r="A442" s="2" t="s">
        <v>10</v>
      </c>
      <c r="B442" s="13" t="s">
        <v>695</v>
      </c>
      <c r="C442" s="13"/>
      <c r="D442" s="2">
        <v>2.16</v>
      </c>
      <c r="E442" s="2" t="s">
        <v>291</v>
      </c>
      <c r="F442" s="9" t="s">
        <v>531</v>
      </c>
      <c r="G442">
        <v>-1</v>
      </c>
      <c r="I442" s="2"/>
      <c r="J442" s="25">
        <v>1</v>
      </c>
      <c r="K442">
        <v>0</v>
      </c>
      <c r="L442">
        <v>0</v>
      </c>
      <c r="M442" s="2"/>
      <c r="N442" s="2"/>
      <c r="O442" s="2"/>
      <c r="P442" s="2"/>
      <c r="Q442" s="2"/>
      <c r="R442" s="25">
        <v>3.9103940000000001</v>
      </c>
      <c r="S442" s="25">
        <v>3.9103940000000001</v>
      </c>
      <c r="T442" s="25">
        <v>11.314458</v>
      </c>
      <c r="U442">
        <v>0</v>
      </c>
      <c r="X442">
        <v>0</v>
      </c>
      <c r="AA442" s="2"/>
      <c r="AB442">
        <v>14</v>
      </c>
      <c r="AC442" s="55">
        <f t="shared" si="46"/>
        <v>0</v>
      </c>
      <c r="AD442" s="57">
        <v>173.0114278564659</v>
      </c>
      <c r="AE442" s="55">
        <v>0</v>
      </c>
      <c r="AF442" s="55">
        <v>0</v>
      </c>
      <c r="AG442" s="52"/>
      <c r="AH442" s="51">
        <v>8.0919510193365449E-2</v>
      </c>
      <c r="AI442" s="52"/>
      <c r="AJ442" s="52"/>
      <c r="AK442" s="28">
        <v>1.9090909090909089</v>
      </c>
      <c r="AL442" s="28">
        <v>2.545454545454545</v>
      </c>
      <c r="AM442" s="28">
        <v>0.63636363636363635</v>
      </c>
      <c r="AN442" s="28">
        <v>2.545454545454545</v>
      </c>
      <c r="AO442" s="28">
        <v>0.25</v>
      </c>
      <c r="AP442" s="28">
        <v>0.33333333333333331</v>
      </c>
      <c r="AQ442" s="28">
        <v>8.3333333333333329E-2</v>
      </c>
      <c r="AR442" s="28">
        <v>0.33333333333333331</v>
      </c>
      <c r="AS442" s="25">
        <v>0.82</v>
      </c>
      <c r="AT442" s="25">
        <v>3.44</v>
      </c>
      <c r="AU442" s="25">
        <v>2.62</v>
      </c>
      <c r="AV442" s="25">
        <v>2.6363636363636358</v>
      </c>
      <c r="AW442">
        <v>2.6363636363636371</v>
      </c>
      <c r="AX442">
        <v>6.0044088459090901</v>
      </c>
      <c r="AY442" s="75">
        <v>0.5117218936152963</v>
      </c>
      <c r="AZ442" s="75"/>
      <c r="BA442" s="75"/>
      <c r="BC442">
        <v>4.0459755096682717E-2</v>
      </c>
      <c r="BF442">
        <v>8.0919510193365449E-2</v>
      </c>
      <c r="BG442">
        <v>4.0459755096682717E-2</v>
      </c>
      <c r="BH442">
        <v>0.5117218936152963</v>
      </c>
      <c r="BN442" s="79" t="s">
        <v>676</v>
      </c>
      <c r="BO442" s="79">
        <v>0.3</v>
      </c>
    </row>
    <row r="443" spans="1:67" x14ac:dyDescent="0.3">
      <c r="A443" s="2" t="s">
        <v>4</v>
      </c>
      <c r="B443" s="13" t="s">
        <v>689</v>
      </c>
      <c r="C443" s="13"/>
      <c r="D443" s="2">
        <v>3.22</v>
      </c>
      <c r="E443" s="2" t="s">
        <v>292</v>
      </c>
      <c r="F443" s="70" t="s">
        <v>527</v>
      </c>
      <c r="G443">
        <v>-1</v>
      </c>
      <c r="I443" s="2">
        <v>4</v>
      </c>
      <c r="J443" s="25">
        <v>4</v>
      </c>
      <c r="K443">
        <v>0</v>
      </c>
      <c r="L443">
        <v>0</v>
      </c>
      <c r="M443" s="2">
        <v>-1</v>
      </c>
      <c r="N443" s="2"/>
      <c r="O443" s="2"/>
      <c r="P443" s="2"/>
      <c r="Q443" s="2"/>
      <c r="R443" s="25">
        <v>7.8084429999999996</v>
      </c>
      <c r="S443" s="25">
        <v>7.8548809999999998</v>
      </c>
      <c r="T443" s="25">
        <v>15.19056011</v>
      </c>
      <c r="U443">
        <v>0</v>
      </c>
      <c r="X443">
        <v>0</v>
      </c>
      <c r="AA443" s="2"/>
      <c r="AB443">
        <v>20</v>
      </c>
      <c r="AC443" s="55">
        <v>850</v>
      </c>
      <c r="AD443" s="57">
        <v>924.74694795000005</v>
      </c>
      <c r="AE443" s="55">
        <v>0</v>
      </c>
      <c r="AF443" s="55">
        <v>0</v>
      </c>
      <c r="AG443" s="52">
        <f t="shared" ref="AG443:AG454" si="49">I443*AB443/AC443</f>
        <v>9.4117647058823528E-2</v>
      </c>
      <c r="AH443" s="51">
        <f>J443*AB443/AD443</f>
        <v>8.6510153050351563E-2</v>
      </c>
      <c r="AI443" s="52"/>
      <c r="AJ443" s="52"/>
      <c r="AK443" s="28">
        <v>1.75</v>
      </c>
      <c r="AL443" s="28">
        <v>2.5</v>
      </c>
      <c r="AM443" s="28">
        <v>0.75</v>
      </c>
      <c r="AN443" s="28">
        <v>0</v>
      </c>
      <c r="AO443" s="28">
        <v>0.35</v>
      </c>
      <c r="AP443" s="28">
        <v>0.5</v>
      </c>
      <c r="AQ443" s="28">
        <v>0.15</v>
      </c>
      <c r="AR443" s="28">
        <v>0</v>
      </c>
      <c r="AS443" s="25">
        <v>0.82</v>
      </c>
      <c r="AT443" s="25">
        <v>3.44</v>
      </c>
      <c r="AU443" s="25">
        <v>2.62</v>
      </c>
      <c r="AV443" s="25">
        <v>2.6262500000000002</v>
      </c>
      <c r="AW443">
        <v>2.6262500000000002</v>
      </c>
      <c r="AX443">
        <v>5.96680968125</v>
      </c>
      <c r="AY443" s="75">
        <v>0.50555206026575039</v>
      </c>
      <c r="AZ443" s="75"/>
      <c r="BA443" s="75"/>
      <c r="BB443">
        <v>4.7058823529411757E-2</v>
      </c>
      <c r="BC443">
        <v>4.3255076525175781E-2</v>
      </c>
      <c r="BF443">
        <v>9.0313900054587545E-2</v>
      </c>
      <c r="BG443">
        <v>4.5156950027293773E-2</v>
      </c>
      <c r="BH443">
        <v>0.50555206026575039</v>
      </c>
    </row>
    <row r="444" spans="1:67" x14ac:dyDescent="0.3">
      <c r="A444" s="42" t="s">
        <v>991</v>
      </c>
      <c r="B444" s="18" t="s">
        <v>693</v>
      </c>
      <c r="C444" s="13"/>
      <c r="D444" s="2">
        <v>3.1</v>
      </c>
      <c r="E444" s="2" t="s">
        <v>292</v>
      </c>
      <c r="F444" s="9">
        <v>-1</v>
      </c>
      <c r="G444">
        <v>-1</v>
      </c>
      <c r="I444" s="2">
        <v>4</v>
      </c>
      <c r="J444" s="25">
        <v>0</v>
      </c>
      <c r="K444">
        <v>0</v>
      </c>
      <c r="L444">
        <v>0</v>
      </c>
      <c r="M444" s="2">
        <v>3.8759999999999999</v>
      </c>
      <c r="N444" s="2">
        <v>3.8849999999999998</v>
      </c>
      <c r="O444" s="2">
        <v>37.359000000000002</v>
      </c>
      <c r="P444" s="2" t="s">
        <v>1175</v>
      </c>
      <c r="Q444" s="2"/>
      <c r="R444" s="25">
        <v>0</v>
      </c>
      <c r="S444" s="25"/>
      <c r="T444" s="25"/>
      <c r="U444">
        <v>0</v>
      </c>
      <c r="X444">
        <v>0</v>
      </c>
      <c r="AA444" s="2"/>
      <c r="AB444">
        <v>26</v>
      </c>
      <c r="AC444" s="55">
        <v>1100</v>
      </c>
      <c r="AD444" s="57">
        <v>0</v>
      </c>
      <c r="AE444" s="55">
        <v>0</v>
      </c>
      <c r="AF444" s="55">
        <v>0</v>
      </c>
      <c r="AG444" s="52">
        <f t="shared" si="49"/>
        <v>9.4545454545454544E-2</v>
      </c>
      <c r="AH444" s="51"/>
      <c r="AI444" s="52"/>
      <c r="AJ444" s="52"/>
      <c r="AK444" s="28">
        <v>1.714285714285714</v>
      </c>
      <c r="AL444" s="28">
        <v>2.4761904761904758</v>
      </c>
      <c r="AM444" s="28">
        <v>0.76190476190476186</v>
      </c>
      <c r="AN444" s="28">
        <v>0</v>
      </c>
      <c r="AO444" s="28">
        <v>0.34615384615384609</v>
      </c>
      <c r="AP444" s="28">
        <v>0.5</v>
      </c>
      <c r="AQ444" s="28">
        <v>0.1538461538461538</v>
      </c>
      <c r="AR444" s="28">
        <v>0</v>
      </c>
      <c r="AS444" s="25">
        <v>0.82</v>
      </c>
      <c r="AT444" s="25">
        <v>3.44</v>
      </c>
      <c r="AU444" s="25">
        <v>2.62</v>
      </c>
      <c r="AV444" s="25">
        <v>2.612857142857143</v>
      </c>
      <c r="AW444">
        <v>2.612857142857143</v>
      </c>
      <c r="AX444">
        <v>5.9413964502380949</v>
      </c>
      <c r="AY444" s="75"/>
      <c r="AZ444" s="75"/>
      <c r="BA444" s="75"/>
      <c r="BB444">
        <v>4.7272727272727272E-2</v>
      </c>
      <c r="BF444">
        <v>9.4545454545454544E-2</v>
      </c>
      <c r="BG444">
        <v>4.7272727272727272E-2</v>
      </c>
      <c r="BH444">
        <v>0</v>
      </c>
    </row>
    <row r="445" spans="1:67" x14ac:dyDescent="0.3">
      <c r="A445" s="5" t="s">
        <v>992</v>
      </c>
      <c r="B445" s="43" t="s">
        <v>989</v>
      </c>
      <c r="C445" s="39"/>
      <c r="D445" s="5">
        <v>3.08</v>
      </c>
      <c r="E445" s="5" t="s">
        <v>292</v>
      </c>
      <c r="F445" s="40">
        <v>-2</v>
      </c>
      <c r="G445" s="5">
        <v>-1</v>
      </c>
      <c r="H445" s="5"/>
      <c r="I445" s="5">
        <v>4</v>
      </c>
      <c r="J445" s="41">
        <v>0</v>
      </c>
      <c r="K445">
        <v>0</v>
      </c>
      <c r="L445">
        <v>0</v>
      </c>
      <c r="M445" s="5">
        <v>-1</v>
      </c>
      <c r="N445" s="5"/>
      <c r="O445" s="5"/>
      <c r="P445" s="5"/>
      <c r="Q445" s="5"/>
      <c r="R445" s="41">
        <v>0</v>
      </c>
      <c r="S445" s="41"/>
      <c r="T445" s="41"/>
      <c r="U445">
        <v>0</v>
      </c>
      <c r="X445">
        <v>0</v>
      </c>
      <c r="AA445" s="5"/>
      <c r="AB445" s="5">
        <v>32</v>
      </c>
      <c r="AC445" s="55">
        <v>1350</v>
      </c>
      <c r="AD445" s="57">
        <v>0</v>
      </c>
      <c r="AE445" s="55">
        <v>0</v>
      </c>
      <c r="AF445" s="55">
        <v>0</v>
      </c>
      <c r="AG445" s="52">
        <f t="shared" si="49"/>
        <v>9.481481481481481E-2</v>
      </c>
      <c r="AH445" s="51"/>
      <c r="AI445" s="52"/>
      <c r="AJ445" s="52"/>
      <c r="AK445" s="5">
        <v>1.6923076923076921</v>
      </c>
      <c r="AL445" s="5">
        <v>2.4615384615384621</v>
      </c>
      <c r="AM445" s="5">
        <v>0.76923076923076927</v>
      </c>
      <c r="AN445" s="5">
        <v>0</v>
      </c>
      <c r="AO445" s="5">
        <v>0.34375</v>
      </c>
      <c r="AP445" s="5">
        <v>0.5</v>
      </c>
      <c r="AQ445" s="5">
        <v>0.15625</v>
      </c>
      <c r="AR445" s="5">
        <v>0</v>
      </c>
      <c r="AS445" s="41">
        <v>0.82</v>
      </c>
      <c r="AT445" s="41">
        <v>3.44</v>
      </c>
      <c r="AU445" s="41">
        <v>2.62</v>
      </c>
      <c r="AV445" s="41">
        <v>2.6046153846153852</v>
      </c>
      <c r="AW445" s="5">
        <v>2.6046153846153852</v>
      </c>
      <c r="AX445" s="5">
        <v>5.9257575388461543</v>
      </c>
      <c r="AY445" s="75"/>
      <c r="AZ445" s="75"/>
      <c r="BA445" s="75"/>
      <c r="BB445">
        <v>4.7407407407407412E-2</v>
      </c>
      <c r="BF445">
        <v>9.481481481481481E-2</v>
      </c>
      <c r="BG445">
        <v>4.7407407407407412E-2</v>
      </c>
      <c r="BH445">
        <v>0</v>
      </c>
    </row>
    <row r="446" spans="1:67" x14ac:dyDescent="0.3">
      <c r="A446" s="5" t="s">
        <v>993</v>
      </c>
      <c r="B446" s="43" t="s">
        <v>990</v>
      </c>
      <c r="C446" s="39"/>
      <c r="D446" s="5">
        <v>3.06</v>
      </c>
      <c r="E446" s="5" t="s">
        <v>292</v>
      </c>
      <c r="F446" s="40">
        <v>-2</v>
      </c>
      <c r="G446" s="5">
        <v>-1</v>
      </c>
      <c r="H446" s="5"/>
      <c r="I446" s="5">
        <v>4</v>
      </c>
      <c r="J446" s="41">
        <v>0</v>
      </c>
      <c r="K446">
        <v>0</v>
      </c>
      <c r="L446">
        <v>0</v>
      </c>
      <c r="M446" s="5">
        <v>-1</v>
      </c>
      <c r="N446" s="5"/>
      <c r="O446" s="5"/>
      <c r="P446" s="5"/>
      <c r="Q446" s="5"/>
      <c r="R446" s="41">
        <v>0</v>
      </c>
      <c r="S446" s="41"/>
      <c r="T446" s="41"/>
      <c r="U446">
        <v>0</v>
      </c>
      <c r="X446">
        <v>0</v>
      </c>
      <c r="AA446" s="5"/>
      <c r="AB446" s="5">
        <v>38</v>
      </c>
      <c r="AC446" s="55">
        <v>1600</v>
      </c>
      <c r="AD446" s="57">
        <v>0</v>
      </c>
      <c r="AE446" s="55">
        <v>0</v>
      </c>
      <c r="AF446" s="55">
        <v>0</v>
      </c>
      <c r="AG446" s="52">
        <f t="shared" si="49"/>
        <v>9.5000000000000001E-2</v>
      </c>
      <c r="AH446" s="51"/>
      <c r="AI446" s="52"/>
      <c r="AJ446" s="52"/>
      <c r="AK446" s="5">
        <v>1.67741935483871</v>
      </c>
      <c r="AL446" s="5">
        <v>2.4516129032258061</v>
      </c>
      <c r="AM446" s="5">
        <v>0.77419354838709675</v>
      </c>
      <c r="AN446" s="5">
        <v>0</v>
      </c>
      <c r="AO446" s="5">
        <v>0.34210526315789469</v>
      </c>
      <c r="AP446" s="5">
        <v>0.5</v>
      </c>
      <c r="AQ446" s="5">
        <v>0.15789473684210531</v>
      </c>
      <c r="AR446" s="5">
        <v>0</v>
      </c>
      <c r="AS446" s="41">
        <v>0.82</v>
      </c>
      <c r="AT446" s="41">
        <v>3.44</v>
      </c>
      <c r="AU446" s="41">
        <v>2.62</v>
      </c>
      <c r="AV446" s="41">
        <v>2.5990322580645162</v>
      </c>
      <c r="AW446" s="5">
        <v>2.5990322580645162</v>
      </c>
      <c r="AX446" s="5">
        <v>5.9151634375806452</v>
      </c>
      <c r="AY446" s="75"/>
      <c r="AZ446" s="75"/>
      <c r="BA446" s="75"/>
      <c r="BB446">
        <v>4.7500000000000001E-2</v>
      </c>
      <c r="BF446">
        <v>9.5000000000000001E-2</v>
      </c>
      <c r="BG446">
        <v>4.7500000000000001E-2</v>
      </c>
      <c r="BH446">
        <v>0</v>
      </c>
    </row>
    <row r="447" spans="1:67" x14ac:dyDescent="0.3">
      <c r="A447" s="44" t="s">
        <v>63</v>
      </c>
      <c r="B447" s="13" t="s">
        <v>773</v>
      </c>
      <c r="C447" s="13"/>
      <c r="D447" s="2">
        <v>3.59</v>
      </c>
      <c r="E447" s="2" t="s">
        <v>295</v>
      </c>
      <c r="F447" s="9">
        <v>-1</v>
      </c>
      <c r="G447">
        <v>-1</v>
      </c>
      <c r="H447" t="s">
        <v>1179</v>
      </c>
      <c r="I447" s="2">
        <v>1</v>
      </c>
      <c r="J447" s="25">
        <v>1</v>
      </c>
      <c r="K447">
        <v>0</v>
      </c>
      <c r="L447">
        <v>1</v>
      </c>
      <c r="M447" s="25">
        <v>3.86</v>
      </c>
      <c r="N447" s="25">
        <v>3.86</v>
      </c>
      <c r="O447" s="2">
        <v>14.995541551467477</v>
      </c>
      <c r="P447" s="2"/>
      <c r="Q447" s="2"/>
      <c r="R447" s="25">
        <v>3.86</v>
      </c>
      <c r="S447" s="25">
        <v>3.86</v>
      </c>
      <c r="T447" s="25">
        <v>14.97</v>
      </c>
      <c r="U447">
        <v>3.8504999999999998</v>
      </c>
      <c r="V447">
        <v>3.8504999999999998</v>
      </c>
      <c r="W447">
        <v>14.379</v>
      </c>
      <c r="AA447" s="2"/>
      <c r="AB447">
        <v>20</v>
      </c>
      <c r="AC447" s="55">
        <f t="shared" si="46"/>
        <v>223.4275709002448</v>
      </c>
      <c r="AD447" s="57">
        <v>0</v>
      </c>
      <c r="AE447" s="55"/>
      <c r="AF447" s="55">
        <v>213.2</v>
      </c>
      <c r="AG447" s="52">
        <f t="shared" si="49"/>
        <v>8.9514467348031701E-2</v>
      </c>
      <c r="AH447" s="51"/>
      <c r="AI447" s="52"/>
      <c r="AJ447" s="67">
        <f>L447*AB447/AF447</f>
        <v>9.3808630393996256E-2</v>
      </c>
      <c r="AK447" s="28">
        <v>1.75</v>
      </c>
      <c r="AL447" s="28">
        <v>2.5</v>
      </c>
      <c r="AM447" s="28">
        <v>0.75</v>
      </c>
      <c r="AN447" s="28">
        <v>0</v>
      </c>
      <c r="AO447" s="28">
        <v>0.35</v>
      </c>
      <c r="AP447" s="28">
        <v>0.5</v>
      </c>
      <c r="AQ447" s="28">
        <v>0.15</v>
      </c>
      <c r="AR447" s="28">
        <v>0</v>
      </c>
      <c r="AS447" s="25">
        <v>1</v>
      </c>
      <c r="AT447" s="25">
        <v>3.44</v>
      </c>
      <c r="AU447" s="25">
        <v>2.44</v>
      </c>
      <c r="AV447" s="25">
        <v>2.7124999999999999</v>
      </c>
      <c r="AW447">
        <v>2.7124999999999999</v>
      </c>
      <c r="AX447">
        <v>6.264025610615688</v>
      </c>
      <c r="AY447" s="75"/>
      <c r="AZ447" s="75"/>
      <c r="BA447" s="75">
        <v>0</v>
      </c>
      <c r="BB447">
        <v>4.4757233674015851E-2</v>
      </c>
      <c r="BC447" t="s">
        <v>459</v>
      </c>
      <c r="BE447">
        <v>4.6904315196998128E-2</v>
      </c>
      <c r="BF447">
        <v>9.1661548871013979E-2</v>
      </c>
      <c r="BG447" t="s">
        <v>459</v>
      </c>
      <c r="BH447">
        <v>0</v>
      </c>
    </row>
    <row r="448" spans="1:67" x14ac:dyDescent="0.3">
      <c r="A448" s="2" t="s">
        <v>296</v>
      </c>
      <c r="B448" s="17" t="s">
        <v>947</v>
      </c>
      <c r="C448" s="13"/>
      <c r="D448" s="2">
        <v>3.55</v>
      </c>
      <c r="E448" s="2" t="s">
        <v>295</v>
      </c>
      <c r="F448" s="9">
        <v>-1</v>
      </c>
      <c r="G448">
        <v>-1</v>
      </c>
      <c r="I448" s="2">
        <v>1</v>
      </c>
      <c r="J448" s="25">
        <v>1</v>
      </c>
      <c r="K448">
        <v>0</v>
      </c>
      <c r="L448">
        <v>0</v>
      </c>
      <c r="M448" s="25">
        <v>3.86</v>
      </c>
      <c r="N448" s="25">
        <v>3.86</v>
      </c>
      <c r="O448" s="2">
        <v>15.615511227317649</v>
      </c>
      <c r="P448" s="2"/>
      <c r="Q448" s="2"/>
      <c r="R448" s="25">
        <v>3.86</v>
      </c>
      <c r="S448" s="25">
        <v>3.86</v>
      </c>
      <c r="T448" s="25">
        <f>(T447+T449)/2</f>
        <v>15.342750000000001</v>
      </c>
      <c r="U448">
        <v>0</v>
      </c>
      <c r="AA448" s="2"/>
      <c r="AB448">
        <v>20</v>
      </c>
      <c r="AC448" s="55">
        <f t="shared" si="46"/>
        <v>232.66487108254202</v>
      </c>
      <c r="AD448" s="57">
        <v>0</v>
      </c>
      <c r="AE448" s="55"/>
      <c r="AF448" s="55"/>
      <c r="AG448" s="52">
        <f t="shared" si="49"/>
        <v>8.5960548779642126E-2</v>
      </c>
      <c r="AH448" s="51"/>
      <c r="AI448" s="52"/>
      <c r="AJ448" s="52"/>
      <c r="AK448" s="28">
        <v>1.75</v>
      </c>
      <c r="AL448" s="28">
        <v>2.5</v>
      </c>
      <c r="AM448" s="28">
        <v>0.75</v>
      </c>
      <c r="AN448" s="28">
        <v>0</v>
      </c>
      <c r="AO448" s="28">
        <v>0.35</v>
      </c>
      <c r="AP448" s="28">
        <v>0.5</v>
      </c>
      <c r="AQ448" s="28">
        <v>0.15</v>
      </c>
      <c r="AR448" s="28">
        <v>0</v>
      </c>
      <c r="AS448" s="25">
        <v>0.95</v>
      </c>
      <c r="AT448" s="25">
        <v>3.44</v>
      </c>
      <c r="AU448" s="25">
        <v>2.4900000000000002</v>
      </c>
      <c r="AV448" s="25">
        <v>2.7109375</v>
      </c>
      <c r="AW448">
        <v>2.7109375</v>
      </c>
      <c r="AX448">
        <v>6.2579197821781882</v>
      </c>
      <c r="AY448" s="75"/>
      <c r="AZ448" s="75"/>
      <c r="BA448" s="75"/>
      <c r="BB448">
        <v>4.2980274389821063E-2</v>
      </c>
      <c r="BC448" t="s">
        <v>459</v>
      </c>
      <c r="BF448">
        <v>8.5960548779642126E-2</v>
      </c>
      <c r="BG448" t="s">
        <v>459</v>
      </c>
      <c r="BH448">
        <v>0</v>
      </c>
    </row>
    <row r="449" spans="1:67" x14ac:dyDescent="0.3">
      <c r="A449" s="2" t="s">
        <v>297</v>
      </c>
      <c r="B449" s="13" t="s">
        <v>827</v>
      </c>
      <c r="C449" s="13"/>
      <c r="D449" s="2">
        <v>3.5</v>
      </c>
      <c r="E449" s="2" t="s">
        <v>295</v>
      </c>
      <c r="F449" s="9">
        <v>-1</v>
      </c>
      <c r="G449">
        <v>-1</v>
      </c>
      <c r="I449" s="2">
        <v>1</v>
      </c>
      <c r="J449" s="25">
        <v>1</v>
      </c>
      <c r="K449">
        <v>0</v>
      </c>
      <c r="L449">
        <v>0</v>
      </c>
      <c r="M449" s="25">
        <v>3.86</v>
      </c>
      <c r="N449" s="25">
        <v>3.86</v>
      </c>
      <c r="O449" s="2">
        <v>15.994210692250023</v>
      </c>
      <c r="P449" s="2"/>
      <c r="Q449" s="2"/>
      <c r="R449" s="25">
        <v>3.86</v>
      </c>
      <c r="S449" s="25">
        <v>3.86</v>
      </c>
      <c r="T449" s="25">
        <v>15.7155</v>
      </c>
      <c r="U449">
        <v>0</v>
      </c>
      <c r="X449">
        <v>0</v>
      </c>
      <c r="AA449" s="2"/>
      <c r="AB449">
        <v>20</v>
      </c>
      <c r="AC449" s="55">
        <f t="shared" si="46"/>
        <v>238.30734163024843</v>
      </c>
      <c r="AD449" s="57">
        <v>0</v>
      </c>
      <c r="AE449" s="55"/>
      <c r="AF449" s="55">
        <v>0</v>
      </c>
      <c r="AG449" s="52">
        <f t="shared" si="49"/>
        <v>8.3925236474801893E-2</v>
      </c>
      <c r="AH449" s="51"/>
      <c r="AI449" s="52"/>
      <c r="AJ449" s="52"/>
      <c r="AK449" s="28">
        <v>1.75</v>
      </c>
      <c r="AL449" s="28">
        <v>2.5</v>
      </c>
      <c r="AM449" s="28">
        <v>0.75</v>
      </c>
      <c r="AN449" s="28">
        <v>0</v>
      </c>
      <c r="AO449" s="28">
        <v>0.35</v>
      </c>
      <c r="AP449" s="28">
        <v>0.5</v>
      </c>
      <c r="AQ449" s="28">
        <v>0.15</v>
      </c>
      <c r="AR449" s="28">
        <v>0</v>
      </c>
      <c r="AS449" s="25">
        <v>0.95</v>
      </c>
      <c r="AT449" s="25">
        <v>3.44</v>
      </c>
      <c r="AU449" s="25">
        <v>2.4900000000000002</v>
      </c>
      <c r="AV449" s="25">
        <v>2.7093750000000001</v>
      </c>
      <c r="AW449">
        <v>2.7093750000000001</v>
      </c>
      <c r="AX449">
        <v>6.2518139537406876</v>
      </c>
      <c r="AY449" s="75"/>
      <c r="AZ449" s="75"/>
      <c r="BA449" s="75"/>
      <c r="BB449">
        <v>4.1962618237400953E-2</v>
      </c>
      <c r="BC449" t="s">
        <v>459</v>
      </c>
      <c r="BF449">
        <v>8.3925236474801893E-2</v>
      </c>
      <c r="BG449" t="s">
        <v>459</v>
      </c>
      <c r="BH449">
        <v>0</v>
      </c>
    </row>
    <row r="450" spans="1:67" x14ac:dyDescent="0.3">
      <c r="A450" s="2" t="s">
        <v>298</v>
      </c>
      <c r="B450" s="17" t="s">
        <v>948</v>
      </c>
      <c r="C450" s="13"/>
      <c r="D450" s="2">
        <v>3.45</v>
      </c>
      <c r="E450" s="2" t="s">
        <v>295</v>
      </c>
      <c r="F450" s="9">
        <v>-1</v>
      </c>
      <c r="G450">
        <v>-1</v>
      </c>
      <c r="I450" s="2">
        <v>1</v>
      </c>
      <c r="J450" s="25">
        <v>1</v>
      </c>
      <c r="K450">
        <v>0</v>
      </c>
      <c r="L450">
        <v>0</v>
      </c>
      <c r="M450" s="25">
        <v>3.86</v>
      </c>
      <c r="N450" s="25">
        <v>3.86</v>
      </c>
      <c r="O450" s="2">
        <v>16.28902613653251</v>
      </c>
      <c r="P450" s="2"/>
      <c r="Q450" s="2"/>
      <c r="R450" s="25">
        <v>3.86</v>
      </c>
      <c r="S450" s="25">
        <v>3.86</v>
      </c>
      <c r="T450" s="25">
        <v>16.312000000000001</v>
      </c>
      <c r="U450">
        <v>0</v>
      </c>
      <c r="X450">
        <v>0</v>
      </c>
      <c r="AA450" s="2"/>
      <c r="AB450">
        <v>20</v>
      </c>
      <c r="AC450" s="55">
        <f t="shared" si="46"/>
        <v>242.69997382387976</v>
      </c>
      <c r="AD450" s="57">
        <v>0</v>
      </c>
      <c r="AE450" s="55"/>
      <c r="AF450" s="55">
        <v>0</v>
      </c>
      <c r="AG450" s="52">
        <f t="shared" si="49"/>
        <v>8.2406271763809144E-2</v>
      </c>
      <c r="AH450" s="51"/>
      <c r="AI450" s="52"/>
      <c r="AJ450" s="52"/>
      <c r="AK450" s="28">
        <v>1.75</v>
      </c>
      <c r="AL450" s="28">
        <v>2.5</v>
      </c>
      <c r="AM450" s="28">
        <v>0.75</v>
      </c>
      <c r="AN450" s="28">
        <v>0</v>
      </c>
      <c r="AO450" s="28">
        <v>0.35</v>
      </c>
      <c r="AP450" s="28">
        <v>0.5</v>
      </c>
      <c r="AQ450" s="28">
        <v>0.15</v>
      </c>
      <c r="AR450" s="28">
        <v>0</v>
      </c>
      <c r="AS450" s="25">
        <v>0.95</v>
      </c>
      <c r="AT450" s="25">
        <v>3.44</v>
      </c>
      <c r="AU450" s="25">
        <v>2.4900000000000002</v>
      </c>
      <c r="AV450" s="25">
        <v>2.7078125000000002</v>
      </c>
      <c r="AW450">
        <v>2.7078125000000002</v>
      </c>
      <c r="AX450">
        <v>6.245708125303187</v>
      </c>
      <c r="AY450" s="75"/>
      <c r="AZ450" s="75"/>
      <c r="BA450" s="75"/>
      <c r="BB450">
        <v>4.1203135881904572E-2</v>
      </c>
      <c r="BC450" t="s">
        <v>459</v>
      </c>
      <c r="BF450">
        <v>8.2406271763809144E-2</v>
      </c>
      <c r="BG450" t="s">
        <v>459</v>
      </c>
      <c r="BH450">
        <v>0</v>
      </c>
    </row>
    <row r="451" spans="1:67" x14ac:dyDescent="0.3">
      <c r="A451" s="2" t="s">
        <v>151</v>
      </c>
      <c r="B451" s="13" t="s">
        <v>774</v>
      </c>
      <c r="C451" s="13"/>
      <c r="D451" s="2">
        <v>3.4</v>
      </c>
      <c r="E451" s="2" t="s">
        <v>295</v>
      </c>
      <c r="F451" s="9">
        <v>-1</v>
      </c>
      <c r="G451">
        <v>-1</v>
      </c>
      <c r="I451" s="2">
        <v>1</v>
      </c>
      <c r="J451" s="25">
        <v>1</v>
      </c>
      <c r="K451">
        <v>0</v>
      </c>
      <c r="L451">
        <v>0</v>
      </c>
      <c r="M451" s="25">
        <v>3.86</v>
      </c>
      <c r="N451" s="25">
        <v>3.86</v>
      </c>
      <c r="O451" s="2">
        <v>17.505628149549622</v>
      </c>
      <c r="P451" s="2"/>
      <c r="Q451" s="2"/>
      <c r="R451" s="25">
        <v>3.86</v>
      </c>
      <c r="S451" s="25">
        <v>3.86</v>
      </c>
      <c r="T451" s="25">
        <v>17.599</v>
      </c>
      <c r="U451">
        <v>0</v>
      </c>
      <c r="X451">
        <v>0</v>
      </c>
      <c r="AA451" s="2"/>
      <c r="AB451">
        <v>20</v>
      </c>
      <c r="AC451" s="55">
        <f t="shared" si="46"/>
        <v>260.82685717702952</v>
      </c>
      <c r="AD451" s="57">
        <v>0</v>
      </c>
      <c r="AE451" s="55"/>
      <c r="AF451" s="55">
        <v>0</v>
      </c>
      <c r="AG451" s="52">
        <f t="shared" si="49"/>
        <v>7.667922014037655E-2</v>
      </c>
      <c r="AH451" s="51"/>
      <c r="AI451" s="52"/>
      <c r="AJ451" s="52"/>
      <c r="AK451" s="28">
        <v>1.75</v>
      </c>
      <c r="AL451" s="28">
        <v>2.5</v>
      </c>
      <c r="AM451" s="28">
        <v>0.75</v>
      </c>
      <c r="AN451" s="28">
        <v>0</v>
      </c>
      <c r="AO451" s="28">
        <v>0.35</v>
      </c>
      <c r="AP451" s="28">
        <v>0.5</v>
      </c>
      <c r="AQ451" s="28">
        <v>0.15</v>
      </c>
      <c r="AR451" s="28">
        <v>0</v>
      </c>
      <c r="AS451" s="25">
        <v>0.95</v>
      </c>
      <c r="AT451" s="25">
        <v>3.44</v>
      </c>
      <c r="AU451" s="25">
        <v>2.4900000000000002</v>
      </c>
      <c r="AV451" s="25">
        <v>2.7062499999999998</v>
      </c>
      <c r="AW451">
        <v>2.7062499999999998</v>
      </c>
      <c r="AX451">
        <v>6.2396022968656872</v>
      </c>
      <c r="AY451" s="75"/>
      <c r="AZ451" s="75"/>
      <c r="BA451" s="75"/>
      <c r="BB451">
        <v>3.8339610070188268E-2</v>
      </c>
      <c r="BC451" t="s">
        <v>459</v>
      </c>
      <c r="BF451">
        <v>7.667922014037655E-2</v>
      </c>
      <c r="BG451" t="s">
        <v>459</v>
      </c>
      <c r="BH451">
        <v>0</v>
      </c>
    </row>
    <row r="452" spans="1:67" x14ac:dyDescent="0.3">
      <c r="A452" s="2" t="s">
        <v>299</v>
      </c>
      <c r="B452" s="17" t="s">
        <v>949</v>
      </c>
      <c r="C452" s="13"/>
      <c r="D452" s="2">
        <v>3.65</v>
      </c>
      <c r="E452" s="2" t="s">
        <v>295</v>
      </c>
      <c r="F452" s="9">
        <v>-1</v>
      </c>
      <c r="G452">
        <v>-1</v>
      </c>
      <c r="I452" s="2">
        <v>1</v>
      </c>
      <c r="J452" s="25">
        <v>1</v>
      </c>
      <c r="K452">
        <v>0</v>
      </c>
      <c r="L452">
        <v>0</v>
      </c>
      <c r="M452" s="25">
        <v>3.86</v>
      </c>
      <c r="N452" s="25">
        <v>3.86</v>
      </c>
      <c r="O452" s="2">
        <v>14.582394405034421</v>
      </c>
      <c r="P452" s="2"/>
      <c r="Q452" s="2"/>
      <c r="R452" s="25">
        <v>3.86</v>
      </c>
      <c r="S452" s="25">
        <v>3.86</v>
      </c>
      <c r="T452" s="25">
        <v>14.85</v>
      </c>
      <c r="U452">
        <v>0</v>
      </c>
      <c r="X452">
        <v>0</v>
      </c>
      <c r="AA452" s="2"/>
      <c r="AB452">
        <v>20</v>
      </c>
      <c r="AC452" s="55">
        <f t="shared" si="46"/>
        <v>217.27184367725084</v>
      </c>
      <c r="AD452" s="57">
        <v>0</v>
      </c>
      <c r="AE452" s="55"/>
      <c r="AF452" s="55">
        <v>0</v>
      </c>
      <c r="AG452" s="52">
        <f t="shared" si="49"/>
        <v>9.2050583552414869E-2</v>
      </c>
      <c r="AH452" s="51"/>
      <c r="AI452" s="52"/>
      <c r="AJ452" s="52"/>
      <c r="AK452" s="28">
        <v>1.76875</v>
      </c>
      <c r="AL452" s="28">
        <v>2.5</v>
      </c>
      <c r="AM452" s="28">
        <v>0.73125000000000007</v>
      </c>
      <c r="AN452" s="28">
        <v>0.26250000000000001</v>
      </c>
      <c r="AO452" s="28">
        <v>0.33610451306413303</v>
      </c>
      <c r="AP452" s="28">
        <v>0.47505938242280282</v>
      </c>
      <c r="AQ452" s="28">
        <v>0.13895486935866991</v>
      </c>
      <c r="AR452" s="28">
        <v>4.9881235154394299E-2</v>
      </c>
      <c r="AS452" s="25">
        <v>1</v>
      </c>
      <c r="AT452" s="25">
        <v>3.44</v>
      </c>
      <c r="AU452" s="25">
        <v>2.44</v>
      </c>
      <c r="AV452" s="25">
        <v>2.7106249999999998</v>
      </c>
      <c r="AW452">
        <v>2.7106249999999998</v>
      </c>
      <c r="AX452">
        <v>6.2658671793656886</v>
      </c>
      <c r="AY452" s="75"/>
      <c r="AZ452" s="75"/>
      <c r="BA452" s="75"/>
      <c r="BB452">
        <v>4.6025291776207428E-2</v>
      </c>
      <c r="BC452" t="s">
        <v>459</v>
      </c>
      <c r="BF452">
        <v>9.2050583552414869E-2</v>
      </c>
      <c r="BG452" t="s">
        <v>459</v>
      </c>
      <c r="BH452">
        <v>0</v>
      </c>
    </row>
    <row r="453" spans="1:67" x14ac:dyDescent="0.3">
      <c r="A453" s="2" t="s">
        <v>300</v>
      </c>
      <c r="B453" s="13" t="s">
        <v>809</v>
      </c>
      <c r="C453" s="13"/>
      <c r="D453" s="2">
        <v>3.26</v>
      </c>
      <c r="E453" s="2" t="s">
        <v>295</v>
      </c>
      <c r="F453" s="9">
        <v>-1</v>
      </c>
      <c r="G453">
        <v>-1</v>
      </c>
      <c r="I453" s="2">
        <v>1</v>
      </c>
      <c r="J453" s="25">
        <v>1</v>
      </c>
      <c r="K453">
        <v>0</v>
      </c>
      <c r="L453">
        <v>0</v>
      </c>
      <c r="M453" s="25">
        <v>3.86</v>
      </c>
      <c r="N453" s="25">
        <v>3.86</v>
      </c>
      <c r="O453" s="2">
        <v>14.909538142748223</v>
      </c>
      <c r="P453" s="2"/>
      <c r="Q453" s="2"/>
      <c r="R453" s="25">
        <v>3.86</v>
      </c>
      <c r="S453" s="25">
        <v>3.86</v>
      </c>
      <c r="T453" s="25">
        <v>15.022</v>
      </c>
      <c r="U453">
        <v>0</v>
      </c>
      <c r="X453">
        <v>0</v>
      </c>
      <c r="AA453" s="2"/>
      <c r="AB453">
        <v>20</v>
      </c>
      <c r="AC453" s="55">
        <f t="shared" si="46"/>
        <v>222.14615451169144</v>
      </c>
      <c r="AD453" s="57">
        <v>0</v>
      </c>
      <c r="AE453" s="55"/>
      <c r="AF453" s="55">
        <v>0</v>
      </c>
      <c r="AG453" s="52">
        <f t="shared" si="49"/>
        <v>9.0030817971901517E-2</v>
      </c>
      <c r="AH453" s="51"/>
      <c r="AI453" s="52"/>
      <c r="AJ453" s="52"/>
      <c r="AK453" s="28">
        <v>1.8125</v>
      </c>
      <c r="AL453" s="28">
        <v>2.5</v>
      </c>
      <c r="AM453" s="28">
        <v>0.6875</v>
      </c>
      <c r="AN453" s="28">
        <v>0.875</v>
      </c>
      <c r="AO453" s="28">
        <v>0.30851063829787229</v>
      </c>
      <c r="AP453" s="28">
        <v>0.42553191489361702</v>
      </c>
      <c r="AQ453" s="28">
        <v>0.1170212765957447</v>
      </c>
      <c r="AR453" s="28">
        <v>0.14893617021276601</v>
      </c>
      <c r="AS453" s="25">
        <v>1</v>
      </c>
      <c r="AT453" s="25">
        <v>3.44</v>
      </c>
      <c r="AU453" s="25">
        <v>2.44</v>
      </c>
      <c r="AV453" s="25">
        <v>2.7062499999999998</v>
      </c>
      <c r="AW453">
        <v>2.7062499999999998</v>
      </c>
      <c r="AX453">
        <v>6.2701641731156874</v>
      </c>
      <c r="AY453" s="75"/>
      <c r="AZ453" s="75"/>
      <c r="BA453" s="75"/>
      <c r="BB453">
        <v>4.5015408985950758E-2</v>
      </c>
      <c r="BC453" t="s">
        <v>459</v>
      </c>
      <c r="BF453">
        <v>9.0030817971901517E-2</v>
      </c>
      <c r="BG453" t="s">
        <v>459</v>
      </c>
      <c r="BH453">
        <v>0</v>
      </c>
    </row>
    <row r="454" spans="1:67" x14ac:dyDescent="0.3">
      <c r="A454" s="2" t="s">
        <v>301</v>
      </c>
      <c r="B454" s="17" t="s">
        <v>950</v>
      </c>
      <c r="C454" s="13"/>
      <c r="D454" s="2">
        <v>3.2</v>
      </c>
      <c r="E454" s="2" t="s">
        <v>295</v>
      </c>
      <c r="F454" s="9">
        <v>-1</v>
      </c>
      <c r="G454">
        <v>-1</v>
      </c>
      <c r="I454" s="2">
        <v>1</v>
      </c>
      <c r="J454" s="25">
        <v>1</v>
      </c>
      <c r="K454">
        <v>0</v>
      </c>
      <c r="L454">
        <v>0</v>
      </c>
      <c r="M454" s="25">
        <v>3.86</v>
      </c>
      <c r="N454" s="25">
        <v>3.86</v>
      </c>
      <c r="O454" s="2">
        <v>15.013371612679299</v>
      </c>
      <c r="P454" s="2"/>
      <c r="Q454" s="2"/>
      <c r="R454" s="25">
        <v>3.86</v>
      </c>
      <c r="S454" s="25">
        <v>3.86</v>
      </c>
      <c r="T454" s="45">
        <v>15.380100000000001</v>
      </c>
      <c r="U454">
        <v>0</v>
      </c>
      <c r="X454">
        <v>0</v>
      </c>
      <c r="AA454" s="2"/>
      <c r="AB454">
        <v>20</v>
      </c>
      <c r="AC454" s="55">
        <f t="shared" si="46"/>
        <v>223.69323168027648</v>
      </c>
      <c r="AD454" s="57">
        <v>0</v>
      </c>
      <c r="AE454" s="55"/>
      <c r="AF454" s="55">
        <v>0</v>
      </c>
      <c r="AG454" s="52">
        <f t="shared" si="49"/>
        <v>8.9408158886925521E-2</v>
      </c>
      <c r="AH454" s="51"/>
      <c r="AI454" s="52"/>
      <c r="AJ454" s="52"/>
      <c r="AK454" s="28">
        <v>1.84375</v>
      </c>
      <c r="AL454" s="28">
        <v>2.5</v>
      </c>
      <c r="AM454" s="28">
        <v>0.65625</v>
      </c>
      <c r="AN454" s="28">
        <v>1.3125</v>
      </c>
      <c r="AO454" s="28">
        <v>0.29207920792079212</v>
      </c>
      <c r="AP454" s="28">
        <v>0.39603960396039611</v>
      </c>
      <c r="AQ454" s="28">
        <v>0.103960396039604</v>
      </c>
      <c r="AR454" s="28">
        <v>0.20792079207920791</v>
      </c>
      <c r="AS454" s="25">
        <v>1</v>
      </c>
      <c r="AT454" s="25">
        <v>3.44</v>
      </c>
      <c r="AU454" s="25">
        <v>2.44</v>
      </c>
      <c r="AV454" s="25">
        <v>2.703125</v>
      </c>
      <c r="AW454">
        <v>2.703125</v>
      </c>
      <c r="AX454">
        <v>6.2732334543656876</v>
      </c>
      <c r="AY454" s="75"/>
      <c r="AZ454" s="75"/>
      <c r="BA454" s="75"/>
      <c r="BB454">
        <v>4.470407944346276E-2</v>
      </c>
      <c r="BC454" t="s">
        <v>459</v>
      </c>
      <c r="BF454">
        <v>8.9408158886925521E-2</v>
      </c>
      <c r="BG454" t="s">
        <v>459</v>
      </c>
      <c r="BH454">
        <v>0</v>
      </c>
    </row>
    <row r="455" spans="1:67" x14ac:dyDescent="0.3">
      <c r="A455" s="2" t="s">
        <v>4</v>
      </c>
      <c r="B455" s="13" t="s">
        <v>689</v>
      </c>
      <c r="C455" s="13"/>
      <c r="D455" s="2">
        <v>3.5</v>
      </c>
      <c r="E455" s="2" t="s">
        <v>302</v>
      </c>
      <c r="F455" s="9" t="s">
        <v>527</v>
      </c>
      <c r="G455" t="s">
        <v>609</v>
      </c>
      <c r="I455" s="2"/>
      <c r="J455" s="25">
        <v>4</v>
      </c>
      <c r="K455">
        <v>4</v>
      </c>
      <c r="L455">
        <v>0</v>
      </c>
      <c r="M455" s="2"/>
      <c r="N455" s="2"/>
      <c r="O455" s="2"/>
      <c r="P455" s="2"/>
      <c r="Q455" s="2"/>
      <c r="R455" s="25">
        <v>3.86</v>
      </c>
      <c r="S455" s="25">
        <v>3.86</v>
      </c>
      <c r="T455" s="25">
        <v>15.19056011</v>
      </c>
      <c r="U455">
        <v>3.8801999999999999</v>
      </c>
      <c r="V455">
        <v>29.507999999999999</v>
      </c>
      <c r="W455">
        <v>7.7140000000000004</v>
      </c>
      <c r="X455">
        <v>0</v>
      </c>
      <c r="AA455" s="2"/>
      <c r="AB455">
        <v>20</v>
      </c>
      <c r="AC455" s="55">
        <f t="shared" si="46"/>
        <v>0</v>
      </c>
      <c r="AD455" s="57">
        <v>924.74694800021894</v>
      </c>
      <c r="AE455" s="55">
        <v>883.22940750240002</v>
      </c>
      <c r="AF455" s="55">
        <v>0</v>
      </c>
      <c r="AG455" s="52"/>
      <c r="AH455" s="51">
        <v>8.6510153045653584E-2</v>
      </c>
      <c r="AI455" s="52">
        <v>9.0576694254581439E-2</v>
      </c>
      <c r="AJ455" s="52"/>
      <c r="AK455" s="28">
        <v>1.75</v>
      </c>
      <c r="AL455" s="28">
        <v>2.5</v>
      </c>
      <c r="AM455" s="28">
        <v>0.75</v>
      </c>
      <c r="AN455" s="28">
        <v>0</v>
      </c>
      <c r="AO455" s="28">
        <v>0.35</v>
      </c>
      <c r="AP455" s="28">
        <v>0.5</v>
      </c>
      <c r="AQ455" s="28">
        <v>0.15</v>
      </c>
      <c r="AR455" s="28">
        <v>0</v>
      </c>
      <c r="AS455" s="25">
        <v>0.82</v>
      </c>
      <c r="AT455" s="25">
        <v>3.44</v>
      </c>
      <c r="AU455" s="25">
        <v>2.62</v>
      </c>
      <c r="AV455" s="25">
        <v>2.6262500000000002</v>
      </c>
      <c r="AW455">
        <v>2.6262500000000002</v>
      </c>
      <c r="AX455">
        <v>5.96680968125</v>
      </c>
      <c r="AY455" s="75">
        <v>0.50555206026575039</v>
      </c>
      <c r="AZ455" s="75">
        <v>0</v>
      </c>
      <c r="BA455" s="75"/>
      <c r="BC455">
        <v>4.3255076522826792E-2</v>
      </c>
      <c r="BD455">
        <v>4.5288347127290719E-2</v>
      </c>
      <c r="BF455">
        <v>8.8543423650117511E-2</v>
      </c>
      <c r="BG455">
        <v>4.4271711825058763E-2</v>
      </c>
      <c r="BH455">
        <v>0.2527760301328752</v>
      </c>
    </row>
    <row r="456" spans="1:67" x14ac:dyDescent="0.3">
      <c r="A456" s="2" t="s">
        <v>303</v>
      </c>
      <c r="B456" s="13" t="s">
        <v>828</v>
      </c>
      <c r="C456" s="13"/>
      <c r="D456" s="2">
        <v>3.4</v>
      </c>
      <c r="E456" s="2" t="s">
        <v>302</v>
      </c>
      <c r="F456" s="32" t="s">
        <v>527</v>
      </c>
      <c r="G456" s="1" t="s">
        <v>609</v>
      </c>
      <c r="I456" s="2"/>
      <c r="J456" s="25">
        <v>0</v>
      </c>
      <c r="K456">
        <v>4</v>
      </c>
      <c r="L456">
        <v>0</v>
      </c>
      <c r="M456" s="2">
        <v>-1</v>
      </c>
      <c r="N456" s="2"/>
      <c r="O456" s="2"/>
      <c r="P456" s="2"/>
      <c r="Q456" s="2"/>
      <c r="R456" s="36">
        <v>3.86</v>
      </c>
      <c r="S456" s="36">
        <v>3.86</v>
      </c>
      <c r="T456" s="36">
        <v>15.19056011</v>
      </c>
      <c r="U456">
        <v>3.8801999999999999</v>
      </c>
      <c r="V456">
        <v>29.507999999999999</v>
      </c>
      <c r="W456">
        <v>7.7140000000000004</v>
      </c>
      <c r="X456">
        <v>0</v>
      </c>
      <c r="AA456" s="2"/>
      <c r="AB456">
        <v>20</v>
      </c>
      <c r="AC456" s="55">
        <f t="shared" si="46"/>
        <v>0</v>
      </c>
      <c r="AD456" s="57">
        <v>0</v>
      </c>
      <c r="AE456" s="55">
        <v>883.22940750240002</v>
      </c>
      <c r="AF456" s="55">
        <v>0</v>
      </c>
      <c r="AG456" s="52"/>
      <c r="AH456" s="51"/>
      <c r="AI456" s="52">
        <v>9.0576694254581439E-2</v>
      </c>
      <c r="AJ456" s="52"/>
      <c r="AK456" s="28">
        <v>1.75</v>
      </c>
      <c r="AL456" s="28">
        <v>2.5</v>
      </c>
      <c r="AM456" s="28">
        <v>0.75</v>
      </c>
      <c r="AN456" s="28">
        <v>0</v>
      </c>
      <c r="AO456" s="28">
        <v>0.35</v>
      </c>
      <c r="AP456" s="28">
        <v>0.5</v>
      </c>
      <c r="AQ456" s="28">
        <v>0.15</v>
      </c>
      <c r="AR456" s="28">
        <v>0</v>
      </c>
      <c r="AS456" s="25">
        <v>0.82</v>
      </c>
      <c r="AT456" s="25">
        <v>3.44</v>
      </c>
      <c r="AU456" s="25">
        <v>2.62</v>
      </c>
      <c r="AV456" s="25">
        <v>2.6231249999999999</v>
      </c>
      <c r="AW456">
        <v>2.6231249999999999</v>
      </c>
      <c r="AX456">
        <v>5.9545980243750014</v>
      </c>
      <c r="AY456" s="75">
        <v>0.50555206026575039</v>
      </c>
      <c r="AZ456" s="75">
        <v>0</v>
      </c>
      <c r="BA456" s="75"/>
      <c r="BD456">
        <v>4.5288347127290719E-2</v>
      </c>
      <c r="BF456">
        <v>9.0576694254581439E-2</v>
      </c>
      <c r="BG456">
        <v>4.5288347127290719E-2</v>
      </c>
      <c r="BH456">
        <v>0.2527760301328752</v>
      </c>
    </row>
    <row r="457" spans="1:67" x14ac:dyDescent="0.3">
      <c r="A457" s="2" t="s">
        <v>7</v>
      </c>
      <c r="B457" s="13" t="s">
        <v>692</v>
      </c>
      <c r="C457" s="13"/>
      <c r="D457" s="2">
        <v>3.3</v>
      </c>
      <c r="E457" s="2" t="s">
        <v>302</v>
      </c>
      <c r="F457" s="32" t="s">
        <v>527</v>
      </c>
      <c r="G457" s="1" t="s">
        <v>609</v>
      </c>
      <c r="I457" s="2"/>
      <c r="J457" s="25">
        <v>0</v>
      </c>
      <c r="K457">
        <v>4</v>
      </c>
      <c r="L457">
        <v>0</v>
      </c>
      <c r="M457" s="2">
        <v>-1</v>
      </c>
      <c r="N457" s="2"/>
      <c r="O457" s="2"/>
      <c r="P457" s="2"/>
      <c r="Q457" s="2"/>
      <c r="R457" s="36">
        <v>3.86</v>
      </c>
      <c r="S457" s="36">
        <v>3.86</v>
      </c>
      <c r="T457" s="36">
        <v>15.19056011</v>
      </c>
      <c r="U457">
        <v>3.8801999999999999</v>
      </c>
      <c r="V457">
        <v>29.507999999999999</v>
      </c>
      <c r="W457">
        <v>7.7140000000000004</v>
      </c>
      <c r="X457">
        <v>0</v>
      </c>
      <c r="AA457" s="2"/>
      <c r="AB457">
        <v>20</v>
      </c>
      <c r="AC457" s="55">
        <f t="shared" si="46"/>
        <v>0</v>
      </c>
      <c r="AD457" s="57">
        <v>0</v>
      </c>
      <c r="AE457" s="55">
        <v>883.22940750240002</v>
      </c>
      <c r="AF457" s="55">
        <v>0</v>
      </c>
      <c r="AG457" s="52"/>
      <c r="AH457" s="51"/>
      <c r="AI457" s="52">
        <v>9.0576694254581439E-2</v>
      </c>
      <c r="AJ457" s="52"/>
      <c r="AK457" s="28">
        <v>1.75</v>
      </c>
      <c r="AL457" s="28">
        <v>2.5</v>
      </c>
      <c r="AM457" s="28">
        <v>0.75</v>
      </c>
      <c r="AN457" s="28">
        <v>0</v>
      </c>
      <c r="AO457" s="28">
        <v>0.35</v>
      </c>
      <c r="AP457" s="28">
        <v>0.5</v>
      </c>
      <c r="AQ457" s="28">
        <v>0.15</v>
      </c>
      <c r="AR457" s="28">
        <v>0</v>
      </c>
      <c r="AS457" s="25">
        <v>0.82</v>
      </c>
      <c r="AT457" s="25">
        <v>3.44</v>
      </c>
      <c r="AU457" s="25">
        <v>2.62</v>
      </c>
      <c r="AV457" s="25">
        <v>2.62</v>
      </c>
      <c r="AW457">
        <v>2.62</v>
      </c>
      <c r="AX457">
        <v>5.9423863675000002</v>
      </c>
      <c r="AY457" s="75">
        <v>0.50555206026575039</v>
      </c>
      <c r="AZ457" s="75">
        <v>0</v>
      </c>
      <c r="BA457" s="75"/>
      <c r="BD457">
        <v>4.5288347127290719E-2</v>
      </c>
      <c r="BF457">
        <v>9.0576694254581439E-2</v>
      </c>
      <c r="BG457">
        <v>4.5288347127290719E-2</v>
      </c>
      <c r="BH457">
        <v>0.2527760301328752</v>
      </c>
    </row>
    <row r="458" spans="1:67" x14ac:dyDescent="0.3">
      <c r="A458" s="2" t="s">
        <v>63</v>
      </c>
      <c r="B458" s="13" t="s">
        <v>773</v>
      </c>
      <c r="C458" s="13"/>
      <c r="D458" s="2">
        <v>3.5</v>
      </c>
      <c r="E458" s="2" t="s">
        <v>305</v>
      </c>
      <c r="F458" s="9">
        <v>-1</v>
      </c>
      <c r="G458">
        <v>-1</v>
      </c>
      <c r="H458" t="s">
        <v>1179</v>
      </c>
      <c r="I458" s="2">
        <v>1</v>
      </c>
      <c r="J458" s="25">
        <v>0</v>
      </c>
      <c r="K458">
        <v>0</v>
      </c>
      <c r="L458">
        <v>1</v>
      </c>
      <c r="M458" s="2">
        <v>-1</v>
      </c>
      <c r="N458" s="2"/>
      <c r="O458" s="2"/>
      <c r="P458" s="2"/>
      <c r="Q458" s="2"/>
      <c r="R458" s="25">
        <v>3.84</v>
      </c>
      <c r="S458" s="25">
        <v>3.84</v>
      </c>
      <c r="T458" s="25">
        <v>13.97</v>
      </c>
      <c r="U458">
        <v>3.8504999999999998</v>
      </c>
      <c r="V458">
        <v>3.8504999999999998</v>
      </c>
      <c r="W458">
        <v>14.379</v>
      </c>
      <c r="AA458" s="2"/>
      <c r="AB458">
        <v>20</v>
      </c>
      <c r="AC458" s="55">
        <f t="shared" si="46"/>
        <v>0</v>
      </c>
      <c r="AD458" s="57">
        <v>0</v>
      </c>
      <c r="AE458" s="55">
        <v>0</v>
      </c>
      <c r="AF458" s="55">
        <v>213.2</v>
      </c>
      <c r="AG458" s="52"/>
      <c r="AH458" s="51"/>
      <c r="AI458" s="52"/>
      <c r="AJ458" s="67">
        <f>L458*AB458/AF458</f>
        <v>9.3808630393996256E-2</v>
      </c>
      <c r="AK458" s="28">
        <v>1.75</v>
      </c>
      <c r="AL458" s="28">
        <v>2.5</v>
      </c>
      <c r="AM458" s="28">
        <v>0.75</v>
      </c>
      <c r="AN458" s="28">
        <v>0</v>
      </c>
      <c r="AO458" s="28">
        <v>0.35</v>
      </c>
      <c r="AP458" s="28">
        <v>0.5</v>
      </c>
      <c r="AQ458" s="28">
        <v>0.15</v>
      </c>
      <c r="AR458" s="28">
        <v>0</v>
      </c>
      <c r="AS458" s="25">
        <v>1</v>
      </c>
      <c r="AT458" s="25">
        <v>3.44</v>
      </c>
      <c r="AU458" s="25">
        <v>2.44</v>
      </c>
      <c r="AV458" s="25">
        <v>2.7124999999999999</v>
      </c>
      <c r="AW458">
        <v>2.7124999999999999</v>
      </c>
      <c r="AX458">
        <v>6.264025610615688</v>
      </c>
      <c r="AY458" s="75"/>
      <c r="AZ458" s="75"/>
      <c r="BA458" s="75">
        <v>0</v>
      </c>
      <c r="BB458" t="s">
        <v>459</v>
      </c>
      <c r="BE458">
        <v>4.6904315196998128E-2</v>
      </c>
      <c r="BF458">
        <v>9.3808630393996256E-2</v>
      </c>
      <c r="BG458" t="s">
        <v>459</v>
      </c>
      <c r="BH458">
        <v>0</v>
      </c>
    </row>
    <row r="459" spans="1:67" x14ac:dyDescent="0.3">
      <c r="A459" s="2" t="s">
        <v>304</v>
      </c>
      <c r="B459" s="34" t="s">
        <v>829</v>
      </c>
      <c r="C459" s="34"/>
      <c r="D459" s="2">
        <v>3.33</v>
      </c>
      <c r="E459" s="2" t="s">
        <v>305</v>
      </c>
      <c r="F459" s="35">
        <v>-1</v>
      </c>
      <c r="G459" s="2">
        <v>-1</v>
      </c>
      <c r="H459" s="2"/>
      <c r="I459" s="2">
        <v>4</v>
      </c>
      <c r="J459" s="29">
        <v>0</v>
      </c>
      <c r="K459">
        <v>0</v>
      </c>
      <c r="L459">
        <v>0</v>
      </c>
      <c r="M459" s="2">
        <v>6.47</v>
      </c>
      <c r="N459" s="2">
        <v>6.47</v>
      </c>
      <c r="O459" s="2">
        <v>30.69</v>
      </c>
      <c r="P459" s="2"/>
      <c r="Q459" s="2"/>
      <c r="R459" s="29">
        <v>0</v>
      </c>
      <c r="S459" s="29"/>
      <c r="T459" s="29"/>
      <c r="U459">
        <v>0</v>
      </c>
      <c r="X459">
        <v>0</v>
      </c>
      <c r="AA459" s="2"/>
      <c r="AB459" s="2">
        <v>34</v>
      </c>
      <c r="AC459" s="55">
        <f t="shared" si="46"/>
        <v>1284.7110209999998</v>
      </c>
      <c r="AD459" s="57">
        <v>0</v>
      </c>
      <c r="AE459" s="55">
        <v>0</v>
      </c>
      <c r="AF459" s="55">
        <v>0</v>
      </c>
      <c r="AG459" s="52">
        <f t="shared" ref="AG459:AG461" si="50">I459*AB459/AC459</f>
        <v>0.1058603824338174</v>
      </c>
      <c r="AH459" s="51"/>
      <c r="AI459" s="52"/>
      <c r="AJ459" s="52"/>
      <c r="AK459" s="2">
        <v>1.62962962962963</v>
      </c>
      <c r="AL459" s="2">
        <v>2.518518518518519</v>
      </c>
      <c r="AM459" s="2">
        <v>0.88888888888888884</v>
      </c>
      <c r="AN459" s="2">
        <v>0</v>
      </c>
      <c r="AO459" s="2">
        <v>0.32352941176470579</v>
      </c>
      <c r="AP459" s="2">
        <v>0.5</v>
      </c>
      <c r="AQ459" s="2">
        <v>0.1764705882352941</v>
      </c>
      <c r="AR459" s="2">
        <v>0</v>
      </c>
      <c r="AS459" s="29">
        <v>1.6</v>
      </c>
      <c r="AT459" s="29">
        <v>3.44</v>
      </c>
      <c r="AU459" s="29">
        <v>1.84</v>
      </c>
      <c r="AV459" s="29">
        <v>2.8474074074074069</v>
      </c>
      <c r="AW459" s="2">
        <v>2.8474074074074069</v>
      </c>
      <c r="AX459" s="2">
        <v>6.6632481018297778</v>
      </c>
      <c r="AY459" s="75"/>
      <c r="AZ459" s="75"/>
      <c r="BA459" s="75"/>
      <c r="BB459">
        <v>5.2930191216908701E-2</v>
      </c>
      <c r="BF459">
        <v>0.1058603824338174</v>
      </c>
      <c r="BG459">
        <v>5.2930191216908701E-2</v>
      </c>
      <c r="BH459">
        <v>0</v>
      </c>
    </row>
    <row r="460" spans="1:67" x14ac:dyDescent="0.3">
      <c r="A460" s="2" t="s">
        <v>299</v>
      </c>
      <c r="B460" s="33" t="s">
        <v>949</v>
      </c>
      <c r="C460" s="34"/>
      <c r="D460" s="2">
        <v>3.65</v>
      </c>
      <c r="E460" s="2" t="s">
        <v>306</v>
      </c>
      <c r="F460" s="35">
        <v>-1</v>
      </c>
      <c r="G460" s="2">
        <v>-1</v>
      </c>
      <c r="H460" s="2"/>
      <c r="I460" s="2">
        <v>1</v>
      </c>
      <c r="J460" s="29">
        <v>0</v>
      </c>
      <c r="K460">
        <v>0</v>
      </c>
      <c r="L460">
        <v>0</v>
      </c>
      <c r="M460" s="2">
        <v>3.8531</v>
      </c>
      <c r="N460" s="2">
        <v>3.8531</v>
      </c>
      <c r="O460" s="2">
        <v>16.2151</v>
      </c>
      <c r="P460" s="2"/>
      <c r="Q460" s="2"/>
      <c r="R460" s="29">
        <v>0</v>
      </c>
      <c r="S460" s="29"/>
      <c r="T460" s="29"/>
      <c r="U460">
        <v>0</v>
      </c>
      <c r="X460">
        <v>0</v>
      </c>
      <c r="AA460" s="2"/>
      <c r="AB460" s="2">
        <v>20</v>
      </c>
      <c r="AC460" s="55">
        <f t="shared" si="46"/>
        <v>240.73553001411099</v>
      </c>
      <c r="AD460" s="57">
        <v>0</v>
      </c>
      <c r="AE460" s="55">
        <v>0</v>
      </c>
      <c r="AF460" s="55">
        <v>0</v>
      </c>
      <c r="AG460" s="52">
        <f t="shared" si="50"/>
        <v>8.3078721279022161E-2</v>
      </c>
      <c r="AH460" s="51"/>
      <c r="AI460" s="52"/>
      <c r="AJ460" s="52"/>
      <c r="AK460" s="2">
        <v>1.76875</v>
      </c>
      <c r="AL460" s="2">
        <v>2.5</v>
      </c>
      <c r="AM460" s="2">
        <v>0.73125000000000007</v>
      </c>
      <c r="AN460" s="2">
        <v>0.26250000000000001</v>
      </c>
      <c r="AO460" s="2">
        <v>0.33610451306413303</v>
      </c>
      <c r="AP460" s="2">
        <v>0.47505938242280282</v>
      </c>
      <c r="AQ460" s="2">
        <v>0.13895486935866991</v>
      </c>
      <c r="AR460" s="2">
        <v>4.9881235154394299E-2</v>
      </c>
      <c r="AS460" s="29">
        <v>1</v>
      </c>
      <c r="AT460" s="29">
        <v>3.44</v>
      </c>
      <c r="AU460" s="29">
        <v>2.44</v>
      </c>
      <c r="AV460" s="29">
        <v>2.7106249999999998</v>
      </c>
      <c r="AW460" s="2">
        <v>2.7106249999999998</v>
      </c>
      <c r="AX460" s="2">
        <v>6.2658671793656886</v>
      </c>
      <c r="AY460" s="75"/>
      <c r="AZ460" s="75"/>
      <c r="BA460" s="75"/>
      <c r="BB460">
        <v>4.153936063951108E-2</v>
      </c>
      <c r="BF460">
        <v>8.3078721279022161E-2</v>
      </c>
      <c r="BG460">
        <v>4.153936063951108E-2</v>
      </c>
      <c r="BH460">
        <v>0</v>
      </c>
    </row>
    <row r="461" spans="1:67" x14ac:dyDescent="0.3">
      <c r="A461" s="2" t="s">
        <v>301</v>
      </c>
      <c r="B461" s="33" t="s">
        <v>950</v>
      </c>
      <c r="C461" s="34"/>
      <c r="D461" s="2">
        <v>3.8</v>
      </c>
      <c r="E461" s="2" t="s">
        <v>306</v>
      </c>
      <c r="F461" s="35">
        <v>-1</v>
      </c>
      <c r="G461" s="2">
        <v>-1</v>
      </c>
      <c r="H461" s="2"/>
      <c r="I461" s="2">
        <v>1</v>
      </c>
      <c r="J461" s="29">
        <v>0</v>
      </c>
      <c r="K461">
        <v>0</v>
      </c>
      <c r="L461">
        <v>0</v>
      </c>
      <c r="M461" s="2">
        <v>3.8531</v>
      </c>
      <c r="N461" s="2">
        <v>3.8531</v>
      </c>
      <c r="O461" s="2">
        <v>16.2151</v>
      </c>
      <c r="P461" s="2"/>
      <c r="Q461" s="2"/>
      <c r="R461" s="29">
        <v>0</v>
      </c>
      <c r="S461" s="29"/>
      <c r="T461" s="29"/>
      <c r="U461">
        <v>0</v>
      </c>
      <c r="X461">
        <v>0</v>
      </c>
      <c r="AA461" s="2"/>
      <c r="AB461" s="2">
        <v>20</v>
      </c>
      <c r="AC461" s="55">
        <f t="shared" si="46"/>
        <v>240.73553001411099</v>
      </c>
      <c r="AD461" s="57">
        <v>0</v>
      </c>
      <c r="AE461" s="55">
        <v>0</v>
      </c>
      <c r="AF461" s="55">
        <v>0</v>
      </c>
      <c r="AG461" s="52">
        <f t="shared" si="50"/>
        <v>8.3078721279022161E-2</v>
      </c>
      <c r="AH461" s="51"/>
      <c r="AI461" s="52"/>
      <c r="AJ461" s="52"/>
      <c r="AK461" s="2">
        <v>1.84375</v>
      </c>
      <c r="AL461" s="2">
        <v>2.5</v>
      </c>
      <c r="AM461" s="2">
        <v>0.65625</v>
      </c>
      <c r="AN461" s="2">
        <v>1.3125</v>
      </c>
      <c r="AO461" s="2">
        <v>0.29207920792079212</v>
      </c>
      <c r="AP461" s="2">
        <v>0.39603960396039611</v>
      </c>
      <c r="AQ461" s="2">
        <v>0.103960396039604</v>
      </c>
      <c r="AR461" s="2">
        <v>0.20792079207920791</v>
      </c>
      <c r="AS461" s="29">
        <v>1</v>
      </c>
      <c r="AT461" s="29">
        <v>3.44</v>
      </c>
      <c r="AU461" s="29">
        <v>2.44</v>
      </c>
      <c r="AV461" s="29">
        <v>2.703125</v>
      </c>
      <c r="AW461" s="2">
        <v>2.703125</v>
      </c>
      <c r="AX461" s="2">
        <v>6.2732334543656876</v>
      </c>
      <c r="AY461" s="75"/>
      <c r="AZ461" s="75"/>
      <c r="BA461" s="75"/>
      <c r="BB461">
        <v>4.153936063951108E-2</v>
      </c>
      <c r="BF461">
        <v>8.3078721279022161E-2</v>
      </c>
      <c r="BG461">
        <v>4.153936063951108E-2</v>
      </c>
      <c r="BH461">
        <v>0</v>
      </c>
    </row>
    <row r="462" spans="1:67" x14ac:dyDescent="0.3">
      <c r="A462" s="2" t="s">
        <v>46</v>
      </c>
      <c r="B462" s="34" t="s">
        <v>722</v>
      </c>
      <c r="C462" s="34"/>
      <c r="D462" s="2">
        <v>3.34</v>
      </c>
      <c r="E462" s="2" t="s">
        <v>307</v>
      </c>
      <c r="F462" s="35" t="s">
        <v>551</v>
      </c>
      <c r="G462" s="2" t="s">
        <v>629</v>
      </c>
      <c r="H462" s="2"/>
      <c r="I462" s="2"/>
      <c r="J462" s="29">
        <v>2</v>
      </c>
      <c r="K462">
        <v>4</v>
      </c>
      <c r="L462">
        <v>0</v>
      </c>
      <c r="M462" s="2"/>
      <c r="N462" s="2"/>
      <c r="O462" s="2"/>
      <c r="P462" s="2"/>
      <c r="Q462" s="2"/>
      <c r="R462" s="29">
        <v>7.41544296</v>
      </c>
      <c r="S462" s="29">
        <v>7.4154429599999991</v>
      </c>
      <c r="T462" s="29">
        <v>7.41544296</v>
      </c>
      <c r="U462">
        <v>7.8</v>
      </c>
      <c r="V462">
        <v>13.010999999999999</v>
      </c>
      <c r="W462">
        <v>5.5460000000000003</v>
      </c>
      <c r="X462">
        <v>0</v>
      </c>
      <c r="AA462" s="2"/>
      <c r="AB462" s="2" t="s">
        <v>1241</v>
      </c>
      <c r="AC462" s="55">
        <f t="shared" si="46"/>
        <v>0</v>
      </c>
      <c r="AD462" s="57">
        <v>288.33429290182369</v>
      </c>
      <c r="AE462" s="55">
        <v>556.51188553357167</v>
      </c>
      <c r="AF462" s="55">
        <v>0</v>
      </c>
      <c r="AG462" s="52"/>
      <c r="AH462" s="51">
        <v>9.7109503410799117E-2</v>
      </c>
      <c r="AI462" s="52">
        <v>0.10062678166578309</v>
      </c>
      <c r="AJ462" s="52"/>
      <c r="AK462" s="2">
        <v>2</v>
      </c>
      <c r="AL462" s="2">
        <v>2.545454545454545</v>
      </c>
      <c r="AM462" s="2">
        <v>0.54545454545454541</v>
      </c>
      <c r="AN462" s="2">
        <v>0</v>
      </c>
      <c r="AO462" s="2">
        <v>0.39285714285714279</v>
      </c>
      <c r="AP462" s="2">
        <v>0.5</v>
      </c>
      <c r="AQ462" s="2">
        <v>0.1071428571428571</v>
      </c>
      <c r="AR462" s="2">
        <v>0</v>
      </c>
      <c r="AS462" s="29">
        <v>1.1000000000000001</v>
      </c>
      <c r="AT462" s="29">
        <v>3.44</v>
      </c>
      <c r="AU462" s="29">
        <v>2.34</v>
      </c>
      <c r="AV462" s="29">
        <v>2.669090909090909</v>
      </c>
      <c r="AW462" s="2">
        <v>2.669090909090909</v>
      </c>
      <c r="AX462" s="2">
        <v>5.9831974772727277</v>
      </c>
      <c r="AY462" s="75">
        <v>0.52442413903612473</v>
      </c>
      <c r="AZ462" s="75">
        <v>0.54341863036636606</v>
      </c>
      <c r="BA462" s="75"/>
      <c r="BC462">
        <v>4.8554751705399558E-2</v>
      </c>
      <c r="BD462">
        <v>5.0313390832891547E-2</v>
      </c>
      <c r="BF462">
        <v>9.8868142538291098E-2</v>
      </c>
      <c r="BG462">
        <v>4.9434071269145549E-2</v>
      </c>
      <c r="BH462">
        <v>0.53392138470124539</v>
      </c>
    </row>
    <row r="463" spans="1:67" x14ac:dyDescent="0.3">
      <c r="A463" s="2" t="s">
        <v>891</v>
      </c>
      <c r="B463" s="34" t="s">
        <v>722</v>
      </c>
      <c r="C463" s="34"/>
      <c r="D463" s="2">
        <v>3.17</v>
      </c>
      <c r="E463" s="2" t="s">
        <v>307</v>
      </c>
      <c r="F463" s="35" t="s">
        <v>551</v>
      </c>
      <c r="G463" s="2" t="s">
        <v>629</v>
      </c>
      <c r="H463" s="2"/>
      <c r="I463" s="2"/>
      <c r="J463" s="29">
        <v>2</v>
      </c>
      <c r="K463">
        <v>4</v>
      </c>
      <c r="L463">
        <v>0</v>
      </c>
      <c r="M463" s="2"/>
      <c r="N463" s="2"/>
      <c r="O463" s="2"/>
      <c r="P463" s="2"/>
      <c r="Q463" s="2"/>
      <c r="R463" s="29">
        <v>7.41544296</v>
      </c>
      <c r="S463" s="29">
        <v>7.4154429599999991</v>
      </c>
      <c r="T463" s="29">
        <v>7.41544296</v>
      </c>
      <c r="U463">
        <v>7.8</v>
      </c>
      <c r="V463">
        <v>13.010999999999999</v>
      </c>
      <c r="W463">
        <v>5.5460000000000003</v>
      </c>
      <c r="X463">
        <v>0</v>
      </c>
      <c r="AA463" s="2"/>
      <c r="AB463" s="2">
        <v>14</v>
      </c>
      <c r="AC463" s="55">
        <f t="shared" si="46"/>
        <v>0</v>
      </c>
      <c r="AD463" s="57">
        <v>288.33429290182369</v>
      </c>
      <c r="AE463" s="55">
        <v>556.51188553357167</v>
      </c>
      <c r="AF463" s="55">
        <v>0</v>
      </c>
      <c r="AG463" s="52"/>
      <c r="AH463" s="51">
        <v>9.7109503410799117E-2</v>
      </c>
      <c r="AI463" s="52">
        <v>0.10062678166578309</v>
      </c>
      <c r="AJ463" s="52"/>
      <c r="AK463" s="2">
        <v>2</v>
      </c>
      <c r="AL463" s="2">
        <v>2.545454545454545</v>
      </c>
      <c r="AM463" s="2">
        <v>0.54545454545454541</v>
      </c>
      <c r="AN463" s="2">
        <v>0</v>
      </c>
      <c r="AO463" s="2">
        <v>0.39285714285714279</v>
      </c>
      <c r="AP463" s="2">
        <v>0.5</v>
      </c>
      <c r="AQ463" s="2">
        <v>0.1071428571428571</v>
      </c>
      <c r="AR463" s="2">
        <v>0</v>
      </c>
      <c r="AS463" s="29">
        <v>1.1000000000000001</v>
      </c>
      <c r="AT463" s="29">
        <v>3.44</v>
      </c>
      <c r="AU463" s="29">
        <v>2.34</v>
      </c>
      <c r="AV463" s="29">
        <v>2.669090909090909</v>
      </c>
      <c r="AW463" s="2">
        <v>2.669090909090909</v>
      </c>
      <c r="AX463" s="2">
        <v>5.9831974772727277</v>
      </c>
      <c r="AY463" s="75">
        <v>0.52442413903612473</v>
      </c>
      <c r="AZ463" s="75">
        <v>0.54341863036636606</v>
      </c>
      <c r="BA463" s="75"/>
      <c r="BC463">
        <v>4.8554751705399558E-2</v>
      </c>
      <c r="BD463">
        <v>5.0313390832891547E-2</v>
      </c>
      <c r="BF463">
        <v>9.8868142538291098E-2</v>
      </c>
      <c r="BG463">
        <v>4.9434071269145549E-2</v>
      </c>
      <c r="BH463">
        <v>0.53392138470124539</v>
      </c>
      <c r="BN463" s="79" t="s">
        <v>676</v>
      </c>
      <c r="BO463" s="79">
        <v>0.22</v>
      </c>
    </row>
    <row r="464" spans="1:67" x14ac:dyDescent="0.3">
      <c r="A464" s="2" t="s">
        <v>308</v>
      </c>
      <c r="B464" s="34" t="s">
        <v>830</v>
      </c>
      <c r="C464" s="34"/>
      <c r="D464" s="2">
        <v>3.44</v>
      </c>
      <c r="E464" s="2" t="s">
        <v>309</v>
      </c>
      <c r="F464" s="35" t="s">
        <v>601</v>
      </c>
      <c r="G464" s="2" t="s">
        <v>672</v>
      </c>
      <c r="H464" s="2"/>
      <c r="I464" s="2"/>
      <c r="J464" s="29">
        <v>1</v>
      </c>
      <c r="K464">
        <v>2</v>
      </c>
      <c r="L464">
        <v>0</v>
      </c>
      <c r="M464" s="2"/>
      <c r="N464" s="2"/>
      <c r="O464" s="2"/>
      <c r="P464" s="2"/>
      <c r="Q464" s="2"/>
      <c r="R464" s="29">
        <v>3.9408639999999999</v>
      </c>
      <c r="S464" s="29">
        <v>3.9455239999999989</v>
      </c>
      <c r="T464" s="29">
        <v>15.25730117</v>
      </c>
      <c r="U464">
        <v>3.8656999999999999</v>
      </c>
      <c r="V464">
        <v>29.777000000000001</v>
      </c>
      <c r="W464">
        <v>3.8519999999999999</v>
      </c>
      <c r="X464">
        <v>0</v>
      </c>
      <c r="AA464" s="2"/>
      <c r="AB464" s="2">
        <v>20</v>
      </c>
      <c r="AC464" s="55">
        <f t="shared" si="46"/>
        <v>0</v>
      </c>
      <c r="AD464" s="57">
        <v>235.24089263777751</v>
      </c>
      <c r="AE464" s="55">
        <v>443.39967116280002</v>
      </c>
      <c r="AF464" s="55">
        <v>0</v>
      </c>
      <c r="AG464" s="52"/>
      <c r="AH464" s="51">
        <v>8.5019231884976218E-2</v>
      </c>
      <c r="AI464" s="52">
        <v>9.0212065099420147E-2</v>
      </c>
      <c r="AJ464" s="52"/>
      <c r="AK464" s="2">
        <v>1.9375</v>
      </c>
      <c r="AL464" s="2">
        <v>2.5</v>
      </c>
      <c r="AM464" s="2">
        <v>0.5625</v>
      </c>
      <c r="AN464" s="2">
        <v>2.625</v>
      </c>
      <c r="AO464" s="2">
        <v>0.25409836065573771</v>
      </c>
      <c r="AP464" s="2">
        <v>0.32786885245901642</v>
      </c>
      <c r="AQ464" s="2">
        <v>7.3770491803278687E-2</v>
      </c>
      <c r="AR464" s="2">
        <v>0.34426229508196721</v>
      </c>
      <c r="AS464" s="29">
        <v>0.82</v>
      </c>
      <c r="AT464" s="29">
        <v>3.44</v>
      </c>
      <c r="AU464" s="29">
        <v>2.62</v>
      </c>
      <c r="AV464" s="29">
        <v>2.6074999999999999</v>
      </c>
      <c r="AW464" s="2">
        <v>2.6074999999999999</v>
      </c>
      <c r="AX464" s="2">
        <v>5.9852253687500001</v>
      </c>
      <c r="AY464" s="75">
        <v>0.49683934576995548</v>
      </c>
      <c r="AZ464" s="75">
        <v>0</v>
      </c>
      <c r="BA464" s="75"/>
      <c r="BC464">
        <v>4.2509615942488109E-2</v>
      </c>
      <c r="BD464">
        <v>4.5106032549710073E-2</v>
      </c>
      <c r="BF464">
        <v>8.7615648492198189E-2</v>
      </c>
      <c r="BG464">
        <v>4.3807824246099088E-2</v>
      </c>
      <c r="BH464">
        <v>0.24841967288497771</v>
      </c>
    </row>
    <row r="465" spans="1:67" x14ac:dyDescent="0.3">
      <c r="A465" s="2" t="s">
        <v>63</v>
      </c>
      <c r="B465" s="34" t="s">
        <v>773</v>
      </c>
      <c r="C465" s="34"/>
      <c r="D465" s="2">
        <v>3.4</v>
      </c>
      <c r="E465" s="2" t="s">
        <v>310</v>
      </c>
      <c r="F465" s="35">
        <v>-1</v>
      </c>
      <c r="G465" s="2">
        <v>-1</v>
      </c>
      <c r="H465" s="2"/>
      <c r="I465" s="2">
        <v>1</v>
      </c>
      <c r="J465" s="29">
        <v>0</v>
      </c>
      <c r="K465">
        <v>0</v>
      </c>
      <c r="L465">
        <v>0</v>
      </c>
      <c r="M465" s="2">
        <v>3.8531</v>
      </c>
      <c r="N465" s="2">
        <v>3.8531</v>
      </c>
      <c r="O465" s="2">
        <v>16.2151</v>
      </c>
      <c r="P465" s="2"/>
      <c r="Q465" s="2"/>
      <c r="R465" s="29">
        <v>0</v>
      </c>
      <c r="S465" s="29"/>
      <c r="T465" s="29"/>
      <c r="U465">
        <v>0</v>
      </c>
      <c r="X465">
        <v>0</v>
      </c>
      <c r="AA465" s="2"/>
      <c r="AB465" s="2">
        <v>20</v>
      </c>
      <c r="AC465" s="55">
        <f t="shared" si="46"/>
        <v>240.73553001411099</v>
      </c>
      <c r="AD465" s="57">
        <v>0</v>
      </c>
      <c r="AE465" s="55">
        <v>0</v>
      </c>
      <c r="AF465" s="55">
        <v>0</v>
      </c>
      <c r="AG465" s="52">
        <f t="shared" ref="AG465:AG467" si="51">I465*AB465/AC465</f>
        <v>8.3078721279022161E-2</v>
      </c>
      <c r="AH465" s="51"/>
      <c r="AI465" s="52"/>
      <c r="AJ465" s="52"/>
      <c r="AK465" s="2">
        <v>1.75</v>
      </c>
      <c r="AL465" s="2">
        <v>2.5</v>
      </c>
      <c r="AM465" s="2">
        <v>0.75</v>
      </c>
      <c r="AN465" s="2">
        <v>0</v>
      </c>
      <c r="AO465" s="2">
        <v>0.35</v>
      </c>
      <c r="AP465" s="2">
        <v>0.5</v>
      </c>
      <c r="AQ465" s="2">
        <v>0.15</v>
      </c>
      <c r="AR465" s="2">
        <v>0</v>
      </c>
      <c r="AS465" s="29">
        <v>1</v>
      </c>
      <c r="AT465" s="29">
        <v>3.44</v>
      </c>
      <c r="AU465" s="29">
        <v>2.44</v>
      </c>
      <c r="AV465" s="29">
        <v>2.7124999999999999</v>
      </c>
      <c r="AW465" s="2">
        <v>2.7124999999999999</v>
      </c>
      <c r="AX465" s="2">
        <v>6.264025610615688</v>
      </c>
      <c r="AY465" s="75"/>
      <c r="AZ465" s="75"/>
      <c r="BA465" s="75"/>
      <c r="BB465">
        <v>4.153936063951108E-2</v>
      </c>
      <c r="BF465">
        <v>8.3078721279022161E-2</v>
      </c>
      <c r="BG465">
        <v>4.153936063951108E-2</v>
      </c>
      <c r="BH465">
        <v>0</v>
      </c>
    </row>
    <row r="466" spans="1:67" x14ac:dyDescent="0.3">
      <c r="A466" s="2" t="s">
        <v>63</v>
      </c>
      <c r="B466" s="34" t="s">
        <v>773</v>
      </c>
      <c r="C466" s="34"/>
      <c r="D466" s="2">
        <v>2.15</v>
      </c>
      <c r="E466" s="2" t="s">
        <v>310</v>
      </c>
      <c r="F466" s="35">
        <v>-1</v>
      </c>
      <c r="G466" s="2">
        <v>-1</v>
      </c>
      <c r="H466" s="2"/>
      <c r="I466" s="2">
        <v>1</v>
      </c>
      <c r="J466" s="29">
        <v>0</v>
      </c>
      <c r="K466">
        <v>0</v>
      </c>
      <c r="L466">
        <v>0</v>
      </c>
      <c r="M466" s="2">
        <v>3.8531</v>
      </c>
      <c r="N466" s="2">
        <v>3.8531</v>
      </c>
      <c r="O466" s="2">
        <v>16.2151</v>
      </c>
      <c r="P466" s="2"/>
      <c r="Q466" s="2"/>
      <c r="R466" s="29">
        <v>0</v>
      </c>
      <c r="S466" s="29"/>
      <c r="T466" s="29"/>
      <c r="U466">
        <v>0</v>
      </c>
      <c r="X466">
        <v>0</v>
      </c>
      <c r="AA466" s="2"/>
      <c r="AB466" s="2">
        <v>20</v>
      </c>
      <c r="AC466" s="55">
        <f t="shared" si="46"/>
        <v>240.73553001411099</v>
      </c>
      <c r="AD466" s="57">
        <v>0</v>
      </c>
      <c r="AE466" s="55">
        <v>0</v>
      </c>
      <c r="AF466" s="55">
        <v>0</v>
      </c>
      <c r="AG466" s="52">
        <f t="shared" si="51"/>
        <v>8.3078721279022161E-2</v>
      </c>
      <c r="AH466" s="51"/>
      <c r="AI466" s="52"/>
      <c r="AJ466" s="52"/>
      <c r="AK466" s="2">
        <v>1.75</v>
      </c>
      <c r="AL466" s="2">
        <v>2.5</v>
      </c>
      <c r="AM466" s="2">
        <v>0.75</v>
      </c>
      <c r="AN466" s="2">
        <v>0</v>
      </c>
      <c r="AO466" s="2">
        <v>0.35</v>
      </c>
      <c r="AP466" s="2">
        <v>0.5</v>
      </c>
      <c r="AQ466" s="2">
        <v>0.15</v>
      </c>
      <c r="AR466" s="2">
        <v>0</v>
      </c>
      <c r="AS466" s="29">
        <v>1</v>
      </c>
      <c r="AT466" s="29">
        <v>3.44</v>
      </c>
      <c r="AU466" s="29">
        <v>2.44</v>
      </c>
      <c r="AV466" s="29">
        <v>2.7124999999999999</v>
      </c>
      <c r="AW466" s="2">
        <v>2.7124999999999999</v>
      </c>
      <c r="AX466" s="2">
        <v>6.264025610615688</v>
      </c>
      <c r="AY466" s="75"/>
      <c r="AZ466" s="75"/>
      <c r="BA466" s="75"/>
      <c r="BB466">
        <v>4.153936063951108E-2</v>
      </c>
      <c r="BF466">
        <v>8.3078721279022161E-2</v>
      </c>
      <c r="BG466">
        <v>4.153936063951108E-2</v>
      </c>
      <c r="BH466">
        <v>0</v>
      </c>
      <c r="BN466" s="79" t="s">
        <v>246</v>
      </c>
      <c r="BO466" s="79">
        <v>0.7</v>
      </c>
    </row>
    <row r="467" spans="1:67" x14ac:dyDescent="0.3">
      <c r="A467" s="2" t="s">
        <v>311</v>
      </c>
      <c r="B467" s="13" t="s">
        <v>831</v>
      </c>
      <c r="C467" s="13"/>
      <c r="D467" s="2">
        <v>3.54</v>
      </c>
      <c r="E467" s="2" t="s">
        <v>312</v>
      </c>
      <c r="F467" s="9">
        <v>-1</v>
      </c>
      <c r="G467">
        <v>-1</v>
      </c>
      <c r="I467" s="2">
        <v>1</v>
      </c>
      <c r="J467" s="25">
        <v>0</v>
      </c>
      <c r="K467">
        <v>0</v>
      </c>
      <c r="L467">
        <v>0</v>
      </c>
      <c r="M467" s="2">
        <v>3.9647999999999999</v>
      </c>
      <c r="N467" s="2">
        <v>3.9647999999999999</v>
      </c>
      <c r="O467" s="2">
        <v>15.7392</v>
      </c>
      <c r="P467" s="2" t="s">
        <v>439</v>
      </c>
      <c r="Q467" s="2"/>
      <c r="R467" s="25">
        <v>0</v>
      </c>
      <c r="S467" s="25"/>
      <c r="T467" s="25"/>
      <c r="U467">
        <v>0</v>
      </c>
      <c r="X467">
        <v>0</v>
      </c>
      <c r="AA467" s="2"/>
      <c r="AB467">
        <v>20</v>
      </c>
      <c r="AC467" s="55">
        <f t="shared" si="46"/>
        <v>247.41454277836797</v>
      </c>
      <c r="AD467" s="57">
        <v>0</v>
      </c>
      <c r="AE467" s="55">
        <v>0</v>
      </c>
      <c r="AF467" s="55">
        <v>0</v>
      </c>
      <c r="AG467" s="52">
        <f t="shared" si="51"/>
        <v>8.0835991997106837E-2</v>
      </c>
      <c r="AH467" s="51"/>
      <c r="AI467" s="52"/>
      <c r="AJ467" s="52"/>
      <c r="AK467" s="28">
        <v>1.9375</v>
      </c>
      <c r="AL467" s="28">
        <v>2.5</v>
      </c>
      <c r="AM467" s="28">
        <v>0.5625</v>
      </c>
      <c r="AN467" s="28">
        <v>2.625</v>
      </c>
      <c r="AO467" s="28">
        <v>0.25409836065573771</v>
      </c>
      <c r="AP467" s="28">
        <v>0.32786885245901642</v>
      </c>
      <c r="AQ467" s="28">
        <v>7.3770491803278687E-2</v>
      </c>
      <c r="AR467" s="28">
        <v>0.34426229508196721</v>
      </c>
      <c r="AS467" s="25">
        <v>0.79</v>
      </c>
      <c r="AT467" s="25">
        <v>3.44</v>
      </c>
      <c r="AU467" s="25">
        <v>2.65</v>
      </c>
      <c r="AV467" s="25">
        <v>2.5918749999999999</v>
      </c>
      <c r="AW467">
        <v>2.5918749999999999</v>
      </c>
      <c r="AX467">
        <v>5.9214935367946877</v>
      </c>
      <c r="AY467" s="75"/>
      <c r="AZ467" s="75"/>
      <c r="BA467" s="75"/>
      <c r="BB467">
        <v>4.0417995998553419E-2</v>
      </c>
      <c r="BF467">
        <v>8.0835991997106837E-2</v>
      </c>
      <c r="BG467">
        <v>4.0417995998553419E-2</v>
      </c>
      <c r="BH467">
        <v>0</v>
      </c>
    </row>
    <row r="468" spans="1:67" x14ac:dyDescent="0.3">
      <c r="A468" s="2" t="s">
        <v>313</v>
      </c>
      <c r="B468" s="13" t="s">
        <v>720</v>
      </c>
      <c r="C468" s="13"/>
      <c r="D468" s="2">
        <v>3.5</v>
      </c>
      <c r="E468" s="2" t="s">
        <v>314</v>
      </c>
      <c r="F468" s="9" t="s">
        <v>549</v>
      </c>
      <c r="G468">
        <v>-1</v>
      </c>
      <c r="I468" s="2"/>
      <c r="J468" s="25">
        <v>1</v>
      </c>
      <c r="K468">
        <v>0</v>
      </c>
      <c r="L468">
        <v>0</v>
      </c>
      <c r="M468" s="2">
        <v>-1</v>
      </c>
      <c r="N468" s="2"/>
      <c r="O468" s="2"/>
      <c r="P468" s="2"/>
      <c r="Q468" s="2"/>
      <c r="R468" s="25">
        <v>15.28115725</v>
      </c>
      <c r="S468" s="25">
        <v>15.28115725</v>
      </c>
      <c r="T468" s="25">
        <v>15.28115725</v>
      </c>
      <c r="U468">
        <v>0</v>
      </c>
      <c r="X468">
        <v>0</v>
      </c>
      <c r="AA468" s="2"/>
      <c r="AB468">
        <v>20</v>
      </c>
      <c r="AC468" s="55">
        <f t="shared" ref="AC468:AC531" si="52">M468*N468*O468</f>
        <v>0</v>
      </c>
      <c r="AD468" s="57">
        <v>229.90248606119221</v>
      </c>
      <c r="AE468" s="55">
        <v>0</v>
      </c>
      <c r="AF468" s="55">
        <v>0</v>
      </c>
      <c r="AG468" s="52"/>
      <c r="AH468" s="51">
        <v>8.6993404650164072E-2</v>
      </c>
      <c r="AI468" s="52"/>
      <c r="AJ468" s="52"/>
      <c r="AK468" s="28">
        <v>1.882352941176471</v>
      </c>
      <c r="AL468" s="28">
        <v>2.3529411764705879</v>
      </c>
      <c r="AM468" s="28">
        <v>0.47058823529411759</v>
      </c>
      <c r="AN468" s="28">
        <v>0</v>
      </c>
      <c r="AO468" s="28">
        <v>0.4</v>
      </c>
      <c r="AP468" s="28">
        <v>0.5</v>
      </c>
      <c r="AQ468" s="28">
        <v>9.9999999999999992E-2</v>
      </c>
      <c r="AR468" s="28">
        <v>0</v>
      </c>
      <c r="AS468" s="25">
        <v>0.82</v>
      </c>
      <c r="AT468" s="25">
        <v>3.44</v>
      </c>
      <c r="AU468" s="25">
        <v>2.62</v>
      </c>
      <c r="AV468" s="25">
        <v>2.5211764705882351</v>
      </c>
      <c r="AW468">
        <v>2.521176470588236</v>
      </c>
      <c r="AX468">
        <v>5.6898745917647062</v>
      </c>
      <c r="AY468" s="75">
        <v>0.57369840599679445</v>
      </c>
      <c r="AZ468" s="75"/>
      <c r="BA468" s="75"/>
      <c r="BC468">
        <v>4.3496702325082043E-2</v>
      </c>
      <c r="BF468">
        <v>8.6993404650164072E-2</v>
      </c>
      <c r="BG468">
        <v>4.3496702325082043E-2</v>
      </c>
      <c r="BH468">
        <v>0.57369840599679445</v>
      </c>
    </row>
    <row r="469" spans="1:67" x14ac:dyDescent="0.3">
      <c r="A469" s="2" t="s">
        <v>44</v>
      </c>
      <c r="B469" s="13" t="s">
        <v>720</v>
      </c>
      <c r="C469" s="13"/>
      <c r="D469" s="2">
        <v>2.2599999999999998</v>
      </c>
      <c r="E469" s="2" t="s">
        <v>314</v>
      </c>
      <c r="F469" s="9" t="s">
        <v>549</v>
      </c>
      <c r="G469">
        <v>-1</v>
      </c>
      <c r="I469" s="2"/>
      <c r="J469" s="25">
        <v>1</v>
      </c>
      <c r="K469">
        <v>0</v>
      </c>
      <c r="L469">
        <v>0</v>
      </c>
      <c r="M469" s="2">
        <v>-1</v>
      </c>
      <c r="N469" s="2"/>
      <c r="O469" s="2"/>
      <c r="P469" s="2"/>
      <c r="Q469" s="2"/>
      <c r="R469" s="25">
        <v>15.28115725</v>
      </c>
      <c r="S469" s="25">
        <v>15.28115725</v>
      </c>
      <c r="T469" s="25">
        <v>15.28115725</v>
      </c>
      <c r="U469">
        <v>0</v>
      </c>
      <c r="X469">
        <v>0</v>
      </c>
      <c r="AA469" s="2"/>
      <c r="AB469">
        <v>20</v>
      </c>
      <c r="AC469" s="55">
        <f t="shared" si="52"/>
        <v>0</v>
      </c>
      <c r="AD469" s="57">
        <v>229.90248606119221</v>
      </c>
      <c r="AE469" s="55">
        <v>0</v>
      </c>
      <c r="AF469" s="55">
        <v>0</v>
      </c>
      <c r="AG469" s="52"/>
      <c r="AH469" s="51">
        <v>8.6993404650164072E-2</v>
      </c>
      <c r="AI469" s="52"/>
      <c r="AJ469" s="52"/>
      <c r="AK469" s="28">
        <v>1.882352941176471</v>
      </c>
      <c r="AL469" s="28">
        <v>2.3529411764705879</v>
      </c>
      <c r="AM469" s="28">
        <v>0.47058823529411759</v>
      </c>
      <c r="AN469" s="28">
        <v>0</v>
      </c>
      <c r="AO469" s="28">
        <v>0.4</v>
      </c>
      <c r="AP469" s="28">
        <v>0.5</v>
      </c>
      <c r="AQ469" s="28">
        <v>9.9999999999999992E-2</v>
      </c>
      <c r="AR469" s="28">
        <v>0</v>
      </c>
      <c r="AS469" s="25">
        <v>0.82</v>
      </c>
      <c r="AT469" s="25">
        <v>3.44</v>
      </c>
      <c r="AU469" s="25">
        <v>2.62</v>
      </c>
      <c r="AV469" s="25">
        <v>2.5211764705882351</v>
      </c>
      <c r="AW469">
        <v>2.521176470588236</v>
      </c>
      <c r="AX469">
        <v>5.6898745917647062</v>
      </c>
      <c r="AY469" s="75">
        <v>0.57369840599679445</v>
      </c>
      <c r="AZ469" s="75"/>
      <c r="BA469" s="75"/>
      <c r="BC469">
        <v>4.3496702325082043E-2</v>
      </c>
      <c r="BF469">
        <v>8.6993404650164072E-2</v>
      </c>
      <c r="BG469">
        <v>4.3496702325082043E-2</v>
      </c>
      <c r="BH469">
        <v>0.57369840599679445</v>
      </c>
      <c r="BN469" s="79" t="s">
        <v>246</v>
      </c>
      <c r="BO469" s="79" t="s">
        <v>1067</v>
      </c>
    </row>
    <row r="470" spans="1:67" ht="15" x14ac:dyDescent="0.35">
      <c r="A470" s="2" t="s">
        <v>69</v>
      </c>
      <c r="B470" s="13" t="s">
        <v>738</v>
      </c>
      <c r="C470" s="13"/>
      <c r="D470" s="2">
        <v>2.82</v>
      </c>
      <c r="E470" s="8" t="s">
        <v>315</v>
      </c>
      <c r="F470" s="9" t="s">
        <v>560</v>
      </c>
      <c r="G470" t="s">
        <v>638</v>
      </c>
      <c r="I470" s="8"/>
      <c r="J470" s="25">
        <v>2</v>
      </c>
      <c r="K470">
        <v>4</v>
      </c>
      <c r="L470">
        <v>0</v>
      </c>
      <c r="M470" s="2">
        <v>-1</v>
      </c>
      <c r="N470" s="2"/>
      <c r="O470" s="2"/>
      <c r="P470" s="2"/>
      <c r="Q470" s="2"/>
      <c r="R470" s="25">
        <v>8.3195821399999996</v>
      </c>
      <c r="S470" s="25">
        <v>8.3195821399999996</v>
      </c>
      <c r="T470" s="25">
        <v>8.2425581700000006</v>
      </c>
      <c r="U470">
        <v>5.5339970000000003</v>
      </c>
      <c r="V470">
        <v>5.4998300000000002</v>
      </c>
      <c r="W470">
        <v>16.550709999999999</v>
      </c>
      <c r="X470">
        <v>0</v>
      </c>
      <c r="AA470" s="2"/>
      <c r="AB470">
        <v>12</v>
      </c>
      <c r="AC470" s="55">
        <f t="shared" si="52"/>
        <v>0</v>
      </c>
      <c r="AD470" s="57">
        <v>248.80917443900231</v>
      </c>
      <c r="AE470" s="55">
        <v>503.73811661477208</v>
      </c>
      <c r="AF470" s="55">
        <v>0</v>
      </c>
      <c r="AG470" s="52"/>
      <c r="AH470" s="51">
        <v>9.6459465588893734E-2</v>
      </c>
      <c r="AI470" s="52">
        <v>9.5287607621536111E-2</v>
      </c>
      <c r="AJ470" s="52"/>
      <c r="AK470" s="28">
        <v>2</v>
      </c>
      <c r="AL470" s="28">
        <v>3.333333333333333</v>
      </c>
      <c r="AM470" s="28">
        <v>2.666666666666667</v>
      </c>
      <c r="AN470" s="28">
        <v>4.666666666666667</v>
      </c>
      <c r="AO470" s="28">
        <v>0.15789473684210531</v>
      </c>
      <c r="AP470" s="28">
        <v>0.26315789473684209</v>
      </c>
      <c r="AQ470" s="28">
        <v>0.2105263157894737</v>
      </c>
      <c r="AR470" s="28">
        <v>0.36842105263157898</v>
      </c>
      <c r="AS470" s="25">
        <v>2.02</v>
      </c>
      <c r="AT470" s="25">
        <v>3.44</v>
      </c>
      <c r="AU470" s="25">
        <v>1.42</v>
      </c>
      <c r="AV470" s="25">
        <v>3.0044444444444438</v>
      </c>
      <c r="AW470">
        <v>3.0044444444444438</v>
      </c>
      <c r="AX470">
        <v>6.4228342255555546</v>
      </c>
      <c r="AY470" s="75">
        <v>0.52562348257484404</v>
      </c>
      <c r="AZ470" s="75">
        <v>0.51923783589802341</v>
      </c>
      <c r="BA470" s="75"/>
      <c r="BC470">
        <v>4.8229732794446867E-2</v>
      </c>
      <c r="BD470">
        <v>4.7643803810768062E-2</v>
      </c>
      <c r="BF470">
        <v>9.5873536605214915E-2</v>
      </c>
      <c r="BG470">
        <v>4.7936768302607458E-2</v>
      </c>
      <c r="BH470">
        <v>0.52243065923643373</v>
      </c>
    </row>
    <row r="471" spans="1:67" x14ac:dyDescent="0.3">
      <c r="A471" s="2" t="s">
        <v>316</v>
      </c>
      <c r="B471" s="17" t="s">
        <v>951</v>
      </c>
      <c r="C471" s="13"/>
      <c r="D471" s="2">
        <v>3.6</v>
      </c>
      <c r="E471" s="2" t="s">
        <v>317</v>
      </c>
      <c r="F471" s="9">
        <v>-1</v>
      </c>
      <c r="G471">
        <v>-1</v>
      </c>
      <c r="I471" s="2">
        <v>2</v>
      </c>
      <c r="J471" s="25">
        <v>0</v>
      </c>
      <c r="K471">
        <v>0</v>
      </c>
      <c r="L471">
        <v>0</v>
      </c>
      <c r="M471" s="2">
        <v>3.823</v>
      </c>
      <c r="N471" s="2">
        <v>17.215</v>
      </c>
      <c r="O471" s="2">
        <v>2.9550000000000001</v>
      </c>
      <c r="P471" s="2" t="s">
        <v>519</v>
      </c>
      <c r="Q471" s="2"/>
      <c r="R471" s="25">
        <v>0</v>
      </c>
      <c r="S471" s="25"/>
      <c r="T471" s="25"/>
      <c r="U471">
        <v>0</v>
      </c>
      <c r="X471">
        <v>0</v>
      </c>
      <c r="AA471" s="2"/>
      <c r="AB471">
        <v>8</v>
      </c>
      <c r="AC471" s="55">
        <f t="shared" si="52"/>
        <v>194.477252475</v>
      </c>
      <c r="AD471" s="57">
        <v>0</v>
      </c>
      <c r="AE471" s="55">
        <v>0</v>
      </c>
      <c r="AF471" s="55">
        <v>0</v>
      </c>
      <c r="AG471" s="52">
        <f t="shared" ref="AG471:AG512" si="53">I471*AB471/AC471</f>
        <v>8.2271832805005288E-2</v>
      </c>
      <c r="AH471" s="51"/>
      <c r="AI471" s="52"/>
      <c r="AJ471" s="52"/>
      <c r="AK471" s="28">
        <v>1.8969230769230769</v>
      </c>
      <c r="AL471" s="28">
        <v>2.4615384615384621</v>
      </c>
      <c r="AM471" s="28">
        <v>0.56307692307692314</v>
      </c>
      <c r="AN471" s="28">
        <v>0</v>
      </c>
      <c r="AO471" s="28">
        <v>0.38543294779618631</v>
      </c>
      <c r="AP471" s="28">
        <v>0.50015629884338852</v>
      </c>
      <c r="AQ471" s="28">
        <v>0.1144107533604251</v>
      </c>
      <c r="AR471" s="28">
        <v>0</v>
      </c>
      <c r="AS471" s="25">
        <v>0.79</v>
      </c>
      <c r="AT471" s="25">
        <v>3.44</v>
      </c>
      <c r="AU471" s="25">
        <v>2.65</v>
      </c>
      <c r="AV471" s="25">
        <v>2.6319230769230768</v>
      </c>
      <c r="AW471">
        <v>2.6319230769230768</v>
      </c>
      <c r="AX471">
        <v>5.8365582503752389</v>
      </c>
      <c r="AY471" s="75"/>
      <c r="AZ471" s="75"/>
      <c r="BA471" s="75"/>
      <c r="BB471">
        <v>4.1135916402502637E-2</v>
      </c>
      <c r="BF471">
        <v>8.2271832805005288E-2</v>
      </c>
      <c r="BG471">
        <v>4.1135916402502637E-2</v>
      </c>
      <c r="BH471">
        <v>0</v>
      </c>
    </row>
    <row r="472" spans="1:67" x14ac:dyDescent="0.3">
      <c r="A472" s="2" t="s">
        <v>318</v>
      </c>
      <c r="B472" s="13" t="s">
        <v>832</v>
      </c>
      <c r="C472" s="13"/>
      <c r="D472" s="2">
        <v>3.45</v>
      </c>
      <c r="E472" s="2" t="s">
        <v>319</v>
      </c>
      <c r="F472" s="9">
        <v>-1</v>
      </c>
      <c r="G472">
        <v>-1</v>
      </c>
      <c r="H472" t="s">
        <v>1173</v>
      </c>
      <c r="I472" s="2">
        <v>2</v>
      </c>
      <c r="J472" s="25">
        <v>0</v>
      </c>
      <c r="K472">
        <v>0</v>
      </c>
      <c r="L472">
        <v>2</v>
      </c>
      <c r="M472" s="71">
        <v>3.71</v>
      </c>
      <c r="N472" s="71">
        <v>3.71</v>
      </c>
      <c r="O472" s="71">
        <v>12.2</v>
      </c>
      <c r="P472" s="2" t="s">
        <v>519</v>
      </c>
      <c r="Q472" s="2"/>
      <c r="R472" s="25">
        <v>0</v>
      </c>
      <c r="S472" s="25"/>
      <c r="T472" s="25"/>
      <c r="U472">
        <v>0</v>
      </c>
      <c r="X472">
        <v>3.72</v>
      </c>
      <c r="Y472">
        <v>3.72</v>
      </c>
      <c r="Z472">
        <v>12.3012</v>
      </c>
      <c r="AA472" s="2"/>
      <c r="AB472">
        <v>8</v>
      </c>
      <c r="AC472" s="55">
        <f t="shared" si="52"/>
        <v>167.92201999999997</v>
      </c>
      <c r="AD472" s="57">
        <v>0</v>
      </c>
      <c r="AE472" s="55">
        <v>0</v>
      </c>
      <c r="AF472" s="55">
        <v>170.2</v>
      </c>
      <c r="AG472" s="52">
        <f t="shared" si="53"/>
        <v>9.5282322115944076E-2</v>
      </c>
      <c r="AH472" s="51"/>
      <c r="AI472" s="52"/>
      <c r="AJ472" s="67">
        <f>L472*AB472/AF472</f>
        <v>9.400705052878966E-2</v>
      </c>
      <c r="AK472" s="28">
        <v>1.857142857142857</v>
      </c>
      <c r="AL472" s="28">
        <v>2.285714285714286</v>
      </c>
      <c r="AM472" s="28">
        <v>0.42857142857142849</v>
      </c>
      <c r="AN472" s="28">
        <v>0</v>
      </c>
      <c r="AO472" s="28">
        <v>0.40625000000000011</v>
      </c>
      <c r="AP472" s="28">
        <v>0.5</v>
      </c>
      <c r="AQ472" s="28">
        <v>9.375E-2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2.657142857142857</v>
      </c>
      <c r="AW472">
        <v>2.657142857142857</v>
      </c>
      <c r="AX472">
        <v>6.2648417856930001</v>
      </c>
      <c r="AY472" s="75"/>
      <c r="AZ472" s="75"/>
      <c r="BA472" s="75">
        <v>0.51949166816826697</v>
      </c>
      <c r="BB472">
        <v>4.7641161057972038E-2</v>
      </c>
      <c r="BE472">
        <v>4.700352526439483E-2</v>
      </c>
      <c r="BF472">
        <v>9.4644686322366861E-2</v>
      </c>
      <c r="BG472">
        <v>4.7322343161183431E-2</v>
      </c>
      <c r="BH472">
        <v>0.51949166816826697</v>
      </c>
    </row>
    <row r="473" spans="1:67" x14ac:dyDescent="0.3">
      <c r="A473" s="2" t="s">
        <v>320</v>
      </c>
      <c r="B473" s="18" t="s">
        <v>994</v>
      </c>
      <c r="C473" s="13"/>
      <c r="D473" s="2">
        <v>3.58</v>
      </c>
      <c r="E473" s="2" t="s">
        <v>319</v>
      </c>
      <c r="F473" s="9">
        <v>-1</v>
      </c>
      <c r="G473">
        <v>-1</v>
      </c>
      <c r="I473" s="2">
        <v>4</v>
      </c>
      <c r="J473" s="25">
        <v>0</v>
      </c>
      <c r="K473">
        <v>0</v>
      </c>
      <c r="L473">
        <v>0</v>
      </c>
      <c r="M473" s="2">
        <v>3.77</v>
      </c>
      <c r="N473" s="2">
        <v>3.77</v>
      </c>
      <c r="O473" s="2">
        <v>33.299999999999997</v>
      </c>
      <c r="P473" s="2" t="s">
        <v>519</v>
      </c>
      <c r="Q473" s="2"/>
      <c r="R473" s="25">
        <v>0</v>
      </c>
      <c r="S473" s="25"/>
      <c r="T473" s="25"/>
      <c r="U473">
        <v>0</v>
      </c>
      <c r="X473">
        <v>0</v>
      </c>
      <c r="AA473" s="2"/>
      <c r="AB473">
        <v>8</v>
      </c>
      <c r="AC473" s="55">
        <f t="shared" si="52"/>
        <v>473.28956999999991</v>
      </c>
      <c r="AD473" s="57">
        <v>0</v>
      </c>
      <c r="AE473" s="55">
        <v>0</v>
      </c>
      <c r="AF473" s="55">
        <v>0</v>
      </c>
      <c r="AG473" s="52">
        <f t="shared" si="53"/>
        <v>6.7611885045343392E-2</v>
      </c>
      <c r="AH473" s="51"/>
      <c r="AI473" s="52"/>
      <c r="AJ473" s="52"/>
      <c r="AK473" s="28">
        <v>1.571428571428571</v>
      </c>
      <c r="AL473" s="28">
        <v>1.5</v>
      </c>
      <c r="AM473" s="28">
        <v>0.2142857142857143</v>
      </c>
      <c r="AN473" s="28">
        <v>0</v>
      </c>
      <c r="AO473" s="28">
        <v>0.47826086956521741</v>
      </c>
      <c r="AP473" s="28">
        <v>0.45652173913043481</v>
      </c>
      <c r="AQ473" s="28">
        <v>6.5217391304347824E-2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2.5135714285714279</v>
      </c>
      <c r="AW473">
        <v>2.5135714285714279</v>
      </c>
      <c r="AX473">
        <v>6.6592671289361416</v>
      </c>
      <c r="AY473" s="75"/>
      <c r="AZ473" s="75"/>
      <c r="BA473" s="75"/>
      <c r="BB473">
        <v>3.3805942522671703E-2</v>
      </c>
      <c r="BF473">
        <v>6.7611885045343392E-2</v>
      </c>
      <c r="BG473">
        <v>3.3805942522671703E-2</v>
      </c>
      <c r="BH473">
        <v>0</v>
      </c>
    </row>
    <row r="474" spans="1:67" x14ac:dyDescent="0.3">
      <c r="A474" s="2" t="s">
        <v>321</v>
      </c>
      <c r="B474" s="18" t="s">
        <v>995</v>
      </c>
      <c r="C474" s="13"/>
      <c r="D474" s="2">
        <v>3.48</v>
      </c>
      <c r="E474" s="2" t="s">
        <v>319</v>
      </c>
      <c r="F474" s="9">
        <v>-1</v>
      </c>
      <c r="G474">
        <v>-1</v>
      </c>
      <c r="I474" s="2">
        <v>4</v>
      </c>
      <c r="J474" s="25">
        <v>0</v>
      </c>
      <c r="K474">
        <v>0</v>
      </c>
      <c r="L474">
        <v>0</v>
      </c>
      <c r="M474" s="2">
        <v>3.75</v>
      </c>
      <c r="N474" s="2">
        <v>3.75</v>
      </c>
      <c r="O474" s="2">
        <v>37.299999999999997</v>
      </c>
      <c r="P474" s="2" t="s">
        <v>519</v>
      </c>
      <c r="Q474" s="2"/>
      <c r="R474" s="25">
        <v>0</v>
      </c>
      <c r="S474" s="25"/>
      <c r="T474" s="25"/>
      <c r="U474">
        <v>0</v>
      </c>
      <c r="X474">
        <v>0</v>
      </c>
      <c r="AA474" s="2"/>
      <c r="AB474">
        <v>8</v>
      </c>
      <c r="AC474" s="55">
        <f t="shared" si="52"/>
        <v>524.53125</v>
      </c>
      <c r="AD474" s="57">
        <v>0</v>
      </c>
      <c r="AE474" s="55">
        <v>0</v>
      </c>
      <c r="AF474" s="55">
        <v>0</v>
      </c>
      <c r="AG474" s="52">
        <f t="shared" si="53"/>
        <v>6.1006851355376826E-2</v>
      </c>
      <c r="AH474" s="51"/>
      <c r="AI474" s="52"/>
      <c r="AJ474" s="52"/>
      <c r="AK474" s="28">
        <v>1.529411764705882</v>
      </c>
      <c r="AL474" s="28">
        <v>1.3529411764705881</v>
      </c>
      <c r="AM474" s="28">
        <v>0.1764705882352941</v>
      </c>
      <c r="AN474" s="28">
        <v>0</v>
      </c>
      <c r="AO474" s="28">
        <v>0.5</v>
      </c>
      <c r="AP474" s="28">
        <v>0.44230769230769229</v>
      </c>
      <c r="AQ474" s="28">
        <v>5.7692307692307702E-2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2.4788235294117649</v>
      </c>
      <c r="AW474">
        <v>2.4788235294117649</v>
      </c>
      <c r="AX474">
        <v>6.6967043065181171</v>
      </c>
      <c r="AY474" s="75"/>
      <c r="AZ474" s="75"/>
      <c r="BA474" s="75"/>
      <c r="BB474">
        <v>3.050342567768841E-2</v>
      </c>
      <c r="BF474">
        <v>6.1006851355376833E-2</v>
      </c>
      <c r="BG474">
        <v>3.050342567768841E-2</v>
      </c>
      <c r="BH474">
        <v>0</v>
      </c>
    </row>
    <row r="475" spans="1:67" x14ac:dyDescent="0.3">
      <c r="A475" s="2" t="s">
        <v>322</v>
      </c>
      <c r="B475" s="18" t="s">
        <v>996</v>
      </c>
      <c r="C475" s="13"/>
      <c r="D475" s="2">
        <v>3.5</v>
      </c>
      <c r="E475" s="2" t="s">
        <v>319</v>
      </c>
      <c r="F475" s="9">
        <v>-1</v>
      </c>
      <c r="G475">
        <v>-1</v>
      </c>
      <c r="I475" s="2">
        <v>4</v>
      </c>
      <c r="J475" s="25">
        <v>0</v>
      </c>
      <c r="K475">
        <v>0</v>
      </c>
      <c r="L475">
        <v>0</v>
      </c>
      <c r="M475" s="2">
        <v>3.76</v>
      </c>
      <c r="N475" s="2">
        <v>3.76</v>
      </c>
      <c r="O475" s="2">
        <v>41.2</v>
      </c>
      <c r="P475" s="2" t="s">
        <v>519</v>
      </c>
      <c r="Q475" s="2"/>
      <c r="R475" s="25">
        <v>0</v>
      </c>
      <c r="S475" s="25"/>
      <c r="T475" s="25"/>
      <c r="U475">
        <v>0</v>
      </c>
      <c r="X475">
        <v>0</v>
      </c>
      <c r="AA475" s="2"/>
      <c r="AB475">
        <v>8</v>
      </c>
      <c r="AC475" s="55">
        <f t="shared" si="52"/>
        <v>582.46911999999998</v>
      </c>
      <c r="AD475" s="57">
        <v>0</v>
      </c>
      <c r="AE475" s="55">
        <v>0</v>
      </c>
      <c r="AF475" s="55">
        <v>0</v>
      </c>
      <c r="AG475" s="52">
        <f t="shared" si="53"/>
        <v>5.4938534767302344E-2</v>
      </c>
      <c r="AH475" s="51"/>
      <c r="AI475" s="52"/>
      <c r="AJ475" s="52"/>
      <c r="AK475" s="28">
        <v>1.5</v>
      </c>
      <c r="AL475" s="28">
        <v>1.25</v>
      </c>
      <c r="AM475" s="28">
        <v>0.15</v>
      </c>
      <c r="AN475" s="28">
        <v>0</v>
      </c>
      <c r="AO475" s="28">
        <v>0.51724137931034486</v>
      </c>
      <c r="AP475" s="28">
        <v>0.43103448275862072</v>
      </c>
      <c r="AQ475" s="28">
        <v>5.1724137931034482E-2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2.4544999999999999</v>
      </c>
      <c r="AW475">
        <v>2.4544999999999999</v>
      </c>
      <c r="AX475">
        <v>6.7229103308255</v>
      </c>
      <c r="AY475" s="75"/>
      <c r="AZ475" s="75"/>
      <c r="BA475" s="75"/>
      <c r="BB475">
        <v>2.7469267383651168E-2</v>
      </c>
      <c r="BF475">
        <v>5.4938534767302337E-2</v>
      </c>
      <c r="BG475">
        <v>2.7469267383651168E-2</v>
      </c>
      <c r="BH475">
        <v>0</v>
      </c>
    </row>
    <row r="476" spans="1:67" x14ac:dyDescent="0.3">
      <c r="A476" s="2" t="s">
        <v>323</v>
      </c>
      <c r="B476" s="18" t="s">
        <v>997</v>
      </c>
      <c r="C476" s="13"/>
      <c r="D476" s="2">
        <v>3.61</v>
      </c>
      <c r="E476" s="2" t="s">
        <v>319</v>
      </c>
      <c r="F476" s="9">
        <v>-1</v>
      </c>
      <c r="G476">
        <v>-1</v>
      </c>
      <c r="I476" s="2">
        <v>4</v>
      </c>
      <c r="J476" s="25">
        <v>0</v>
      </c>
      <c r="K476">
        <v>0</v>
      </c>
      <c r="L476">
        <v>0</v>
      </c>
      <c r="M476" s="2">
        <v>3.76</v>
      </c>
      <c r="N476" s="2">
        <v>3.76</v>
      </c>
      <c r="O476" s="2">
        <v>47.8</v>
      </c>
      <c r="P476" s="2" t="s">
        <v>519</v>
      </c>
      <c r="Q476" s="2"/>
      <c r="R476" s="25">
        <v>0</v>
      </c>
      <c r="S476" s="25"/>
      <c r="T476" s="25"/>
      <c r="U476">
        <v>0</v>
      </c>
      <c r="X476">
        <v>0</v>
      </c>
      <c r="AA476" s="2"/>
      <c r="AB476">
        <v>8</v>
      </c>
      <c r="AC476" s="55">
        <f t="shared" si="52"/>
        <v>675.77727999999991</v>
      </c>
      <c r="AD476" s="57">
        <v>0</v>
      </c>
      <c r="AE476" s="55">
        <v>0</v>
      </c>
      <c r="AF476" s="55">
        <v>0</v>
      </c>
      <c r="AG476" s="52">
        <f t="shared" si="53"/>
        <v>4.7352879339181107E-2</v>
      </c>
      <c r="AH476" s="51"/>
      <c r="AI476" s="52"/>
      <c r="AJ476" s="52"/>
      <c r="AK476" s="28">
        <v>1.4782608695652171</v>
      </c>
      <c r="AL476" s="28">
        <v>1.173913043478261</v>
      </c>
      <c r="AM476" s="28">
        <v>0.13043478260869559</v>
      </c>
      <c r="AN476" s="28">
        <v>0</v>
      </c>
      <c r="AO476" s="28">
        <v>0.53125</v>
      </c>
      <c r="AP476" s="28">
        <v>0.42187500000000011</v>
      </c>
      <c r="AQ476" s="28">
        <v>4.6875E-2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2.436521739130435</v>
      </c>
      <c r="AW476">
        <v>2.436521739130435</v>
      </c>
      <c r="AX476">
        <v>6.7422800009657378</v>
      </c>
      <c r="AY476" s="75"/>
      <c r="AZ476" s="75"/>
      <c r="BA476" s="75"/>
      <c r="BB476">
        <v>2.367643966959055E-2</v>
      </c>
      <c r="BF476">
        <v>4.7352879339181107E-2</v>
      </c>
      <c r="BG476">
        <v>2.367643966959055E-2</v>
      </c>
      <c r="BH476">
        <v>0</v>
      </c>
    </row>
    <row r="477" spans="1:67" x14ac:dyDescent="0.3">
      <c r="A477" s="2" t="s">
        <v>324</v>
      </c>
      <c r="B477" s="18" t="s">
        <v>999</v>
      </c>
      <c r="C477" s="13"/>
      <c r="D477" s="2">
        <v>3.47</v>
      </c>
      <c r="E477" s="2" t="s">
        <v>319</v>
      </c>
      <c r="F477" s="9">
        <v>-1</v>
      </c>
      <c r="G477">
        <v>-1</v>
      </c>
      <c r="I477" s="2">
        <v>4</v>
      </c>
      <c r="J477" s="25">
        <v>0</v>
      </c>
      <c r="K477">
        <v>0</v>
      </c>
      <c r="L477">
        <v>0</v>
      </c>
      <c r="M477" s="2">
        <v>3.76</v>
      </c>
      <c r="N477" s="2">
        <v>3.76</v>
      </c>
      <c r="O477" s="2">
        <v>54.9</v>
      </c>
      <c r="P477" s="2" t="s">
        <v>519</v>
      </c>
      <c r="Q477" s="2"/>
      <c r="R477" s="25">
        <v>0</v>
      </c>
      <c r="S477" s="25"/>
      <c r="T477" s="25"/>
      <c r="U477">
        <v>0</v>
      </c>
      <c r="X477">
        <v>0</v>
      </c>
      <c r="AA477" s="2"/>
      <c r="AB477">
        <v>8</v>
      </c>
      <c r="AC477" s="55">
        <f t="shared" si="52"/>
        <v>776.15423999999996</v>
      </c>
      <c r="AD477" s="57">
        <v>0</v>
      </c>
      <c r="AE477" s="55">
        <v>0</v>
      </c>
      <c r="AF477" s="55">
        <v>0</v>
      </c>
      <c r="AG477" s="52">
        <f t="shared" si="53"/>
        <v>4.1228918623185E-2</v>
      </c>
      <c r="AH477" s="51"/>
      <c r="AI477" s="52"/>
      <c r="AJ477" s="52"/>
      <c r="AK477" s="28">
        <v>1.448275862068966</v>
      </c>
      <c r="AL477" s="28">
        <v>1.068965517241379</v>
      </c>
      <c r="AM477" s="28">
        <v>0.10344827586206901</v>
      </c>
      <c r="AN477" s="28">
        <v>0</v>
      </c>
      <c r="AO477" s="28">
        <v>0.55263157894736847</v>
      </c>
      <c r="AP477" s="28">
        <v>0.40789473684210531</v>
      </c>
      <c r="AQ477" s="28">
        <v>3.9473684210526307E-2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2.411724137931035</v>
      </c>
      <c r="AW477">
        <v>2.4117241379310341</v>
      </c>
      <c r="AX477">
        <v>6.7689967873660688</v>
      </c>
      <c r="AY477" s="75"/>
      <c r="AZ477" s="75"/>
      <c r="BA477" s="75"/>
      <c r="BB477">
        <v>2.06144593115925E-2</v>
      </c>
      <c r="BF477">
        <v>4.1228918623185E-2</v>
      </c>
      <c r="BG477">
        <v>2.06144593115925E-2</v>
      </c>
      <c r="BH477">
        <v>0</v>
      </c>
    </row>
    <row r="478" spans="1:67" x14ac:dyDescent="0.3">
      <c r="A478" s="2" t="s">
        <v>325</v>
      </c>
      <c r="B478" s="18" t="s">
        <v>998</v>
      </c>
      <c r="C478" s="13"/>
      <c r="D478" s="2">
        <v>3.49</v>
      </c>
      <c r="E478" s="2" t="s">
        <v>319</v>
      </c>
      <c r="F478" s="9">
        <v>-1</v>
      </c>
      <c r="G478">
        <v>-1</v>
      </c>
      <c r="I478" s="2">
        <v>4</v>
      </c>
      <c r="J478" s="25">
        <v>0</v>
      </c>
      <c r="K478">
        <v>0</v>
      </c>
      <c r="L478">
        <v>0</v>
      </c>
      <c r="M478" s="2">
        <v>3.78</v>
      </c>
      <c r="N478" s="2">
        <v>3.78</v>
      </c>
      <c r="O478" s="2">
        <v>66.3</v>
      </c>
      <c r="P478" s="2" t="s">
        <v>519</v>
      </c>
      <c r="Q478" s="2"/>
      <c r="R478" s="25">
        <v>0</v>
      </c>
      <c r="S478" s="25"/>
      <c r="T478" s="25"/>
      <c r="U478">
        <v>0</v>
      </c>
      <c r="X478">
        <v>0</v>
      </c>
      <c r="AA478" s="2"/>
      <c r="AB478">
        <v>8</v>
      </c>
      <c r="AC478" s="55">
        <f t="shared" si="52"/>
        <v>947.32091999999989</v>
      </c>
      <c r="AD478" s="57">
        <v>0</v>
      </c>
      <c r="AE478" s="55">
        <v>0</v>
      </c>
      <c r="AF478" s="55">
        <v>0</v>
      </c>
      <c r="AG478" s="52">
        <f t="shared" si="53"/>
        <v>3.3779471480477816E-2</v>
      </c>
      <c r="AH478" s="51"/>
      <c r="AI478" s="52"/>
      <c r="AJ478" s="52"/>
      <c r="AK478" s="28">
        <v>1.428571428571429</v>
      </c>
      <c r="AL478" s="28">
        <v>1</v>
      </c>
      <c r="AM478" s="28">
        <v>8.5714285714285715E-2</v>
      </c>
      <c r="AN478" s="28">
        <v>0</v>
      </c>
      <c r="AO478" s="28">
        <v>0.56818181818181823</v>
      </c>
      <c r="AP478" s="28">
        <v>0.39772727272727282</v>
      </c>
      <c r="AQ478" s="28">
        <v>3.4090909090909102E-2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2.3954285714285719</v>
      </c>
      <c r="AW478">
        <v>2.395428571428571</v>
      </c>
      <c r="AX478">
        <v>6.7865535327148558</v>
      </c>
      <c r="AY478" s="75"/>
      <c r="AZ478" s="75"/>
      <c r="BA478" s="75"/>
      <c r="BB478">
        <v>1.6889735740238911E-2</v>
      </c>
      <c r="BF478">
        <v>3.3779471480477823E-2</v>
      </c>
      <c r="BG478">
        <v>1.6889735740238911E-2</v>
      </c>
      <c r="BH478">
        <v>0</v>
      </c>
    </row>
    <row r="479" spans="1:67" x14ac:dyDescent="0.3">
      <c r="A479" s="2" t="s">
        <v>326</v>
      </c>
      <c r="B479" s="18" t="s">
        <v>1005</v>
      </c>
      <c r="C479" s="13"/>
      <c r="D479" s="2">
        <v>3.47</v>
      </c>
      <c r="E479" s="2" t="s">
        <v>319</v>
      </c>
      <c r="F479" s="9">
        <v>-1</v>
      </c>
      <c r="G479">
        <v>-1</v>
      </c>
      <c r="I479" s="2">
        <v>4</v>
      </c>
      <c r="J479" s="25">
        <v>0</v>
      </c>
      <c r="K479">
        <v>0</v>
      </c>
      <c r="L479">
        <v>0</v>
      </c>
      <c r="M479" s="2">
        <v>3.72</v>
      </c>
      <c r="N479" s="2">
        <v>3.72</v>
      </c>
      <c r="O479" s="2">
        <v>32.299999999999997</v>
      </c>
      <c r="P479" s="2" t="s">
        <v>519</v>
      </c>
      <c r="Q479" s="2"/>
      <c r="R479" s="25">
        <v>0</v>
      </c>
      <c r="S479" s="25"/>
      <c r="T479" s="25"/>
      <c r="U479">
        <v>0</v>
      </c>
      <c r="X479">
        <v>0</v>
      </c>
      <c r="AA479" s="2"/>
      <c r="AB479">
        <v>10</v>
      </c>
      <c r="AC479" s="55">
        <f t="shared" si="52"/>
        <v>446.98032000000001</v>
      </c>
      <c r="AD479" s="57">
        <v>0</v>
      </c>
      <c r="AE479" s="55">
        <v>0</v>
      </c>
      <c r="AF479" s="55">
        <v>0</v>
      </c>
      <c r="AG479" s="52">
        <f t="shared" si="53"/>
        <v>8.9489398548911497E-2</v>
      </c>
      <c r="AH479" s="51"/>
      <c r="AI479" s="52"/>
      <c r="AJ479" s="52"/>
      <c r="AK479" s="28">
        <v>1.615384615384615</v>
      </c>
      <c r="AL479" s="28">
        <v>1.6923076923076921</v>
      </c>
      <c r="AM479" s="28">
        <v>0.23076923076923081</v>
      </c>
      <c r="AN479" s="28">
        <v>0</v>
      </c>
      <c r="AO479" s="28">
        <v>0.45652173913043481</v>
      </c>
      <c r="AP479" s="28">
        <v>0.47826086956521741</v>
      </c>
      <c r="AQ479" s="28">
        <v>6.5217391304347838E-2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2.568461538461539</v>
      </c>
      <c r="AW479">
        <v>2.568461538461539</v>
      </c>
      <c r="AX479">
        <v>6.6431337427119228</v>
      </c>
      <c r="AY479" s="75"/>
      <c r="AZ479" s="75"/>
      <c r="BA479" s="75"/>
      <c r="BB479">
        <v>4.4744699274455749E-2</v>
      </c>
      <c r="BF479">
        <v>8.9489398548911497E-2</v>
      </c>
      <c r="BG479">
        <v>4.4744699274455749E-2</v>
      </c>
      <c r="BH479">
        <v>0</v>
      </c>
    </row>
    <row r="480" spans="1:67" x14ac:dyDescent="0.3">
      <c r="A480" s="2" t="s">
        <v>327</v>
      </c>
      <c r="B480" s="18" t="s">
        <v>1004</v>
      </c>
      <c r="C480" s="13"/>
      <c r="D480" s="2">
        <v>3.47</v>
      </c>
      <c r="E480" s="2" t="s">
        <v>319</v>
      </c>
      <c r="F480" s="9">
        <v>-1</v>
      </c>
      <c r="G480">
        <v>-1</v>
      </c>
      <c r="I480" s="2">
        <v>4</v>
      </c>
      <c r="J480" s="25">
        <v>0</v>
      </c>
      <c r="K480">
        <v>0</v>
      </c>
      <c r="L480">
        <v>0</v>
      </c>
      <c r="M480" s="2">
        <v>3.72</v>
      </c>
      <c r="N480" s="2">
        <v>3.72</v>
      </c>
      <c r="O480" s="2">
        <v>36.6</v>
      </c>
      <c r="P480" s="2" t="s">
        <v>519</v>
      </c>
      <c r="Q480" s="2"/>
      <c r="R480" s="25">
        <v>0</v>
      </c>
      <c r="U480">
        <v>0</v>
      </c>
      <c r="X480">
        <v>0</v>
      </c>
      <c r="AA480" s="2"/>
      <c r="AB480">
        <v>10</v>
      </c>
      <c r="AC480" s="55">
        <f t="shared" si="52"/>
        <v>506.4854400000001</v>
      </c>
      <c r="AD480" s="57">
        <v>0</v>
      </c>
      <c r="AE480" s="55">
        <v>0</v>
      </c>
      <c r="AF480" s="55">
        <v>0</v>
      </c>
      <c r="AG480" s="52">
        <f t="shared" si="53"/>
        <v>7.8975616752181454E-2</v>
      </c>
      <c r="AH480" s="52"/>
      <c r="AI480" s="52"/>
      <c r="AJ480" s="52"/>
      <c r="AK480" s="28">
        <v>1.5625</v>
      </c>
      <c r="AL480" s="28">
        <v>1.5</v>
      </c>
      <c r="AM480" s="28">
        <v>0.1875</v>
      </c>
      <c r="AN480" s="28">
        <v>0</v>
      </c>
      <c r="AO480" s="28">
        <v>0.48076923076923078</v>
      </c>
      <c r="AP480" s="28">
        <v>0.46153846153846162</v>
      </c>
      <c r="AQ480" s="28">
        <v>5.7692307692307702E-2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2.5212500000000002</v>
      </c>
      <c r="AW480">
        <v>2.5212500000000002</v>
      </c>
      <c r="AX480">
        <v>6.6859357538098134</v>
      </c>
      <c r="AY480" s="75"/>
      <c r="AZ480" s="75"/>
      <c r="BA480" s="75"/>
      <c r="BB480">
        <v>3.9487808376090727E-2</v>
      </c>
      <c r="BF480">
        <v>7.8975616752181454E-2</v>
      </c>
      <c r="BG480">
        <v>3.9487808376090727E-2</v>
      </c>
      <c r="BH480">
        <v>0</v>
      </c>
    </row>
    <row r="481" spans="1:60" x14ac:dyDescent="0.3">
      <c r="A481" s="2" t="s">
        <v>328</v>
      </c>
      <c r="B481" s="18" t="s">
        <v>1003</v>
      </c>
      <c r="C481" s="13"/>
      <c r="D481" s="2">
        <v>3.45</v>
      </c>
      <c r="E481" s="2" t="s">
        <v>319</v>
      </c>
      <c r="F481" s="9">
        <v>-1</v>
      </c>
      <c r="G481">
        <v>-1</v>
      </c>
      <c r="I481" s="2">
        <v>4</v>
      </c>
      <c r="J481" s="25">
        <v>0</v>
      </c>
      <c r="K481">
        <v>0</v>
      </c>
      <c r="L481">
        <v>0</v>
      </c>
      <c r="M481" s="2">
        <v>3.73</v>
      </c>
      <c r="N481" s="2">
        <v>3.73</v>
      </c>
      <c r="O481" s="2">
        <v>41.6</v>
      </c>
      <c r="P481" s="2" t="s">
        <v>519</v>
      </c>
      <c r="Q481" s="2"/>
      <c r="R481" s="25">
        <v>0</v>
      </c>
      <c r="U481">
        <v>0</v>
      </c>
      <c r="X481">
        <v>0</v>
      </c>
      <c r="AA481" s="2"/>
      <c r="AB481">
        <v>10</v>
      </c>
      <c r="AC481" s="55">
        <f t="shared" si="52"/>
        <v>578.77664000000004</v>
      </c>
      <c r="AD481" s="57">
        <v>0</v>
      </c>
      <c r="AE481" s="55">
        <v>0</v>
      </c>
      <c r="AF481" s="55">
        <v>0</v>
      </c>
      <c r="AG481" s="52">
        <f t="shared" si="53"/>
        <v>6.9111289633251263E-2</v>
      </c>
      <c r="AH481" s="52"/>
      <c r="AI481" s="52"/>
      <c r="AJ481" s="52"/>
      <c r="AK481" s="28">
        <v>1.5263157894736841</v>
      </c>
      <c r="AL481" s="28">
        <v>1.368421052631579</v>
      </c>
      <c r="AM481" s="28">
        <v>0.15789473684210531</v>
      </c>
      <c r="AN481" s="28">
        <v>0</v>
      </c>
      <c r="AO481" s="28">
        <v>0.5</v>
      </c>
      <c r="AP481" s="28">
        <v>0.44827586206896552</v>
      </c>
      <c r="AQ481" s="28">
        <v>5.1724137931034482E-2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2.4889473684210528</v>
      </c>
      <c r="AW481">
        <v>2.4889473684210528</v>
      </c>
      <c r="AX481">
        <v>6.7152213403504719</v>
      </c>
      <c r="AY481" s="75"/>
      <c r="AZ481" s="75"/>
      <c r="BA481" s="75"/>
      <c r="BB481">
        <v>3.4555644816625632E-2</v>
      </c>
      <c r="BF481">
        <v>6.9111289633251263E-2</v>
      </c>
      <c r="BG481">
        <v>3.4555644816625632E-2</v>
      </c>
      <c r="BH481">
        <v>0</v>
      </c>
    </row>
    <row r="482" spans="1:60" x14ac:dyDescent="0.3">
      <c r="A482" s="2" t="s">
        <v>329</v>
      </c>
      <c r="B482" s="18" t="s">
        <v>1002</v>
      </c>
      <c r="C482" s="13"/>
      <c r="D482" s="2">
        <v>3.45</v>
      </c>
      <c r="E482" s="2" t="s">
        <v>319</v>
      </c>
      <c r="F482" s="9">
        <v>-1</v>
      </c>
      <c r="G482">
        <v>-1</v>
      </c>
      <c r="I482" s="2">
        <v>4</v>
      </c>
      <c r="J482" s="25">
        <v>0</v>
      </c>
      <c r="K482">
        <v>0</v>
      </c>
      <c r="L482">
        <v>0</v>
      </c>
      <c r="M482" s="2">
        <v>3.73</v>
      </c>
      <c r="N482" s="2">
        <v>3.73</v>
      </c>
      <c r="O482" s="2">
        <v>45.6</v>
      </c>
      <c r="P482" s="2" t="s">
        <v>519</v>
      </c>
      <c r="Q482" s="2"/>
      <c r="R482" s="25">
        <v>0</v>
      </c>
      <c r="U482">
        <v>0</v>
      </c>
      <c r="X482">
        <v>0</v>
      </c>
      <c r="AA482" s="2"/>
      <c r="AB482">
        <v>10</v>
      </c>
      <c r="AC482" s="55">
        <f t="shared" si="52"/>
        <v>634.42824000000007</v>
      </c>
      <c r="AD482" s="57">
        <v>0</v>
      </c>
      <c r="AE482" s="55">
        <v>0</v>
      </c>
      <c r="AF482" s="55">
        <v>0</v>
      </c>
      <c r="AG482" s="52">
        <f t="shared" si="53"/>
        <v>6.3048895805773081E-2</v>
      </c>
      <c r="AH482" s="52"/>
      <c r="AI482" s="52"/>
      <c r="AJ482" s="52"/>
      <c r="AK482" s="28">
        <v>1.5</v>
      </c>
      <c r="AL482" s="28">
        <v>1.2727272727272729</v>
      </c>
      <c r="AM482" s="28">
        <v>0.13636363636363641</v>
      </c>
      <c r="AN482" s="28">
        <v>0</v>
      </c>
      <c r="AO482" s="28">
        <v>0.515625</v>
      </c>
      <c r="AP482" s="28">
        <v>0.4375</v>
      </c>
      <c r="AQ482" s="28">
        <v>4.6874999999999993E-2</v>
      </c>
      <c r="AR482" s="28">
        <v>0</v>
      </c>
      <c r="AS482" s="25">
        <v>1.1000000000000001</v>
      </c>
      <c r="AT482" s="25">
        <v>3.44</v>
      </c>
      <c r="AU482" s="25">
        <v>2.34</v>
      </c>
      <c r="AV482" s="25">
        <v>2.4654545454545449</v>
      </c>
      <c r="AW482">
        <v>2.4654545454545449</v>
      </c>
      <c r="AX482">
        <v>6.7365199487436813</v>
      </c>
      <c r="AY482" s="75"/>
      <c r="AZ482" s="75"/>
      <c r="BA482" s="75"/>
      <c r="BB482">
        <v>3.152444790288654E-2</v>
      </c>
      <c r="BF482">
        <v>6.3048895805773081E-2</v>
      </c>
      <c r="BG482">
        <v>3.152444790288654E-2</v>
      </c>
      <c r="BH482">
        <v>0</v>
      </c>
    </row>
    <row r="483" spans="1:60" x14ac:dyDescent="0.3">
      <c r="A483" s="2" t="s">
        <v>330</v>
      </c>
      <c r="B483" s="18" t="s">
        <v>1001</v>
      </c>
      <c r="C483" s="13"/>
      <c r="D483" s="2">
        <v>3.46</v>
      </c>
      <c r="E483" s="2" t="s">
        <v>319</v>
      </c>
      <c r="F483" s="9">
        <v>-1</v>
      </c>
      <c r="G483">
        <v>-1</v>
      </c>
      <c r="I483" s="2">
        <v>4</v>
      </c>
      <c r="J483" s="25">
        <v>0</v>
      </c>
      <c r="K483">
        <v>0</v>
      </c>
      <c r="L483">
        <v>0</v>
      </c>
      <c r="M483" s="2">
        <v>3.74</v>
      </c>
      <c r="N483" s="2">
        <v>3.74</v>
      </c>
      <c r="O483" s="2">
        <v>55.4</v>
      </c>
      <c r="P483" s="2" t="s">
        <v>519</v>
      </c>
      <c r="Q483" s="2"/>
      <c r="R483" s="25">
        <v>0</v>
      </c>
      <c r="U483">
        <v>0</v>
      </c>
      <c r="X483">
        <v>0</v>
      </c>
      <c r="AA483" s="2"/>
      <c r="AB483">
        <v>10</v>
      </c>
      <c r="AC483" s="55">
        <f t="shared" si="52"/>
        <v>774.91304000000014</v>
      </c>
      <c r="AD483" s="57">
        <v>0</v>
      </c>
      <c r="AE483" s="55">
        <v>0</v>
      </c>
      <c r="AF483" s="55">
        <v>0</v>
      </c>
      <c r="AG483" s="52">
        <f t="shared" si="53"/>
        <v>5.1618695176429079E-2</v>
      </c>
      <c r="AH483" s="52"/>
      <c r="AI483" s="52"/>
      <c r="AJ483" s="52"/>
      <c r="AK483" s="28">
        <v>1.464285714285714</v>
      </c>
      <c r="AL483" s="28">
        <v>1.142857142857143</v>
      </c>
      <c r="AM483" s="28">
        <v>0.1071428571428571</v>
      </c>
      <c r="AN483" s="28">
        <v>0</v>
      </c>
      <c r="AO483" s="28">
        <v>0.53947368421052622</v>
      </c>
      <c r="AP483" s="28">
        <v>0.42105263157894729</v>
      </c>
      <c r="AQ483" s="28">
        <v>3.9473684210526307E-2</v>
      </c>
      <c r="AR483" s="28">
        <v>0</v>
      </c>
      <c r="AS483" s="25">
        <v>1.1000000000000001</v>
      </c>
      <c r="AT483" s="25">
        <v>3.44</v>
      </c>
      <c r="AU483" s="25">
        <v>2.34</v>
      </c>
      <c r="AV483" s="25">
        <v>2.4335714285714292</v>
      </c>
      <c r="AW483">
        <v>2.4335714285714292</v>
      </c>
      <c r="AX483">
        <v>6.7654252029916062</v>
      </c>
      <c r="AY483" s="75"/>
      <c r="AZ483" s="75"/>
      <c r="BA483" s="75"/>
      <c r="BB483">
        <v>2.5809347588214539E-2</v>
      </c>
      <c r="BF483">
        <v>5.1618695176429079E-2</v>
      </c>
      <c r="BG483">
        <v>2.5809347588214539E-2</v>
      </c>
      <c r="BH483">
        <v>0</v>
      </c>
    </row>
    <row r="484" spans="1:60" x14ac:dyDescent="0.3">
      <c r="A484" s="2" t="s">
        <v>331</v>
      </c>
      <c r="B484" s="18" t="s">
        <v>1000</v>
      </c>
      <c r="C484" s="13"/>
      <c r="D484" s="2">
        <v>3.46</v>
      </c>
      <c r="E484" s="2" t="s">
        <v>319</v>
      </c>
      <c r="F484" s="9">
        <v>-1</v>
      </c>
      <c r="G484">
        <v>-1</v>
      </c>
      <c r="I484" s="2">
        <v>4</v>
      </c>
      <c r="J484" s="25">
        <v>0</v>
      </c>
      <c r="K484">
        <v>0</v>
      </c>
      <c r="L484">
        <v>0</v>
      </c>
      <c r="M484" s="2">
        <v>3.73</v>
      </c>
      <c r="N484" s="2">
        <v>3.73</v>
      </c>
      <c r="O484" s="2">
        <v>56.8</v>
      </c>
      <c r="P484" s="2" t="s">
        <v>519</v>
      </c>
      <c r="Q484" s="2"/>
      <c r="R484" s="25">
        <v>0</v>
      </c>
      <c r="U484">
        <v>0</v>
      </c>
      <c r="X484">
        <v>0</v>
      </c>
      <c r="AA484" s="2"/>
      <c r="AB484">
        <v>10</v>
      </c>
      <c r="AC484" s="55">
        <f t="shared" si="52"/>
        <v>790.25271999999995</v>
      </c>
      <c r="AD484" s="57">
        <v>0</v>
      </c>
      <c r="AE484" s="55">
        <v>0</v>
      </c>
      <c r="AF484" s="55">
        <v>0</v>
      </c>
      <c r="AG484" s="52">
        <f t="shared" si="53"/>
        <v>5.0616719168015016E-2</v>
      </c>
      <c r="AH484" s="52"/>
      <c r="AI484" s="52"/>
      <c r="AJ484" s="52"/>
      <c r="AK484" s="28">
        <v>1.4411764705882351</v>
      </c>
      <c r="AL484" s="28">
        <v>1.0588235294117649</v>
      </c>
      <c r="AM484" s="28">
        <v>8.8235294117647065E-2</v>
      </c>
      <c r="AN484" s="28">
        <v>0</v>
      </c>
      <c r="AO484" s="28">
        <v>0.55681818181818177</v>
      </c>
      <c r="AP484" s="28">
        <v>0.40909090909090912</v>
      </c>
      <c r="AQ484" s="28">
        <v>3.4090909090909088E-2</v>
      </c>
      <c r="AR484" s="28">
        <v>0</v>
      </c>
      <c r="AS484" s="25">
        <v>1.1000000000000001</v>
      </c>
      <c r="AT484" s="25">
        <v>3.44</v>
      </c>
      <c r="AU484" s="25">
        <v>2.34</v>
      </c>
      <c r="AV484" s="25">
        <v>2.4129411764705879</v>
      </c>
      <c r="AW484">
        <v>2.4129411764705888</v>
      </c>
      <c r="AX484">
        <v>6.7841286027990879</v>
      </c>
      <c r="AY484" s="75"/>
      <c r="AZ484" s="75"/>
      <c r="BA484" s="75"/>
      <c r="BB484">
        <v>2.5308359584007512E-2</v>
      </c>
      <c r="BF484">
        <v>5.0616719168015023E-2</v>
      </c>
      <c r="BG484">
        <v>2.5308359584007512E-2</v>
      </c>
      <c r="BH484">
        <v>0</v>
      </c>
    </row>
    <row r="485" spans="1:60" x14ac:dyDescent="0.3">
      <c r="A485" s="2" t="s">
        <v>332</v>
      </c>
      <c r="B485" s="18" t="s">
        <v>833</v>
      </c>
      <c r="C485" s="13"/>
      <c r="D485" s="2">
        <v>3.48</v>
      </c>
      <c r="E485" s="2" t="s">
        <v>319</v>
      </c>
      <c r="F485" s="9">
        <v>-1</v>
      </c>
      <c r="G485">
        <v>-1</v>
      </c>
      <c r="I485" s="2">
        <v>2</v>
      </c>
      <c r="J485" s="25">
        <v>0</v>
      </c>
      <c r="K485">
        <v>0</v>
      </c>
      <c r="L485">
        <v>2</v>
      </c>
      <c r="M485" s="2">
        <v>3.68</v>
      </c>
      <c r="N485" s="2">
        <v>3.68</v>
      </c>
      <c r="O485" s="2">
        <v>12.1</v>
      </c>
      <c r="P485" s="2" t="s">
        <v>519</v>
      </c>
      <c r="Q485" s="2"/>
      <c r="R485" s="25">
        <v>0</v>
      </c>
      <c r="U485">
        <v>0</v>
      </c>
      <c r="X485">
        <v>3.6970999999999998</v>
      </c>
      <c r="Y485">
        <v>3.6970999999999998</v>
      </c>
      <c r="Z485">
        <v>12.0928</v>
      </c>
      <c r="AA485" s="2"/>
      <c r="AB485">
        <v>8</v>
      </c>
      <c r="AC485" s="55">
        <f t="shared" si="52"/>
        <v>163.86304000000001</v>
      </c>
      <c r="AD485" s="57">
        <v>0</v>
      </c>
      <c r="AE485" s="55">
        <v>0</v>
      </c>
      <c r="AF485" s="55">
        <v>165.3</v>
      </c>
      <c r="AG485" s="52">
        <f t="shared" si="53"/>
        <v>9.7642519020762694E-2</v>
      </c>
      <c r="AH485" s="52"/>
      <c r="AI485" s="52"/>
      <c r="AJ485" s="67">
        <f>L485*AB485/AF485</f>
        <v>9.6793708408953405E-2</v>
      </c>
      <c r="AK485" s="28">
        <v>1.857142857142857</v>
      </c>
      <c r="AL485" s="28">
        <v>2.285714285714286</v>
      </c>
      <c r="AM485" s="28">
        <v>0.2857142857142857</v>
      </c>
      <c r="AN485" s="28">
        <v>0.5714285714285714</v>
      </c>
      <c r="AO485" s="28">
        <v>0.37142857142857139</v>
      </c>
      <c r="AP485" s="28">
        <v>0.45714285714285707</v>
      </c>
      <c r="AQ485" s="28">
        <v>5.7142857142857141E-2</v>
      </c>
      <c r="AR485" s="28">
        <v>0.1142857142857143</v>
      </c>
      <c r="AS485" s="25">
        <v>1.1399999999999999</v>
      </c>
      <c r="AT485" s="25">
        <v>3.44</v>
      </c>
      <c r="AU485" s="25">
        <v>2.2999999999999998</v>
      </c>
      <c r="AV485" s="25">
        <v>2.6628571428571428</v>
      </c>
      <c r="AW485">
        <v>2.6628571428571428</v>
      </c>
      <c r="AX485">
        <v>6.2282737214072856</v>
      </c>
      <c r="AY485" s="75"/>
      <c r="AZ485" s="75"/>
      <c r="BA485" s="75"/>
      <c r="BB485">
        <v>4.8821259510381347E-2</v>
      </c>
      <c r="BE485">
        <v>4.8396854204476702E-2</v>
      </c>
      <c r="BF485">
        <v>9.7218113714858057E-2</v>
      </c>
      <c r="BG485">
        <v>4.8609056857429028E-2</v>
      </c>
      <c r="BH485">
        <v>0</v>
      </c>
    </row>
    <row r="486" spans="1:60" x14ac:dyDescent="0.3">
      <c r="A486" s="2" t="s">
        <v>333</v>
      </c>
      <c r="B486" s="18" t="s">
        <v>1006</v>
      </c>
      <c r="C486" s="13"/>
      <c r="D486" s="2">
        <v>3.41</v>
      </c>
      <c r="E486" s="2" t="s">
        <v>319</v>
      </c>
      <c r="F486" s="9">
        <v>-1</v>
      </c>
      <c r="G486">
        <v>-1</v>
      </c>
      <c r="I486" s="2">
        <v>4</v>
      </c>
      <c r="J486" s="25">
        <v>0</v>
      </c>
      <c r="K486">
        <v>0</v>
      </c>
      <c r="L486">
        <v>0</v>
      </c>
      <c r="M486" s="2">
        <v>3.74</v>
      </c>
      <c r="N486" s="2">
        <v>3.74</v>
      </c>
      <c r="O486" s="2">
        <v>33.1</v>
      </c>
      <c r="P486" s="2" t="s">
        <v>519</v>
      </c>
      <c r="Q486" s="2"/>
      <c r="R486" s="25">
        <v>0</v>
      </c>
      <c r="U486">
        <v>0</v>
      </c>
      <c r="X486">
        <v>0</v>
      </c>
      <c r="AA486" s="2"/>
      <c r="AB486">
        <v>8</v>
      </c>
      <c r="AC486" s="55">
        <f t="shared" si="52"/>
        <v>462.9895600000001</v>
      </c>
      <c r="AD486" s="57">
        <v>0</v>
      </c>
      <c r="AE486" s="55">
        <v>0</v>
      </c>
      <c r="AF486" s="55">
        <v>0</v>
      </c>
      <c r="AG486" s="52">
        <f t="shared" si="53"/>
        <v>6.9116029311762431E-2</v>
      </c>
      <c r="AH486" s="52"/>
      <c r="AI486" s="52"/>
      <c r="AJ486" s="52"/>
      <c r="AK486" s="28">
        <v>1.571428571428571</v>
      </c>
      <c r="AL486" s="28">
        <v>1.5</v>
      </c>
      <c r="AM486" s="28">
        <v>0.14285714285714279</v>
      </c>
      <c r="AN486" s="28">
        <v>0.2857142857142857</v>
      </c>
      <c r="AO486" s="28">
        <v>0.44897959183673469</v>
      </c>
      <c r="AP486" s="28">
        <v>0.42857142857142849</v>
      </c>
      <c r="AQ486" s="28">
        <v>4.0816326530612242E-2</v>
      </c>
      <c r="AR486" s="28">
        <v>8.1632653061224483E-2</v>
      </c>
      <c r="AS486" s="25">
        <v>1.1399999999999999</v>
      </c>
      <c r="AT486" s="25">
        <v>3.44</v>
      </c>
      <c r="AU486" s="25">
        <v>2.2999999999999998</v>
      </c>
      <c r="AV486" s="25">
        <v>2.516428571428571</v>
      </c>
      <c r="AW486">
        <v>2.516428571428571</v>
      </c>
      <c r="AX486">
        <v>6.6409830967932857</v>
      </c>
      <c r="AY486" s="75"/>
      <c r="AZ486" s="75"/>
      <c r="BA486" s="75"/>
      <c r="BB486">
        <v>3.4558014655881222E-2</v>
      </c>
      <c r="BF486">
        <v>6.9116029311762431E-2</v>
      </c>
      <c r="BG486">
        <v>3.4558014655881222E-2</v>
      </c>
      <c r="BH486">
        <v>0</v>
      </c>
    </row>
    <row r="487" spans="1:60" x14ac:dyDescent="0.3">
      <c r="A487" s="2" t="s">
        <v>334</v>
      </c>
      <c r="B487" s="18" t="s">
        <v>1007</v>
      </c>
      <c r="C487" s="13"/>
      <c r="D487" s="2">
        <v>3.5</v>
      </c>
      <c r="E487" s="2" t="s">
        <v>319</v>
      </c>
      <c r="F487" s="9">
        <v>-1</v>
      </c>
      <c r="G487">
        <v>-1</v>
      </c>
      <c r="I487" s="2">
        <v>4</v>
      </c>
      <c r="J487" s="25">
        <v>0</v>
      </c>
      <c r="K487">
        <v>0</v>
      </c>
      <c r="L487">
        <v>0</v>
      </c>
      <c r="M487" s="2">
        <v>3.74</v>
      </c>
      <c r="N487" s="2">
        <v>3.74</v>
      </c>
      <c r="O487" s="2">
        <v>37.6</v>
      </c>
      <c r="P487" s="2" t="s">
        <v>519</v>
      </c>
      <c r="Q487" s="2"/>
      <c r="R487" s="25">
        <v>0</v>
      </c>
      <c r="U487">
        <v>0</v>
      </c>
      <c r="X487">
        <v>0</v>
      </c>
      <c r="AA487" s="2"/>
      <c r="AB487">
        <v>8</v>
      </c>
      <c r="AC487" s="55">
        <f t="shared" si="52"/>
        <v>525.93376000000012</v>
      </c>
      <c r="AD487" s="57">
        <v>0</v>
      </c>
      <c r="AE487" s="55">
        <v>0</v>
      </c>
      <c r="AF487" s="55">
        <v>0</v>
      </c>
      <c r="AG487" s="52">
        <f t="shared" si="53"/>
        <v>6.0844164101578099E-2</v>
      </c>
      <c r="AH487" s="52"/>
      <c r="AI487" s="52"/>
      <c r="AJ487" s="52"/>
      <c r="AK487" s="28">
        <v>1.529411764705882</v>
      </c>
      <c r="AL487" s="28">
        <v>1.3529411764705881</v>
      </c>
      <c r="AM487" s="28">
        <v>0.1176470588235294</v>
      </c>
      <c r="AN487" s="28">
        <v>0.23529411764705879</v>
      </c>
      <c r="AO487" s="28">
        <v>0.47272727272727272</v>
      </c>
      <c r="AP487" s="28">
        <v>0.41818181818181821</v>
      </c>
      <c r="AQ487" s="28">
        <v>3.6363636363636362E-2</v>
      </c>
      <c r="AR487" s="28">
        <v>7.2727272727272724E-2</v>
      </c>
      <c r="AS487" s="25">
        <v>1.1399999999999999</v>
      </c>
      <c r="AT487" s="25">
        <v>3.44</v>
      </c>
      <c r="AU487" s="25">
        <v>2.2999999999999998</v>
      </c>
      <c r="AV487" s="25">
        <v>2.4811764705882351</v>
      </c>
      <c r="AW487">
        <v>2.481176470588236</v>
      </c>
      <c r="AX487">
        <v>6.6816468682828232</v>
      </c>
      <c r="AY487" s="75"/>
      <c r="AZ487" s="75"/>
      <c r="BA487" s="75"/>
      <c r="BB487">
        <v>3.042208205078905E-2</v>
      </c>
      <c r="BF487">
        <v>6.0844164101578099E-2</v>
      </c>
      <c r="BG487">
        <v>3.042208205078905E-2</v>
      </c>
      <c r="BH487">
        <v>0</v>
      </c>
    </row>
    <row r="488" spans="1:60" x14ac:dyDescent="0.3">
      <c r="A488" s="2" t="s">
        <v>335</v>
      </c>
      <c r="B488" s="18" t="s">
        <v>1008</v>
      </c>
      <c r="C488" s="13"/>
      <c r="D488" s="2">
        <v>3.43</v>
      </c>
      <c r="E488" s="2" t="s">
        <v>319</v>
      </c>
      <c r="F488" s="9">
        <v>-1</v>
      </c>
      <c r="G488">
        <v>-1</v>
      </c>
      <c r="I488" s="2">
        <v>4</v>
      </c>
      <c r="J488" s="25">
        <v>0</v>
      </c>
      <c r="K488">
        <v>0</v>
      </c>
      <c r="L488">
        <v>0</v>
      </c>
      <c r="M488" s="2">
        <v>3.74</v>
      </c>
      <c r="N488" s="2">
        <v>3.74</v>
      </c>
      <c r="O488" s="2">
        <v>40.4</v>
      </c>
      <c r="P488" s="2" t="s">
        <v>519</v>
      </c>
      <c r="Q488" s="2"/>
      <c r="R488" s="25">
        <v>0</v>
      </c>
      <c r="U488">
        <v>0</v>
      </c>
      <c r="X488">
        <v>0</v>
      </c>
      <c r="AA488" s="2"/>
      <c r="AB488">
        <v>8</v>
      </c>
      <c r="AC488" s="55">
        <f t="shared" si="52"/>
        <v>565.09904000000006</v>
      </c>
      <c r="AD488" s="57">
        <v>0</v>
      </c>
      <c r="AE488" s="55">
        <v>0</v>
      </c>
      <c r="AF488" s="55">
        <v>0</v>
      </c>
      <c r="AG488" s="52">
        <f t="shared" si="53"/>
        <v>5.6627241837112298E-2</v>
      </c>
      <c r="AH488" s="52"/>
      <c r="AI488" s="52"/>
      <c r="AJ488" s="52"/>
      <c r="AK488" s="28">
        <v>1.5</v>
      </c>
      <c r="AL488" s="28">
        <v>1.25</v>
      </c>
      <c r="AM488" s="28">
        <v>0.1</v>
      </c>
      <c r="AN488" s="28">
        <v>0.2</v>
      </c>
      <c r="AO488" s="28">
        <v>0.49180327868852458</v>
      </c>
      <c r="AP488" s="28">
        <v>0.4098360655737705</v>
      </c>
      <c r="AQ488" s="28">
        <v>3.2786885245901641E-2</v>
      </c>
      <c r="AR488" s="28">
        <v>6.5573770491803282E-2</v>
      </c>
      <c r="AS488" s="25">
        <v>1.1399999999999999</v>
      </c>
      <c r="AT488" s="25">
        <v>3.44</v>
      </c>
      <c r="AU488" s="25">
        <v>2.2999999999999998</v>
      </c>
      <c r="AV488" s="25">
        <v>2.4565000000000001</v>
      </c>
      <c r="AW488">
        <v>2.4565000000000001</v>
      </c>
      <c r="AX488">
        <v>6.7101115083254994</v>
      </c>
      <c r="AY488" s="75"/>
      <c r="AZ488" s="75"/>
      <c r="BA488" s="75"/>
      <c r="BB488">
        <v>2.8313620918556149E-2</v>
      </c>
      <c r="BF488">
        <v>5.6627241837112298E-2</v>
      </c>
      <c r="BG488">
        <v>2.8313620918556149E-2</v>
      </c>
      <c r="BH488">
        <v>0</v>
      </c>
    </row>
    <row r="489" spans="1:60" x14ac:dyDescent="0.3">
      <c r="A489" s="2" t="s">
        <v>336</v>
      </c>
      <c r="B489" s="18" t="s">
        <v>1009</v>
      </c>
      <c r="C489" s="13"/>
      <c r="D489" s="2">
        <v>3.5</v>
      </c>
      <c r="E489" s="2" t="s">
        <v>319</v>
      </c>
      <c r="F489" s="9">
        <v>-1</v>
      </c>
      <c r="G489">
        <v>-1</v>
      </c>
      <c r="I489" s="2">
        <v>4</v>
      </c>
      <c r="J489" s="25">
        <v>0</v>
      </c>
      <c r="K489">
        <v>0</v>
      </c>
      <c r="L489">
        <v>0</v>
      </c>
      <c r="M489" s="2">
        <v>3.74</v>
      </c>
      <c r="N489" s="2">
        <v>3.74</v>
      </c>
      <c r="O489" s="2">
        <v>47.7</v>
      </c>
      <c r="P489" s="2" t="s">
        <v>519</v>
      </c>
      <c r="Q489" s="2"/>
      <c r="R489" s="25">
        <v>0</v>
      </c>
      <c r="U489">
        <v>0</v>
      </c>
      <c r="X489">
        <v>0</v>
      </c>
      <c r="AA489" s="2"/>
      <c r="AB489">
        <v>8</v>
      </c>
      <c r="AC489" s="55">
        <f t="shared" si="52"/>
        <v>667.20852000000014</v>
      </c>
      <c r="AD489" s="57">
        <v>0</v>
      </c>
      <c r="AE489" s="55">
        <v>0</v>
      </c>
      <c r="AF489" s="55">
        <v>0</v>
      </c>
      <c r="AG489" s="52">
        <f t="shared" si="53"/>
        <v>4.796101824359196E-2</v>
      </c>
      <c r="AH489" s="52"/>
      <c r="AI489" s="52"/>
      <c r="AJ489" s="52"/>
      <c r="AK489" s="28">
        <v>1.4782608695652171</v>
      </c>
      <c r="AL489" s="28">
        <v>1.173913043478261</v>
      </c>
      <c r="AM489" s="28">
        <v>8.6956521739130432E-2</v>
      </c>
      <c r="AN489" s="28">
        <v>0.17391304347826089</v>
      </c>
      <c r="AO489" s="28">
        <v>0.50746268656716409</v>
      </c>
      <c r="AP489" s="28">
        <v>0.40298507462686572</v>
      </c>
      <c r="AQ489" s="28">
        <v>2.9850746268656719E-2</v>
      </c>
      <c r="AR489" s="28">
        <v>5.9701492537313432E-2</v>
      </c>
      <c r="AS489" s="25">
        <v>1.1399999999999999</v>
      </c>
      <c r="AT489" s="25">
        <v>3.44</v>
      </c>
      <c r="AU489" s="25">
        <v>2.2999999999999998</v>
      </c>
      <c r="AV489" s="25">
        <v>2.4382608695652168</v>
      </c>
      <c r="AW489">
        <v>2.4382608695652168</v>
      </c>
      <c r="AX489">
        <v>6.7311505900961732</v>
      </c>
      <c r="AY489" s="75"/>
      <c r="AZ489" s="75"/>
      <c r="BA489" s="75"/>
      <c r="BB489">
        <v>2.398050912179598E-2</v>
      </c>
      <c r="BF489">
        <v>4.796101824359196E-2</v>
      </c>
      <c r="BG489">
        <v>2.398050912179598E-2</v>
      </c>
      <c r="BH489">
        <v>0</v>
      </c>
    </row>
    <row r="490" spans="1:60" x14ac:dyDescent="0.3">
      <c r="A490" s="2" t="s">
        <v>337</v>
      </c>
      <c r="B490" s="18" t="s">
        <v>1010</v>
      </c>
      <c r="C490" s="13"/>
      <c r="D490" s="2">
        <v>3.42</v>
      </c>
      <c r="E490" s="2" t="s">
        <v>319</v>
      </c>
      <c r="F490" s="9">
        <v>-1</v>
      </c>
      <c r="G490">
        <v>-1</v>
      </c>
      <c r="I490" s="2">
        <v>4</v>
      </c>
      <c r="J490" s="25">
        <v>0</v>
      </c>
      <c r="K490">
        <v>0</v>
      </c>
      <c r="L490">
        <v>0</v>
      </c>
      <c r="M490" s="2">
        <v>3.72</v>
      </c>
      <c r="N490" s="2">
        <v>3.72</v>
      </c>
      <c r="O490" s="2">
        <v>54</v>
      </c>
      <c r="P490" s="2" t="s">
        <v>519</v>
      </c>
      <c r="Q490" s="2"/>
      <c r="R490" s="25">
        <v>0</v>
      </c>
      <c r="U490">
        <v>0</v>
      </c>
      <c r="X490">
        <v>0</v>
      </c>
      <c r="AA490" s="2"/>
      <c r="AB490">
        <v>8</v>
      </c>
      <c r="AC490" s="55">
        <f t="shared" si="52"/>
        <v>747.2736000000001</v>
      </c>
      <c r="AD490" s="57">
        <v>0</v>
      </c>
      <c r="AE490" s="55">
        <v>0</v>
      </c>
      <c r="AF490" s="55">
        <v>0</v>
      </c>
      <c r="AG490" s="52">
        <f t="shared" si="53"/>
        <v>4.282233441673839E-2</v>
      </c>
      <c r="AH490" s="52"/>
      <c r="AI490" s="52"/>
      <c r="AJ490" s="52"/>
      <c r="AK490" s="28">
        <v>1.448275862068966</v>
      </c>
      <c r="AL490" s="28">
        <v>1.068965517241379</v>
      </c>
      <c r="AM490" s="28">
        <v>6.8965517241379309E-2</v>
      </c>
      <c r="AN490" s="28">
        <v>0.13793103448275859</v>
      </c>
      <c r="AO490" s="28">
        <v>0.53164556962025322</v>
      </c>
      <c r="AP490" s="28">
        <v>0.39240506329113922</v>
      </c>
      <c r="AQ490" s="28">
        <v>2.5316455696202531E-2</v>
      </c>
      <c r="AR490" s="28">
        <v>5.0632911392405063E-2</v>
      </c>
      <c r="AS490" s="25">
        <v>1.1399999999999999</v>
      </c>
      <c r="AT490" s="25">
        <v>3.44</v>
      </c>
      <c r="AU490" s="25">
        <v>2.2999999999999998</v>
      </c>
      <c r="AV490" s="25">
        <v>2.4131034482758622</v>
      </c>
      <c r="AW490">
        <v>2.4131034482758622</v>
      </c>
      <c r="AX490">
        <v>6.7601700132281373</v>
      </c>
      <c r="AY490" s="75"/>
      <c r="AZ490" s="75"/>
      <c r="BA490" s="75"/>
      <c r="BB490">
        <v>2.1411167208369199E-2</v>
      </c>
      <c r="BF490">
        <v>4.282233441673839E-2</v>
      </c>
      <c r="BG490">
        <v>2.1411167208369199E-2</v>
      </c>
      <c r="BH490">
        <v>0</v>
      </c>
    </row>
    <row r="491" spans="1:60" x14ac:dyDescent="0.3">
      <c r="A491" s="2" t="s">
        <v>338</v>
      </c>
      <c r="B491" s="18" t="s">
        <v>1011</v>
      </c>
      <c r="C491" s="13"/>
      <c r="D491" s="2">
        <v>3.45</v>
      </c>
      <c r="E491" s="2" t="s">
        <v>319</v>
      </c>
      <c r="F491" s="9">
        <v>-1</v>
      </c>
      <c r="G491">
        <v>-1</v>
      </c>
      <c r="I491" s="2">
        <v>4</v>
      </c>
      <c r="J491" s="25">
        <v>0</v>
      </c>
      <c r="K491">
        <v>0</v>
      </c>
      <c r="L491">
        <v>0</v>
      </c>
      <c r="M491" s="2">
        <v>3.81</v>
      </c>
      <c r="N491" s="2">
        <v>3.81</v>
      </c>
      <c r="O491" s="2">
        <v>65.400000000000006</v>
      </c>
      <c r="P491" s="2" t="s">
        <v>519</v>
      </c>
      <c r="Q491" s="2"/>
      <c r="R491" s="25">
        <v>0</v>
      </c>
      <c r="U491">
        <v>0</v>
      </c>
      <c r="X491">
        <v>0</v>
      </c>
      <c r="AA491" s="2"/>
      <c r="AB491">
        <v>8</v>
      </c>
      <c r="AC491" s="55">
        <f t="shared" si="52"/>
        <v>949.3529400000001</v>
      </c>
      <c r="AD491" s="57">
        <v>0</v>
      </c>
      <c r="AE491" s="55">
        <v>0</v>
      </c>
      <c r="AF491" s="55">
        <v>0</v>
      </c>
      <c r="AG491" s="52">
        <f t="shared" si="53"/>
        <v>3.3707169011347876E-2</v>
      </c>
      <c r="AH491" s="52"/>
      <c r="AI491" s="52"/>
      <c r="AJ491" s="52"/>
      <c r="AK491" s="28">
        <v>1.428571428571429</v>
      </c>
      <c r="AL491" s="28">
        <v>1</v>
      </c>
      <c r="AM491" s="28">
        <v>5.7142857142857141E-2</v>
      </c>
      <c r="AN491" s="28">
        <v>0.1142857142857143</v>
      </c>
      <c r="AO491" s="28">
        <v>0.5494505494505495</v>
      </c>
      <c r="AP491" s="28">
        <v>0.38461538461538458</v>
      </c>
      <c r="AQ491" s="28">
        <v>2.197802197802198E-2</v>
      </c>
      <c r="AR491" s="28">
        <v>4.3956043956043953E-2</v>
      </c>
      <c r="AS491" s="25">
        <v>1.1399999999999999</v>
      </c>
      <c r="AT491" s="25">
        <v>3.44</v>
      </c>
      <c r="AU491" s="25">
        <v>2.2999999999999998</v>
      </c>
      <c r="AV491" s="25">
        <v>2.3965714285714288</v>
      </c>
      <c r="AW491">
        <v>2.3965714285714279</v>
      </c>
      <c r="AX491">
        <v>6.7792399198577131</v>
      </c>
      <c r="AY491" s="75"/>
      <c r="AZ491" s="75"/>
      <c r="BA491" s="75"/>
      <c r="BB491">
        <v>1.6853584505673942E-2</v>
      </c>
      <c r="BF491">
        <v>3.3707169011347883E-2</v>
      </c>
      <c r="BG491">
        <v>1.6853584505673942E-2</v>
      </c>
      <c r="BH491">
        <v>0</v>
      </c>
    </row>
    <row r="492" spans="1:60" x14ac:dyDescent="0.3">
      <c r="A492" s="2" t="s">
        <v>339</v>
      </c>
      <c r="B492" s="18" t="s">
        <v>1012</v>
      </c>
      <c r="C492" s="13"/>
      <c r="D492" s="2">
        <v>3.42</v>
      </c>
      <c r="E492" s="2" t="s">
        <v>319</v>
      </c>
      <c r="F492" s="9">
        <v>-1</v>
      </c>
      <c r="G492">
        <v>-1</v>
      </c>
      <c r="I492" s="2">
        <v>4</v>
      </c>
      <c r="J492" s="25">
        <v>0</v>
      </c>
      <c r="K492">
        <v>0</v>
      </c>
      <c r="L492">
        <v>0</v>
      </c>
      <c r="M492" s="2">
        <v>3.71</v>
      </c>
      <c r="N492" s="2">
        <v>3.71</v>
      </c>
      <c r="O492" s="2">
        <v>32</v>
      </c>
      <c r="P492" s="2" t="s">
        <v>519</v>
      </c>
      <c r="Q492" s="2"/>
      <c r="R492" s="25">
        <v>0</v>
      </c>
      <c r="U492">
        <v>0</v>
      </c>
      <c r="X492">
        <v>0</v>
      </c>
      <c r="AA492" s="2"/>
      <c r="AB492">
        <v>10</v>
      </c>
      <c r="AC492" s="55">
        <f t="shared" si="52"/>
        <v>440.45119999999997</v>
      </c>
      <c r="AD492" s="57">
        <v>0</v>
      </c>
      <c r="AE492" s="55">
        <v>0</v>
      </c>
      <c r="AF492" s="55">
        <v>0</v>
      </c>
      <c r="AG492" s="52">
        <f t="shared" si="53"/>
        <v>9.0815963266759184E-2</v>
      </c>
      <c r="AH492" s="52"/>
      <c r="AI492" s="52"/>
      <c r="AJ492" s="52"/>
      <c r="AK492" s="28">
        <v>1.615384615384615</v>
      </c>
      <c r="AL492" s="28">
        <v>1.6923076923076921</v>
      </c>
      <c r="AM492" s="28">
        <v>0.15384615384615391</v>
      </c>
      <c r="AN492" s="28">
        <v>0.30769230769230771</v>
      </c>
      <c r="AO492" s="28">
        <v>0.4285714285714286</v>
      </c>
      <c r="AP492" s="28">
        <v>0.44897959183673469</v>
      </c>
      <c r="AQ492" s="28">
        <v>4.0816326530612249E-2</v>
      </c>
      <c r="AR492" s="28">
        <v>8.1632653061224497E-2</v>
      </c>
      <c r="AS492" s="25">
        <v>1.1399999999999999</v>
      </c>
      <c r="AT492" s="25">
        <v>3.44</v>
      </c>
      <c r="AU492" s="25">
        <v>2.2999999999999998</v>
      </c>
      <c r="AV492" s="25">
        <v>2.571538461538462</v>
      </c>
      <c r="AW492">
        <v>2.571538461538462</v>
      </c>
      <c r="AX492">
        <v>6.623443246558077</v>
      </c>
      <c r="AY492" s="75"/>
      <c r="AZ492" s="75"/>
      <c r="BA492" s="75"/>
      <c r="BB492">
        <v>4.5407981633379592E-2</v>
      </c>
      <c r="BF492">
        <v>9.0815963266759184E-2</v>
      </c>
      <c r="BG492">
        <v>4.5407981633379592E-2</v>
      </c>
      <c r="BH492">
        <v>0</v>
      </c>
    </row>
    <row r="493" spans="1:60" x14ac:dyDescent="0.3">
      <c r="A493" s="2" t="s">
        <v>340</v>
      </c>
      <c r="B493" s="18" t="s">
        <v>1013</v>
      </c>
      <c r="C493" s="13"/>
      <c r="D493" s="2">
        <v>3.39</v>
      </c>
      <c r="E493" s="2" t="s">
        <v>319</v>
      </c>
      <c r="F493" s="9">
        <v>-1</v>
      </c>
      <c r="G493">
        <v>-1</v>
      </c>
      <c r="I493" s="2">
        <v>4</v>
      </c>
      <c r="J493" s="25">
        <v>0</v>
      </c>
      <c r="K493">
        <v>0</v>
      </c>
      <c r="L493">
        <v>0</v>
      </c>
      <c r="M493" s="2">
        <v>3.7</v>
      </c>
      <c r="N493" s="2">
        <v>3.7</v>
      </c>
      <c r="O493" s="2">
        <v>36.4</v>
      </c>
      <c r="P493" s="2" t="s">
        <v>519</v>
      </c>
      <c r="Q493" s="2"/>
      <c r="R493" s="25">
        <v>0</v>
      </c>
      <c r="U493">
        <v>0</v>
      </c>
      <c r="X493">
        <v>0</v>
      </c>
      <c r="AA493" s="2"/>
      <c r="AB493">
        <v>10</v>
      </c>
      <c r="AC493" s="55">
        <f t="shared" si="52"/>
        <v>498.31600000000003</v>
      </c>
      <c r="AD493" s="57">
        <v>0</v>
      </c>
      <c r="AE493" s="55">
        <v>0</v>
      </c>
      <c r="AF493" s="55">
        <v>0</v>
      </c>
      <c r="AG493" s="52">
        <f t="shared" si="53"/>
        <v>8.0270350540620802E-2</v>
      </c>
      <c r="AH493" s="52"/>
      <c r="AI493" s="52"/>
      <c r="AJ493" s="52"/>
      <c r="AK493" s="28">
        <v>1.5625</v>
      </c>
      <c r="AL493" s="28">
        <v>1.5</v>
      </c>
      <c r="AM493" s="28">
        <v>0.125</v>
      </c>
      <c r="AN493" s="28">
        <v>0.25</v>
      </c>
      <c r="AO493" s="28">
        <v>0.45454545454545447</v>
      </c>
      <c r="AP493" s="28">
        <v>0.43636363636363629</v>
      </c>
      <c r="AQ493" s="28">
        <v>3.6363636363636362E-2</v>
      </c>
      <c r="AR493" s="28">
        <v>7.2727272727272724E-2</v>
      </c>
      <c r="AS493" s="25">
        <v>1.1399999999999999</v>
      </c>
      <c r="AT493" s="25">
        <v>3.44</v>
      </c>
      <c r="AU493" s="25">
        <v>2.2999999999999998</v>
      </c>
      <c r="AV493" s="25">
        <v>2.5237500000000002</v>
      </c>
      <c r="AW493">
        <v>2.5237500000000002</v>
      </c>
      <c r="AX493">
        <v>6.6699372256848122</v>
      </c>
      <c r="AY493" s="75"/>
      <c r="AZ493" s="75"/>
      <c r="BA493" s="75"/>
      <c r="BB493">
        <v>4.0135175270310401E-2</v>
      </c>
      <c r="BF493">
        <v>8.0270350540620802E-2</v>
      </c>
      <c r="BG493">
        <v>4.0135175270310401E-2</v>
      </c>
      <c r="BH493">
        <v>0</v>
      </c>
    </row>
    <row r="494" spans="1:60" x14ac:dyDescent="0.3">
      <c r="A494" s="2" t="s">
        <v>341</v>
      </c>
      <c r="B494" s="18" t="s">
        <v>1014</v>
      </c>
      <c r="C494" s="13"/>
      <c r="D494" s="2">
        <v>3.45</v>
      </c>
      <c r="E494" s="2" t="s">
        <v>319</v>
      </c>
      <c r="F494" s="9">
        <v>-1</v>
      </c>
      <c r="G494">
        <v>-1</v>
      </c>
      <c r="I494" s="2">
        <v>4</v>
      </c>
      <c r="J494" s="25">
        <v>0</v>
      </c>
      <c r="K494">
        <v>0</v>
      </c>
      <c r="L494">
        <v>0</v>
      </c>
      <c r="M494" s="2">
        <v>3.72</v>
      </c>
      <c r="N494" s="2">
        <v>3.72</v>
      </c>
      <c r="O494" s="2">
        <v>41.1</v>
      </c>
      <c r="P494" s="2" t="s">
        <v>519</v>
      </c>
      <c r="Q494" s="2"/>
      <c r="R494" s="25">
        <v>0</v>
      </c>
      <c r="U494">
        <v>0</v>
      </c>
      <c r="X494">
        <v>0</v>
      </c>
      <c r="AA494" s="2"/>
      <c r="AB494">
        <v>10</v>
      </c>
      <c r="AC494" s="55">
        <f t="shared" si="52"/>
        <v>568.75824000000011</v>
      </c>
      <c r="AD494" s="57">
        <v>0</v>
      </c>
      <c r="AE494" s="55">
        <v>0</v>
      </c>
      <c r="AF494" s="55">
        <v>0</v>
      </c>
      <c r="AG494" s="52">
        <f t="shared" si="53"/>
        <v>7.0328651414351365E-2</v>
      </c>
      <c r="AH494" s="52"/>
      <c r="AI494" s="52"/>
      <c r="AJ494" s="52"/>
      <c r="AK494" s="28">
        <v>1.5263157894736841</v>
      </c>
      <c r="AL494" s="28">
        <v>1.368421052631579</v>
      </c>
      <c r="AM494" s="28">
        <v>0.10526315789473679</v>
      </c>
      <c r="AN494" s="28">
        <v>0.2105263157894737</v>
      </c>
      <c r="AO494" s="28">
        <v>0.47540983606557369</v>
      </c>
      <c r="AP494" s="28">
        <v>0.42622950819672129</v>
      </c>
      <c r="AQ494" s="28">
        <v>3.2786885245901627E-2</v>
      </c>
      <c r="AR494" s="28">
        <v>6.5573770491803268E-2</v>
      </c>
      <c r="AS494" s="25">
        <v>1.1399999999999999</v>
      </c>
      <c r="AT494" s="25">
        <v>3.44</v>
      </c>
      <c r="AU494" s="25">
        <v>2.2999999999999998</v>
      </c>
      <c r="AV494" s="25">
        <v>2.4910526315789472</v>
      </c>
      <c r="AW494">
        <v>2.4910526315789481</v>
      </c>
      <c r="AX494">
        <v>6.7017488956136306</v>
      </c>
      <c r="AY494" s="75"/>
      <c r="AZ494" s="75"/>
      <c r="BA494" s="75"/>
      <c r="BB494">
        <v>3.5164325707175682E-2</v>
      </c>
      <c r="BF494">
        <v>7.0328651414351365E-2</v>
      </c>
      <c r="BG494">
        <v>3.5164325707175682E-2</v>
      </c>
      <c r="BH494">
        <v>0</v>
      </c>
    </row>
    <row r="495" spans="1:60" x14ac:dyDescent="0.3">
      <c r="A495" s="2" t="s">
        <v>342</v>
      </c>
      <c r="B495" s="18" t="s">
        <v>1015</v>
      </c>
      <c r="C495" s="13"/>
      <c r="D495" s="2">
        <v>3.45</v>
      </c>
      <c r="E495" s="2" t="s">
        <v>319</v>
      </c>
      <c r="F495" s="9">
        <v>-1</v>
      </c>
      <c r="G495">
        <v>-1</v>
      </c>
      <c r="I495" s="2">
        <v>4</v>
      </c>
      <c r="J495" s="25">
        <v>0</v>
      </c>
      <c r="K495">
        <v>0</v>
      </c>
      <c r="L495">
        <v>0</v>
      </c>
      <c r="M495" s="2">
        <v>3.71</v>
      </c>
      <c r="N495" s="2">
        <v>3.71</v>
      </c>
      <c r="O495" s="2">
        <v>44.5</v>
      </c>
      <c r="P495" s="2" t="s">
        <v>519</v>
      </c>
      <c r="Q495" s="2"/>
      <c r="R495" s="25">
        <v>0</v>
      </c>
      <c r="U495">
        <v>0</v>
      </c>
      <c r="X495">
        <v>0</v>
      </c>
      <c r="AA495" s="2"/>
      <c r="AB495">
        <v>10</v>
      </c>
      <c r="AC495" s="55">
        <f t="shared" si="52"/>
        <v>612.50244999999995</v>
      </c>
      <c r="AD495" s="57">
        <v>0</v>
      </c>
      <c r="AE495" s="55">
        <v>0</v>
      </c>
      <c r="AF495" s="55">
        <v>0</v>
      </c>
      <c r="AG495" s="52">
        <f t="shared" si="53"/>
        <v>6.5305861225534695E-2</v>
      </c>
      <c r="AH495" s="52"/>
      <c r="AI495" s="52"/>
      <c r="AJ495" s="52"/>
      <c r="AK495" s="28">
        <v>1.5</v>
      </c>
      <c r="AL495" s="28">
        <v>1.2727272727272729</v>
      </c>
      <c r="AM495" s="28">
        <v>9.0909090909090912E-2</v>
      </c>
      <c r="AN495" s="28">
        <v>0.1818181818181818</v>
      </c>
      <c r="AO495" s="28">
        <v>0.49253731343283591</v>
      </c>
      <c r="AP495" s="28">
        <v>0.41791044776119401</v>
      </c>
      <c r="AQ495" s="28">
        <v>2.9850746268656719E-2</v>
      </c>
      <c r="AR495" s="28">
        <v>5.9701492537313439E-2</v>
      </c>
      <c r="AS495" s="25">
        <v>1.1399999999999999</v>
      </c>
      <c r="AT495" s="25">
        <v>3.44</v>
      </c>
      <c r="AU495" s="25">
        <v>2.2999999999999998</v>
      </c>
      <c r="AV495" s="25">
        <v>2.4672727272727282</v>
      </c>
      <c r="AW495">
        <v>2.4672727272727268</v>
      </c>
      <c r="AX495">
        <v>6.7248846555618629</v>
      </c>
      <c r="AY495" s="75"/>
      <c r="AZ495" s="75"/>
      <c r="BA495" s="75"/>
      <c r="BB495">
        <v>3.2652930612767347E-2</v>
      </c>
      <c r="BF495">
        <v>6.5305861225534695E-2</v>
      </c>
      <c r="BG495">
        <v>3.2652930612767347E-2</v>
      </c>
      <c r="BH495">
        <v>0</v>
      </c>
    </row>
    <row r="496" spans="1:60" x14ac:dyDescent="0.3">
      <c r="A496" s="2" t="s">
        <v>343</v>
      </c>
      <c r="B496" s="18" t="s">
        <v>1016</v>
      </c>
      <c r="C496" s="13"/>
      <c r="D496" s="2">
        <v>3.41</v>
      </c>
      <c r="E496" s="2" t="s">
        <v>319</v>
      </c>
      <c r="F496" s="9">
        <v>-1</v>
      </c>
      <c r="G496">
        <v>-1</v>
      </c>
      <c r="I496" s="2">
        <v>4</v>
      </c>
      <c r="J496" s="25">
        <v>0</v>
      </c>
      <c r="K496">
        <v>0</v>
      </c>
      <c r="L496">
        <v>0</v>
      </c>
      <c r="M496" s="2">
        <v>3.71</v>
      </c>
      <c r="N496" s="2">
        <v>3.71</v>
      </c>
      <c r="O496" s="2">
        <v>54.9</v>
      </c>
      <c r="P496" s="2" t="s">
        <v>519</v>
      </c>
      <c r="Q496" s="2"/>
      <c r="R496" s="25">
        <v>0</v>
      </c>
      <c r="S496" s="25"/>
      <c r="T496" s="25"/>
      <c r="U496">
        <v>0</v>
      </c>
      <c r="X496">
        <v>0</v>
      </c>
      <c r="AA496" s="2"/>
      <c r="AB496">
        <v>10</v>
      </c>
      <c r="AC496" s="55">
        <f t="shared" si="52"/>
        <v>755.64908999999989</v>
      </c>
      <c r="AD496" s="57">
        <v>0</v>
      </c>
      <c r="AE496" s="55">
        <v>0</v>
      </c>
      <c r="AF496" s="55">
        <v>0</v>
      </c>
      <c r="AG496" s="52">
        <f t="shared" si="53"/>
        <v>5.2934623397746704E-2</v>
      </c>
      <c r="AH496" s="51"/>
      <c r="AI496" s="52"/>
      <c r="AJ496" s="52"/>
      <c r="AK496" s="28">
        <v>1.464285714285714</v>
      </c>
      <c r="AL496" s="28">
        <v>1.142857142857143</v>
      </c>
      <c r="AM496" s="28">
        <v>7.1428571428571425E-2</v>
      </c>
      <c r="AN496" s="28">
        <v>0.14285714285714279</v>
      </c>
      <c r="AO496" s="28">
        <v>0.51898734177215178</v>
      </c>
      <c r="AP496" s="28">
        <v>0.40506329113924039</v>
      </c>
      <c r="AQ496" s="28">
        <v>2.5316455696202531E-2</v>
      </c>
      <c r="AR496" s="28">
        <v>5.0632911392405063E-2</v>
      </c>
      <c r="AS496" s="25">
        <v>1.1399999999999999</v>
      </c>
      <c r="AT496" s="25">
        <v>3.44</v>
      </c>
      <c r="AU496" s="25">
        <v>2.2999999999999998</v>
      </c>
      <c r="AV496" s="25">
        <v>2.4350000000000001</v>
      </c>
      <c r="AW496">
        <v>2.4350000000000001</v>
      </c>
      <c r="AX496">
        <v>6.7562831869201787</v>
      </c>
      <c r="AY496" s="75"/>
      <c r="AZ496" s="75"/>
      <c r="BA496" s="75"/>
      <c r="BB496">
        <v>2.6467311698873348E-2</v>
      </c>
      <c r="BF496">
        <v>5.2934623397746697E-2</v>
      </c>
      <c r="BG496">
        <v>2.6467311698873348E-2</v>
      </c>
      <c r="BH496">
        <v>0</v>
      </c>
    </row>
    <row r="497" spans="1:60" x14ac:dyDescent="0.3">
      <c r="A497" s="2" t="s">
        <v>344</v>
      </c>
      <c r="B497" s="18" t="s">
        <v>1017</v>
      </c>
      <c r="C497" s="13"/>
      <c r="D497" s="2">
        <v>3.41</v>
      </c>
      <c r="E497" s="2" t="s">
        <v>319</v>
      </c>
      <c r="F497" s="9">
        <v>-1</v>
      </c>
      <c r="G497">
        <v>-1</v>
      </c>
      <c r="I497" s="2">
        <v>4</v>
      </c>
      <c r="J497" s="25">
        <v>0</v>
      </c>
      <c r="K497">
        <v>0</v>
      </c>
      <c r="L497">
        <v>0</v>
      </c>
      <c r="M497" s="2">
        <v>3.71</v>
      </c>
      <c r="N497" s="2">
        <v>3.71</v>
      </c>
      <c r="O497" s="2">
        <v>58</v>
      </c>
      <c r="P497" s="2" t="s">
        <v>519</v>
      </c>
      <c r="Q497" s="2"/>
      <c r="R497" s="25">
        <v>0</v>
      </c>
      <c r="S497" s="25"/>
      <c r="T497" s="25"/>
      <c r="U497">
        <v>0</v>
      </c>
      <c r="X497">
        <v>0</v>
      </c>
      <c r="AA497" s="2"/>
      <c r="AB497">
        <v>10</v>
      </c>
      <c r="AC497" s="55">
        <f t="shared" si="52"/>
        <v>798.31779999999992</v>
      </c>
      <c r="AD497" s="57">
        <v>0</v>
      </c>
      <c r="AE497" s="55">
        <v>0</v>
      </c>
      <c r="AF497" s="55">
        <v>0</v>
      </c>
      <c r="AG497" s="52">
        <f t="shared" si="53"/>
        <v>5.010535904372921E-2</v>
      </c>
      <c r="AH497" s="51"/>
      <c r="AI497" s="52"/>
      <c r="AJ497" s="52"/>
      <c r="AK497" s="28">
        <v>1.4411764705882351</v>
      </c>
      <c r="AL497" s="28">
        <v>1.0588235294117649</v>
      </c>
      <c r="AM497" s="28">
        <v>5.8823529411764712E-2</v>
      </c>
      <c r="AN497" s="28">
        <v>0.1176470588235294</v>
      </c>
      <c r="AO497" s="28">
        <v>0.53846153846153855</v>
      </c>
      <c r="AP497" s="28">
        <v>0.39560439560439559</v>
      </c>
      <c r="AQ497" s="28">
        <v>2.197802197802198E-2</v>
      </c>
      <c r="AR497" s="28">
        <v>4.3956043956043959E-2</v>
      </c>
      <c r="AS497" s="25">
        <v>1.1399999999999999</v>
      </c>
      <c r="AT497" s="25">
        <v>3.44</v>
      </c>
      <c r="AU497" s="25">
        <v>2.2999999999999998</v>
      </c>
      <c r="AV497" s="25">
        <v>2.4141176470588239</v>
      </c>
      <c r="AW497">
        <v>2.4141176470588239</v>
      </c>
      <c r="AX497">
        <v>6.776599883681441</v>
      </c>
      <c r="AY497" s="75"/>
      <c r="AZ497" s="75"/>
      <c r="BA497" s="75"/>
      <c r="BB497">
        <v>2.5052679521864601E-2</v>
      </c>
      <c r="BF497">
        <v>5.010535904372921E-2</v>
      </c>
      <c r="BG497">
        <v>2.5052679521864601E-2</v>
      </c>
      <c r="BH497">
        <v>0</v>
      </c>
    </row>
    <row r="498" spans="1:60" x14ac:dyDescent="0.3">
      <c r="A498" s="2" t="s">
        <v>151</v>
      </c>
      <c r="B498" s="13" t="s">
        <v>774</v>
      </c>
      <c r="C498" s="13"/>
      <c r="D498" s="2">
        <v>3.26</v>
      </c>
      <c r="E498" s="2" t="s">
        <v>345</v>
      </c>
      <c r="F498" s="9">
        <v>-1</v>
      </c>
      <c r="G498">
        <v>-1</v>
      </c>
      <c r="I498" s="2"/>
      <c r="J498" s="25">
        <v>0</v>
      </c>
      <c r="K498">
        <v>0</v>
      </c>
      <c r="L498">
        <v>0</v>
      </c>
      <c r="M498" s="2">
        <v>3.89</v>
      </c>
      <c r="N498" s="2">
        <v>3.89</v>
      </c>
      <c r="O498" s="2">
        <v>16.399999999999999</v>
      </c>
      <c r="P498" s="2"/>
      <c r="Q498" s="2"/>
      <c r="R498" s="25">
        <v>0</v>
      </c>
      <c r="S498" s="25"/>
      <c r="T498" s="25"/>
      <c r="U498">
        <v>0</v>
      </c>
      <c r="X498">
        <v>0</v>
      </c>
      <c r="AA498" s="2"/>
      <c r="AB498">
        <v>20</v>
      </c>
      <c r="AC498" s="55">
        <f t="shared" si="52"/>
        <v>248.16643999999999</v>
      </c>
      <c r="AD498" s="57">
        <v>0</v>
      </c>
      <c r="AE498" s="55">
        <v>0</v>
      </c>
      <c r="AF498" s="55">
        <v>0</v>
      </c>
      <c r="AG498" s="52"/>
      <c r="AH498" s="51"/>
      <c r="AI498" s="52"/>
      <c r="AJ498" s="52"/>
      <c r="AK498" s="28">
        <v>1.75</v>
      </c>
      <c r="AL498" s="28">
        <v>2.5</v>
      </c>
      <c r="AM498" s="28">
        <v>0.75</v>
      </c>
      <c r="AN498" s="28">
        <v>0</v>
      </c>
      <c r="AO498" s="28">
        <v>0.35</v>
      </c>
      <c r="AP498" s="28">
        <v>0.5</v>
      </c>
      <c r="AQ498" s="28">
        <v>0.15</v>
      </c>
      <c r="AR498" s="28">
        <v>0</v>
      </c>
      <c r="AS498" s="25">
        <v>0.95</v>
      </c>
      <c r="AT498" s="25">
        <v>3.44</v>
      </c>
      <c r="AU498" s="25">
        <v>2.4900000000000002</v>
      </c>
      <c r="AV498" s="25">
        <v>2.7062499999999998</v>
      </c>
      <c r="AW498">
        <v>2.7062499999999998</v>
      </c>
      <c r="AX498">
        <v>6.2396022968656872</v>
      </c>
      <c r="AY498" s="75"/>
      <c r="AZ498" s="75"/>
      <c r="BA498" s="75"/>
      <c r="BF498">
        <v>0</v>
      </c>
      <c r="BG498">
        <v>0</v>
      </c>
      <c r="BH498">
        <v>0</v>
      </c>
    </row>
    <row r="499" spans="1:60" x14ac:dyDescent="0.3">
      <c r="A499" s="2" t="s">
        <v>63</v>
      </c>
      <c r="B499" s="13" t="s">
        <v>773</v>
      </c>
      <c r="C499" s="13"/>
      <c r="D499" s="2">
        <v>3.5</v>
      </c>
      <c r="E499" s="2" t="s">
        <v>345</v>
      </c>
      <c r="F499" s="9">
        <v>-1</v>
      </c>
      <c r="G499">
        <v>-1</v>
      </c>
      <c r="I499" s="2">
        <v>1</v>
      </c>
      <c r="J499" s="25">
        <v>0</v>
      </c>
      <c r="K499">
        <v>0</v>
      </c>
      <c r="L499">
        <v>0</v>
      </c>
      <c r="M499" s="2">
        <v>3.82</v>
      </c>
      <c r="N499" s="2">
        <v>3.82</v>
      </c>
      <c r="O499" s="2">
        <v>16</v>
      </c>
      <c r="P499" s="2"/>
      <c r="Q499" s="2"/>
      <c r="R499" s="25">
        <v>0</v>
      </c>
      <c r="S499" s="25"/>
      <c r="T499" s="25"/>
      <c r="U499">
        <v>0</v>
      </c>
      <c r="X499">
        <v>0</v>
      </c>
      <c r="AA499" s="2"/>
      <c r="AB499">
        <v>20</v>
      </c>
      <c r="AC499" s="55">
        <f t="shared" si="52"/>
        <v>233.47839999999999</v>
      </c>
      <c r="AD499" s="57">
        <v>0</v>
      </c>
      <c r="AE499" s="55">
        <v>0</v>
      </c>
      <c r="AF499" s="55">
        <v>0</v>
      </c>
      <c r="AG499" s="52">
        <f t="shared" si="53"/>
        <v>8.5661029028809524E-2</v>
      </c>
      <c r="AH499" s="51"/>
      <c r="AI499" s="52"/>
      <c r="AJ499" s="52"/>
      <c r="AK499" s="28">
        <v>1.75</v>
      </c>
      <c r="AL499" s="28">
        <v>2.5</v>
      </c>
      <c r="AM499" s="28">
        <v>0.75</v>
      </c>
      <c r="AN499" s="28">
        <v>0</v>
      </c>
      <c r="AO499" s="28">
        <v>0.35</v>
      </c>
      <c r="AP499" s="28">
        <v>0.5</v>
      </c>
      <c r="AQ499" s="28">
        <v>0.15</v>
      </c>
      <c r="AR499" s="28">
        <v>0</v>
      </c>
      <c r="AS499" s="25">
        <v>1</v>
      </c>
      <c r="AT499" s="25">
        <v>3.44</v>
      </c>
      <c r="AU499" s="25">
        <v>2.44</v>
      </c>
      <c r="AV499" s="25">
        <v>2.7124999999999999</v>
      </c>
      <c r="AW499">
        <v>2.7124999999999999</v>
      </c>
      <c r="AX499">
        <v>6.264025610615688</v>
      </c>
      <c r="AY499" s="75"/>
      <c r="AZ499" s="75"/>
      <c r="BA499" s="75"/>
      <c r="BB499">
        <v>4.2830514514404762E-2</v>
      </c>
      <c r="BF499">
        <v>8.5661029028809524E-2</v>
      </c>
      <c r="BG499">
        <v>4.2830514514404762E-2</v>
      </c>
      <c r="BH499">
        <v>0</v>
      </c>
    </row>
    <row r="500" spans="1:60" x14ac:dyDescent="0.3">
      <c r="A500" s="2" t="s">
        <v>4</v>
      </c>
      <c r="B500" s="13" t="s">
        <v>689</v>
      </c>
      <c r="C500" s="13"/>
      <c r="D500" s="2">
        <v>3.54</v>
      </c>
      <c r="E500" s="2" t="s">
        <v>352</v>
      </c>
      <c r="F500" s="9" t="s">
        <v>527</v>
      </c>
      <c r="G500" t="s">
        <v>609</v>
      </c>
      <c r="I500" s="2">
        <v>2</v>
      </c>
      <c r="J500" s="25">
        <v>4</v>
      </c>
      <c r="K500">
        <v>4</v>
      </c>
      <c r="L500">
        <v>0</v>
      </c>
      <c r="M500" s="2">
        <v>3.86</v>
      </c>
      <c r="N500" s="2">
        <v>3.86</v>
      </c>
      <c r="O500" s="2">
        <v>29.4</v>
      </c>
      <c r="P500" s="2"/>
      <c r="Q500" s="2"/>
      <c r="R500" s="25">
        <v>7.8084429999999996</v>
      </c>
      <c r="S500" s="25">
        <v>7.8548809999999998</v>
      </c>
      <c r="T500" s="25">
        <v>15.19056011</v>
      </c>
      <c r="U500">
        <v>3.8801999999999999</v>
      </c>
      <c r="V500">
        <v>29.507999999999999</v>
      </c>
      <c r="W500">
        <v>7.7140000000000004</v>
      </c>
      <c r="X500">
        <v>0</v>
      </c>
      <c r="AA500" s="2"/>
      <c r="AB500">
        <v>20</v>
      </c>
      <c r="AC500" s="55">
        <f t="shared" si="52"/>
        <v>438.04823999999996</v>
      </c>
      <c r="AD500" s="57">
        <v>924.74694800021894</v>
      </c>
      <c r="AE500" s="55">
        <v>883.22940750240002</v>
      </c>
      <c r="AF500" s="55">
        <v>0</v>
      </c>
      <c r="AG500" s="52">
        <f t="shared" si="53"/>
        <v>9.1314143848631832E-2</v>
      </c>
      <c r="AH500" s="51">
        <v>8.6510153045653584E-2</v>
      </c>
      <c r="AI500" s="52">
        <v>9.0576694254581439E-2</v>
      </c>
      <c r="AJ500" s="52"/>
      <c r="AK500" s="28">
        <v>1.75</v>
      </c>
      <c r="AL500" s="28">
        <v>2.5</v>
      </c>
      <c r="AM500" s="28">
        <v>0.75</v>
      </c>
      <c r="AN500" s="28">
        <v>0</v>
      </c>
      <c r="AO500" s="28">
        <v>0.35</v>
      </c>
      <c r="AP500" s="28">
        <v>0.5</v>
      </c>
      <c r="AQ500" s="28">
        <v>0.15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2.6262500000000002</v>
      </c>
      <c r="AW500">
        <v>2.6262500000000002</v>
      </c>
      <c r="AX500">
        <v>5.96680968125</v>
      </c>
      <c r="AY500" s="75">
        <v>0.50555206026575039</v>
      </c>
      <c r="AZ500" s="75">
        <v>0</v>
      </c>
      <c r="BA500" s="75"/>
      <c r="BB500">
        <v>4.5657071924315923E-2</v>
      </c>
      <c r="BC500">
        <v>4.3255076522826792E-2</v>
      </c>
      <c r="BD500">
        <v>4.5288347127290719E-2</v>
      </c>
      <c r="BF500">
        <v>8.9466997049622285E-2</v>
      </c>
      <c r="BG500">
        <v>4.4733498524811142E-2</v>
      </c>
      <c r="BH500">
        <v>0.2527760301328752</v>
      </c>
    </row>
    <row r="501" spans="1:60" x14ac:dyDescent="0.3">
      <c r="A501" s="2" t="s">
        <v>63</v>
      </c>
      <c r="B501" s="13" t="s">
        <v>773</v>
      </c>
      <c r="C501" s="13"/>
      <c r="D501" s="2">
        <v>3.5</v>
      </c>
      <c r="E501" s="2" t="s">
        <v>352</v>
      </c>
      <c r="F501" s="9">
        <v>-1</v>
      </c>
      <c r="G501">
        <v>-1</v>
      </c>
      <c r="I501" s="2">
        <v>1</v>
      </c>
      <c r="J501" s="25">
        <v>0</v>
      </c>
      <c r="K501">
        <v>0</v>
      </c>
      <c r="L501">
        <v>0</v>
      </c>
      <c r="M501" s="2">
        <v>3.82</v>
      </c>
      <c r="N501" s="2">
        <v>3.82</v>
      </c>
      <c r="O501" s="2">
        <v>16</v>
      </c>
      <c r="P501" s="2"/>
      <c r="Q501" s="2"/>
      <c r="R501" s="25">
        <v>0</v>
      </c>
      <c r="S501" s="25"/>
      <c r="T501" s="25"/>
      <c r="U501">
        <v>0</v>
      </c>
      <c r="X501">
        <v>0</v>
      </c>
      <c r="AA501" s="2"/>
      <c r="AB501">
        <v>20</v>
      </c>
      <c r="AC501" s="55">
        <f t="shared" si="52"/>
        <v>233.47839999999999</v>
      </c>
      <c r="AD501" s="57">
        <v>0</v>
      </c>
      <c r="AE501" s="55">
        <v>0</v>
      </c>
      <c r="AF501" s="55">
        <v>0</v>
      </c>
      <c r="AG501" s="52">
        <f t="shared" si="53"/>
        <v>8.5661029028809524E-2</v>
      </c>
      <c r="AH501" s="51"/>
      <c r="AI501" s="52"/>
      <c r="AJ501" s="52"/>
      <c r="AK501" s="28">
        <v>1.75</v>
      </c>
      <c r="AL501" s="28">
        <v>2.5</v>
      </c>
      <c r="AM501" s="28">
        <v>0.75</v>
      </c>
      <c r="AN501" s="28">
        <v>0</v>
      </c>
      <c r="AO501" s="28">
        <v>0.35</v>
      </c>
      <c r="AP501" s="28">
        <v>0.5</v>
      </c>
      <c r="AQ501" s="28">
        <v>0.15</v>
      </c>
      <c r="AR501" s="28">
        <v>0</v>
      </c>
      <c r="AS501" s="25">
        <v>1</v>
      </c>
      <c r="AT501" s="25">
        <v>3.44</v>
      </c>
      <c r="AU501" s="25">
        <v>2.44</v>
      </c>
      <c r="AV501" s="25">
        <v>2.7124999999999999</v>
      </c>
      <c r="AW501">
        <v>2.7124999999999999</v>
      </c>
      <c r="AX501">
        <v>6.264025610615688</v>
      </c>
      <c r="AY501" s="75"/>
      <c r="AZ501" s="75"/>
      <c r="BA501" s="75"/>
      <c r="BB501">
        <v>4.2830514514404762E-2</v>
      </c>
      <c r="BF501">
        <v>8.5661029028809524E-2</v>
      </c>
      <c r="BG501">
        <v>4.2830514514404762E-2</v>
      </c>
      <c r="BH501">
        <v>0</v>
      </c>
    </row>
    <row r="502" spans="1:60" x14ac:dyDescent="0.3">
      <c r="A502" s="2" t="s">
        <v>346</v>
      </c>
      <c r="B502" s="18" t="s">
        <v>1018</v>
      </c>
      <c r="C502" s="13"/>
      <c r="D502" s="2">
        <v>3.45</v>
      </c>
      <c r="E502" s="2" t="s">
        <v>352</v>
      </c>
      <c r="F502" s="9">
        <v>-1</v>
      </c>
      <c r="G502">
        <v>-1</v>
      </c>
      <c r="I502" s="2">
        <v>1</v>
      </c>
      <c r="J502" s="25">
        <v>0</v>
      </c>
      <c r="K502">
        <v>0</v>
      </c>
      <c r="L502">
        <v>0</v>
      </c>
      <c r="M502" s="2">
        <v>3.86</v>
      </c>
      <c r="N502" s="2">
        <v>3.86</v>
      </c>
      <c r="O502" s="2">
        <v>20.9</v>
      </c>
      <c r="P502" s="2"/>
      <c r="Q502" s="2"/>
      <c r="R502" s="25">
        <v>0</v>
      </c>
      <c r="S502" s="25"/>
      <c r="T502" s="25"/>
      <c r="U502">
        <v>0</v>
      </c>
      <c r="X502">
        <v>0</v>
      </c>
      <c r="AA502" s="2"/>
      <c r="AB502">
        <v>20</v>
      </c>
      <c r="AC502" s="55">
        <f t="shared" si="52"/>
        <v>311.40163999999999</v>
      </c>
      <c r="AD502" s="57">
        <v>0</v>
      </c>
      <c r="AE502" s="55">
        <v>0</v>
      </c>
      <c r="AF502" s="55">
        <v>0</v>
      </c>
      <c r="AG502" s="52">
        <f t="shared" si="53"/>
        <v>6.4225737539468322E-2</v>
      </c>
      <c r="AH502" s="51"/>
      <c r="AI502" s="52"/>
      <c r="AJ502" s="52"/>
      <c r="AK502" s="28">
        <v>1.6190476190476191</v>
      </c>
      <c r="AL502" s="28">
        <v>2</v>
      </c>
      <c r="AM502" s="28">
        <v>0.5714285714285714</v>
      </c>
      <c r="AN502" s="28">
        <v>0</v>
      </c>
      <c r="AO502" s="28">
        <v>0.38636363636363641</v>
      </c>
      <c r="AP502" s="28">
        <v>0.47727272727272718</v>
      </c>
      <c r="AQ502" s="28">
        <v>0.13636363636363641</v>
      </c>
      <c r="AR502" s="28">
        <v>0</v>
      </c>
      <c r="AS502" s="25">
        <v>1</v>
      </c>
      <c r="AT502" s="25">
        <v>3.44</v>
      </c>
      <c r="AU502" s="25">
        <v>2.44</v>
      </c>
      <c r="AV502" s="25">
        <v>2.6071428571428572</v>
      </c>
      <c r="AW502">
        <v>2.6071428571428572</v>
      </c>
      <c r="AX502">
        <v>6.4376988464407141</v>
      </c>
      <c r="AY502" s="75"/>
      <c r="AZ502" s="75"/>
      <c r="BA502" s="75"/>
      <c r="BB502">
        <v>3.2112868769734161E-2</v>
      </c>
      <c r="BF502">
        <v>6.4225737539468322E-2</v>
      </c>
      <c r="BG502">
        <v>3.2112868769734161E-2</v>
      </c>
      <c r="BH502">
        <v>0</v>
      </c>
    </row>
    <row r="503" spans="1:60" x14ac:dyDescent="0.3">
      <c r="A503" s="2" t="s">
        <v>347</v>
      </c>
      <c r="B503" s="18" t="s">
        <v>1019</v>
      </c>
      <c r="C503" s="13"/>
      <c r="D503" s="2">
        <v>3.5</v>
      </c>
      <c r="E503" s="2" t="s">
        <v>352</v>
      </c>
      <c r="F503" s="9">
        <v>-1</v>
      </c>
      <c r="G503">
        <v>-1</v>
      </c>
      <c r="I503" s="2">
        <v>1</v>
      </c>
      <c r="J503" s="25">
        <v>0</v>
      </c>
      <c r="K503">
        <v>0</v>
      </c>
      <c r="L503">
        <v>0</v>
      </c>
      <c r="M503" s="2">
        <v>3.86</v>
      </c>
      <c r="N503" s="2">
        <v>3.86</v>
      </c>
      <c r="O503" s="2">
        <v>17.899999999999999</v>
      </c>
      <c r="P503" s="2"/>
      <c r="Q503" s="2"/>
      <c r="R503" s="25">
        <v>0</v>
      </c>
      <c r="S503" s="25"/>
      <c r="T503" s="25"/>
      <c r="U503">
        <v>0</v>
      </c>
      <c r="X503">
        <v>0</v>
      </c>
      <c r="AA503" s="2"/>
      <c r="AB503">
        <v>20</v>
      </c>
      <c r="AC503" s="55">
        <f t="shared" si="52"/>
        <v>266.70283999999998</v>
      </c>
      <c r="AD503" s="57">
        <v>0</v>
      </c>
      <c r="AE503" s="55">
        <v>0</v>
      </c>
      <c r="AF503" s="55">
        <v>0</v>
      </c>
      <c r="AG503" s="52">
        <f t="shared" si="53"/>
        <v>7.4989827629882017E-2</v>
      </c>
      <c r="AH503" s="51"/>
      <c r="AI503" s="52"/>
      <c r="AJ503" s="52"/>
      <c r="AK503" s="28">
        <v>1.583333333333333</v>
      </c>
      <c r="AL503" s="28">
        <v>1.833333333333333</v>
      </c>
      <c r="AM503" s="28">
        <v>0.5</v>
      </c>
      <c r="AN503" s="28">
        <v>0</v>
      </c>
      <c r="AO503" s="28">
        <v>0.40425531914893609</v>
      </c>
      <c r="AP503" s="28">
        <v>0.46808510638297868</v>
      </c>
      <c r="AQ503" s="28">
        <v>0.1276595744680851</v>
      </c>
      <c r="AR503" s="28">
        <v>0</v>
      </c>
      <c r="AS503" s="25">
        <v>1</v>
      </c>
      <c r="AT503" s="25">
        <v>3.44</v>
      </c>
      <c r="AU503" s="25">
        <v>2.44</v>
      </c>
      <c r="AV503" s="25">
        <v>2.5708333333333329</v>
      </c>
      <c r="AW503">
        <v>2.5708333333333329</v>
      </c>
      <c r="AX503">
        <v>6.4919128825398751</v>
      </c>
      <c r="AY503" s="75"/>
      <c r="AZ503" s="75"/>
      <c r="BA503" s="75"/>
      <c r="BB503">
        <v>3.7494913814941008E-2</v>
      </c>
      <c r="BF503">
        <v>7.4989827629882017E-2</v>
      </c>
      <c r="BG503">
        <v>3.7494913814941008E-2</v>
      </c>
      <c r="BH503">
        <v>0</v>
      </c>
    </row>
    <row r="504" spans="1:60" x14ac:dyDescent="0.3">
      <c r="A504" s="2" t="s">
        <v>348</v>
      </c>
      <c r="B504" s="18" t="s">
        <v>1020</v>
      </c>
      <c r="C504" s="13"/>
      <c r="D504" s="2">
        <v>3.53</v>
      </c>
      <c r="E504" s="2" t="s">
        <v>352</v>
      </c>
      <c r="F504" s="9">
        <v>-1</v>
      </c>
      <c r="G504">
        <v>-1</v>
      </c>
      <c r="I504" s="2">
        <v>1</v>
      </c>
      <c r="J504" s="25">
        <v>0</v>
      </c>
      <c r="K504">
        <v>0</v>
      </c>
      <c r="L504">
        <v>0</v>
      </c>
      <c r="M504" s="2">
        <v>3.86</v>
      </c>
      <c r="N504" s="2">
        <v>3.86</v>
      </c>
      <c r="O504" s="2">
        <v>19.899999999999999</v>
      </c>
      <c r="P504" s="2"/>
      <c r="Q504" s="2"/>
      <c r="R504" s="25">
        <v>0</v>
      </c>
      <c r="S504" s="25"/>
      <c r="T504" s="25"/>
      <c r="U504">
        <v>0</v>
      </c>
      <c r="X504">
        <v>0</v>
      </c>
      <c r="AA504" s="2"/>
      <c r="AB504">
        <v>20</v>
      </c>
      <c r="AC504" s="55">
        <f t="shared" si="52"/>
        <v>296.50203999999997</v>
      </c>
      <c r="AD504" s="57">
        <v>0</v>
      </c>
      <c r="AE504" s="55">
        <v>0</v>
      </c>
      <c r="AF504" s="55">
        <v>0</v>
      </c>
      <c r="AG504" s="52">
        <f t="shared" si="53"/>
        <v>6.745316153642654E-2</v>
      </c>
      <c r="AH504" s="51"/>
      <c r="AI504" s="52"/>
      <c r="AJ504" s="52"/>
      <c r="AK504" s="28">
        <v>1.555555555555556</v>
      </c>
      <c r="AL504" s="28">
        <v>1.7037037037037039</v>
      </c>
      <c r="AM504" s="28">
        <v>0.44444444444444442</v>
      </c>
      <c r="AN504" s="28">
        <v>0</v>
      </c>
      <c r="AO504" s="28">
        <v>0.42</v>
      </c>
      <c r="AP504" s="28">
        <v>0.46</v>
      </c>
      <c r="AQ504" s="28">
        <v>0.12</v>
      </c>
      <c r="AR504" s="28">
        <v>0</v>
      </c>
      <c r="AS504" s="25">
        <v>1</v>
      </c>
      <c r="AT504" s="25">
        <v>3.44</v>
      </c>
      <c r="AU504" s="25">
        <v>2.44</v>
      </c>
      <c r="AV504" s="25">
        <v>2.5425925925925932</v>
      </c>
      <c r="AW504">
        <v>2.5425925925925932</v>
      </c>
      <c r="AX504">
        <v>6.5340793550614444</v>
      </c>
      <c r="AY504" s="75"/>
      <c r="AZ504" s="75"/>
      <c r="BA504" s="75"/>
      <c r="BB504">
        <v>3.372658076821327E-2</v>
      </c>
      <c r="BF504">
        <v>6.745316153642654E-2</v>
      </c>
      <c r="BG504">
        <v>3.372658076821327E-2</v>
      </c>
      <c r="BH504">
        <v>0</v>
      </c>
    </row>
    <row r="505" spans="1:60" x14ac:dyDescent="0.3">
      <c r="A505" s="2" t="s">
        <v>349</v>
      </c>
      <c r="B505" s="18" t="s">
        <v>1021</v>
      </c>
      <c r="C505" s="13"/>
      <c r="D505" s="2">
        <v>3.5</v>
      </c>
      <c r="E505" s="2" t="s">
        <v>352</v>
      </c>
      <c r="F505" s="9">
        <v>-1</v>
      </c>
      <c r="G505">
        <v>-1</v>
      </c>
      <c r="I505" s="2">
        <v>1</v>
      </c>
      <c r="J505" s="25">
        <v>0</v>
      </c>
      <c r="K505">
        <v>0</v>
      </c>
      <c r="L505">
        <v>0</v>
      </c>
      <c r="M505" s="2">
        <v>3.87</v>
      </c>
      <c r="N505" s="2">
        <v>3.87</v>
      </c>
      <c r="O505" s="2">
        <v>22.1</v>
      </c>
      <c r="P505" s="2"/>
      <c r="Q505" s="2"/>
      <c r="R505" s="25">
        <v>0</v>
      </c>
      <c r="S505" s="25"/>
      <c r="T505" s="25"/>
      <c r="U505">
        <v>0</v>
      </c>
      <c r="X505">
        <v>0</v>
      </c>
      <c r="AA505" s="2"/>
      <c r="AB505">
        <v>20</v>
      </c>
      <c r="AC505" s="55">
        <f t="shared" si="52"/>
        <v>330.98949000000005</v>
      </c>
      <c r="AD505" s="57">
        <v>0</v>
      </c>
      <c r="AE505" s="55">
        <v>0</v>
      </c>
      <c r="AF505" s="55">
        <v>0</v>
      </c>
      <c r="AG505" s="52">
        <f t="shared" si="53"/>
        <v>6.0424879351909322E-2</v>
      </c>
      <c r="AH505" s="51"/>
      <c r="AI505" s="52"/>
      <c r="AJ505" s="52"/>
      <c r="AK505" s="28">
        <v>1.533333333333333</v>
      </c>
      <c r="AL505" s="28">
        <v>1.6</v>
      </c>
      <c r="AM505" s="28">
        <v>0.4</v>
      </c>
      <c r="AN505" s="28">
        <v>0</v>
      </c>
      <c r="AO505" s="28">
        <v>0.43396226415094352</v>
      </c>
      <c r="AP505" s="28">
        <v>0.45283018867924529</v>
      </c>
      <c r="AQ505" s="28">
        <v>0.1132075471698113</v>
      </c>
      <c r="AR505" s="28">
        <v>0</v>
      </c>
      <c r="AS505" s="25">
        <v>1</v>
      </c>
      <c r="AT505" s="25">
        <v>3.44</v>
      </c>
      <c r="AU505" s="25">
        <v>2.44</v>
      </c>
      <c r="AV505" s="25">
        <v>2.52</v>
      </c>
      <c r="AW505">
        <v>2.52</v>
      </c>
      <c r="AX505">
        <v>6.5678125330786994</v>
      </c>
      <c r="AY505" s="75"/>
      <c r="AZ505" s="75"/>
      <c r="BA505" s="75"/>
      <c r="BB505">
        <v>3.0212439675954661E-2</v>
      </c>
      <c r="BF505">
        <v>6.0424879351909322E-2</v>
      </c>
      <c r="BG505">
        <v>3.0212439675954661E-2</v>
      </c>
      <c r="BH505">
        <v>0</v>
      </c>
    </row>
    <row r="506" spans="1:60" x14ac:dyDescent="0.3">
      <c r="A506" s="2" t="s">
        <v>350</v>
      </c>
      <c r="B506" s="18" t="s">
        <v>1022</v>
      </c>
      <c r="C506" s="13"/>
      <c r="D506" s="2">
        <v>3.47</v>
      </c>
      <c r="E506" s="2" t="s">
        <v>352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3.87</v>
      </c>
      <c r="N506" s="2">
        <v>3.87</v>
      </c>
      <c r="O506" s="2">
        <v>26.4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52"/>
        <v>395.39015999999998</v>
      </c>
      <c r="AD506" s="57">
        <v>0</v>
      </c>
      <c r="AE506" s="55">
        <v>0</v>
      </c>
      <c r="AF506" s="55">
        <v>0</v>
      </c>
      <c r="AG506" s="52">
        <f t="shared" si="53"/>
        <v>5.0582948245348341E-2</v>
      </c>
      <c r="AH506" s="51"/>
      <c r="AI506" s="52"/>
      <c r="AJ506" s="52"/>
      <c r="AK506" s="28">
        <v>1.5</v>
      </c>
      <c r="AL506" s="28">
        <v>1.444444444444444</v>
      </c>
      <c r="AM506" s="28">
        <v>0.33333333333333331</v>
      </c>
      <c r="AN506" s="28">
        <v>0</v>
      </c>
      <c r="AO506" s="28">
        <v>0.4576271186440678</v>
      </c>
      <c r="AP506" s="28">
        <v>0.44067796610169491</v>
      </c>
      <c r="AQ506" s="28">
        <v>0.10169491525423729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2.4861111111111112</v>
      </c>
      <c r="AW506">
        <v>2.4861111111111112</v>
      </c>
      <c r="AX506">
        <v>6.6184123001045831</v>
      </c>
      <c r="AY506" s="75"/>
      <c r="AZ506" s="75"/>
      <c r="BA506" s="75"/>
      <c r="BB506">
        <v>2.5291474122674171E-2</v>
      </c>
      <c r="BF506">
        <v>5.0582948245348341E-2</v>
      </c>
      <c r="BG506">
        <v>2.5291474122674171E-2</v>
      </c>
      <c r="BH506">
        <v>0</v>
      </c>
    </row>
    <row r="507" spans="1:60" x14ac:dyDescent="0.3">
      <c r="A507" s="2" t="s">
        <v>351</v>
      </c>
      <c r="B507" s="18" t="s">
        <v>1023</v>
      </c>
      <c r="C507" s="13"/>
      <c r="D507" s="2">
        <v>3.51</v>
      </c>
      <c r="E507" s="2" t="s">
        <v>352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2">
        <v>3.87</v>
      </c>
      <c r="N507" s="2">
        <v>3.87</v>
      </c>
      <c r="O507" s="2">
        <v>34.799999999999997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52"/>
        <v>521.19611999999995</v>
      </c>
      <c r="AD507" s="57">
        <v>0</v>
      </c>
      <c r="AE507" s="55">
        <v>0</v>
      </c>
      <c r="AF507" s="55">
        <v>0</v>
      </c>
      <c r="AG507" s="52">
        <f t="shared" si="53"/>
        <v>3.8373271082678052E-2</v>
      </c>
      <c r="AH507" s="51"/>
      <c r="AI507" s="52"/>
      <c r="AJ507" s="52"/>
      <c r="AK507" s="28">
        <v>1.4761904761904761</v>
      </c>
      <c r="AL507" s="28">
        <v>1.333333333333333</v>
      </c>
      <c r="AM507" s="28">
        <v>0.2857142857142857</v>
      </c>
      <c r="AN507" s="28">
        <v>0</v>
      </c>
      <c r="AO507" s="28">
        <v>0.47692307692307689</v>
      </c>
      <c r="AP507" s="28">
        <v>0.43076923076923068</v>
      </c>
      <c r="AQ507" s="28">
        <v>9.2307692307692299E-2</v>
      </c>
      <c r="AR507" s="28">
        <v>0</v>
      </c>
      <c r="AS507" s="25">
        <v>1</v>
      </c>
      <c r="AT507" s="25">
        <v>3.44</v>
      </c>
      <c r="AU507" s="25">
        <v>2.44</v>
      </c>
      <c r="AV507" s="25">
        <v>2.461904761904762</v>
      </c>
      <c r="AW507">
        <v>2.461904761904762</v>
      </c>
      <c r="AX507">
        <v>6.6545549908373571</v>
      </c>
      <c r="AY507" s="75"/>
      <c r="AZ507" s="75"/>
      <c r="BA507" s="75"/>
      <c r="BB507">
        <v>1.918663554133903E-2</v>
      </c>
      <c r="BF507">
        <v>3.8373271082678052E-2</v>
      </c>
      <c r="BG507">
        <v>1.918663554133903E-2</v>
      </c>
      <c r="BH507">
        <v>0</v>
      </c>
    </row>
    <row r="508" spans="1:60" x14ac:dyDescent="0.3">
      <c r="A508" s="2" t="s">
        <v>180</v>
      </c>
      <c r="B508" s="13" t="s">
        <v>796</v>
      </c>
      <c r="C508" s="13"/>
      <c r="D508" s="2">
        <v>3.6</v>
      </c>
      <c r="E508" s="2" t="s">
        <v>354</v>
      </c>
      <c r="F508" s="9">
        <v>-1</v>
      </c>
      <c r="G508">
        <v>-1</v>
      </c>
      <c r="I508" s="2">
        <v>2</v>
      </c>
      <c r="J508" s="25">
        <v>0</v>
      </c>
      <c r="K508">
        <v>0</v>
      </c>
      <c r="L508">
        <v>0</v>
      </c>
      <c r="M508" s="2">
        <v>3.895</v>
      </c>
      <c r="N508" s="2">
        <v>3.895</v>
      </c>
      <c r="O508" s="2">
        <v>30.46</v>
      </c>
      <c r="P508" s="2" t="s">
        <v>440</v>
      </c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52"/>
        <v>462.1094215</v>
      </c>
      <c r="AD508" s="57">
        <v>0</v>
      </c>
      <c r="AE508" s="55">
        <v>0</v>
      </c>
      <c r="AF508" s="55">
        <v>0</v>
      </c>
      <c r="AG508" s="52">
        <f t="shared" si="53"/>
        <v>8.655958554179792E-2</v>
      </c>
      <c r="AH508" s="51"/>
      <c r="AI508" s="52"/>
      <c r="AJ508" s="52"/>
      <c r="AK508" s="28">
        <v>1.882352941176471</v>
      </c>
      <c r="AL508" s="28">
        <v>2.3529411764705879</v>
      </c>
      <c r="AM508" s="28">
        <v>0.47058823529411759</v>
      </c>
      <c r="AN508" s="28">
        <v>0</v>
      </c>
      <c r="AO508" s="28">
        <v>0.4</v>
      </c>
      <c r="AP508" s="28">
        <v>0.5</v>
      </c>
      <c r="AQ508" s="28">
        <v>9.9999999999999992E-2</v>
      </c>
      <c r="AR508" s="28">
        <v>0</v>
      </c>
      <c r="AS508" s="25">
        <v>0.82</v>
      </c>
      <c r="AT508" s="25">
        <v>3.44</v>
      </c>
      <c r="AU508" s="25">
        <v>2.62</v>
      </c>
      <c r="AV508" s="25">
        <v>2.5211764705882351</v>
      </c>
      <c r="AW508">
        <v>2.521176470588236</v>
      </c>
      <c r="AX508">
        <v>5.6793405594117647</v>
      </c>
      <c r="AY508" s="75"/>
      <c r="AZ508" s="75"/>
      <c r="BA508" s="75"/>
      <c r="BB508">
        <v>4.327979277089896E-2</v>
      </c>
      <c r="BF508">
        <v>8.655958554179792E-2</v>
      </c>
      <c r="BG508">
        <v>4.327979277089896E-2</v>
      </c>
      <c r="BH508">
        <v>0</v>
      </c>
    </row>
    <row r="509" spans="1:60" x14ac:dyDescent="0.3">
      <c r="A509" s="2" t="s">
        <v>952</v>
      </c>
      <c r="B509" s="17" t="s">
        <v>954</v>
      </c>
      <c r="C509" s="13"/>
      <c r="D509" s="2">
        <v>3.65</v>
      </c>
      <c r="E509" s="2" t="s">
        <v>354</v>
      </c>
      <c r="F509" s="9">
        <v>-1</v>
      </c>
      <c r="G509">
        <v>-1</v>
      </c>
      <c r="I509" s="2">
        <v>2</v>
      </c>
      <c r="J509" s="25">
        <v>0</v>
      </c>
      <c r="K509">
        <v>0</v>
      </c>
      <c r="L509">
        <v>0</v>
      </c>
      <c r="M509" s="2">
        <v>3.84</v>
      </c>
      <c r="N509" s="2">
        <v>3.84</v>
      </c>
      <c r="O509" s="2">
        <v>32.520000000000003</v>
      </c>
      <c r="P509" s="2" t="s">
        <v>1131</v>
      </c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52"/>
        <v>479.52691200000004</v>
      </c>
      <c r="AD509" s="57">
        <v>0</v>
      </c>
      <c r="AE509" s="55">
        <v>0</v>
      </c>
      <c r="AF509" s="55">
        <v>0</v>
      </c>
      <c r="AG509" s="52">
        <f t="shared" si="53"/>
        <v>8.3415547697143627E-2</v>
      </c>
      <c r="AH509" s="51"/>
      <c r="AI509" s="52"/>
      <c r="AJ509" s="52"/>
      <c r="AK509" s="28">
        <v>1.882352941176471</v>
      </c>
      <c r="AL509" s="28">
        <v>2.3529411764705879</v>
      </c>
      <c r="AM509" s="28">
        <v>0.47058823529411759</v>
      </c>
      <c r="AN509" s="28">
        <v>0</v>
      </c>
      <c r="AO509" s="28">
        <v>0.4</v>
      </c>
      <c r="AP509" s="28">
        <v>0.5</v>
      </c>
      <c r="AQ509" s="28">
        <v>9.9999999999999992E-2</v>
      </c>
      <c r="AR509" s="28">
        <v>0</v>
      </c>
      <c r="AS509" s="25">
        <v>0.82</v>
      </c>
      <c r="AT509" s="25">
        <v>3.44</v>
      </c>
      <c r="AU509" s="25">
        <v>2.62</v>
      </c>
      <c r="AV509" s="25">
        <v>2.6023529411764699</v>
      </c>
      <c r="AW509">
        <v>2.6023529411764712</v>
      </c>
      <c r="AX509">
        <v>5.9643402149912346</v>
      </c>
      <c r="AY509" s="75"/>
      <c r="AZ509" s="75"/>
      <c r="BA509" s="75"/>
      <c r="BB509">
        <v>4.1707773848571807E-2</v>
      </c>
      <c r="BF509">
        <v>8.3415547697143627E-2</v>
      </c>
      <c r="BG509">
        <v>4.1707773848571807E-2</v>
      </c>
      <c r="BH509">
        <v>0</v>
      </c>
    </row>
    <row r="510" spans="1:60" x14ac:dyDescent="0.3">
      <c r="A510" s="2" t="s">
        <v>953</v>
      </c>
      <c r="B510" s="17" t="s">
        <v>955</v>
      </c>
      <c r="C510" s="13"/>
      <c r="D510" s="2">
        <v>3.58</v>
      </c>
      <c r="E510" s="2" t="s">
        <v>354</v>
      </c>
      <c r="F510" s="9">
        <v>-1</v>
      </c>
      <c r="G510">
        <v>-1</v>
      </c>
      <c r="I510" s="2">
        <v>1</v>
      </c>
      <c r="J510" s="25">
        <v>0</v>
      </c>
      <c r="K510">
        <v>0</v>
      </c>
      <c r="L510">
        <v>0</v>
      </c>
      <c r="M510" s="2">
        <v>3.82</v>
      </c>
      <c r="N510" s="2">
        <v>3.82</v>
      </c>
      <c r="O510" s="2">
        <v>14.9</v>
      </c>
      <c r="P510" s="2" t="s">
        <v>439</v>
      </c>
      <c r="Q510" s="2"/>
      <c r="R510" s="25">
        <v>0</v>
      </c>
      <c r="S510" s="25"/>
      <c r="T510" s="25"/>
      <c r="U510">
        <v>0</v>
      </c>
      <c r="X510">
        <v>0</v>
      </c>
      <c r="AA510" s="2"/>
      <c r="AB510">
        <v>20</v>
      </c>
      <c r="AC510" s="55">
        <f t="shared" si="52"/>
        <v>217.42676</v>
      </c>
      <c r="AD510" s="57">
        <v>0</v>
      </c>
      <c r="AE510" s="55">
        <v>0</v>
      </c>
      <c r="AF510" s="55">
        <v>0</v>
      </c>
      <c r="AG510" s="52">
        <f t="shared" si="53"/>
        <v>9.1984997614829006E-2</v>
      </c>
      <c r="AH510" s="51"/>
      <c r="AI510" s="52"/>
      <c r="AJ510" s="52"/>
      <c r="AK510" s="28">
        <v>1.882352941176471</v>
      </c>
      <c r="AL510" s="28">
        <v>2.3529411764705879</v>
      </c>
      <c r="AM510" s="28">
        <v>0.47058823529411759</v>
      </c>
      <c r="AN510" s="28">
        <v>0</v>
      </c>
      <c r="AO510" s="28">
        <v>0.4</v>
      </c>
      <c r="AP510" s="28">
        <v>0.5</v>
      </c>
      <c r="AQ510" s="28">
        <v>9.9999999999999992E-2</v>
      </c>
      <c r="AR510" s="28">
        <v>0</v>
      </c>
      <c r="AS510" s="25">
        <v>0.82</v>
      </c>
      <c r="AT510" s="25">
        <v>3.44</v>
      </c>
      <c r="AU510" s="25">
        <v>2.62</v>
      </c>
      <c r="AV510" s="25">
        <v>2.6429411764705879</v>
      </c>
      <c r="AW510">
        <v>2.6429411764705879</v>
      </c>
      <c r="AX510">
        <v>6.1068400427809717</v>
      </c>
      <c r="AY510" s="75"/>
      <c r="AZ510" s="75"/>
      <c r="BA510" s="75"/>
      <c r="BB510">
        <v>4.5992498807414503E-2</v>
      </c>
      <c r="BF510">
        <v>9.1984997614829006E-2</v>
      </c>
      <c r="BG510">
        <v>4.5992498807414503E-2</v>
      </c>
      <c r="BH510">
        <v>0</v>
      </c>
    </row>
    <row r="511" spans="1:60" x14ac:dyDescent="0.3">
      <c r="A511" s="2" t="s">
        <v>353</v>
      </c>
      <c r="B511" s="13" t="s">
        <v>834</v>
      </c>
      <c r="C511" s="13"/>
      <c r="D511" s="2">
        <v>3.55</v>
      </c>
      <c r="E511" s="2" t="s">
        <v>354</v>
      </c>
      <c r="F511" s="9">
        <v>-1</v>
      </c>
      <c r="G511">
        <v>-1</v>
      </c>
      <c r="I511" s="2">
        <v>2</v>
      </c>
      <c r="J511" s="25">
        <v>0</v>
      </c>
      <c r="K511">
        <v>0</v>
      </c>
      <c r="L511">
        <v>0</v>
      </c>
      <c r="M511" s="2">
        <v>3.8050000000000002</v>
      </c>
      <c r="N511" s="2">
        <v>3.8050000000000002</v>
      </c>
      <c r="O511" s="2">
        <v>27.44</v>
      </c>
      <c r="P511" s="2" t="s">
        <v>1131</v>
      </c>
      <c r="Q511" s="2"/>
      <c r="R511" s="25">
        <v>0</v>
      </c>
      <c r="S511" s="25"/>
      <c r="T511" s="25"/>
      <c r="U511">
        <v>0</v>
      </c>
      <c r="X511">
        <v>0</v>
      </c>
      <c r="AA511" s="2"/>
      <c r="AB511">
        <v>20</v>
      </c>
      <c r="AC511" s="55">
        <f t="shared" si="52"/>
        <v>397.27700600000003</v>
      </c>
      <c r="AD511" s="57">
        <v>0</v>
      </c>
      <c r="AE511" s="55">
        <v>0</v>
      </c>
      <c r="AF511" s="55">
        <v>0</v>
      </c>
      <c r="AG511" s="52">
        <f t="shared" si="53"/>
        <v>0.10068541444857747</v>
      </c>
      <c r="AH511" s="51"/>
      <c r="AI511" s="52"/>
      <c r="AJ511" s="52"/>
      <c r="AK511" s="28">
        <v>1.882352941176471</v>
      </c>
      <c r="AL511" s="28">
        <v>2.3529411764705879</v>
      </c>
      <c r="AM511" s="28">
        <v>0.47058823529411759</v>
      </c>
      <c r="AN511" s="28">
        <v>0</v>
      </c>
      <c r="AO511" s="28">
        <v>0.4</v>
      </c>
      <c r="AP511" s="28">
        <v>0.5</v>
      </c>
      <c r="AQ511" s="28">
        <v>9.9999999999999992E-2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2.6835294117647059</v>
      </c>
      <c r="AW511">
        <v>2.6835294117647059</v>
      </c>
      <c r="AX511">
        <v>6.2493398705707062</v>
      </c>
      <c r="AY511" s="75"/>
      <c r="AZ511" s="75"/>
      <c r="BA511" s="75"/>
      <c r="BB511">
        <v>5.0342707224288727E-2</v>
      </c>
      <c r="BF511">
        <v>0.1006854144485775</v>
      </c>
      <c r="BG511">
        <v>5.0342707224288727E-2</v>
      </c>
      <c r="BH511">
        <v>0</v>
      </c>
    </row>
    <row r="512" spans="1:60" x14ac:dyDescent="0.3">
      <c r="A512" s="2" t="s">
        <v>142</v>
      </c>
      <c r="B512" s="34" t="s">
        <v>766</v>
      </c>
      <c r="C512" s="34"/>
      <c r="D512" s="2">
        <v>4.3600000000000003</v>
      </c>
      <c r="E512" s="2" t="s">
        <v>357</v>
      </c>
      <c r="F512" s="35">
        <v>-1</v>
      </c>
      <c r="G512" s="2">
        <v>-1</v>
      </c>
      <c r="H512" s="2" t="s">
        <v>1164</v>
      </c>
      <c r="I512" s="2">
        <v>1</v>
      </c>
      <c r="J512" s="29">
        <v>0</v>
      </c>
      <c r="K512">
        <v>0</v>
      </c>
      <c r="L512">
        <v>1</v>
      </c>
      <c r="M512" s="2">
        <v>3.89</v>
      </c>
      <c r="N512" s="2">
        <v>3.89</v>
      </c>
      <c r="O512" s="2">
        <v>10.48</v>
      </c>
      <c r="P512" s="2" t="s">
        <v>440</v>
      </c>
      <c r="Q512" s="2"/>
      <c r="R512" s="29">
        <v>0</v>
      </c>
      <c r="S512" s="2"/>
      <c r="T512" s="2"/>
      <c r="U512">
        <v>0</v>
      </c>
      <c r="X512">
        <v>3.88</v>
      </c>
      <c r="Y512">
        <v>3.88</v>
      </c>
      <c r="Z512">
        <v>10.66</v>
      </c>
      <c r="AA512" s="2"/>
      <c r="AB512" s="2">
        <v>14</v>
      </c>
      <c r="AC512" s="55">
        <f t="shared" si="52"/>
        <v>158.58440800000002</v>
      </c>
      <c r="AD512" s="57">
        <v>0</v>
      </c>
      <c r="AE512" s="55">
        <v>0</v>
      </c>
      <c r="AF512" s="55">
        <v>160.479904</v>
      </c>
      <c r="AG512" s="52">
        <f t="shared" si="53"/>
        <v>8.8281062284509063E-2</v>
      </c>
      <c r="AH512" s="52"/>
      <c r="AI512" s="52"/>
      <c r="AJ512" s="67">
        <f t="shared" ref="AJ512:AJ517" si="54">L512*AB512/AF512</f>
        <v>8.7238337331009372E-2</v>
      </c>
      <c r="AK512" s="2">
        <v>1.9090909090909089</v>
      </c>
      <c r="AL512" s="2">
        <v>2.545454545454545</v>
      </c>
      <c r="AM512" s="2">
        <v>0.54545454545454541</v>
      </c>
      <c r="AN512" s="2">
        <v>2.9090909090909092</v>
      </c>
      <c r="AO512" s="2">
        <v>0.2413793103448276</v>
      </c>
      <c r="AP512" s="2">
        <v>0.32183908045977011</v>
      </c>
      <c r="AQ512" s="2">
        <v>6.8965517241379309E-2</v>
      </c>
      <c r="AR512" s="2">
        <v>0.36781609195402298</v>
      </c>
      <c r="AS512" s="29">
        <v>1.1399999999999999</v>
      </c>
      <c r="AT512" s="29">
        <v>3.44</v>
      </c>
      <c r="AU512" s="29">
        <v>2.2999999999999998</v>
      </c>
      <c r="AV512" s="29">
        <v>2.7654545454545452</v>
      </c>
      <c r="AW512" s="2">
        <v>2.7654545454545461</v>
      </c>
      <c r="AX512" s="2">
        <v>6.4215922727137267</v>
      </c>
      <c r="AY512" s="75"/>
      <c r="AZ512" s="75"/>
      <c r="BA512" s="75">
        <v>0</v>
      </c>
      <c r="BB512">
        <v>4.4140531142254531E-2</v>
      </c>
      <c r="BE512">
        <v>4.3619168665504693E-2</v>
      </c>
      <c r="BF512">
        <v>8.7759699807759217E-2</v>
      </c>
      <c r="BG512">
        <v>4.3879849903879609E-2</v>
      </c>
      <c r="BH512">
        <v>0</v>
      </c>
    </row>
    <row r="513" spans="1:60" x14ac:dyDescent="0.3">
      <c r="A513" s="2" t="s">
        <v>355</v>
      </c>
      <c r="B513" s="13" t="s">
        <v>835</v>
      </c>
      <c r="C513" s="13"/>
      <c r="D513" s="2">
        <v>4.49</v>
      </c>
      <c r="E513" s="2" t="s">
        <v>357</v>
      </c>
      <c r="F513" s="9">
        <v>-1</v>
      </c>
      <c r="G513">
        <v>-1</v>
      </c>
      <c r="H513" t="s">
        <v>1180</v>
      </c>
      <c r="I513" s="2"/>
      <c r="J513" s="25">
        <v>0</v>
      </c>
      <c r="K513">
        <v>0</v>
      </c>
      <c r="L513">
        <v>4</v>
      </c>
      <c r="M513" s="2">
        <v>-1</v>
      </c>
      <c r="N513" s="2"/>
      <c r="O513" s="2"/>
      <c r="P513" s="2"/>
      <c r="Q513" s="2"/>
      <c r="R513" s="25">
        <v>0</v>
      </c>
      <c r="U513">
        <v>0</v>
      </c>
      <c r="X513">
        <v>5.4092000000000002</v>
      </c>
      <c r="Y513">
        <v>20.501100000000001</v>
      </c>
      <c r="Z513">
        <v>5.4427000000000003</v>
      </c>
      <c r="AA513" s="2"/>
      <c r="AB513">
        <v>14</v>
      </c>
      <c r="AC513" s="55">
        <f t="shared" si="52"/>
        <v>0</v>
      </c>
      <c r="AD513" s="57">
        <v>0</v>
      </c>
      <c r="AE513" s="55">
        <v>0</v>
      </c>
      <c r="AF513" s="55">
        <v>603.57000000000005</v>
      </c>
      <c r="AG513" s="52"/>
      <c r="AH513" s="52"/>
      <c r="AI513" s="52"/>
      <c r="AJ513" s="67">
        <f t="shared" si="54"/>
        <v>9.2781284689431212E-2</v>
      </c>
      <c r="AK513" s="28">
        <v>1.9090909090909089</v>
      </c>
      <c r="AL513" s="28">
        <v>2.545454545454545</v>
      </c>
      <c r="AM513" s="28">
        <v>0.54545454545454541</v>
      </c>
      <c r="AN513" s="28">
        <v>2.9090909090909092</v>
      </c>
      <c r="AO513" s="28">
        <v>0.2413793103448276</v>
      </c>
      <c r="AP513" s="28">
        <v>0.32183908045977011</v>
      </c>
      <c r="AQ513" s="28">
        <v>6.8965517241379309E-2</v>
      </c>
      <c r="AR513" s="28">
        <v>0.36781609195402298</v>
      </c>
      <c r="AS513" s="25">
        <v>0.98</v>
      </c>
      <c r="AT513" s="25">
        <v>3.44</v>
      </c>
      <c r="AU513" s="25">
        <v>2.46</v>
      </c>
      <c r="AV513" s="25">
        <v>2.6545454545454539</v>
      </c>
      <c r="AW513">
        <v>2.6545454545454539</v>
      </c>
      <c r="AX513">
        <v>6.0423528007272722</v>
      </c>
      <c r="AY513" s="75"/>
      <c r="AZ513" s="75"/>
      <c r="BA513" s="75">
        <v>0.47461723217425672</v>
      </c>
      <c r="BE513">
        <v>4.6390642344715613E-2</v>
      </c>
      <c r="BF513">
        <v>9.2781284689431212E-2</v>
      </c>
      <c r="BG513">
        <v>4.6390642344715613E-2</v>
      </c>
      <c r="BH513">
        <v>0.47461723217425672</v>
      </c>
    </row>
    <row r="514" spans="1:60" x14ac:dyDescent="0.3">
      <c r="A514" s="2" t="s">
        <v>143</v>
      </c>
      <c r="B514" s="13" t="s">
        <v>767</v>
      </c>
      <c r="C514" s="13"/>
      <c r="D514" s="2">
        <v>4.38</v>
      </c>
      <c r="E514" s="2" t="s">
        <v>357</v>
      </c>
      <c r="F514" s="9">
        <v>-1</v>
      </c>
      <c r="G514">
        <v>-1</v>
      </c>
      <c r="H514" t="s">
        <v>1181</v>
      </c>
      <c r="I514" s="2"/>
      <c r="J514" s="25">
        <v>0</v>
      </c>
      <c r="K514">
        <v>0</v>
      </c>
      <c r="L514">
        <v>4</v>
      </c>
      <c r="M514" s="2">
        <v>-1</v>
      </c>
      <c r="N514" s="2"/>
      <c r="O514" s="2">
        <v>21.024000000000001</v>
      </c>
      <c r="P514" s="2"/>
      <c r="Q514" s="2"/>
      <c r="R514" s="25">
        <v>0</v>
      </c>
      <c r="U514">
        <v>0</v>
      </c>
      <c r="X514">
        <v>5.4686000000000003</v>
      </c>
      <c r="Y514">
        <v>5.4686000000000003</v>
      </c>
      <c r="Z514">
        <v>21.134499999999999</v>
      </c>
      <c r="AA514" s="2"/>
      <c r="AB514">
        <v>14</v>
      </c>
      <c r="AC514" s="55">
        <f t="shared" si="52"/>
        <v>0</v>
      </c>
      <c r="AD514" s="57">
        <v>0</v>
      </c>
      <c r="AE514" s="55">
        <v>0</v>
      </c>
      <c r="AF514" s="55">
        <v>632</v>
      </c>
      <c r="AG514" s="52"/>
      <c r="AH514" s="52"/>
      <c r="AI514" s="52"/>
      <c r="AJ514" s="67">
        <f t="shared" si="54"/>
        <v>8.8607594936708861E-2</v>
      </c>
      <c r="AK514" s="28">
        <v>1.9090909090909089</v>
      </c>
      <c r="AL514" s="28">
        <v>2.545454545454545</v>
      </c>
      <c r="AM514" s="28">
        <v>0.54545454545454541</v>
      </c>
      <c r="AN514" s="28">
        <v>2.9090909090909092</v>
      </c>
      <c r="AO514" s="28">
        <v>0.2413793103448276</v>
      </c>
      <c r="AP514" s="28">
        <v>0.32183908045977011</v>
      </c>
      <c r="AQ514" s="28">
        <v>6.8965517241379309E-2</v>
      </c>
      <c r="AR514" s="28">
        <v>0.36781609195402298</v>
      </c>
      <c r="AS514" s="25">
        <v>0.93</v>
      </c>
      <c r="AT514" s="25">
        <v>3.44</v>
      </c>
      <c r="AU514" s="25">
        <v>2.5099999999999998</v>
      </c>
      <c r="AV514" s="25">
        <v>2.65</v>
      </c>
      <c r="AW514">
        <v>2.649999999999999</v>
      </c>
      <c r="AX514">
        <v>6.0276818459090906</v>
      </c>
      <c r="AY514" s="75"/>
      <c r="AZ514" s="75"/>
      <c r="BA514" s="75">
        <v>0.47528867242311779</v>
      </c>
      <c r="BE514">
        <v>4.4303797468354431E-2</v>
      </c>
      <c r="BF514">
        <v>8.8607594936708861E-2</v>
      </c>
      <c r="BG514">
        <v>4.4303797468354431E-2</v>
      </c>
      <c r="BH514">
        <v>0.47528867242311779</v>
      </c>
    </row>
    <row r="515" spans="1:60" x14ac:dyDescent="0.3">
      <c r="A515" s="2" t="s">
        <v>356</v>
      </c>
      <c r="B515" s="13" t="s">
        <v>836</v>
      </c>
      <c r="C515" s="13"/>
      <c r="D515" s="2">
        <v>4.38</v>
      </c>
      <c r="E515" s="2" t="s">
        <v>357</v>
      </c>
      <c r="F515" s="9">
        <v>-1</v>
      </c>
      <c r="G515">
        <v>-1</v>
      </c>
      <c r="H515" t="s">
        <v>1182</v>
      </c>
      <c r="I515" s="2"/>
      <c r="J515" s="25">
        <v>0</v>
      </c>
      <c r="K515">
        <v>0</v>
      </c>
      <c r="L515">
        <v>4</v>
      </c>
      <c r="M515" s="2">
        <v>-1</v>
      </c>
      <c r="N515" s="2"/>
      <c r="O515" s="2"/>
      <c r="P515" s="2"/>
      <c r="Q515" s="2"/>
      <c r="R515" s="25">
        <v>0</v>
      </c>
      <c r="U515">
        <v>0</v>
      </c>
      <c r="X515">
        <v>7.7018000000000004</v>
      </c>
      <c r="Y515">
        <v>21.768799999999999</v>
      </c>
      <c r="Z515">
        <v>3.8613</v>
      </c>
      <c r="AA515" s="2"/>
      <c r="AB515">
        <v>14</v>
      </c>
      <c r="AC515" s="55">
        <f t="shared" si="52"/>
        <v>0</v>
      </c>
      <c r="AD515" s="57">
        <v>0</v>
      </c>
      <c r="AE515" s="55">
        <v>0</v>
      </c>
      <c r="AF515" s="55">
        <v>647.38</v>
      </c>
      <c r="AG515" s="52"/>
      <c r="AH515" s="52"/>
      <c r="AI515" s="52"/>
      <c r="AJ515" s="67">
        <f t="shared" si="54"/>
        <v>8.6502517841144308E-2</v>
      </c>
      <c r="AK515" s="28">
        <v>1.9090909090909089</v>
      </c>
      <c r="AL515" s="28">
        <v>2.545454545454545</v>
      </c>
      <c r="AM515" s="28">
        <v>0.54545454545454541</v>
      </c>
      <c r="AN515" s="28">
        <v>2.9090909090909092</v>
      </c>
      <c r="AO515" s="28">
        <v>0.2413793103448276</v>
      </c>
      <c r="AP515" s="28">
        <v>0.32183908045977011</v>
      </c>
      <c r="AQ515" s="28">
        <v>6.8965517241379309E-2</v>
      </c>
      <c r="AR515" s="28">
        <v>0.36781609195402298</v>
      </c>
      <c r="AS515" s="25">
        <v>0.82</v>
      </c>
      <c r="AT515" s="25">
        <v>3.44</v>
      </c>
      <c r="AU515" s="25">
        <v>2.62</v>
      </c>
      <c r="AV515" s="25">
        <v>2.64</v>
      </c>
      <c r="AW515">
        <v>2.64</v>
      </c>
      <c r="AX515">
        <v>5.9892781936363626</v>
      </c>
      <c r="AY515" s="75"/>
      <c r="AZ515" s="75"/>
      <c r="BA515" s="75">
        <v>0.51451751424865833</v>
      </c>
      <c r="BE515">
        <v>4.3251258920572147E-2</v>
      </c>
      <c r="BF515">
        <v>8.6502517841144308E-2</v>
      </c>
      <c r="BG515">
        <v>4.3251258920572147E-2</v>
      </c>
      <c r="BH515">
        <v>0.51451751424865833</v>
      </c>
    </row>
    <row r="516" spans="1:60" x14ac:dyDescent="0.3">
      <c r="A516" s="2" t="s">
        <v>12</v>
      </c>
      <c r="B516" s="13" t="s">
        <v>697</v>
      </c>
      <c r="C516" s="13"/>
      <c r="D516" s="2">
        <v>4.54</v>
      </c>
      <c r="E516" s="2" t="s">
        <v>357</v>
      </c>
      <c r="F516" s="9">
        <v>-1</v>
      </c>
      <c r="G516">
        <v>-1</v>
      </c>
      <c r="H516" t="s">
        <v>1145</v>
      </c>
      <c r="I516" s="2"/>
      <c r="J516" s="25">
        <v>0</v>
      </c>
      <c r="K516">
        <v>0</v>
      </c>
      <c r="L516">
        <v>1</v>
      </c>
      <c r="M516" s="2">
        <v>-1</v>
      </c>
      <c r="N516" s="2"/>
      <c r="O516" s="2"/>
      <c r="P516" s="2"/>
      <c r="Q516" s="2"/>
      <c r="R516" s="25">
        <v>0</v>
      </c>
      <c r="U516">
        <v>0</v>
      </c>
      <c r="X516">
        <v>3.8445</v>
      </c>
      <c r="Y516">
        <v>3.8445</v>
      </c>
      <c r="Z516">
        <v>11.03</v>
      </c>
      <c r="AA516" s="2"/>
      <c r="AB516">
        <v>14</v>
      </c>
      <c r="AC516" s="55">
        <f t="shared" si="52"/>
        <v>0</v>
      </c>
      <c r="AD516" s="57">
        <v>0</v>
      </c>
      <c r="AE516" s="55">
        <v>0</v>
      </c>
      <c r="AF516" s="55">
        <v>163.0253881575</v>
      </c>
      <c r="AG516" s="52"/>
      <c r="AH516" s="52"/>
      <c r="AI516" s="52"/>
      <c r="AJ516" s="67">
        <f t="shared" si="54"/>
        <v>8.5876194856683907E-2</v>
      </c>
      <c r="AK516" s="28">
        <v>1.9090909090909089</v>
      </c>
      <c r="AL516" s="28">
        <v>2.545454545454545</v>
      </c>
      <c r="AM516" s="28">
        <v>0.54545454545454541</v>
      </c>
      <c r="AN516" s="28">
        <v>2.9090909090909092</v>
      </c>
      <c r="AO516" s="28">
        <v>0.2413793103448276</v>
      </c>
      <c r="AP516" s="28">
        <v>0.32183908045977011</v>
      </c>
      <c r="AQ516" s="28">
        <v>6.8965517241379309E-2</v>
      </c>
      <c r="AR516" s="28">
        <v>0.36781609195402298</v>
      </c>
      <c r="AS516" s="25">
        <v>0.82</v>
      </c>
      <c r="AT516" s="25">
        <v>3.44</v>
      </c>
      <c r="AU516" s="25">
        <v>2.62</v>
      </c>
      <c r="AV516" s="25">
        <v>2.64</v>
      </c>
      <c r="AW516">
        <v>2.64</v>
      </c>
      <c r="AX516">
        <v>5.9811382595454541</v>
      </c>
      <c r="AY516" s="75"/>
      <c r="AZ516" s="75"/>
      <c r="BA516" s="75">
        <v>0.53809297903977493</v>
      </c>
      <c r="BE516">
        <v>4.2938097428341947E-2</v>
      </c>
      <c r="BF516">
        <v>8.5876194856683907E-2</v>
      </c>
      <c r="BG516">
        <v>4.2938097428341947E-2</v>
      </c>
      <c r="BH516">
        <v>0.53809297903977493</v>
      </c>
    </row>
    <row r="517" spans="1:60" x14ac:dyDescent="0.3">
      <c r="A517" s="2" t="s">
        <v>144</v>
      </c>
      <c r="B517" s="13" t="s">
        <v>768</v>
      </c>
      <c r="C517" s="13"/>
      <c r="D517" s="2">
        <v>4.4000000000000004</v>
      </c>
      <c r="E517" s="2" t="s">
        <v>357</v>
      </c>
      <c r="F517" s="9">
        <v>-1</v>
      </c>
      <c r="G517">
        <v>-1</v>
      </c>
      <c r="H517" t="s">
        <v>1183</v>
      </c>
      <c r="I517" s="2"/>
      <c r="J517" s="25">
        <v>0</v>
      </c>
      <c r="K517">
        <v>0</v>
      </c>
      <c r="L517">
        <v>1</v>
      </c>
      <c r="M517" s="2">
        <v>-1</v>
      </c>
      <c r="N517" s="2"/>
      <c r="O517" s="2"/>
      <c r="P517" s="2"/>
      <c r="Q517" s="2"/>
      <c r="R517" s="25">
        <v>0</v>
      </c>
      <c r="U517">
        <v>0</v>
      </c>
      <c r="X517">
        <v>3.8898000000000001</v>
      </c>
      <c r="Y517">
        <v>3.8898000000000001</v>
      </c>
      <c r="Z517">
        <v>11.3665</v>
      </c>
      <c r="AA517" s="2"/>
      <c r="AB517">
        <v>14</v>
      </c>
      <c r="AC517" s="55">
        <f t="shared" si="52"/>
        <v>0</v>
      </c>
      <c r="AD517" s="57">
        <v>0</v>
      </c>
      <c r="AE517" s="55">
        <v>0</v>
      </c>
      <c r="AF517" s="55">
        <v>172</v>
      </c>
      <c r="AG517" s="52"/>
      <c r="AH517" s="52"/>
      <c r="AI517" s="52"/>
      <c r="AJ517" s="67">
        <f t="shared" si="54"/>
        <v>8.1395348837209308E-2</v>
      </c>
      <c r="AK517" s="28">
        <v>1.9090909090909089</v>
      </c>
      <c r="AL517" s="28">
        <v>2.545454545454545</v>
      </c>
      <c r="AM517" s="28">
        <v>0.54545454545454541</v>
      </c>
      <c r="AN517" s="28">
        <v>2.9090909090909092</v>
      </c>
      <c r="AO517" s="28">
        <v>0.2413793103448276</v>
      </c>
      <c r="AP517" s="28">
        <v>0.32183908045977011</v>
      </c>
      <c r="AQ517" s="28">
        <v>6.8965517241379309E-2</v>
      </c>
      <c r="AR517" s="28">
        <v>0.36781609195402298</v>
      </c>
      <c r="AS517" s="25">
        <v>0.79</v>
      </c>
      <c r="AT517" s="25">
        <v>3.44</v>
      </c>
      <c r="AU517" s="25">
        <v>2.65</v>
      </c>
      <c r="AV517" s="25">
        <v>2.6372727272727272</v>
      </c>
      <c r="AW517">
        <v>2.6372727272727272</v>
      </c>
      <c r="AX517">
        <v>5.967615153519545</v>
      </c>
      <c r="AY517" s="75"/>
      <c r="AZ517" s="75"/>
      <c r="BA517" s="75">
        <v>0.54308506712305693</v>
      </c>
      <c r="BE517">
        <v>4.0697674418604647E-2</v>
      </c>
      <c r="BF517">
        <v>8.1395348837209308E-2</v>
      </c>
      <c r="BG517">
        <v>4.0697674418604647E-2</v>
      </c>
      <c r="BH517">
        <v>0.54308506712305693</v>
      </c>
    </row>
    <row r="518" spans="1:60" x14ac:dyDescent="0.3">
      <c r="A518" s="2" t="s">
        <v>63</v>
      </c>
      <c r="B518" s="13" t="s">
        <v>773</v>
      </c>
      <c r="C518" s="13"/>
      <c r="D518" s="2">
        <v>3.5</v>
      </c>
      <c r="E518" s="2" t="s">
        <v>361</v>
      </c>
      <c r="F518" s="9">
        <v>-1</v>
      </c>
      <c r="G518">
        <v>-1</v>
      </c>
      <c r="I518" s="2">
        <v>1</v>
      </c>
      <c r="J518" s="25">
        <v>0</v>
      </c>
      <c r="K518">
        <v>0</v>
      </c>
      <c r="L518">
        <v>0</v>
      </c>
      <c r="M518" s="2">
        <v>3.82</v>
      </c>
      <c r="N518" s="2">
        <v>3.82</v>
      </c>
      <c r="O518" s="2">
        <v>16</v>
      </c>
      <c r="P518" s="2" t="s">
        <v>519</v>
      </c>
      <c r="Q518" s="2">
        <v>16</v>
      </c>
      <c r="R518" s="25">
        <v>0</v>
      </c>
      <c r="U518">
        <v>0</v>
      </c>
      <c r="X518">
        <v>0</v>
      </c>
      <c r="AA518" s="2"/>
      <c r="AB518">
        <v>20</v>
      </c>
      <c r="AC518" s="55">
        <f t="shared" si="52"/>
        <v>233.47839999999999</v>
      </c>
      <c r="AD518" s="57">
        <v>0</v>
      </c>
      <c r="AE518" s="55">
        <v>0</v>
      </c>
      <c r="AF518" s="55">
        <v>0</v>
      </c>
      <c r="AG518" s="52">
        <f t="shared" ref="AG518" si="55">I518*AB518/AC518</f>
        <v>8.5661029028809524E-2</v>
      </c>
      <c r="AH518" s="52"/>
      <c r="AI518" s="52"/>
      <c r="AJ518" s="52"/>
      <c r="AK518" s="28">
        <v>1.75</v>
      </c>
      <c r="AL518" s="28">
        <v>2.5</v>
      </c>
      <c r="AM518" s="28">
        <v>0.75</v>
      </c>
      <c r="AN518" s="28">
        <v>0</v>
      </c>
      <c r="AO518" s="28">
        <v>0.35</v>
      </c>
      <c r="AP518" s="28">
        <v>0.5</v>
      </c>
      <c r="AQ518" s="28">
        <v>0.15</v>
      </c>
      <c r="AR518" s="28">
        <v>0</v>
      </c>
      <c r="AS518" s="25">
        <v>1</v>
      </c>
      <c r="AT518" s="25">
        <v>3.44</v>
      </c>
      <c r="AU518" s="25">
        <v>2.44</v>
      </c>
      <c r="AV518" s="25">
        <v>2.7124999999999999</v>
      </c>
      <c r="AW518">
        <v>2.7124999999999999</v>
      </c>
      <c r="AX518">
        <v>6.264025610615688</v>
      </c>
      <c r="AY518" s="75"/>
      <c r="AZ518" s="75"/>
      <c r="BA518" s="75"/>
      <c r="BB518">
        <v>4.2830514514404762E-2</v>
      </c>
      <c r="BF518">
        <v>8.5661029028809524E-2</v>
      </c>
      <c r="BG518">
        <v>4.2830514514404762E-2</v>
      </c>
      <c r="BH518">
        <v>0</v>
      </c>
    </row>
    <row r="519" spans="1:60" x14ac:dyDescent="0.3">
      <c r="A519" s="2" t="s">
        <v>366</v>
      </c>
      <c r="B519" s="18" t="s">
        <v>1024</v>
      </c>
      <c r="C519" s="13"/>
      <c r="D519" s="2">
        <v>3.62</v>
      </c>
      <c r="E519" s="2" t="s">
        <v>361</v>
      </c>
      <c r="F519" s="9">
        <v>-1</v>
      </c>
      <c r="G519">
        <v>-1</v>
      </c>
      <c r="I519" s="2">
        <v>1</v>
      </c>
      <c r="J519" s="25">
        <v>0</v>
      </c>
      <c r="K519">
        <v>0</v>
      </c>
      <c r="L519">
        <v>0</v>
      </c>
      <c r="M519" s="2">
        <v>3.86</v>
      </c>
      <c r="N519" s="2">
        <v>3.86</v>
      </c>
      <c r="O519" s="2">
        <v>25.4</v>
      </c>
      <c r="P519" s="2" t="s">
        <v>519</v>
      </c>
      <c r="Q519" s="2">
        <v>25.4</v>
      </c>
      <c r="R519" s="25">
        <v>0</v>
      </c>
      <c r="U519">
        <v>0</v>
      </c>
      <c r="X519">
        <v>0</v>
      </c>
      <c r="AA519" s="2"/>
      <c r="AB519">
        <v>20</v>
      </c>
      <c r="AC519" s="55">
        <f t="shared" si="52"/>
        <v>378.44983999999999</v>
      </c>
      <c r="AD519" s="57">
        <v>0</v>
      </c>
      <c r="AE519" s="55">
        <v>0</v>
      </c>
      <c r="AF519" s="55">
        <v>0</v>
      </c>
      <c r="AG519" s="52"/>
      <c r="AH519" s="52"/>
      <c r="AI519" s="52"/>
      <c r="AJ519" s="52"/>
      <c r="AK519" s="28">
        <v>1.53125</v>
      </c>
      <c r="AL519" s="28">
        <v>1.59375</v>
      </c>
      <c r="AM519" s="28">
        <v>0.375</v>
      </c>
      <c r="AN519" s="28">
        <v>0</v>
      </c>
      <c r="AO519" s="28">
        <v>0.4375</v>
      </c>
      <c r="AP519" s="28">
        <v>0.45535714285714279</v>
      </c>
      <c r="AQ519" s="28">
        <v>0.1071428571428571</v>
      </c>
      <c r="AR519" s="28">
        <v>0</v>
      </c>
      <c r="AS519" s="25">
        <v>1</v>
      </c>
      <c r="AT519" s="25">
        <v>3.44</v>
      </c>
      <c r="AU519" s="25">
        <v>2.44</v>
      </c>
      <c r="AV519" s="25">
        <v>2.5262500000000001</v>
      </c>
      <c r="AW519">
        <v>2.5262500000000001</v>
      </c>
      <c r="AX519">
        <v>6.6075924153816246</v>
      </c>
      <c r="AY519" s="75"/>
      <c r="AZ519" s="75"/>
      <c r="BA519" s="75"/>
      <c r="BB519">
        <v>2.6423580995568661E-2</v>
      </c>
      <c r="BF519">
        <v>0</v>
      </c>
      <c r="BG519">
        <v>2.6423580995568661E-2</v>
      </c>
      <c r="BH519">
        <v>0</v>
      </c>
    </row>
    <row r="520" spans="1:60" x14ac:dyDescent="0.3">
      <c r="A520" s="2" t="s">
        <v>347</v>
      </c>
      <c r="B520" s="18" t="s">
        <v>1025</v>
      </c>
      <c r="C520" s="13"/>
      <c r="D520" s="2">
        <v>3.5</v>
      </c>
      <c r="E520" s="2" t="s">
        <v>361</v>
      </c>
      <c r="F520" s="9">
        <v>-1</v>
      </c>
      <c r="G520">
        <v>-1</v>
      </c>
      <c r="I520" s="2">
        <v>2</v>
      </c>
      <c r="J520" s="25">
        <v>0</v>
      </c>
      <c r="K520">
        <v>0</v>
      </c>
      <c r="L520">
        <v>0</v>
      </c>
      <c r="M520" s="2">
        <v>3.86</v>
      </c>
      <c r="N520" s="2">
        <v>3.86</v>
      </c>
      <c r="O520" s="2">
        <v>35.799999999999997</v>
      </c>
      <c r="P520" s="2" t="s">
        <v>519</v>
      </c>
      <c r="Q520" s="2">
        <v>17.899999999999999</v>
      </c>
      <c r="R520" s="25">
        <v>0</v>
      </c>
      <c r="U520">
        <v>0</v>
      </c>
      <c r="X520">
        <v>0</v>
      </c>
      <c r="AA520" s="2"/>
      <c r="AB520">
        <v>22</v>
      </c>
      <c r="AC520" s="55">
        <f t="shared" si="52"/>
        <v>533.40567999999996</v>
      </c>
      <c r="AD520" s="57">
        <v>0</v>
      </c>
      <c r="AE520" s="55">
        <v>0</v>
      </c>
      <c r="AF520" s="55">
        <v>0</v>
      </c>
      <c r="AG520" s="52"/>
      <c r="AH520" s="52"/>
      <c r="AI520" s="52"/>
      <c r="AJ520" s="52"/>
      <c r="AK520" s="28">
        <v>1.6</v>
      </c>
      <c r="AL520" s="28">
        <v>1.92</v>
      </c>
      <c r="AM520" s="28">
        <v>0.48</v>
      </c>
      <c r="AN520" s="28">
        <v>0</v>
      </c>
      <c r="AO520" s="28">
        <v>0.4</v>
      </c>
      <c r="AP520" s="28">
        <v>0.48</v>
      </c>
      <c r="AQ520" s="28">
        <v>0.12</v>
      </c>
      <c r="AR520" s="28">
        <v>0</v>
      </c>
      <c r="AS520" s="25">
        <v>1</v>
      </c>
      <c r="AT520" s="25">
        <v>3.44</v>
      </c>
      <c r="AU520" s="25">
        <v>2.44</v>
      </c>
      <c r="AV520" s="25">
        <v>2.6055999999999999</v>
      </c>
      <c r="AW520">
        <v>2.6055999999999999</v>
      </c>
      <c r="AX520">
        <v>6.5338195732382802</v>
      </c>
      <c r="AY520" s="75"/>
      <c r="AZ520" s="75"/>
      <c r="BA520" s="75"/>
      <c r="BB520">
        <v>4.1244405196435109E-2</v>
      </c>
      <c r="BF520">
        <v>0</v>
      </c>
      <c r="BG520">
        <v>4.1244405196435109E-2</v>
      </c>
      <c r="BH520">
        <v>0</v>
      </c>
    </row>
    <row r="521" spans="1:60" x14ac:dyDescent="0.3">
      <c r="A521" s="2" t="s">
        <v>353</v>
      </c>
      <c r="B521" s="13" t="s">
        <v>837</v>
      </c>
      <c r="C521" s="13"/>
      <c r="D521" s="2">
        <v>3.44</v>
      </c>
      <c r="E521" s="2" t="s">
        <v>361</v>
      </c>
      <c r="F521" s="9">
        <v>-1</v>
      </c>
      <c r="G521">
        <v>-1</v>
      </c>
      <c r="H521" t="s">
        <v>1242</v>
      </c>
      <c r="I521" s="2">
        <v>2</v>
      </c>
      <c r="J521" s="25">
        <v>0</v>
      </c>
      <c r="K521">
        <v>0</v>
      </c>
      <c r="L521">
        <v>0</v>
      </c>
      <c r="M521" s="2">
        <v>3.79</v>
      </c>
      <c r="N521" s="2">
        <v>3.79</v>
      </c>
      <c r="O521" s="2">
        <v>27.2</v>
      </c>
      <c r="P521" s="2" t="s">
        <v>519</v>
      </c>
      <c r="Q521" s="2">
        <v>13.6</v>
      </c>
      <c r="R521" s="25">
        <v>0</v>
      </c>
      <c r="U521">
        <v>0</v>
      </c>
      <c r="X521">
        <v>3.8113999999999999</v>
      </c>
      <c r="Y521">
        <v>3.8113999999999999</v>
      </c>
      <c r="Z521">
        <v>27.478000000000002</v>
      </c>
      <c r="AA521" s="2"/>
      <c r="AB521">
        <v>20</v>
      </c>
      <c r="AC521" s="55">
        <f t="shared" si="52"/>
        <v>390.70352000000003</v>
      </c>
      <c r="AD521" s="57">
        <v>0</v>
      </c>
      <c r="AE521" s="55">
        <v>0</v>
      </c>
      <c r="AF521" s="55">
        <v>399.2</v>
      </c>
      <c r="AG521" s="52">
        <f t="shared" ref="AG521:AG565" si="56">I521*AB521/AC521</f>
        <v>0.10237942058981193</v>
      </c>
      <c r="AH521" s="52"/>
      <c r="AI521" s="52"/>
      <c r="AJ521" s="52"/>
      <c r="AK521" s="28">
        <v>1.9375</v>
      </c>
      <c r="AL521" s="28">
        <v>2.5</v>
      </c>
      <c r="AM521" s="28">
        <v>0.5</v>
      </c>
      <c r="AN521" s="28">
        <v>0</v>
      </c>
      <c r="AO521" s="28">
        <v>0.39240506329113922</v>
      </c>
      <c r="AP521" s="28">
        <v>0.50632911392405067</v>
      </c>
      <c r="AQ521" s="28">
        <v>0.1012658227848101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2.7137500000000001</v>
      </c>
      <c r="AW521">
        <v>2.7137500000000001</v>
      </c>
      <c r="AX521">
        <v>6.1913913437406878</v>
      </c>
      <c r="AY521" s="75"/>
      <c r="AZ521" s="75"/>
      <c r="BA521" s="75">
        <v>0</v>
      </c>
      <c r="BB521">
        <v>5.1189710294905967E-2</v>
      </c>
      <c r="BE521">
        <v>0</v>
      </c>
      <c r="BF521">
        <v>0.10237942058981191</v>
      </c>
      <c r="BG521">
        <v>2.559485514745298E-2</v>
      </c>
      <c r="BH521">
        <v>0</v>
      </c>
    </row>
    <row r="522" spans="1:60" x14ac:dyDescent="0.3">
      <c r="A522" s="2" t="s">
        <v>370</v>
      </c>
      <c r="B522" s="18" t="s">
        <v>1026</v>
      </c>
      <c r="C522" s="13"/>
      <c r="D522" s="2">
        <v>3.39</v>
      </c>
      <c r="E522" s="2" t="s">
        <v>361</v>
      </c>
      <c r="F522" s="9">
        <v>-1</v>
      </c>
      <c r="G522">
        <v>-1</v>
      </c>
      <c r="I522" s="2">
        <v>1</v>
      </c>
      <c r="J522" s="25">
        <v>0</v>
      </c>
      <c r="K522">
        <v>0</v>
      </c>
      <c r="L522">
        <v>0</v>
      </c>
      <c r="M522" s="2">
        <v>3.82</v>
      </c>
      <c r="N522" s="2">
        <v>3.82</v>
      </c>
      <c r="O522" s="2">
        <v>20.2</v>
      </c>
      <c r="P522" s="2" t="s">
        <v>519</v>
      </c>
      <c r="Q522" s="2">
        <v>20.2</v>
      </c>
      <c r="R522" s="25">
        <v>0</v>
      </c>
      <c r="U522">
        <v>0</v>
      </c>
      <c r="X522">
        <v>0</v>
      </c>
      <c r="AA522" s="2"/>
      <c r="AB522">
        <v>20</v>
      </c>
      <c r="AC522" s="55">
        <f t="shared" si="52"/>
        <v>294.76648</v>
      </c>
      <c r="AD522" s="57">
        <v>0</v>
      </c>
      <c r="AE522" s="55">
        <v>0</v>
      </c>
      <c r="AF522" s="55">
        <v>0</v>
      </c>
      <c r="AG522" s="52">
        <f t="shared" si="56"/>
        <v>6.7850320022819419E-2</v>
      </c>
      <c r="AH522" s="52"/>
      <c r="AI522" s="52"/>
      <c r="AJ522" s="52"/>
      <c r="AK522" s="28">
        <v>1.6923076923076921</v>
      </c>
      <c r="AL522" s="28">
        <v>1.8076923076923079</v>
      </c>
      <c r="AM522" s="28">
        <v>0.30769230769230771</v>
      </c>
      <c r="AN522" s="28">
        <v>0</v>
      </c>
      <c r="AO522" s="28">
        <v>0.44444444444444448</v>
      </c>
      <c r="AP522" s="28">
        <v>0.47474747474747481</v>
      </c>
      <c r="AQ522" s="28">
        <v>8.0808080808080815E-2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2.5753846153846158</v>
      </c>
      <c r="AW522">
        <v>2.5753846153846149</v>
      </c>
      <c r="AX522">
        <v>6.5020131619541548</v>
      </c>
      <c r="AY522" s="75"/>
      <c r="AZ522" s="75"/>
      <c r="BA522" s="75"/>
      <c r="BB522">
        <v>3.3925160011409709E-2</v>
      </c>
      <c r="BF522">
        <v>6.7850320022819419E-2</v>
      </c>
      <c r="BG522">
        <v>3.3925160011409709E-2</v>
      </c>
      <c r="BH522">
        <v>0</v>
      </c>
    </row>
    <row r="523" spans="1:60" x14ac:dyDescent="0.3">
      <c r="A523" s="2" t="s">
        <v>376</v>
      </c>
      <c r="B523" s="18" t="s">
        <v>1027</v>
      </c>
      <c r="C523" s="13"/>
      <c r="D523" s="2">
        <v>3.41</v>
      </c>
      <c r="E523" s="2" t="s">
        <v>361</v>
      </c>
      <c r="F523" s="9">
        <v>-1</v>
      </c>
      <c r="G523">
        <v>-1</v>
      </c>
      <c r="I523" s="2">
        <v>2</v>
      </c>
      <c r="J523" s="25">
        <v>0</v>
      </c>
      <c r="K523">
        <v>0</v>
      </c>
      <c r="L523">
        <v>0</v>
      </c>
      <c r="M523" s="2">
        <v>3.83</v>
      </c>
      <c r="N523" s="2">
        <v>3.83</v>
      </c>
      <c r="O523" s="2">
        <v>39.5</v>
      </c>
      <c r="P523" s="2" t="s">
        <v>519</v>
      </c>
      <c r="Q523" s="2">
        <v>19.8</v>
      </c>
      <c r="R523" s="25">
        <v>0</v>
      </c>
      <c r="U523">
        <v>0</v>
      </c>
      <c r="X523">
        <v>0</v>
      </c>
      <c r="AA523" s="2"/>
      <c r="AB523">
        <v>20</v>
      </c>
      <c r="AC523" s="55">
        <f t="shared" si="52"/>
        <v>579.42155000000002</v>
      </c>
      <c r="AD523" s="57">
        <v>0</v>
      </c>
      <c r="AE523" s="55">
        <v>0</v>
      </c>
      <c r="AF523" s="55">
        <v>0</v>
      </c>
      <c r="AG523" s="52">
        <f t="shared" si="56"/>
        <v>6.9034367120104523E-2</v>
      </c>
      <c r="AH523" s="52"/>
      <c r="AI523" s="52"/>
      <c r="AJ523" s="52"/>
      <c r="AK523" s="28">
        <v>1.72</v>
      </c>
      <c r="AL523" s="28">
        <v>1.92</v>
      </c>
      <c r="AM523" s="28">
        <v>0.32</v>
      </c>
      <c r="AN523" s="28">
        <v>0</v>
      </c>
      <c r="AO523" s="28">
        <v>0.43434343434343442</v>
      </c>
      <c r="AP523" s="28">
        <v>0.48484848484848492</v>
      </c>
      <c r="AQ523" s="28">
        <v>8.0808080808080815E-2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2.6063999999999998</v>
      </c>
      <c r="AW523">
        <v>2.6063999999999998</v>
      </c>
      <c r="AX523">
        <v>6.4873336424382799</v>
      </c>
      <c r="AY523" s="75"/>
      <c r="AZ523" s="75"/>
      <c r="BA523" s="75"/>
      <c r="BB523">
        <v>3.7968901916057493E-2</v>
      </c>
      <c r="BF523">
        <v>6.9034367120104523E-2</v>
      </c>
      <c r="BG523">
        <v>3.7968901916057493E-2</v>
      </c>
      <c r="BH523">
        <v>0</v>
      </c>
    </row>
    <row r="524" spans="1:60" x14ac:dyDescent="0.3">
      <c r="A524" s="2" t="s">
        <v>63</v>
      </c>
      <c r="B524" s="34" t="s">
        <v>773</v>
      </c>
      <c r="C524" s="34"/>
      <c r="D524" s="2">
        <v>3.49</v>
      </c>
      <c r="E524" s="2" t="s">
        <v>362</v>
      </c>
      <c r="F524" s="35">
        <v>-1</v>
      </c>
      <c r="G524" s="2">
        <v>-1</v>
      </c>
      <c r="H524" s="2"/>
      <c r="I524" s="2">
        <v>1</v>
      </c>
      <c r="J524" s="29">
        <v>0</v>
      </c>
      <c r="K524">
        <v>0</v>
      </c>
      <c r="L524">
        <v>0</v>
      </c>
      <c r="M524" s="2">
        <v>3.8531</v>
      </c>
      <c r="N524" s="2">
        <v>3.8531</v>
      </c>
      <c r="O524" s="2">
        <v>16.2151</v>
      </c>
      <c r="P524" s="2" t="s">
        <v>519</v>
      </c>
      <c r="Q524" s="5"/>
      <c r="R524" s="41">
        <v>0</v>
      </c>
      <c r="S524" s="5"/>
      <c r="T524" s="5"/>
      <c r="U524">
        <v>0</v>
      </c>
      <c r="X524">
        <v>0</v>
      </c>
      <c r="AA524" s="5"/>
      <c r="AB524" s="5">
        <v>20</v>
      </c>
      <c r="AC524" s="55">
        <f t="shared" si="52"/>
        <v>240.73553001411099</v>
      </c>
      <c r="AD524" s="57">
        <v>0</v>
      </c>
      <c r="AE524" s="55">
        <v>0</v>
      </c>
      <c r="AF524" s="55">
        <v>0</v>
      </c>
      <c r="AG524" s="52">
        <f t="shared" si="56"/>
        <v>8.3078721279022161E-2</v>
      </c>
      <c r="AH524" s="52"/>
      <c r="AI524" s="52"/>
      <c r="AJ524" s="52"/>
      <c r="AK524" s="5">
        <v>1.75</v>
      </c>
      <c r="AL524" s="5">
        <v>2.5</v>
      </c>
      <c r="AM524" s="5">
        <v>0.75</v>
      </c>
      <c r="AN524" s="5">
        <v>0</v>
      </c>
      <c r="AO524" s="5">
        <v>0.35</v>
      </c>
      <c r="AP524" s="5">
        <v>0.5</v>
      </c>
      <c r="AQ524" s="5">
        <v>0.15</v>
      </c>
      <c r="AR524" s="5">
        <v>0</v>
      </c>
      <c r="AS524" s="41">
        <v>1</v>
      </c>
      <c r="AT524" s="41">
        <v>3.44</v>
      </c>
      <c r="AU524" s="41">
        <v>2.44</v>
      </c>
      <c r="AV524" s="41">
        <v>2.7124999999999999</v>
      </c>
      <c r="AW524" s="5">
        <v>2.7124999999999999</v>
      </c>
      <c r="AX524" s="5">
        <v>6.264025610615688</v>
      </c>
      <c r="AY524" s="75"/>
      <c r="AZ524" s="75"/>
      <c r="BA524" s="75"/>
      <c r="BB524">
        <v>4.153936063951108E-2</v>
      </c>
      <c r="BF524">
        <v>8.3078721279022161E-2</v>
      </c>
      <c r="BG524">
        <v>4.153936063951108E-2</v>
      </c>
      <c r="BH524">
        <v>0</v>
      </c>
    </row>
    <row r="525" spans="1:60" x14ac:dyDescent="0.3">
      <c r="A525" s="2" t="s">
        <v>363</v>
      </c>
      <c r="B525" s="48" t="s">
        <v>1028</v>
      </c>
      <c r="C525" s="34"/>
      <c r="D525" s="2">
        <v>3.56</v>
      </c>
      <c r="E525" s="2" t="s">
        <v>362</v>
      </c>
      <c r="F525" s="35">
        <v>-1</v>
      </c>
      <c r="G525" s="2">
        <v>-1</v>
      </c>
      <c r="H525" s="2"/>
      <c r="I525" s="2">
        <v>1</v>
      </c>
      <c r="J525" s="29">
        <v>0</v>
      </c>
      <c r="K525">
        <v>0</v>
      </c>
      <c r="L525">
        <v>0</v>
      </c>
      <c r="M525" s="2">
        <v>3.86</v>
      </c>
      <c r="N525" s="2">
        <v>3.86</v>
      </c>
      <c r="O525" s="2">
        <v>16.079999999999998</v>
      </c>
      <c r="P525" s="2" t="s">
        <v>519</v>
      </c>
      <c r="Q525" s="5"/>
      <c r="R525" s="41">
        <v>0</v>
      </c>
      <c r="S525" s="5"/>
      <c r="T525" s="5"/>
      <c r="U525">
        <v>0</v>
      </c>
      <c r="X525">
        <v>0</v>
      </c>
      <c r="AA525" s="5"/>
      <c r="AB525" s="5">
        <v>20</v>
      </c>
      <c r="AC525" s="55">
        <f t="shared" si="52"/>
        <v>239.58556799999997</v>
      </c>
      <c r="AD525" s="57">
        <v>0</v>
      </c>
      <c r="AE525" s="55">
        <v>0</v>
      </c>
      <c r="AF525" s="55">
        <v>0</v>
      </c>
      <c r="AG525" s="52">
        <f t="shared" si="56"/>
        <v>8.34774822496821E-2</v>
      </c>
      <c r="AH525" s="52"/>
      <c r="AI525" s="52"/>
      <c r="AJ525" s="52"/>
      <c r="AK525" s="5">
        <v>1.5909090909090911</v>
      </c>
      <c r="AL525" s="5">
        <v>1.9090909090909089</v>
      </c>
      <c r="AM525" s="5">
        <v>0.54545454545454541</v>
      </c>
      <c r="AN525" s="5">
        <v>0</v>
      </c>
      <c r="AO525" s="5">
        <v>0.3932584269662921</v>
      </c>
      <c r="AP525" s="5">
        <v>0.47191011235955049</v>
      </c>
      <c r="AQ525" s="5">
        <v>0.1348314606741573</v>
      </c>
      <c r="AR525" s="5">
        <v>0</v>
      </c>
      <c r="AS525" s="41">
        <v>1</v>
      </c>
      <c r="AT525" s="41">
        <v>3.44</v>
      </c>
      <c r="AU525" s="41">
        <v>2.44</v>
      </c>
      <c r="AV525" s="41">
        <v>2.5886363636363638</v>
      </c>
      <c r="AW525" s="5">
        <v>2.588636363636363</v>
      </c>
      <c r="AX525" s="5">
        <v>6.4712814579593632</v>
      </c>
      <c r="AY525" s="75"/>
      <c r="AZ525" s="75"/>
      <c r="BA525" s="75"/>
      <c r="BB525">
        <v>4.173874112484105E-2</v>
      </c>
      <c r="BF525">
        <v>8.34774822496821E-2</v>
      </c>
      <c r="BG525">
        <v>4.173874112484105E-2</v>
      </c>
      <c r="BH525">
        <v>0</v>
      </c>
    </row>
    <row r="526" spans="1:60" x14ac:dyDescent="0.3">
      <c r="A526" s="2" t="s">
        <v>364</v>
      </c>
      <c r="B526" s="48" t="s">
        <v>1029</v>
      </c>
      <c r="C526" s="34"/>
      <c r="D526" s="2">
        <v>3.6</v>
      </c>
      <c r="E526" s="2" t="s">
        <v>362</v>
      </c>
      <c r="F526" s="35">
        <v>-1</v>
      </c>
      <c r="G526" s="2">
        <v>-1</v>
      </c>
      <c r="H526" s="2"/>
      <c r="I526" s="2">
        <v>1</v>
      </c>
      <c r="J526" s="29">
        <v>0</v>
      </c>
      <c r="K526">
        <v>0</v>
      </c>
      <c r="L526">
        <v>0</v>
      </c>
      <c r="M526" s="2">
        <v>3.87</v>
      </c>
      <c r="N526" s="2">
        <v>3.87</v>
      </c>
      <c r="O526" s="2">
        <v>20.49</v>
      </c>
      <c r="P526" s="2" t="s">
        <v>519</v>
      </c>
      <c r="Q526" s="5"/>
      <c r="R526" s="41">
        <v>0</v>
      </c>
      <c r="S526" s="5"/>
      <c r="T526" s="5"/>
      <c r="U526">
        <v>0</v>
      </c>
      <c r="X526">
        <v>0</v>
      </c>
      <c r="AA526" s="5"/>
      <c r="AB526" s="5">
        <v>20</v>
      </c>
      <c r="AC526" s="55">
        <f t="shared" si="52"/>
        <v>306.87668099999996</v>
      </c>
      <c r="AD526" s="57">
        <v>0</v>
      </c>
      <c r="AE526" s="55">
        <v>0</v>
      </c>
      <c r="AF526" s="55">
        <v>0</v>
      </c>
      <c r="AG526" s="52">
        <f t="shared" si="56"/>
        <v>6.517275908624677E-2</v>
      </c>
      <c r="AH526" s="52"/>
      <c r="AI526" s="52"/>
      <c r="AJ526" s="52"/>
      <c r="AK526" s="5">
        <v>1.56</v>
      </c>
      <c r="AL526" s="5">
        <v>1.76</v>
      </c>
      <c r="AM526" s="5">
        <v>0.48</v>
      </c>
      <c r="AN526" s="5">
        <v>0</v>
      </c>
      <c r="AO526" s="5">
        <v>0.41052631578947368</v>
      </c>
      <c r="AP526" s="5">
        <v>0.4631578947368421</v>
      </c>
      <c r="AQ526" s="5">
        <v>0.12631578947368419</v>
      </c>
      <c r="AR526" s="5">
        <v>0</v>
      </c>
      <c r="AS526" s="41">
        <v>1</v>
      </c>
      <c r="AT526" s="41">
        <v>3.44</v>
      </c>
      <c r="AU526" s="41">
        <v>2.44</v>
      </c>
      <c r="AV526" s="41">
        <v>2.556</v>
      </c>
      <c r="AW526" s="5">
        <v>2.556</v>
      </c>
      <c r="AX526" s="5">
        <v>6.5192970192323214</v>
      </c>
      <c r="AY526" s="75"/>
      <c r="AZ526" s="75"/>
      <c r="BA526" s="75"/>
      <c r="BB526">
        <v>3.2586379543123392E-2</v>
      </c>
      <c r="BF526">
        <v>6.517275908624677E-2</v>
      </c>
      <c r="BG526">
        <v>3.2586379543123392E-2</v>
      </c>
      <c r="BH526">
        <v>0</v>
      </c>
    </row>
    <row r="527" spans="1:60" x14ac:dyDescent="0.3">
      <c r="A527" s="2" t="s">
        <v>365</v>
      </c>
      <c r="B527" s="48" t="s">
        <v>1030</v>
      </c>
      <c r="C527" s="34"/>
      <c r="D527" s="2">
        <v>3.55</v>
      </c>
      <c r="E527" s="2" t="s">
        <v>362</v>
      </c>
      <c r="F527" s="35">
        <v>-1</v>
      </c>
      <c r="G527" s="2">
        <v>-1</v>
      </c>
      <c r="H527" s="2"/>
      <c r="I527" s="2">
        <v>1</v>
      </c>
      <c r="J527" s="29">
        <v>0</v>
      </c>
      <c r="K527">
        <v>0</v>
      </c>
      <c r="L527">
        <v>0</v>
      </c>
      <c r="M527" s="2">
        <v>3.87</v>
      </c>
      <c r="N527" s="2">
        <v>3.87</v>
      </c>
      <c r="O527" s="2">
        <v>22.22</v>
      </c>
      <c r="P527" s="2" t="s">
        <v>519</v>
      </c>
      <c r="Q527" s="5"/>
      <c r="R527" s="41">
        <v>0</v>
      </c>
      <c r="S527" s="5"/>
      <c r="T527" s="5"/>
      <c r="U527">
        <v>0</v>
      </c>
      <c r="X527">
        <v>0</v>
      </c>
      <c r="AA527" s="5"/>
      <c r="AB527" s="5">
        <v>20</v>
      </c>
      <c r="AC527" s="55">
        <f t="shared" si="52"/>
        <v>332.78671800000001</v>
      </c>
      <c r="AD527" s="57">
        <v>0</v>
      </c>
      <c r="AE527" s="55">
        <v>0</v>
      </c>
      <c r="AF527" s="55">
        <v>0</v>
      </c>
      <c r="AG527" s="52">
        <f t="shared" si="56"/>
        <v>6.0098552370710899E-2</v>
      </c>
      <c r="AH527" s="52"/>
      <c r="AI527" s="52"/>
      <c r="AJ527" s="52"/>
      <c r="AK527" s="5">
        <v>1.535714285714286</v>
      </c>
      <c r="AL527" s="5">
        <v>1.642857142857143</v>
      </c>
      <c r="AM527" s="5">
        <v>0.42857142857142849</v>
      </c>
      <c r="AN527" s="5">
        <v>0</v>
      </c>
      <c r="AO527" s="5">
        <v>0.42574257425742579</v>
      </c>
      <c r="AP527" s="5">
        <v>0.45544554455445541</v>
      </c>
      <c r="AQ527" s="5">
        <v>0.11881188118811881</v>
      </c>
      <c r="AR527" s="5">
        <v>0</v>
      </c>
      <c r="AS527" s="41">
        <v>1</v>
      </c>
      <c r="AT527" s="41">
        <v>3.44</v>
      </c>
      <c r="AU527" s="41">
        <v>2.44</v>
      </c>
      <c r="AV527" s="41">
        <v>2.530357142857143</v>
      </c>
      <c r="AW527" s="5">
        <v>2.530357142857143</v>
      </c>
      <c r="AX527" s="5">
        <v>6.5570235316610717</v>
      </c>
      <c r="AY527" s="75"/>
      <c r="AZ527" s="75"/>
      <c r="BA527" s="75"/>
      <c r="BB527">
        <v>3.004927618535545E-2</v>
      </c>
      <c r="BF527">
        <v>6.0098552370710899E-2</v>
      </c>
      <c r="BG527">
        <v>3.004927618535545E-2</v>
      </c>
      <c r="BH527">
        <v>0</v>
      </c>
    </row>
    <row r="528" spans="1:60" x14ac:dyDescent="0.3">
      <c r="A528" s="2" t="s">
        <v>366</v>
      </c>
      <c r="B528" s="48" t="s">
        <v>1031</v>
      </c>
      <c r="C528" s="34"/>
      <c r="D528" s="2">
        <v>3.62</v>
      </c>
      <c r="E528" s="2" t="s">
        <v>362</v>
      </c>
      <c r="F528" s="35">
        <v>-1</v>
      </c>
      <c r="G528" s="2">
        <v>-1</v>
      </c>
      <c r="H528" s="2"/>
      <c r="I528" s="2">
        <v>1</v>
      </c>
      <c r="J528" s="29">
        <v>0</v>
      </c>
      <c r="K528">
        <v>0</v>
      </c>
      <c r="L528">
        <v>0</v>
      </c>
      <c r="M528" s="2">
        <v>3.86</v>
      </c>
      <c r="N528" s="2">
        <v>3.86</v>
      </c>
      <c r="O528" s="2">
        <v>25.35</v>
      </c>
      <c r="P528" s="2" t="s">
        <v>519</v>
      </c>
      <c r="Q528" s="5"/>
      <c r="R528" s="41">
        <v>0</v>
      </c>
      <c r="S528" s="5"/>
      <c r="T528" s="5"/>
      <c r="U528">
        <v>0</v>
      </c>
      <c r="X528">
        <v>0</v>
      </c>
      <c r="AA528" s="5"/>
      <c r="AB528" s="5">
        <v>20</v>
      </c>
      <c r="AC528" s="55">
        <f t="shared" si="52"/>
        <v>377.70486</v>
      </c>
      <c r="AD528" s="57">
        <v>0</v>
      </c>
      <c r="AE528" s="55">
        <v>0</v>
      </c>
      <c r="AF528" s="55">
        <v>0</v>
      </c>
      <c r="AG528" s="52">
        <f t="shared" si="56"/>
        <v>5.2951397024650411E-2</v>
      </c>
      <c r="AH528" s="52"/>
      <c r="AI528" s="52"/>
      <c r="AJ528" s="52"/>
      <c r="AK528" s="5">
        <v>1.5161290322580649</v>
      </c>
      <c r="AL528" s="5">
        <v>1.5483870967741939</v>
      </c>
      <c r="AM528" s="5">
        <v>0.38709677419354838</v>
      </c>
      <c r="AN528" s="5">
        <v>0</v>
      </c>
      <c r="AO528" s="5">
        <v>0.43925233644859812</v>
      </c>
      <c r="AP528" s="5">
        <v>0.44859813084112149</v>
      </c>
      <c r="AQ528" s="5">
        <v>0.1121495327102804</v>
      </c>
      <c r="AR528" s="5">
        <v>0</v>
      </c>
      <c r="AS528" s="41">
        <v>1</v>
      </c>
      <c r="AT528" s="41">
        <v>3.44</v>
      </c>
      <c r="AU528" s="41">
        <v>2.44</v>
      </c>
      <c r="AV528" s="41">
        <v>2.5096774193548388</v>
      </c>
      <c r="AW528" s="5">
        <v>2.5096774193548388</v>
      </c>
      <c r="AX528" s="5">
        <v>6.587448138458452</v>
      </c>
      <c r="AY528" s="75"/>
      <c r="AZ528" s="75"/>
      <c r="BA528" s="75"/>
      <c r="BB528">
        <v>2.6475698512325209E-2</v>
      </c>
      <c r="BF528">
        <v>5.2951397024650411E-2</v>
      </c>
      <c r="BG528">
        <v>2.6475698512325209E-2</v>
      </c>
      <c r="BH528">
        <v>0</v>
      </c>
    </row>
    <row r="529" spans="1:60" x14ac:dyDescent="0.3">
      <c r="A529" s="2" t="s">
        <v>367</v>
      </c>
      <c r="B529" s="48" t="s">
        <v>1032</v>
      </c>
      <c r="C529" s="34"/>
      <c r="D529" s="2">
        <v>3.55</v>
      </c>
      <c r="E529" s="2" t="s">
        <v>362</v>
      </c>
      <c r="F529" s="35">
        <v>-1</v>
      </c>
      <c r="G529" s="2">
        <v>-1</v>
      </c>
      <c r="H529" s="2"/>
      <c r="I529" s="2">
        <v>1</v>
      </c>
      <c r="J529" s="29">
        <v>0</v>
      </c>
      <c r="K529">
        <v>0</v>
      </c>
      <c r="L529">
        <v>0</v>
      </c>
      <c r="M529" s="2">
        <v>3.86</v>
      </c>
      <c r="N529" s="2">
        <v>3.86</v>
      </c>
      <c r="O529" s="2">
        <v>29.53</v>
      </c>
      <c r="P529" s="2" t="s">
        <v>519</v>
      </c>
      <c r="Q529" s="5"/>
      <c r="R529" s="41">
        <v>0</v>
      </c>
      <c r="S529" s="5"/>
      <c r="T529" s="5"/>
      <c r="U529">
        <v>0</v>
      </c>
      <c r="X529">
        <v>0</v>
      </c>
      <c r="AA529" s="5"/>
      <c r="AB529" s="5">
        <v>20</v>
      </c>
      <c r="AC529" s="55">
        <f t="shared" si="52"/>
        <v>439.98518799999999</v>
      </c>
      <c r="AD529" s="57">
        <v>0</v>
      </c>
      <c r="AE529" s="55">
        <v>0</v>
      </c>
      <c r="AF529" s="55">
        <v>0</v>
      </c>
      <c r="AG529" s="52">
        <f t="shared" si="56"/>
        <v>4.5456075671347372E-2</v>
      </c>
      <c r="AH529" s="52"/>
      <c r="AI529" s="52"/>
      <c r="AJ529" s="52"/>
      <c r="AK529" s="5">
        <v>1.486486486486486</v>
      </c>
      <c r="AL529" s="5">
        <v>1.405405405405405</v>
      </c>
      <c r="AM529" s="5">
        <v>0.32432432432432429</v>
      </c>
      <c r="AN529" s="5">
        <v>0</v>
      </c>
      <c r="AO529" s="5">
        <v>0.4621848739495798</v>
      </c>
      <c r="AP529" s="5">
        <v>0.43697478991596639</v>
      </c>
      <c r="AQ529" s="5">
        <v>0.1008403361344538</v>
      </c>
      <c r="AR529" s="5">
        <v>0</v>
      </c>
      <c r="AS529" s="41">
        <v>1</v>
      </c>
      <c r="AT529" s="41">
        <v>3.44</v>
      </c>
      <c r="AU529" s="41">
        <v>2.44</v>
      </c>
      <c r="AV529" s="41">
        <v>2.4783783783783782</v>
      </c>
      <c r="AW529" s="5">
        <v>2.478378378378379</v>
      </c>
      <c r="AX529" s="5">
        <v>6.6334961919896216</v>
      </c>
      <c r="AY529" s="75"/>
      <c r="AZ529" s="75"/>
      <c r="BA529" s="75"/>
      <c r="BB529">
        <v>2.272803783567369E-2</v>
      </c>
      <c r="BF529">
        <v>4.5456075671347372E-2</v>
      </c>
      <c r="BG529">
        <v>2.272803783567369E-2</v>
      </c>
      <c r="BH529">
        <v>0</v>
      </c>
    </row>
    <row r="530" spans="1:60" x14ac:dyDescent="0.3">
      <c r="A530" s="2" t="s">
        <v>368</v>
      </c>
      <c r="B530" s="48" t="s">
        <v>1033</v>
      </c>
      <c r="C530" s="34"/>
      <c r="D530" s="2">
        <v>2.6</v>
      </c>
      <c r="E530" s="2" t="s">
        <v>362</v>
      </c>
      <c r="F530" s="35">
        <v>-1</v>
      </c>
      <c r="G530" s="2">
        <v>-1</v>
      </c>
      <c r="H530" s="2"/>
      <c r="I530" s="2">
        <v>1</v>
      </c>
      <c r="J530" s="29">
        <v>0</v>
      </c>
      <c r="K530">
        <v>0</v>
      </c>
      <c r="L530">
        <v>0</v>
      </c>
      <c r="M530" s="2">
        <v>3.86</v>
      </c>
      <c r="N530" s="2">
        <v>3.86</v>
      </c>
      <c r="O530" s="2">
        <v>33.53</v>
      </c>
      <c r="P530" s="2" t="s">
        <v>519</v>
      </c>
      <c r="Q530" s="5"/>
      <c r="R530" s="41">
        <v>0</v>
      </c>
      <c r="S530" s="5"/>
      <c r="T530" s="5"/>
      <c r="U530">
        <v>0</v>
      </c>
      <c r="X530">
        <v>0</v>
      </c>
      <c r="AA530" s="5"/>
      <c r="AB530" s="5">
        <v>20</v>
      </c>
      <c r="AC530" s="55">
        <f t="shared" si="52"/>
        <v>499.58358800000002</v>
      </c>
      <c r="AD530" s="57">
        <v>0</v>
      </c>
      <c r="AE530" s="55">
        <v>0</v>
      </c>
      <c r="AF530" s="55">
        <v>0</v>
      </c>
      <c r="AG530" s="52">
        <f t="shared" si="56"/>
        <v>4.0033340726957585E-2</v>
      </c>
      <c r="AH530" s="52"/>
      <c r="AI530" s="52"/>
      <c r="AJ530" s="52"/>
      <c r="AK530" s="5">
        <v>1.4651162790697669</v>
      </c>
      <c r="AL530" s="5">
        <v>1.3023255813953489</v>
      </c>
      <c r="AM530" s="5">
        <v>0.27906976744186052</v>
      </c>
      <c r="AN530" s="5">
        <v>0</v>
      </c>
      <c r="AO530" s="5">
        <v>0.48091603053435111</v>
      </c>
      <c r="AP530" s="5">
        <v>0.4274809160305344</v>
      </c>
      <c r="AQ530" s="5">
        <v>9.1603053435114504E-2</v>
      </c>
      <c r="AR530" s="5">
        <v>0</v>
      </c>
      <c r="AS530" s="41">
        <v>1</v>
      </c>
      <c r="AT530" s="41">
        <v>3.44</v>
      </c>
      <c r="AU530" s="41">
        <v>2.44</v>
      </c>
      <c r="AV530" s="41">
        <v>2.4558139534883718</v>
      </c>
      <c r="AW530" s="5">
        <v>2.4558139534883718</v>
      </c>
      <c r="AX530" s="5">
        <v>6.6666936259306979</v>
      </c>
      <c r="AY530" s="75"/>
      <c r="AZ530" s="75"/>
      <c r="BA530" s="75"/>
      <c r="BB530">
        <v>2.0016670363478789E-2</v>
      </c>
      <c r="BF530">
        <v>4.0033340726957578E-2</v>
      </c>
      <c r="BG530">
        <v>2.0016670363478789E-2</v>
      </c>
      <c r="BH530">
        <v>0</v>
      </c>
    </row>
    <row r="531" spans="1:60" x14ac:dyDescent="0.3">
      <c r="A531" s="2" t="s">
        <v>353</v>
      </c>
      <c r="B531" s="13" t="s">
        <v>834</v>
      </c>
      <c r="C531" s="13"/>
      <c r="D531" s="2">
        <v>3.44</v>
      </c>
      <c r="E531" s="2" t="s">
        <v>380</v>
      </c>
      <c r="F531" s="9">
        <v>-1</v>
      </c>
      <c r="G531">
        <v>-1</v>
      </c>
      <c r="I531" s="2">
        <v>2</v>
      </c>
      <c r="J531" s="25">
        <v>0</v>
      </c>
      <c r="K531">
        <v>0</v>
      </c>
      <c r="L531">
        <v>0</v>
      </c>
      <c r="M531" s="2">
        <v>3.79</v>
      </c>
      <c r="N531" s="2">
        <v>3.79</v>
      </c>
      <c r="O531" s="2">
        <v>27.2</v>
      </c>
      <c r="P531" s="2" t="s">
        <v>519</v>
      </c>
      <c r="Q531" s="2">
        <v>13.6</v>
      </c>
      <c r="R531" s="25">
        <v>0</v>
      </c>
      <c r="U531">
        <v>0</v>
      </c>
      <c r="X531">
        <v>0</v>
      </c>
      <c r="AA531" s="2"/>
      <c r="AB531">
        <v>20</v>
      </c>
      <c r="AC531" s="55">
        <f t="shared" si="52"/>
        <v>390.70352000000003</v>
      </c>
      <c r="AD531" s="57">
        <v>0</v>
      </c>
      <c r="AE531" s="55">
        <v>0</v>
      </c>
      <c r="AF531" s="55">
        <v>0</v>
      </c>
      <c r="AG531" s="52">
        <f t="shared" si="56"/>
        <v>0.10237942058981193</v>
      </c>
      <c r="AH531" s="52"/>
      <c r="AI531" s="52"/>
      <c r="AJ531" s="52"/>
      <c r="AK531" s="28">
        <v>1.882352941176471</v>
      </c>
      <c r="AL531" s="28">
        <v>2.3529411764705879</v>
      </c>
      <c r="AM531" s="28">
        <v>0.47058823529411759</v>
      </c>
      <c r="AN531" s="28">
        <v>0</v>
      </c>
      <c r="AO531" s="28">
        <v>0.4</v>
      </c>
      <c r="AP531" s="28">
        <v>0.5</v>
      </c>
      <c r="AQ531" s="28">
        <v>9.9999999999999992E-2</v>
      </c>
      <c r="AR531" s="28">
        <v>0</v>
      </c>
      <c r="AS531" s="25">
        <v>1.1000000000000001</v>
      </c>
      <c r="AT531" s="25">
        <v>3.44</v>
      </c>
      <c r="AU531" s="25">
        <v>2.34</v>
      </c>
      <c r="AV531" s="25">
        <v>2.6835294117647059</v>
      </c>
      <c r="AW531">
        <v>2.6835294117647059</v>
      </c>
      <c r="AX531">
        <v>6.2493398705707062</v>
      </c>
      <c r="AY531" s="75"/>
      <c r="AZ531" s="75"/>
      <c r="BA531" s="75"/>
      <c r="BB531">
        <v>5.1189710294905967E-2</v>
      </c>
      <c r="BF531">
        <v>0.10237942058981191</v>
      </c>
      <c r="BG531">
        <v>5.1189710294905967E-2</v>
      </c>
      <c r="BH531">
        <v>0</v>
      </c>
    </row>
    <row r="532" spans="1:60" x14ac:dyDescent="0.3">
      <c r="A532" s="2" t="s">
        <v>369</v>
      </c>
      <c r="B532" s="18" t="s">
        <v>1034</v>
      </c>
      <c r="C532" s="13"/>
      <c r="D532" s="2">
        <v>3.34</v>
      </c>
      <c r="E532" s="2" t="s">
        <v>380</v>
      </c>
      <c r="F532" s="9">
        <v>-1</v>
      </c>
      <c r="G532">
        <v>-1</v>
      </c>
      <c r="I532" s="2">
        <v>2</v>
      </c>
      <c r="J532" s="25">
        <v>0</v>
      </c>
      <c r="K532">
        <v>0</v>
      </c>
      <c r="L532">
        <v>0</v>
      </c>
      <c r="M532" s="2">
        <v>3.83</v>
      </c>
      <c r="N532" s="2">
        <v>3.83</v>
      </c>
      <c r="O532" s="2">
        <v>36.700000000000003</v>
      </c>
      <c r="P532" s="2" t="s">
        <v>519</v>
      </c>
      <c r="Q532" s="2">
        <v>18.399999999999999</v>
      </c>
      <c r="R532" s="25">
        <v>0</v>
      </c>
      <c r="U532">
        <v>0</v>
      </c>
      <c r="X532">
        <v>0</v>
      </c>
      <c r="AA532" s="2"/>
      <c r="AB532">
        <v>20</v>
      </c>
      <c r="AC532" s="55">
        <f t="shared" ref="AC532:AC595" si="57">M532*N532*O532</f>
        <v>538.34863000000007</v>
      </c>
      <c r="AD532" s="57">
        <v>0</v>
      </c>
      <c r="AE532" s="55">
        <v>0</v>
      </c>
      <c r="AF532" s="55">
        <v>0</v>
      </c>
      <c r="AG532" s="52">
        <f t="shared" si="56"/>
        <v>7.4301294311829108E-2</v>
      </c>
      <c r="AH532" s="52"/>
      <c r="AI532" s="52"/>
      <c r="AJ532" s="52"/>
      <c r="AK532" s="28">
        <v>1.7391304347826091</v>
      </c>
      <c r="AL532" s="28">
        <v>1.956521739130435</v>
      </c>
      <c r="AM532" s="28">
        <v>0.34782608695652167</v>
      </c>
      <c r="AN532" s="28">
        <v>0</v>
      </c>
      <c r="AO532" s="28">
        <v>0.43010752688172038</v>
      </c>
      <c r="AP532" s="28">
        <v>0.48387096774193539</v>
      </c>
      <c r="AQ532" s="28">
        <v>8.6021505376344079E-2</v>
      </c>
      <c r="AR532" s="28">
        <v>0</v>
      </c>
      <c r="AS532" s="25">
        <v>1.1000000000000001</v>
      </c>
      <c r="AT532" s="25">
        <v>3.44</v>
      </c>
      <c r="AU532" s="25">
        <v>2.34</v>
      </c>
      <c r="AV532" s="25">
        <v>2.609130434782609</v>
      </c>
      <c r="AW532">
        <v>2.609130434782609</v>
      </c>
      <c r="AX532">
        <v>6.4538308176133041</v>
      </c>
      <c r="AY532" s="75"/>
      <c r="AZ532" s="75"/>
      <c r="BA532" s="75"/>
      <c r="BB532">
        <v>3.7150647155914547E-2</v>
      </c>
      <c r="BF532">
        <v>7.4301294311829108E-2</v>
      </c>
      <c r="BG532">
        <v>3.7150647155914547E-2</v>
      </c>
      <c r="BH532">
        <v>0</v>
      </c>
    </row>
    <row r="533" spans="1:60" x14ac:dyDescent="0.3">
      <c r="A533" s="2" t="s">
        <v>370</v>
      </c>
      <c r="B533" s="18" t="s">
        <v>1026</v>
      </c>
      <c r="C533" s="13"/>
      <c r="D533" s="2">
        <v>3.39</v>
      </c>
      <c r="E533" s="2" t="s">
        <v>380</v>
      </c>
      <c r="F533" s="9">
        <v>-1</v>
      </c>
      <c r="G533">
        <v>-1</v>
      </c>
      <c r="I533" s="2">
        <v>1</v>
      </c>
      <c r="J533" s="25">
        <v>0</v>
      </c>
      <c r="K533">
        <v>0</v>
      </c>
      <c r="L533">
        <v>0</v>
      </c>
      <c r="M533" s="2">
        <v>3.82</v>
      </c>
      <c r="N533" s="2">
        <v>3.82</v>
      </c>
      <c r="O533" s="2">
        <v>20.2</v>
      </c>
      <c r="P533" s="2" t="s">
        <v>519</v>
      </c>
      <c r="Q533" s="2">
        <v>20.2</v>
      </c>
      <c r="R533" s="25">
        <v>0</v>
      </c>
      <c r="U533">
        <v>0</v>
      </c>
      <c r="X533">
        <v>0</v>
      </c>
      <c r="AA533" s="2"/>
      <c r="AB533">
        <v>20</v>
      </c>
      <c r="AC533" s="55">
        <f t="shared" si="57"/>
        <v>294.76648</v>
      </c>
      <c r="AD533" s="57">
        <v>0</v>
      </c>
      <c r="AE533" s="55">
        <v>0</v>
      </c>
      <c r="AF533" s="55">
        <v>0</v>
      </c>
      <c r="AG533" s="52">
        <f t="shared" si="56"/>
        <v>6.7850320022819419E-2</v>
      </c>
      <c r="AH533" s="52"/>
      <c r="AI533" s="52"/>
      <c r="AJ533" s="52"/>
      <c r="AK533" s="28">
        <v>1.6923076923076921</v>
      </c>
      <c r="AL533" s="28">
        <v>1.8076923076923079</v>
      </c>
      <c r="AM533" s="28">
        <v>0.30769230769230771</v>
      </c>
      <c r="AN533" s="28">
        <v>0</v>
      </c>
      <c r="AO533" s="28">
        <v>0.44444444444444448</v>
      </c>
      <c r="AP533" s="28">
        <v>0.47474747474747481</v>
      </c>
      <c r="AQ533" s="28">
        <v>8.0808080808080815E-2</v>
      </c>
      <c r="AR533" s="28">
        <v>0</v>
      </c>
      <c r="AS533" s="25">
        <v>1.1000000000000001</v>
      </c>
      <c r="AT533" s="25">
        <v>3.44</v>
      </c>
      <c r="AU533" s="25">
        <v>2.34</v>
      </c>
      <c r="AV533" s="25">
        <v>2.5753846153846158</v>
      </c>
      <c r="AW533">
        <v>2.5753846153846149</v>
      </c>
      <c r="AX533">
        <v>6.5020131619541548</v>
      </c>
      <c r="AY533" s="75"/>
      <c r="AZ533" s="75"/>
      <c r="BA533" s="75"/>
      <c r="BB533">
        <v>3.3925160011409709E-2</v>
      </c>
      <c r="BF533">
        <v>6.7850320022819419E-2</v>
      </c>
      <c r="BG533">
        <v>3.3925160011409709E-2</v>
      </c>
      <c r="BH533">
        <v>0</v>
      </c>
    </row>
    <row r="534" spans="1:60" x14ac:dyDescent="0.3">
      <c r="A534" s="2" t="s">
        <v>371</v>
      </c>
      <c r="B534" s="18" t="s">
        <v>1035</v>
      </c>
      <c r="C534" s="13"/>
      <c r="D534" s="2">
        <v>3.4</v>
      </c>
      <c r="E534" s="2" t="s">
        <v>380</v>
      </c>
      <c r="F534" s="9">
        <v>-1</v>
      </c>
      <c r="G534">
        <v>-1</v>
      </c>
      <c r="I534" s="2">
        <v>1</v>
      </c>
      <c r="J534" s="25">
        <v>0</v>
      </c>
      <c r="K534">
        <v>0</v>
      </c>
      <c r="L534">
        <v>0</v>
      </c>
      <c r="M534" s="2">
        <v>3.82</v>
      </c>
      <c r="N534" s="2">
        <v>3.82</v>
      </c>
      <c r="O534" s="2">
        <v>21.7</v>
      </c>
      <c r="P534" s="2" t="s">
        <v>519</v>
      </c>
      <c r="Q534" s="2">
        <v>21.7</v>
      </c>
      <c r="R534" s="25">
        <v>0</v>
      </c>
      <c r="U534">
        <v>0</v>
      </c>
      <c r="X534">
        <v>0</v>
      </c>
      <c r="AA534" s="2"/>
      <c r="AB534">
        <v>20</v>
      </c>
      <c r="AC534" s="55">
        <f t="shared" si="57"/>
        <v>316.65508</v>
      </c>
      <c r="AD534" s="57">
        <v>0</v>
      </c>
      <c r="AE534" s="55">
        <v>0</v>
      </c>
      <c r="AF534" s="55">
        <v>0</v>
      </c>
      <c r="AG534" s="52">
        <f t="shared" si="56"/>
        <v>6.3160205735527761E-2</v>
      </c>
      <c r="AH534" s="52"/>
      <c r="AI534" s="52"/>
      <c r="AJ534" s="52"/>
      <c r="AK534" s="28">
        <v>1.655172413793103</v>
      </c>
      <c r="AL534" s="28">
        <v>1.6896551724137929</v>
      </c>
      <c r="AM534" s="28">
        <v>0.27586206896551718</v>
      </c>
      <c r="AN534" s="28">
        <v>0</v>
      </c>
      <c r="AO534" s="28">
        <v>0.45714285714285707</v>
      </c>
      <c r="AP534" s="28">
        <v>0.46666666666666667</v>
      </c>
      <c r="AQ534" s="28">
        <v>7.6190476190476197E-2</v>
      </c>
      <c r="AR534" s="28">
        <v>0</v>
      </c>
      <c r="AS534" s="25">
        <v>1.1000000000000001</v>
      </c>
      <c r="AT534" s="25">
        <v>3.44</v>
      </c>
      <c r="AU534" s="25">
        <v>2.34</v>
      </c>
      <c r="AV534" s="25">
        <v>2.5486206896551722</v>
      </c>
      <c r="AW534">
        <v>2.5486206896551722</v>
      </c>
      <c r="AX534">
        <v>6.5402267453968976</v>
      </c>
      <c r="AY534" s="75"/>
      <c r="AZ534" s="75"/>
      <c r="BA534" s="75"/>
      <c r="BB534">
        <v>3.158010286776388E-2</v>
      </c>
      <c r="BF534">
        <v>6.3160205735527761E-2</v>
      </c>
      <c r="BG534">
        <v>3.158010286776388E-2</v>
      </c>
      <c r="BH534">
        <v>0</v>
      </c>
    </row>
    <row r="535" spans="1:60" x14ac:dyDescent="0.3">
      <c r="A535" s="2" t="s">
        <v>372</v>
      </c>
      <c r="B535" s="18" t="s">
        <v>1036</v>
      </c>
      <c r="C535" s="13"/>
      <c r="D535" s="2">
        <v>3.42</v>
      </c>
      <c r="E535" s="2" t="s">
        <v>380</v>
      </c>
      <c r="F535" s="9">
        <v>-1</v>
      </c>
      <c r="G535">
        <v>-1</v>
      </c>
      <c r="I535" s="2">
        <v>1</v>
      </c>
      <c r="J535" s="25">
        <v>0</v>
      </c>
      <c r="K535">
        <v>0</v>
      </c>
      <c r="L535">
        <v>0</v>
      </c>
      <c r="M535" s="2">
        <v>3.81</v>
      </c>
      <c r="N535" s="2">
        <v>3.81</v>
      </c>
      <c r="O535" s="2">
        <v>24.7</v>
      </c>
      <c r="P535" s="2" t="s">
        <v>519</v>
      </c>
      <c r="Q535" s="2">
        <v>24.7</v>
      </c>
      <c r="R535" s="25">
        <v>0</v>
      </c>
      <c r="U535">
        <v>0</v>
      </c>
      <c r="X535">
        <v>0</v>
      </c>
      <c r="AA535" s="2"/>
      <c r="AB535">
        <v>20</v>
      </c>
      <c r="AC535" s="55">
        <f t="shared" si="57"/>
        <v>358.54766999999998</v>
      </c>
      <c r="AD535" s="57">
        <v>0</v>
      </c>
      <c r="AE535" s="55">
        <v>0</v>
      </c>
      <c r="AF535" s="55">
        <v>0</v>
      </c>
      <c r="AG535" s="52">
        <f t="shared" si="56"/>
        <v>5.5780588394285201E-2</v>
      </c>
      <c r="AH535" s="52"/>
      <c r="AI535" s="52"/>
      <c r="AJ535" s="52"/>
      <c r="AK535" s="28">
        <v>1.625</v>
      </c>
      <c r="AL535" s="28">
        <v>1.59375</v>
      </c>
      <c r="AM535" s="28">
        <v>0.25</v>
      </c>
      <c r="AN535" s="28">
        <v>0</v>
      </c>
      <c r="AO535" s="28">
        <v>0.46846846846846851</v>
      </c>
      <c r="AP535" s="28">
        <v>0.45945945945945948</v>
      </c>
      <c r="AQ535" s="28">
        <v>7.2072072072072071E-2</v>
      </c>
      <c r="AR535" s="28">
        <v>0</v>
      </c>
      <c r="AS535" s="25">
        <v>1.1000000000000001</v>
      </c>
      <c r="AT535" s="25">
        <v>3.44</v>
      </c>
      <c r="AU535" s="25">
        <v>2.34</v>
      </c>
      <c r="AV535" s="25">
        <v>2.526875</v>
      </c>
      <c r="AW535">
        <v>2.526875</v>
      </c>
      <c r="AX535">
        <v>6.5712752819441249</v>
      </c>
      <c r="AY535" s="75"/>
      <c r="AZ535" s="75"/>
      <c r="BA535" s="75"/>
      <c r="BB535">
        <v>2.78902941971426E-2</v>
      </c>
      <c r="BF535">
        <v>5.5780588394285201E-2</v>
      </c>
      <c r="BG535">
        <v>2.78902941971426E-2</v>
      </c>
      <c r="BH535">
        <v>0</v>
      </c>
    </row>
    <row r="536" spans="1:60" x14ac:dyDescent="0.3">
      <c r="A536" s="2" t="s">
        <v>373</v>
      </c>
      <c r="B536" s="18" t="s">
        <v>1037</v>
      </c>
      <c r="C536" s="13"/>
      <c r="D536" s="2">
        <v>3.41</v>
      </c>
      <c r="E536" s="2" t="s">
        <v>380</v>
      </c>
      <c r="F536" s="9">
        <v>-1</v>
      </c>
      <c r="G536">
        <v>-1</v>
      </c>
      <c r="I536" s="2">
        <v>1</v>
      </c>
      <c r="J536" s="25">
        <v>0</v>
      </c>
      <c r="K536">
        <v>0</v>
      </c>
      <c r="L536">
        <v>0</v>
      </c>
      <c r="M536" s="2">
        <v>3.87</v>
      </c>
      <c r="N536" s="2">
        <v>3.87</v>
      </c>
      <c r="O536" s="2">
        <v>29.4</v>
      </c>
      <c r="P536" s="2" t="s">
        <v>519</v>
      </c>
      <c r="Q536" s="2">
        <v>29.4</v>
      </c>
      <c r="R536" s="25">
        <v>0</v>
      </c>
      <c r="U536">
        <v>0</v>
      </c>
      <c r="X536">
        <v>0</v>
      </c>
      <c r="AA536" s="2"/>
      <c r="AB536">
        <v>20</v>
      </c>
      <c r="AC536" s="55">
        <f t="shared" si="57"/>
        <v>440.32085999999998</v>
      </c>
      <c r="AD536" s="57">
        <v>0</v>
      </c>
      <c r="AE536" s="55">
        <v>0</v>
      </c>
      <c r="AF536" s="55">
        <v>0</v>
      </c>
      <c r="AG536" s="52">
        <f t="shared" si="56"/>
        <v>4.5421422914190351E-2</v>
      </c>
      <c r="AH536" s="52"/>
      <c r="AI536" s="52"/>
      <c r="AJ536" s="52"/>
      <c r="AK536" s="28">
        <v>1.5789473684210531</v>
      </c>
      <c r="AL536" s="28">
        <v>1.4473684210526321</v>
      </c>
      <c r="AM536" s="28">
        <v>0.2105263157894737</v>
      </c>
      <c r="AN536" s="28">
        <v>0</v>
      </c>
      <c r="AO536" s="28">
        <v>0.48780487804878048</v>
      </c>
      <c r="AP536" s="28">
        <v>0.44715447154471538</v>
      </c>
      <c r="AQ536" s="28">
        <v>6.5040650406504058E-2</v>
      </c>
      <c r="AR536" s="28">
        <v>0</v>
      </c>
      <c r="AS536" s="25">
        <v>1.1000000000000001</v>
      </c>
      <c r="AT536" s="25">
        <v>3.44</v>
      </c>
      <c r="AU536" s="25">
        <v>2.34</v>
      </c>
      <c r="AV536" s="25">
        <v>2.4936842105263159</v>
      </c>
      <c r="AW536">
        <v>2.4936842105263159</v>
      </c>
      <c r="AX536">
        <v>6.6186651535162104</v>
      </c>
      <c r="AY536" s="75"/>
      <c r="AZ536" s="75"/>
      <c r="BA536" s="75"/>
      <c r="BB536">
        <v>2.2710711457095179E-2</v>
      </c>
      <c r="BF536">
        <v>4.5421422914190351E-2</v>
      </c>
      <c r="BG536">
        <v>2.2710711457095179E-2</v>
      </c>
      <c r="BH536">
        <v>0</v>
      </c>
    </row>
    <row r="537" spans="1:60" x14ac:dyDescent="0.3">
      <c r="A537" s="2" t="s">
        <v>374</v>
      </c>
      <c r="B537" s="18" t="s">
        <v>1038</v>
      </c>
      <c r="C537" s="13"/>
      <c r="D537" s="2">
        <v>3.4</v>
      </c>
      <c r="E537" s="2" t="s">
        <v>380</v>
      </c>
      <c r="F537" s="9">
        <v>-1</v>
      </c>
      <c r="G537">
        <v>-1</v>
      </c>
      <c r="I537" s="2">
        <v>1</v>
      </c>
      <c r="J537" s="25">
        <v>0</v>
      </c>
      <c r="K537">
        <v>0</v>
      </c>
      <c r="L537">
        <v>0</v>
      </c>
      <c r="M537" s="2">
        <v>3.85</v>
      </c>
      <c r="N537" s="2">
        <v>3.85</v>
      </c>
      <c r="O537" s="2">
        <v>34.200000000000003</v>
      </c>
      <c r="P537" s="2" t="s">
        <v>519</v>
      </c>
      <c r="Q537" s="2">
        <v>34.200000000000003</v>
      </c>
      <c r="R537" s="25">
        <v>0</v>
      </c>
      <c r="U537">
        <v>0</v>
      </c>
      <c r="X537">
        <v>0</v>
      </c>
      <c r="AA537" s="2"/>
      <c r="AB537">
        <v>20</v>
      </c>
      <c r="AC537" s="55">
        <f t="shared" si="57"/>
        <v>506.92950000000008</v>
      </c>
      <c r="AD537" s="57">
        <v>0</v>
      </c>
      <c r="AE537" s="55">
        <v>0</v>
      </c>
      <c r="AF537" s="55">
        <v>0</v>
      </c>
      <c r="AG537" s="52">
        <f t="shared" si="56"/>
        <v>3.9453217853764669E-2</v>
      </c>
      <c r="AH537" s="52"/>
      <c r="AI537" s="52"/>
      <c r="AJ537" s="52"/>
      <c r="AK537" s="28">
        <v>1.545454545454545</v>
      </c>
      <c r="AL537" s="28">
        <v>1.3409090909090911</v>
      </c>
      <c r="AM537" s="28">
        <v>0.1818181818181818</v>
      </c>
      <c r="AN537" s="28">
        <v>0</v>
      </c>
      <c r="AO537" s="28">
        <v>0.50370370370370365</v>
      </c>
      <c r="AP537" s="28">
        <v>0.437037037037037</v>
      </c>
      <c r="AQ537" s="28">
        <v>5.9259259259259248E-2</v>
      </c>
      <c r="AR537" s="28">
        <v>0</v>
      </c>
      <c r="AS537" s="25">
        <v>1.1000000000000001</v>
      </c>
      <c r="AT537" s="25">
        <v>3.44</v>
      </c>
      <c r="AU537" s="25">
        <v>2.34</v>
      </c>
      <c r="AV537" s="25">
        <v>2.4695454545454552</v>
      </c>
      <c r="AW537">
        <v>2.4695454545454538</v>
      </c>
      <c r="AX537">
        <v>6.6531305146595452</v>
      </c>
      <c r="AY537" s="75"/>
      <c r="AZ537" s="75"/>
      <c r="BA537" s="75"/>
      <c r="BB537">
        <v>1.9726608926882331E-2</v>
      </c>
      <c r="BF537">
        <v>3.9453217853764669E-2</v>
      </c>
      <c r="BG537">
        <v>1.9726608926882331E-2</v>
      </c>
      <c r="BH537">
        <v>0</v>
      </c>
    </row>
    <row r="538" spans="1:60" x14ac:dyDescent="0.3">
      <c r="A538" s="2" t="s">
        <v>375</v>
      </c>
      <c r="B538" s="18" t="s">
        <v>1039</v>
      </c>
      <c r="C538" s="13"/>
      <c r="D538" s="2">
        <v>3.33</v>
      </c>
      <c r="E538" s="2" t="s">
        <v>380</v>
      </c>
      <c r="F538" s="9">
        <v>-1</v>
      </c>
      <c r="G538">
        <v>-1</v>
      </c>
      <c r="I538" s="2">
        <v>2</v>
      </c>
      <c r="J538" s="25">
        <v>0</v>
      </c>
      <c r="K538">
        <v>0</v>
      </c>
      <c r="L538">
        <v>0</v>
      </c>
      <c r="M538" s="2">
        <v>3.81</v>
      </c>
      <c r="N538" s="2">
        <v>3.81</v>
      </c>
      <c r="O538" s="2">
        <v>35.1</v>
      </c>
      <c r="P538" s="2" t="s">
        <v>519</v>
      </c>
      <c r="Q538" s="2">
        <v>17.600000000000001</v>
      </c>
      <c r="R538" s="25">
        <v>0</v>
      </c>
      <c r="U538">
        <v>0</v>
      </c>
      <c r="X538">
        <v>0</v>
      </c>
      <c r="AA538" s="2"/>
      <c r="AB538">
        <v>20</v>
      </c>
      <c r="AC538" s="55">
        <f t="shared" si="57"/>
        <v>509.51510999999999</v>
      </c>
      <c r="AD538" s="57">
        <v>0</v>
      </c>
      <c r="AE538" s="55">
        <v>0</v>
      </c>
      <c r="AF538" s="55">
        <v>0</v>
      </c>
      <c r="AG538" s="52">
        <f t="shared" si="56"/>
        <v>7.8506013295660648E-2</v>
      </c>
      <c r="AH538" s="52"/>
      <c r="AI538" s="52"/>
      <c r="AJ538" s="52"/>
      <c r="AK538" s="28">
        <v>1.7727272727272729</v>
      </c>
      <c r="AL538" s="28">
        <v>2.0909090909090908</v>
      </c>
      <c r="AM538" s="28">
        <v>0.36363636363636359</v>
      </c>
      <c r="AN538" s="28">
        <v>0</v>
      </c>
      <c r="AO538" s="28">
        <v>0.41935483870967738</v>
      </c>
      <c r="AP538" s="28">
        <v>0.49462365591397839</v>
      </c>
      <c r="AQ538" s="28">
        <v>8.6021505376344079E-2</v>
      </c>
      <c r="AR538" s="28">
        <v>0</v>
      </c>
      <c r="AS538" s="25">
        <v>1.1000000000000001</v>
      </c>
      <c r="AT538" s="25">
        <v>3.44</v>
      </c>
      <c r="AU538" s="25">
        <v>2.34</v>
      </c>
      <c r="AV538" s="25">
        <v>2.645909090909091</v>
      </c>
      <c r="AW538">
        <v>2.645909090909091</v>
      </c>
      <c r="AX538">
        <v>6.4349594388752269</v>
      </c>
      <c r="AY538" s="75"/>
      <c r="AZ538" s="75"/>
      <c r="BA538" s="75"/>
      <c r="BB538">
        <v>4.3178307312613358E-2</v>
      </c>
      <c r="BF538">
        <v>7.8506013295660648E-2</v>
      </c>
      <c r="BG538">
        <v>4.3178307312613358E-2</v>
      </c>
      <c r="BH538">
        <v>0</v>
      </c>
    </row>
    <row r="539" spans="1:60" x14ac:dyDescent="0.3">
      <c r="A539" s="2" t="s">
        <v>376</v>
      </c>
      <c r="B539" s="18" t="s">
        <v>1027</v>
      </c>
      <c r="C539" s="13"/>
      <c r="D539" s="2">
        <v>3.41</v>
      </c>
      <c r="E539" s="2" t="s">
        <v>380</v>
      </c>
      <c r="F539" s="9">
        <v>-1</v>
      </c>
      <c r="G539">
        <v>-1</v>
      </c>
      <c r="I539" s="2">
        <v>2</v>
      </c>
      <c r="J539" s="25">
        <v>0</v>
      </c>
      <c r="K539">
        <v>0</v>
      </c>
      <c r="L539">
        <v>0</v>
      </c>
      <c r="M539" s="2">
        <v>3.83</v>
      </c>
      <c r="N539" s="2">
        <v>3.83</v>
      </c>
      <c r="O539" s="2">
        <v>39.5</v>
      </c>
      <c r="P539" s="2" t="s">
        <v>519</v>
      </c>
      <c r="Q539" s="2">
        <v>19.8</v>
      </c>
      <c r="R539" s="25">
        <v>0</v>
      </c>
      <c r="U539">
        <v>0</v>
      </c>
      <c r="X539">
        <v>0</v>
      </c>
      <c r="AA539" s="2"/>
      <c r="AB539">
        <v>20</v>
      </c>
      <c r="AC539" s="55">
        <f t="shared" si="57"/>
        <v>579.42155000000002</v>
      </c>
      <c r="AD539" s="57">
        <v>0</v>
      </c>
      <c r="AE539" s="55">
        <v>0</v>
      </c>
      <c r="AF539" s="55">
        <v>0</v>
      </c>
      <c r="AG539" s="52">
        <f t="shared" si="56"/>
        <v>6.9034367120104523E-2</v>
      </c>
      <c r="AH539" s="52"/>
      <c r="AI539" s="52"/>
      <c r="AJ539" s="52"/>
      <c r="AK539" s="28">
        <v>1.72</v>
      </c>
      <c r="AL539" s="28">
        <v>1.92</v>
      </c>
      <c r="AM539" s="28">
        <v>0.32</v>
      </c>
      <c r="AN539" s="28">
        <v>0</v>
      </c>
      <c r="AO539" s="28">
        <v>0.43434343434343442</v>
      </c>
      <c r="AP539" s="28">
        <v>0.48484848484848492</v>
      </c>
      <c r="AQ539" s="28">
        <v>8.0808080808080815E-2</v>
      </c>
      <c r="AR539" s="28">
        <v>0</v>
      </c>
      <c r="AS539" s="25">
        <v>1.1000000000000001</v>
      </c>
      <c r="AT539" s="25">
        <v>3.44</v>
      </c>
      <c r="AU539" s="25">
        <v>2.34</v>
      </c>
      <c r="AV539" s="25">
        <v>2.6063999999999998</v>
      </c>
      <c r="AW539">
        <v>2.6063999999999998</v>
      </c>
      <c r="AX539">
        <v>6.4873336424382799</v>
      </c>
      <c r="AY539" s="75"/>
      <c r="AZ539" s="75"/>
      <c r="BA539" s="75"/>
      <c r="BB539">
        <v>3.7968901916057493E-2</v>
      </c>
      <c r="BF539">
        <v>6.9034367120104523E-2</v>
      </c>
      <c r="BG539">
        <v>3.7968901916057493E-2</v>
      </c>
      <c r="BH539">
        <v>0</v>
      </c>
    </row>
    <row r="540" spans="1:60" x14ac:dyDescent="0.3">
      <c r="A540" s="2" t="s">
        <v>377</v>
      </c>
      <c r="B540" s="18" t="s">
        <v>1040</v>
      </c>
      <c r="C540" s="13"/>
      <c r="D540" s="2">
        <v>3.38</v>
      </c>
      <c r="E540" s="2" t="s">
        <v>380</v>
      </c>
      <c r="F540" s="9">
        <v>-1</v>
      </c>
      <c r="G540">
        <v>-1</v>
      </c>
      <c r="I540" s="2">
        <v>2</v>
      </c>
      <c r="J540" s="25">
        <v>0</v>
      </c>
      <c r="K540">
        <v>0</v>
      </c>
      <c r="L540">
        <v>0</v>
      </c>
      <c r="M540" s="2">
        <v>3.83</v>
      </c>
      <c r="N540" s="2">
        <v>3.83</v>
      </c>
      <c r="O540" s="2">
        <v>44.2</v>
      </c>
      <c r="P540" s="2" t="s">
        <v>519</v>
      </c>
      <c r="Q540" s="2">
        <v>22.1</v>
      </c>
      <c r="R540" s="25">
        <v>0</v>
      </c>
      <c r="U540">
        <v>0</v>
      </c>
      <c r="X540">
        <v>0</v>
      </c>
      <c r="AA540" s="2"/>
      <c r="AB540">
        <v>20</v>
      </c>
      <c r="AC540" s="55">
        <f t="shared" si="57"/>
        <v>648.36538000000007</v>
      </c>
      <c r="AD540" s="57">
        <v>0</v>
      </c>
      <c r="AE540" s="55">
        <v>0</v>
      </c>
      <c r="AF540" s="55">
        <v>0</v>
      </c>
      <c r="AG540" s="52">
        <f t="shared" si="56"/>
        <v>6.1693608625432772E-2</v>
      </c>
      <c r="AH540" s="52"/>
      <c r="AI540" s="52"/>
      <c r="AJ540" s="52"/>
      <c r="AK540" s="28">
        <v>1.678571428571429</v>
      </c>
      <c r="AL540" s="28">
        <v>1.785714285714286</v>
      </c>
      <c r="AM540" s="28">
        <v>0.2857142857142857</v>
      </c>
      <c r="AN540" s="28">
        <v>0</v>
      </c>
      <c r="AO540" s="28">
        <v>0.44761904761904758</v>
      </c>
      <c r="AP540" s="28">
        <v>0.47619047619047622</v>
      </c>
      <c r="AQ540" s="28">
        <v>7.6190476190476183E-2</v>
      </c>
      <c r="AR540" s="28">
        <v>0</v>
      </c>
      <c r="AS540" s="25">
        <v>1.1000000000000001</v>
      </c>
      <c r="AT540" s="25">
        <v>3.44</v>
      </c>
      <c r="AU540" s="25">
        <v>2.34</v>
      </c>
      <c r="AV540" s="25">
        <v>2.5753571428571429</v>
      </c>
      <c r="AW540">
        <v>2.5753571428571429</v>
      </c>
      <c r="AX540">
        <v>6.5284848023806781</v>
      </c>
      <c r="AY540" s="75"/>
      <c r="AZ540" s="75"/>
      <c r="BA540" s="75"/>
      <c r="BB540">
        <v>3.3931484743988022E-2</v>
      </c>
      <c r="BF540">
        <v>6.1693608625432772E-2</v>
      </c>
      <c r="BG540">
        <v>3.3931484743988022E-2</v>
      </c>
      <c r="BH540">
        <v>0</v>
      </c>
    </row>
    <row r="541" spans="1:60" x14ac:dyDescent="0.3">
      <c r="A541" s="2" t="s">
        <v>378</v>
      </c>
      <c r="B541" s="18" t="s">
        <v>1041</v>
      </c>
      <c r="C541" s="13"/>
      <c r="D541" s="2">
        <v>3.4</v>
      </c>
      <c r="E541" s="2" t="s">
        <v>380</v>
      </c>
      <c r="F541" s="9">
        <v>-1</v>
      </c>
      <c r="G541">
        <v>-1</v>
      </c>
      <c r="I541" s="2">
        <v>2</v>
      </c>
      <c r="J541" s="25">
        <v>0</v>
      </c>
      <c r="K541">
        <v>0</v>
      </c>
      <c r="L541">
        <v>0</v>
      </c>
      <c r="M541" s="2">
        <v>3.82</v>
      </c>
      <c r="N541" s="2">
        <v>3.82</v>
      </c>
      <c r="O541" s="2">
        <v>48.5</v>
      </c>
      <c r="P541" s="2" t="s">
        <v>519</v>
      </c>
      <c r="Q541" s="2">
        <v>24.3</v>
      </c>
      <c r="R541" s="25">
        <v>0</v>
      </c>
      <c r="U541">
        <v>0</v>
      </c>
      <c r="X541">
        <v>0</v>
      </c>
      <c r="AA541" s="2"/>
      <c r="AB541">
        <v>20</v>
      </c>
      <c r="AC541" s="55">
        <f t="shared" si="57"/>
        <v>707.73140000000001</v>
      </c>
      <c r="AD541" s="57">
        <v>0</v>
      </c>
      <c r="AE541" s="55">
        <v>0</v>
      </c>
      <c r="AF541" s="55">
        <v>0</v>
      </c>
      <c r="AG541" s="52">
        <f t="shared" si="56"/>
        <v>5.6518617091173291E-2</v>
      </c>
      <c r="AH541" s="52"/>
      <c r="AI541" s="52"/>
      <c r="AJ541" s="52"/>
      <c r="AK541" s="28">
        <v>1.645161290322581</v>
      </c>
      <c r="AL541" s="28">
        <v>1.67741935483871</v>
      </c>
      <c r="AM541" s="28">
        <v>0.25806451612903231</v>
      </c>
      <c r="AN541" s="28">
        <v>0</v>
      </c>
      <c r="AO541" s="28">
        <v>0.45945945945945948</v>
      </c>
      <c r="AP541" s="28">
        <v>0.46846846846846851</v>
      </c>
      <c r="AQ541" s="28">
        <v>7.2072072072072071E-2</v>
      </c>
      <c r="AR541" s="28">
        <v>0</v>
      </c>
      <c r="AS541" s="25">
        <v>1.1000000000000001</v>
      </c>
      <c r="AT541" s="25">
        <v>3.44</v>
      </c>
      <c r="AU541" s="25">
        <v>2.34</v>
      </c>
      <c r="AV541" s="25">
        <v>2.5503225806451608</v>
      </c>
      <c r="AW541">
        <v>2.5503225806451608</v>
      </c>
      <c r="AX541">
        <v>6.5616712216890649</v>
      </c>
      <c r="AY541" s="75"/>
      <c r="AZ541" s="75"/>
      <c r="BA541" s="75"/>
      <c r="BB541">
        <v>3.108523940014531E-2</v>
      </c>
      <c r="BF541">
        <v>5.6518617091173291E-2</v>
      </c>
      <c r="BG541">
        <v>3.108523940014531E-2</v>
      </c>
      <c r="BH541">
        <v>0</v>
      </c>
    </row>
    <row r="542" spans="1:60" x14ac:dyDescent="0.3">
      <c r="A542" s="2" t="s">
        <v>379</v>
      </c>
      <c r="B542" s="18" t="s">
        <v>1042</v>
      </c>
      <c r="C542" s="13"/>
      <c r="D542" s="2">
        <v>3.4</v>
      </c>
      <c r="E542" s="2" t="s">
        <v>380</v>
      </c>
      <c r="F542" s="9">
        <v>-1</v>
      </c>
      <c r="G542">
        <v>-1</v>
      </c>
      <c r="I542" s="2">
        <v>1</v>
      </c>
      <c r="J542" s="25">
        <v>0</v>
      </c>
      <c r="K542">
        <v>0</v>
      </c>
      <c r="L542">
        <v>0</v>
      </c>
      <c r="M542" s="2">
        <v>3.82</v>
      </c>
      <c r="N542" s="2">
        <v>3.82</v>
      </c>
      <c r="O542" s="2">
        <v>29.2</v>
      </c>
      <c r="P542" s="2" t="s">
        <v>519</v>
      </c>
      <c r="Q542" s="2">
        <v>29.2</v>
      </c>
      <c r="R542" s="25">
        <v>0</v>
      </c>
      <c r="U542">
        <v>0</v>
      </c>
      <c r="X542">
        <v>0</v>
      </c>
      <c r="AA542" s="2"/>
      <c r="AB542">
        <v>20</v>
      </c>
      <c r="AC542" s="55">
        <f t="shared" si="57"/>
        <v>426.09807999999998</v>
      </c>
      <c r="AD542" s="57">
        <v>0</v>
      </c>
      <c r="AE542" s="55">
        <v>0</v>
      </c>
      <c r="AF542" s="55">
        <v>0</v>
      </c>
      <c r="AG542" s="52">
        <f t="shared" si="56"/>
        <v>4.6937550152772338E-2</v>
      </c>
      <c r="AH542" s="52"/>
      <c r="AI542" s="52"/>
      <c r="AJ542" s="52"/>
      <c r="AK542" s="28">
        <v>1.594594594594595</v>
      </c>
      <c r="AL542" s="28">
        <v>1.513513513513514</v>
      </c>
      <c r="AM542" s="28">
        <v>0.2162162162162162</v>
      </c>
      <c r="AN542" s="28">
        <v>0</v>
      </c>
      <c r="AO542" s="28">
        <v>0.47967479674796748</v>
      </c>
      <c r="AP542" s="28">
        <v>0.45528455284552849</v>
      </c>
      <c r="AQ542" s="28">
        <v>6.5040650406504072E-2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2.512432432432433</v>
      </c>
      <c r="AW542">
        <v>2.512432432432433</v>
      </c>
      <c r="AX542">
        <v>6.6118993157774328</v>
      </c>
      <c r="AY542" s="75"/>
      <c r="AZ542" s="75"/>
      <c r="BA542" s="75"/>
      <c r="BB542">
        <v>2.5815652584024788E-2</v>
      </c>
      <c r="BF542">
        <v>4.6937550152772338E-2</v>
      </c>
      <c r="BG542">
        <v>2.5815652584024788E-2</v>
      </c>
      <c r="BH542">
        <v>0</v>
      </c>
    </row>
    <row r="543" spans="1:60" x14ac:dyDescent="0.3">
      <c r="A543" s="2" t="s">
        <v>1134</v>
      </c>
      <c r="B543" s="18" t="s">
        <v>1043</v>
      </c>
      <c r="C543" s="13"/>
      <c r="D543" s="2">
        <v>3.38</v>
      </c>
      <c r="E543" s="2" t="s">
        <v>380</v>
      </c>
      <c r="F543" s="9">
        <v>-1</v>
      </c>
      <c r="G543">
        <v>-1</v>
      </c>
      <c r="I543" s="2">
        <v>1</v>
      </c>
      <c r="J543" s="25">
        <v>0</v>
      </c>
      <c r="K543">
        <v>0</v>
      </c>
      <c r="L543">
        <v>0</v>
      </c>
      <c r="M543" s="2">
        <v>3.82</v>
      </c>
      <c r="N543" s="2">
        <v>3.82</v>
      </c>
      <c r="O543" s="2">
        <v>31.3</v>
      </c>
      <c r="P543" s="2" t="s">
        <v>519</v>
      </c>
      <c r="Q543" s="2">
        <v>31.3</v>
      </c>
      <c r="R543" s="25">
        <v>0</v>
      </c>
      <c r="U543">
        <v>0</v>
      </c>
      <c r="X543">
        <v>0</v>
      </c>
      <c r="AA543" s="2"/>
      <c r="AB543">
        <v>20</v>
      </c>
      <c r="AC543" s="55">
        <f t="shared" si="57"/>
        <v>456.74212</v>
      </c>
      <c r="AD543" s="57">
        <v>0</v>
      </c>
      <c r="AE543" s="55">
        <v>0</v>
      </c>
      <c r="AF543" s="55">
        <v>0</v>
      </c>
      <c r="AG543" s="52">
        <f t="shared" si="56"/>
        <v>4.3788385446036811E-2</v>
      </c>
      <c r="AH543" s="52"/>
      <c r="AI543" s="52"/>
      <c r="AJ543" s="52"/>
      <c r="AK543" s="28">
        <v>1.558139534883721</v>
      </c>
      <c r="AL543" s="28">
        <v>1.3953488372093019</v>
      </c>
      <c r="AM543" s="28">
        <v>0.186046511627907</v>
      </c>
      <c r="AN543" s="28">
        <v>0</v>
      </c>
      <c r="AO543" s="28">
        <v>0.49629629629629629</v>
      </c>
      <c r="AP543" s="28">
        <v>0.44444444444444448</v>
      </c>
      <c r="AQ543" s="28">
        <v>5.9259259259259262E-2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2.4851162790697678</v>
      </c>
      <c r="AW543">
        <v>2.485116279069767</v>
      </c>
      <c r="AX543">
        <v>6.6481102673295114</v>
      </c>
      <c r="AY543" s="75"/>
      <c r="AZ543" s="75"/>
      <c r="BA543" s="75"/>
      <c r="BB543">
        <v>2.4083611995320251E-2</v>
      </c>
      <c r="BF543">
        <v>4.3788385446036811E-2</v>
      </c>
      <c r="BG543">
        <v>2.4083611995320251E-2</v>
      </c>
      <c r="BH543">
        <v>0</v>
      </c>
    </row>
    <row r="544" spans="1:60" x14ac:dyDescent="0.3">
      <c r="A544" s="2" t="s">
        <v>381</v>
      </c>
      <c r="B544" s="13" t="s">
        <v>838</v>
      </c>
      <c r="C544" s="13"/>
      <c r="D544" s="2">
        <v>3.47</v>
      </c>
      <c r="E544" s="2" t="s">
        <v>380</v>
      </c>
      <c r="F544" s="9">
        <v>-1</v>
      </c>
      <c r="G544">
        <v>-1</v>
      </c>
      <c r="I544" s="2">
        <v>2</v>
      </c>
      <c r="J544" s="25">
        <v>0</v>
      </c>
      <c r="K544">
        <v>0</v>
      </c>
      <c r="L544">
        <v>0</v>
      </c>
      <c r="M544" s="2">
        <v>3.78</v>
      </c>
      <c r="N544" s="2">
        <v>3.78</v>
      </c>
      <c r="O544" s="2">
        <v>27.2</v>
      </c>
      <c r="P544" s="2" t="s">
        <v>519</v>
      </c>
      <c r="Q544" s="2">
        <v>13.6</v>
      </c>
      <c r="R544" s="25">
        <v>0</v>
      </c>
      <c r="U544">
        <v>0</v>
      </c>
      <c r="X544">
        <v>0</v>
      </c>
      <c r="AA544" s="2"/>
      <c r="AB544">
        <v>20</v>
      </c>
      <c r="AC544" s="55">
        <f t="shared" si="57"/>
        <v>388.64447999999999</v>
      </c>
      <c r="AD544" s="57">
        <v>0</v>
      </c>
      <c r="AE544" s="55">
        <v>0</v>
      </c>
      <c r="AF544" s="55">
        <v>0</v>
      </c>
      <c r="AG544" s="52">
        <f t="shared" si="56"/>
        <v>0.10292182716708083</v>
      </c>
      <c r="AH544" s="52"/>
      <c r="AI544" s="52"/>
      <c r="AJ544" s="52"/>
      <c r="AK544" s="28">
        <v>1.882352941176471</v>
      </c>
      <c r="AL544" s="28">
        <v>2.3529411764705879</v>
      </c>
      <c r="AM544" s="28">
        <v>0.35294117647058831</v>
      </c>
      <c r="AN544" s="28">
        <v>0.47058823529411759</v>
      </c>
      <c r="AO544" s="28">
        <v>0.37209302325581389</v>
      </c>
      <c r="AP544" s="28">
        <v>0.46511627906976749</v>
      </c>
      <c r="AQ544" s="28">
        <v>6.9767441860465129E-2</v>
      </c>
      <c r="AR544" s="28">
        <v>9.3023255813953487E-2</v>
      </c>
      <c r="AS544" s="25">
        <v>1.1399999999999999</v>
      </c>
      <c r="AT544" s="25">
        <v>3.44</v>
      </c>
      <c r="AU544" s="25">
        <v>2.2999999999999998</v>
      </c>
      <c r="AV544" s="25">
        <v>2.6882352941176468</v>
      </c>
      <c r="AW544">
        <v>2.6882352941176468</v>
      </c>
      <c r="AX544">
        <v>6.2192249941001183</v>
      </c>
      <c r="AY544" s="75"/>
      <c r="AZ544" s="75"/>
      <c r="BA544" s="75"/>
      <c r="BB544">
        <v>5.1460913583540407E-2</v>
      </c>
      <c r="BF544">
        <v>0.1029218271670808</v>
      </c>
      <c r="BG544">
        <v>5.1460913583540407E-2</v>
      </c>
      <c r="BH544">
        <v>0</v>
      </c>
    </row>
    <row r="545" spans="1:60" x14ac:dyDescent="0.3">
      <c r="A545" s="2" t="s">
        <v>382</v>
      </c>
      <c r="B545" s="18" t="s">
        <v>1044</v>
      </c>
      <c r="C545" s="13"/>
      <c r="D545" s="2">
        <v>3.4</v>
      </c>
      <c r="E545" s="2" t="s">
        <v>380</v>
      </c>
      <c r="F545" s="9">
        <v>-1</v>
      </c>
      <c r="G545">
        <v>-1</v>
      </c>
      <c r="I545" s="2">
        <v>2</v>
      </c>
      <c r="J545" s="25">
        <v>0</v>
      </c>
      <c r="K545">
        <v>0</v>
      </c>
      <c r="L545">
        <v>0</v>
      </c>
      <c r="M545" s="2">
        <v>3.81</v>
      </c>
      <c r="N545" s="2">
        <v>3.81</v>
      </c>
      <c r="O545" s="2">
        <v>35.4</v>
      </c>
      <c r="P545" s="2" t="s">
        <v>519</v>
      </c>
      <c r="Q545" s="2">
        <v>17.7</v>
      </c>
      <c r="R545" s="25">
        <v>0</v>
      </c>
      <c r="U545">
        <v>0</v>
      </c>
      <c r="X545">
        <v>0</v>
      </c>
      <c r="AA545" s="2"/>
      <c r="AB545">
        <v>20</v>
      </c>
      <c r="AC545" s="55">
        <f t="shared" si="57"/>
        <v>513.86993999999993</v>
      </c>
      <c r="AD545" s="57">
        <v>0</v>
      </c>
      <c r="AE545" s="55">
        <v>0</v>
      </c>
      <c r="AF545" s="55">
        <v>0</v>
      </c>
      <c r="AG545" s="52">
        <f t="shared" si="56"/>
        <v>7.7840708098239814E-2</v>
      </c>
      <c r="AH545" s="52"/>
      <c r="AI545" s="52"/>
      <c r="AJ545" s="52"/>
      <c r="AK545" s="28">
        <v>1.695652173913043</v>
      </c>
      <c r="AL545" s="28">
        <v>1.826086956521739</v>
      </c>
      <c r="AM545" s="28">
        <v>0.2608695652173913</v>
      </c>
      <c r="AN545" s="28">
        <v>0.34782608695652167</v>
      </c>
      <c r="AO545" s="28">
        <v>0.41052631578947368</v>
      </c>
      <c r="AP545" s="28">
        <v>0.44210526315789472</v>
      </c>
      <c r="AQ545" s="28">
        <v>6.3157894736842107E-2</v>
      </c>
      <c r="AR545" s="28">
        <v>8.4210526315789472E-2</v>
      </c>
      <c r="AS545" s="25">
        <v>1.1399999999999999</v>
      </c>
      <c r="AT545" s="25">
        <v>3.44</v>
      </c>
      <c r="AU545" s="25">
        <v>2.2999999999999998</v>
      </c>
      <c r="AV545" s="25">
        <v>2.5760869565217388</v>
      </c>
      <c r="AW545">
        <v>2.5760869565217388</v>
      </c>
      <c r="AX545">
        <v>6.4291568349981301</v>
      </c>
      <c r="AY545" s="75"/>
      <c r="AZ545" s="75"/>
      <c r="BA545" s="75"/>
      <c r="BB545">
        <v>3.8920354049119907E-2</v>
      </c>
      <c r="BF545">
        <v>7.7840708098239814E-2</v>
      </c>
      <c r="BG545">
        <v>3.8920354049119907E-2</v>
      </c>
      <c r="BH545">
        <v>0</v>
      </c>
    </row>
    <row r="546" spans="1:60" x14ac:dyDescent="0.3">
      <c r="A546" s="2" t="s">
        <v>383</v>
      </c>
      <c r="B546" s="18" t="s">
        <v>1045</v>
      </c>
      <c r="C546" s="13"/>
      <c r="D546" s="2">
        <v>3.32</v>
      </c>
      <c r="E546" s="2" t="s">
        <v>380</v>
      </c>
      <c r="F546" s="9">
        <v>-1</v>
      </c>
      <c r="G546">
        <v>-1</v>
      </c>
      <c r="I546" s="2">
        <v>1</v>
      </c>
      <c r="J546" s="25">
        <v>0</v>
      </c>
      <c r="K546">
        <v>0</v>
      </c>
      <c r="L546">
        <v>0</v>
      </c>
      <c r="M546" s="2">
        <v>3.8</v>
      </c>
      <c r="N546" s="2">
        <v>3.8</v>
      </c>
      <c r="O546" s="2">
        <v>19.899999999999999</v>
      </c>
      <c r="P546" s="2" t="s">
        <v>519</v>
      </c>
      <c r="Q546" s="2">
        <v>19.899999999999999</v>
      </c>
      <c r="R546" s="25">
        <v>0</v>
      </c>
      <c r="U546">
        <v>0</v>
      </c>
      <c r="X546">
        <v>0</v>
      </c>
      <c r="AA546" s="2"/>
      <c r="AB546">
        <v>20</v>
      </c>
      <c r="AC546" s="55">
        <f t="shared" si="57"/>
        <v>287.35599999999999</v>
      </c>
      <c r="AD546" s="57">
        <v>0</v>
      </c>
      <c r="AE546" s="55">
        <v>0</v>
      </c>
      <c r="AF546" s="55">
        <v>0</v>
      </c>
      <c r="AG546" s="52">
        <f t="shared" si="56"/>
        <v>6.9600077952087308E-2</v>
      </c>
      <c r="AH546" s="52"/>
      <c r="AI546" s="52"/>
      <c r="AJ546" s="52"/>
      <c r="AK546" s="28">
        <v>1.653846153846154</v>
      </c>
      <c r="AL546" s="28">
        <v>1.6923076923076921</v>
      </c>
      <c r="AM546" s="28">
        <v>0.23076923076923081</v>
      </c>
      <c r="AN546" s="28">
        <v>0.30769230769230771</v>
      </c>
      <c r="AO546" s="28">
        <v>0.42574257425742568</v>
      </c>
      <c r="AP546" s="28">
        <v>0.43564356435643559</v>
      </c>
      <c r="AQ546" s="28">
        <v>5.940594059405941E-2</v>
      </c>
      <c r="AR546" s="28">
        <v>7.9207920792079209E-2</v>
      </c>
      <c r="AS546" s="25">
        <v>1.1399999999999999</v>
      </c>
      <c r="AT546" s="25">
        <v>3.44</v>
      </c>
      <c r="AU546" s="25">
        <v>2.2999999999999998</v>
      </c>
      <c r="AV546" s="25">
        <v>2.546153846153846</v>
      </c>
      <c r="AW546">
        <v>2.546153846153846</v>
      </c>
      <c r="AX546">
        <v>6.4801861773330387</v>
      </c>
      <c r="AY546" s="75"/>
      <c r="AZ546" s="75"/>
      <c r="BA546" s="75"/>
      <c r="BB546">
        <v>3.4800038976043647E-2</v>
      </c>
      <c r="BF546">
        <v>6.9600077952087308E-2</v>
      </c>
      <c r="BG546">
        <v>3.4800038976043647E-2</v>
      </c>
      <c r="BH546">
        <v>0</v>
      </c>
    </row>
    <row r="547" spans="1:60" x14ac:dyDescent="0.3">
      <c r="A547" s="2" t="s">
        <v>384</v>
      </c>
      <c r="B547" s="18" t="s">
        <v>1046</v>
      </c>
      <c r="C547" s="13"/>
      <c r="D547" s="2">
        <v>3.33</v>
      </c>
      <c r="E547" s="2" t="s">
        <v>380</v>
      </c>
      <c r="F547" s="9">
        <v>-1</v>
      </c>
      <c r="G547">
        <v>-1</v>
      </c>
      <c r="I547" s="2">
        <v>1</v>
      </c>
      <c r="J547" s="25">
        <v>0</v>
      </c>
      <c r="K547">
        <v>0</v>
      </c>
      <c r="L547">
        <v>0</v>
      </c>
      <c r="M547" s="2">
        <v>3.78</v>
      </c>
      <c r="N547" s="2">
        <v>3.78</v>
      </c>
      <c r="O547" s="2">
        <v>21.5</v>
      </c>
      <c r="P547" s="2" t="s">
        <v>519</v>
      </c>
      <c r="Q547" s="2">
        <v>21.5</v>
      </c>
      <c r="R547" s="25">
        <v>0</v>
      </c>
      <c r="U547">
        <v>0</v>
      </c>
      <c r="X547">
        <v>0</v>
      </c>
      <c r="AA547" s="2"/>
      <c r="AB547">
        <v>20</v>
      </c>
      <c r="AC547" s="55">
        <f t="shared" si="57"/>
        <v>307.20060000000001</v>
      </c>
      <c r="AD547" s="57">
        <v>0</v>
      </c>
      <c r="AE547" s="55">
        <v>0</v>
      </c>
      <c r="AF547" s="55">
        <v>0</v>
      </c>
      <c r="AG547" s="52">
        <f t="shared" si="56"/>
        <v>6.5104039510339495E-2</v>
      </c>
      <c r="AH547" s="52"/>
      <c r="AI547" s="52"/>
      <c r="AJ547" s="52"/>
      <c r="AK547" s="28">
        <v>1.6206896551724139</v>
      </c>
      <c r="AL547" s="28">
        <v>1.586206896551724</v>
      </c>
      <c r="AM547" s="28">
        <v>0.2068965517241379</v>
      </c>
      <c r="AN547" s="28">
        <v>0.27586206896551718</v>
      </c>
      <c r="AO547" s="28">
        <v>0.43925233644859812</v>
      </c>
      <c r="AP547" s="28">
        <v>0.42990654205607481</v>
      </c>
      <c r="AQ547" s="28">
        <v>5.6074766355140193E-2</v>
      </c>
      <c r="AR547" s="28">
        <v>7.476635514018691E-2</v>
      </c>
      <c r="AS547" s="25">
        <v>1.1399999999999999</v>
      </c>
      <c r="AT547" s="25">
        <v>3.44</v>
      </c>
      <c r="AU547" s="25">
        <v>2.2999999999999998</v>
      </c>
      <c r="AV547" s="25">
        <v>2.522413793103448</v>
      </c>
      <c r="AW547">
        <v>2.522413793103448</v>
      </c>
      <c r="AX547">
        <v>6.5206577247021036</v>
      </c>
      <c r="AY547" s="75"/>
      <c r="AZ547" s="75"/>
      <c r="BA547" s="75"/>
      <c r="BB547">
        <v>3.2552019755169748E-2</v>
      </c>
      <c r="BF547">
        <v>6.5104039510339495E-2</v>
      </c>
      <c r="BG547">
        <v>3.2552019755169748E-2</v>
      </c>
      <c r="BH547">
        <v>0</v>
      </c>
    </row>
    <row r="548" spans="1:60" x14ac:dyDescent="0.3">
      <c r="A548" s="2" t="s">
        <v>385</v>
      </c>
      <c r="B548" s="18" t="s">
        <v>1047</v>
      </c>
      <c r="C548" s="13"/>
      <c r="D548" s="2">
        <v>3.33</v>
      </c>
      <c r="E548" s="2" t="s">
        <v>380</v>
      </c>
      <c r="F548" s="9">
        <v>-1</v>
      </c>
      <c r="G548">
        <v>-1</v>
      </c>
      <c r="I548" s="2">
        <v>1</v>
      </c>
      <c r="J548" s="25">
        <v>0</v>
      </c>
      <c r="K548">
        <v>0</v>
      </c>
      <c r="L548">
        <v>0</v>
      </c>
      <c r="M548" s="2">
        <v>3.78</v>
      </c>
      <c r="N548" s="2">
        <v>3.78</v>
      </c>
      <c r="O548" s="2">
        <v>24.4</v>
      </c>
      <c r="P548" s="2" t="s">
        <v>519</v>
      </c>
      <c r="Q548" s="2">
        <v>24.4</v>
      </c>
      <c r="R548" s="25">
        <v>0</v>
      </c>
      <c r="U548">
        <v>0</v>
      </c>
      <c r="X548">
        <v>0</v>
      </c>
      <c r="AA548" s="2"/>
      <c r="AB548">
        <v>20</v>
      </c>
      <c r="AC548" s="55">
        <f t="shared" si="57"/>
        <v>348.63695999999999</v>
      </c>
      <c r="AD548" s="57">
        <v>0</v>
      </c>
      <c r="AE548" s="55">
        <v>0</v>
      </c>
      <c r="AF548" s="55">
        <v>0</v>
      </c>
      <c r="AG548" s="52">
        <f t="shared" si="56"/>
        <v>5.7366264322635217E-2</v>
      </c>
      <c r="AH548" s="52"/>
      <c r="AI548" s="52"/>
      <c r="AJ548" s="52"/>
      <c r="AK548" s="28">
        <v>1.59375</v>
      </c>
      <c r="AL548" s="28">
        <v>1.5</v>
      </c>
      <c r="AM548" s="28">
        <v>0.1875</v>
      </c>
      <c r="AN548" s="28">
        <v>0.25</v>
      </c>
      <c r="AO548" s="28">
        <v>0.45132743362831862</v>
      </c>
      <c r="AP548" s="28">
        <v>0.4247787610619469</v>
      </c>
      <c r="AQ548" s="28">
        <v>5.3097345132743362E-2</v>
      </c>
      <c r="AR548" s="28">
        <v>7.0796460176991149E-2</v>
      </c>
      <c r="AS548" s="25">
        <v>1.1399999999999999</v>
      </c>
      <c r="AT548" s="25">
        <v>3.44</v>
      </c>
      <c r="AU548" s="25">
        <v>2.2999999999999998</v>
      </c>
      <c r="AV548" s="25">
        <v>2.5031249999999998</v>
      </c>
      <c r="AW548">
        <v>2.5031249999999998</v>
      </c>
      <c r="AX548">
        <v>6.5535408569394704</v>
      </c>
      <c r="AY548" s="75"/>
      <c r="AZ548" s="75"/>
      <c r="BA548" s="75"/>
      <c r="BB548">
        <v>2.8683132161317609E-2</v>
      </c>
      <c r="BF548">
        <v>5.7366264322635217E-2</v>
      </c>
      <c r="BG548">
        <v>2.8683132161317609E-2</v>
      </c>
      <c r="BH548">
        <v>0</v>
      </c>
    </row>
    <row r="549" spans="1:60" x14ac:dyDescent="0.3">
      <c r="A549" s="2" t="s">
        <v>386</v>
      </c>
      <c r="B549" s="18" t="s">
        <v>1048</v>
      </c>
      <c r="C549" s="13"/>
      <c r="D549" s="2">
        <v>3.35</v>
      </c>
      <c r="E549" s="2" t="s">
        <v>380</v>
      </c>
      <c r="F549" s="9">
        <v>-1</v>
      </c>
      <c r="G549">
        <v>-1</v>
      </c>
      <c r="I549" s="2">
        <v>1</v>
      </c>
      <c r="J549" s="25">
        <v>0</v>
      </c>
      <c r="K549">
        <v>0</v>
      </c>
      <c r="L549">
        <v>0</v>
      </c>
      <c r="M549" s="2">
        <v>3.8</v>
      </c>
      <c r="N549" s="2">
        <v>3.8</v>
      </c>
      <c r="O549" s="2">
        <v>29.2</v>
      </c>
      <c r="P549" s="2" t="s">
        <v>519</v>
      </c>
      <c r="Q549" s="2">
        <v>29.2</v>
      </c>
      <c r="R549" s="25">
        <v>0</v>
      </c>
      <c r="U549">
        <v>0</v>
      </c>
      <c r="X549">
        <v>0</v>
      </c>
      <c r="AA549" s="2"/>
      <c r="AB549">
        <v>20</v>
      </c>
      <c r="AC549" s="55">
        <f t="shared" si="57"/>
        <v>421.64799999999997</v>
      </c>
      <c r="AD549" s="57">
        <v>0</v>
      </c>
      <c r="AE549" s="55">
        <v>0</v>
      </c>
      <c r="AF549" s="55">
        <v>0</v>
      </c>
      <c r="AG549" s="52">
        <f t="shared" si="56"/>
        <v>4.7432929837210189E-2</v>
      </c>
      <c r="AH549" s="52"/>
      <c r="AI549" s="52"/>
      <c r="AJ549" s="52"/>
      <c r="AK549" s="28">
        <v>1.5526315789473679</v>
      </c>
      <c r="AL549" s="28">
        <v>1.368421052631579</v>
      </c>
      <c r="AM549" s="28">
        <v>0.15789473684210531</v>
      </c>
      <c r="AN549" s="28">
        <v>0.2105263157894737</v>
      </c>
      <c r="AO549" s="28">
        <v>0.47199999999999998</v>
      </c>
      <c r="AP549" s="28">
        <v>0.41599999999999998</v>
      </c>
      <c r="AQ549" s="28">
        <v>4.8000000000000001E-2</v>
      </c>
      <c r="AR549" s="28">
        <v>6.4000000000000001E-2</v>
      </c>
      <c r="AS549" s="25">
        <v>1.1399999999999999</v>
      </c>
      <c r="AT549" s="25">
        <v>3.44</v>
      </c>
      <c r="AU549" s="25">
        <v>2.2999999999999998</v>
      </c>
      <c r="AV549" s="25">
        <v>2.4736842105263159</v>
      </c>
      <c r="AW549">
        <v>2.473684210526315</v>
      </c>
      <c r="AX549">
        <v>6.6037309008807101</v>
      </c>
      <c r="AY549" s="75"/>
      <c r="AZ549" s="75"/>
      <c r="BA549" s="75"/>
      <c r="BB549">
        <v>2.3716464918605091E-2</v>
      </c>
      <c r="BF549">
        <v>4.7432929837210189E-2</v>
      </c>
      <c r="BG549">
        <v>2.3716464918605091E-2</v>
      </c>
      <c r="BH549">
        <v>0</v>
      </c>
    </row>
    <row r="550" spans="1:60" x14ac:dyDescent="0.3">
      <c r="A550" s="2" t="s">
        <v>387</v>
      </c>
      <c r="B550" s="18" t="s">
        <v>1049</v>
      </c>
      <c r="C550" s="13"/>
      <c r="D550" s="2">
        <v>3.36</v>
      </c>
      <c r="E550" s="2" t="s">
        <v>380</v>
      </c>
      <c r="F550" s="9">
        <v>-1</v>
      </c>
      <c r="G550">
        <v>-1</v>
      </c>
      <c r="I550" s="2">
        <v>1</v>
      </c>
      <c r="J550" s="25">
        <v>0</v>
      </c>
      <c r="K550">
        <v>0</v>
      </c>
      <c r="L550">
        <v>0</v>
      </c>
      <c r="M550" s="2">
        <v>3.8</v>
      </c>
      <c r="N550" s="2">
        <v>3.8</v>
      </c>
      <c r="O550" s="2">
        <v>33.4</v>
      </c>
      <c r="P550" s="2" t="s">
        <v>519</v>
      </c>
      <c r="Q550" s="2">
        <v>33.4</v>
      </c>
      <c r="R550" s="25">
        <v>0</v>
      </c>
      <c r="U550">
        <v>0</v>
      </c>
      <c r="X550">
        <v>0</v>
      </c>
      <c r="AA550" s="2"/>
      <c r="AB550">
        <v>20</v>
      </c>
      <c r="AC550" s="55">
        <f t="shared" si="57"/>
        <v>482.29599999999994</v>
      </c>
      <c r="AD550" s="57">
        <v>0</v>
      </c>
      <c r="AE550" s="55">
        <v>0</v>
      </c>
      <c r="AF550" s="55">
        <v>0</v>
      </c>
      <c r="AG550" s="52">
        <f t="shared" si="56"/>
        <v>4.1468309917561008E-2</v>
      </c>
      <c r="AH550" s="52"/>
      <c r="AI550" s="52"/>
      <c r="AJ550" s="52"/>
      <c r="AK550" s="28">
        <v>1.5227272727272729</v>
      </c>
      <c r="AL550" s="28">
        <v>1.2727272727272729</v>
      </c>
      <c r="AM550" s="28">
        <v>0.13636363636363641</v>
      </c>
      <c r="AN550" s="28">
        <v>0.1818181818181818</v>
      </c>
      <c r="AO550" s="28">
        <v>0.48905109489051091</v>
      </c>
      <c r="AP550" s="28">
        <v>0.40875912408759119</v>
      </c>
      <c r="AQ550" s="28">
        <v>4.3795620437956199E-2</v>
      </c>
      <c r="AR550" s="28">
        <v>5.8394160583941597E-2</v>
      </c>
      <c r="AS550" s="25">
        <v>1.1399999999999999</v>
      </c>
      <c r="AT550" s="25">
        <v>3.44</v>
      </c>
      <c r="AU550" s="25">
        <v>2.2999999999999998</v>
      </c>
      <c r="AV550" s="25">
        <v>2.452272727272728</v>
      </c>
      <c r="AW550">
        <v>2.4522727272727272</v>
      </c>
      <c r="AX550">
        <v>6.6402327510197949</v>
      </c>
      <c r="AY550" s="75"/>
      <c r="AZ550" s="75"/>
      <c r="BA550" s="75"/>
      <c r="BB550">
        <v>2.0734154958780501E-2</v>
      </c>
      <c r="BF550">
        <v>4.1468309917561008E-2</v>
      </c>
      <c r="BG550">
        <v>2.0734154958780501E-2</v>
      </c>
      <c r="BH550">
        <v>0</v>
      </c>
    </row>
    <row r="551" spans="1:60" x14ac:dyDescent="0.3">
      <c r="A551" s="2" t="s">
        <v>388</v>
      </c>
      <c r="B551" s="18" t="s">
        <v>1050</v>
      </c>
      <c r="C551" s="13"/>
      <c r="D551" s="2">
        <v>3.33</v>
      </c>
      <c r="E551" s="2" t="s">
        <v>380</v>
      </c>
      <c r="F551" s="9">
        <v>-1</v>
      </c>
      <c r="G551">
        <v>-1</v>
      </c>
      <c r="I551" s="2">
        <v>2</v>
      </c>
      <c r="J551" s="25">
        <v>0</v>
      </c>
      <c r="K551">
        <v>0</v>
      </c>
      <c r="L551">
        <v>0</v>
      </c>
      <c r="M551" s="2">
        <v>3.76</v>
      </c>
      <c r="N551" s="2">
        <v>3.76</v>
      </c>
      <c r="O551" s="2">
        <v>34.1</v>
      </c>
      <c r="P551" s="2" t="s">
        <v>519</v>
      </c>
      <c r="Q551" s="2">
        <v>17.100000000000001</v>
      </c>
      <c r="R551" s="25">
        <v>0</v>
      </c>
      <c r="U551">
        <v>0</v>
      </c>
      <c r="X551">
        <v>0</v>
      </c>
      <c r="AA551" s="2"/>
      <c r="AB551">
        <v>22</v>
      </c>
      <c r="AC551" s="55">
        <f t="shared" si="57"/>
        <v>482.09215999999998</v>
      </c>
      <c r="AD551" s="57">
        <v>0</v>
      </c>
      <c r="AE551" s="55">
        <v>0</v>
      </c>
      <c r="AF551" s="55">
        <v>0</v>
      </c>
      <c r="AG551" s="52">
        <f t="shared" si="56"/>
        <v>9.12688561456797E-2</v>
      </c>
      <c r="AH551" s="52"/>
      <c r="AI551" s="52"/>
      <c r="AJ551" s="52"/>
      <c r="AK551" s="28">
        <v>1.7391304347826091</v>
      </c>
      <c r="AL551" s="28">
        <v>2</v>
      </c>
      <c r="AM551" s="28">
        <v>0.2608695652173913</v>
      </c>
      <c r="AN551" s="28">
        <v>0.34782608695652167</v>
      </c>
      <c r="AO551" s="28">
        <v>0.4</v>
      </c>
      <c r="AP551" s="28">
        <v>0.46</v>
      </c>
      <c r="AQ551" s="28">
        <v>0.06</v>
      </c>
      <c r="AR551" s="28">
        <v>0.08</v>
      </c>
      <c r="AS551" s="25">
        <v>1.1399999999999999</v>
      </c>
      <c r="AT551" s="25">
        <v>3.44</v>
      </c>
      <c r="AU551" s="25">
        <v>2.2999999999999998</v>
      </c>
      <c r="AV551" s="25">
        <v>2.63</v>
      </c>
      <c r="AW551">
        <v>2.63</v>
      </c>
      <c r="AX551">
        <v>6.444942219787217</v>
      </c>
      <c r="AY551" s="75"/>
      <c r="AZ551" s="75"/>
      <c r="BA551" s="75"/>
      <c r="BB551">
        <v>4.563442807283985E-2</v>
      </c>
      <c r="BF551">
        <v>9.12688561456797E-2</v>
      </c>
      <c r="BG551">
        <v>4.563442807283985E-2</v>
      </c>
      <c r="BH551">
        <v>0</v>
      </c>
    </row>
    <row r="552" spans="1:60" x14ac:dyDescent="0.3">
      <c r="A552" s="2" t="s">
        <v>389</v>
      </c>
      <c r="B552" s="18" t="s">
        <v>1051</v>
      </c>
      <c r="C552" s="13"/>
      <c r="D552" s="2">
        <v>3.33</v>
      </c>
      <c r="E552" s="2" t="s">
        <v>380</v>
      </c>
      <c r="F552" s="9">
        <v>-1</v>
      </c>
      <c r="G552">
        <v>-1</v>
      </c>
      <c r="I552" s="2">
        <v>2</v>
      </c>
      <c r="J552" s="25">
        <v>0</v>
      </c>
      <c r="K552">
        <v>0</v>
      </c>
      <c r="L552">
        <v>0</v>
      </c>
      <c r="M552" s="2">
        <v>3.77</v>
      </c>
      <c r="N552" s="2">
        <v>3.77</v>
      </c>
      <c r="O552" s="2">
        <v>40.9</v>
      </c>
      <c r="P552" s="2" t="s">
        <v>519</v>
      </c>
      <c r="Q552" s="2">
        <v>20.5</v>
      </c>
      <c r="R552" s="25">
        <v>0</v>
      </c>
      <c r="U552">
        <v>0</v>
      </c>
      <c r="X552">
        <v>0</v>
      </c>
      <c r="AA552" s="2"/>
      <c r="AB552">
        <v>22</v>
      </c>
      <c r="AC552" s="55">
        <f t="shared" si="57"/>
        <v>581.30760999999995</v>
      </c>
      <c r="AD552" s="57">
        <v>0</v>
      </c>
      <c r="AE552" s="55">
        <v>0</v>
      </c>
      <c r="AF552" s="55">
        <v>0</v>
      </c>
      <c r="AG552" s="52">
        <f t="shared" si="56"/>
        <v>7.5691422653145726E-2</v>
      </c>
      <c r="AH552" s="52"/>
      <c r="AI552" s="52"/>
      <c r="AJ552" s="52"/>
      <c r="AK552" s="28">
        <v>1.6923076923076921</v>
      </c>
      <c r="AL552" s="28">
        <v>1.846153846153846</v>
      </c>
      <c r="AM552" s="28">
        <v>0.23076923076923081</v>
      </c>
      <c r="AN552" s="28">
        <v>0.30769230769230771</v>
      </c>
      <c r="AO552" s="28">
        <v>0.41509433962264147</v>
      </c>
      <c r="AP552" s="28">
        <v>0.45283018867924529</v>
      </c>
      <c r="AQ552" s="28">
        <v>5.6603773584905669E-2</v>
      </c>
      <c r="AR552" s="28">
        <v>7.5471698113207558E-2</v>
      </c>
      <c r="AS552" s="25">
        <v>1.1399999999999999</v>
      </c>
      <c r="AT552" s="25">
        <v>3.44</v>
      </c>
      <c r="AU552" s="25">
        <v>2.2999999999999998</v>
      </c>
      <c r="AV552" s="25">
        <v>2.5938461538461541</v>
      </c>
      <c r="AW552">
        <v>2.5938461538461541</v>
      </c>
      <c r="AX552">
        <v>6.4941501715695384</v>
      </c>
      <c r="AY552" s="75"/>
      <c r="AZ552" s="75"/>
      <c r="BA552" s="75"/>
      <c r="BB552">
        <v>3.7845711326572863E-2</v>
      </c>
      <c r="BF552">
        <v>7.5691422653145726E-2</v>
      </c>
      <c r="BG552">
        <v>3.7845711326572863E-2</v>
      </c>
      <c r="BH552">
        <v>0</v>
      </c>
    </row>
    <row r="553" spans="1:60" x14ac:dyDescent="0.3">
      <c r="A553" s="2" t="s">
        <v>390</v>
      </c>
      <c r="B553" s="18" t="s">
        <v>1052</v>
      </c>
      <c r="C553" s="13"/>
      <c r="D553" s="2">
        <v>3.32</v>
      </c>
      <c r="E553" s="2" t="s">
        <v>380</v>
      </c>
      <c r="F553" s="9">
        <v>-1</v>
      </c>
      <c r="G553">
        <v>-1</v>
      </c>
      <c r="I553" s="2">
        <v>2</v>
      </c>
      <c r="J553" s="25">
        <v>0</v>
      </c>
      <c r="K553">
        <v>0</v>
      </c>
      <c r="L553">
        <v>0</v>
      </c>
      <c r="M553" s="2">
        <v>3.79</v>
      </c>
      <c r="N553" s="2">
        <v>3.79</v>
      </c>
      <c r="O553" s="2">
        <v>43.8</v>
      </c>
      <c r="P553" s="2" t="s">
        <v>519</v>
      </c>
      <c r="Q553" s="2">
        <v>21.9</v>
      </c>
      <c r="R553" s="25">
        <v>0</v>
      </c>
      <c r="U553">
        <v>0</v>
      </c>
      <c r="X553">
        <v>0</v>
      </c>
      <c r="AA553" s="2"/>
      <c r="AB553">
        <v>22</v>
      </c>
      <c r="AC553" s="55">
        <f t="shared" si="57"/>
        <v>629.14757999999995</v>
      </c>
      <c r="AD553" s="57">
        <v>0</v>
      </c>
      <c r="AE553" s="55">
        <v>0</v>
      </c>
      <c r="AF553" s="55">
        <v>0</v>
      </c>
      <c r="AG553" s="52">
        <f t="shared" si="56"/>
        <v>6.9935896439433182E-2</v>
      </c>
      <c r="AH553" s="52"/>
      <c r="AI553" s="52"/>
      <c r="AJ553" s="52"/>
      <c r="AK553" s="28">
        <v>1.655172413793103</v>
      </c>
      <c r="AL553" s="28">
        <v>1.7241379310344831</v>
      </c>
      <c r="AM553" s="28">
        <v>0.2068965517241379</v>
      </c>
      <c r="AN553" s="28">
        <v>0.27586206896551718</v>
      </c>
      <c r="AO553" s="28">
        <v>0.42857142857142849</v>
      </c>
      <c r="AP553" s="28">
        <v>0.4464285714285714</v>
      </c>
      <c r="AQ553" s="28">
        <v>5.3571428571428568E-2</v>
      </c>
      <c r="AR553" s="28">
        <v>7.1428571428571425E-2</v>
      </c>
      <c r="AS553" s="25">
        <v>1.1399999999999999</v>
      </c>
      <c r="AT553" s="25">
        <v>3.44</v>
      </c>
      <c r="AU553" s="25">
        <v>2.2999999999999998</v>
      </c>
      <c r="AV553" s="25">
        <v>2.5651724137931029</v>
      </c>
      <c r="AW553">
        <v>2.5651724137931029</v>
      </c>
      <c r="AX553">
        <v>6.53317716781069</v>
      </c>
      <c r="AY553" s="75"/>
      <c r="AZ553" s="75"/>
      <c r="BA553" s="75"/>
      <c r="BB553">
        <v>3.4967948219716591E-2</v>
      </c>
      <c r="BF553">
        <v>6.9935896439433182E-2</v>
      </c>
      <c r="BG553">
        <v>3.4967948219716591E-2</v>
      </c>
      <c r="BH553">
        <v>0</v>
      </c>
    </row>
    <row r="554" spans="1:60" x14ac:dyDescent="0.3">
      <c r="A554" s="2" t="s">
        <v>391</v>
      </c>
      <c r="B554" s="18" t="s">
        <v>1053</v>
      </c>
      <c r="C554" s="13"/>
      <c r="D554" s="2">
        <v>3.33</v>
      </c>
      <c r="E554" s="2" t="s">
        <v>380</v>
      </c>
      <c r="F554" s="9">
        <v>-1</v>
      </c>
      <c r="G554">
        <v>-1</v>
      </c>
      <c r="I554" s="2">
        <v>2</v>
      </c>
      <c r="J554" s="25">
        <v>0</v>
      </c>
      <c r="K554">
        <v>0</v>
      </c>
      <c r="L554">
        <v>0</v>
      </c>
      <c r="M554" s="2">
        <v>3.78</v>
      </c>
      <c r="N554" s="2">
        <v>3.78</v>
      </c>
      <c r="O554" s="2">
        <v>47.3</v>
      </c>
      <c r="P554" s="2" t="s">
        <v>519</v>
      </c>
      <c r="Q554" s="2">
        <v>23.7</v>
      </c>
      <c r="R554" s="25">
        <v>0</v>
      </c>
      <c r="U554">
        <v>0</v>
      </c>
      <c r="X554">
        <v>0</v>
      </c>
      <c r="AA554" s="2"/>
      <c r="AB554">
        <v>22</v>
      </c>
      <c r="AC554" s="55">
        <f t="shared" si="57"/>
        <v>675.84131999999988</v>
      </c>
      <c r="AD554" s="57">
        <v>0</v>
      </c>
      <c r="AE554" s="55">
        <v>0</v>
      </c>
      <c r="AF554" s="55">
        <v>0</v>
      </c>
      <c r="AG554" s="52">
        <f t="shared" si="56"/>
        <v>6.5104039510339509E-2</v>
      </c>
      <c r="AH554" s="52"/>
      <c r="AI554" s="52"/>
      <c r="AJ554" s="52"/>
      <c r="AK554" s="28">
        <v>1.625</v>
      </c>
      <c r="AL554" s="28">
        <v>1.625</v>
      </c>
      <c r="AM554" s="28">
        <v>0.1875</v>
      </c>
      <c r="AN554" s="28">
        <v>0.25</v>
      </c>
      <c r="AO554" s="28">
        <v>0.44067796610169491</v>
      </c>
      <c r="AP554" s="28">
        <v>0.44067796610169491</v>
      </c>
      <c r="AQ554" s="28">
        <v>5.0847457627118647E-2</v>
      </c>
      <c r="AR554" s="28">
        <v>6.7796610169491525E-2</v>
      </c>
      <c r="AS554" s="25">
        <v>1.1399999999999999</v>
      </c>
      <c r="AT554" s="25">
        <v>3.44</v>
      </c>
      <c r="AU554" s="25">
        <v>2.2999999999999998</v>
      </c>
      <c r="AV554" s="25">
        <v>2.5418750000000001</v>
      </c>
      <c r="AW554">
        <v>2.5418750000000001</v>
      </c>
      <c r="AX554">
        <v>6.5648866022566246</v>
      </c>
      <c r="AY554" s="75"/>
      <c r="AZ554" s="75"/>
      <c r="BA554" s="75"/>
      <c r="BB554">
        <v>3.2552019755169748E-2</v>
      </c>
      <c r="BF554">
        <v>6.5104039510339509E-2</v>
      </c>
      <c r="BG554">
        <v>3.2552019755169748E-2</v>
      </c>
      <c r="BH554">
        <v>0</v>
      </c>
    </row>
    <row r="555" spans="1:60" x14ac:dyDescent="0.3">
      <c r="A555" s="2" t="s">
        <v>392</v>
      </c>
      <c r="B555" s="18" t="s">
        <v>1054</v>
      </c>
      <c r="C555" s="13"/>
      <c r="D555" s="2">
        <v>3.35</v>
      </c>
      <c r="E555" s="2" t="s">
        <v>380</v>
      </c>
      <c r="F555" s="9">
        <v>-1</v>
      </c>
      <c r="G555">
        <v>-1</v>
      </c>
      <c r="I555" s="2">
        <v>1</v>
      </c>
      <c r="J555" s="25">
        <v>0</v>
      </c>
      <c r="K555">
        <v>0</v>
      </c>
      <c r="L555">
        <v>0</v>
      </c>
      <c r="M555" s="2">
        <v>3.81</v>
      </c>
      <c r="N555" s="2">
        <v>3.81</v>
      </c>
      <c r="O555" s="2">
        <v>28.3</v>
      </c>
      <c r="P555" s="2" t="s">
        <v>519</v>
      </c>
      <c r="Q555" s="2">
        <v>28.3</v>
      </c>
      <c r="R555" s="25">
        <v>0</v>
      </c>
      <c r="U555">
        <v>0</v>
      </c>
      <c r="X555">
        <v>0</v>
      </c>
      <c r="AA555" s="2"/>
      <c r="AB555">
        <v>22</v>
      </c>
      <c r="AC555" s="55">
        <f t="shared" si="57"/>
        <v>410.80563000000001</v>
      </c>
      <c r="AD555" s="57">
        <v>0</v>
      </c>
      <c r="AE555" s="55">
        <v>0</v>
      </c>
      <c r="AF555" s="55">
        <v>0</v>
      </c>
      <c r="AG555" s="52">
        <f t="shared" si="56"/>
        <v>5.3553306949566393E-2</v>
      </c>
      <c r="AH555" s="52"/>
      <c r="AI555" s="52"/>
      <c r="AJ555" s="52"/>
      <c r="AK555" s="28">
        <v>1.5789473684210531</v>
      </c>
      <c r="AL555" s="28">
        <v>1.4736842105263159</v>
      </c>
      <c r="AM555" s="28">
        <v>0.15789473684210531</v>
      </c>
      <c r="AN555" s="28">
        <v>0.2105263157894737</v>
      </c>
      <c r="AO555" s="28">
        <v>0.46153846153846162</v>
      </c>
      <c r="AP555" s="28">
        <v>0.43076923076923068</v>
      </c>
      <c r="AQ555" s="28">
        <v>4.6153846153846149E-2</v>
      </c>
      <c r="AR555" s="28">
        <v>6.1538461538461528E-2</v>
      </c>
      <c r="AS555" s="25">
        <v>1.1399999999999999</v>
      </c>
      <c r="AT555" s="25">
        <v>3.44</v>
      </c>
      <c r="AU555" s="25">
        <v>2.2999999999999998</v>
      </c>
      <c r="AV555" s="25">
        <v>2.5063157894736841</v>
      </c>
      <c r="AW555">
        <v>2.5063157894736841</v>
      </c>
      <c r="AX555">
        <v>6.6132852127267361</v>
      </c>
      <c r="AY555" s="75"/>
      <c r="AZ555" s="75"/>
      <c r="BA555" s="75"/>
      <c r="BB555">
        <v>2.67766534747832E-2</v>
      </c>
      <c r="BF555">
        <v>5.3553306949566393E-2</v>
      </c>
      <c r="BG555">
        <v>2.67766534747832E-2</v>
      </c>
      <c r="BH555">
        <v>0</v>
      </c>
    </row>
    <row r="556" spans="1:60" x14ac:dyDescent="0.3">
      <c r="A556" s="2" t="s">
        <v>1133</v>
      </c>
      <c r="B556" s="18" t="s">
        <v>1055</v>
      </c>
      <c r="C556" s="13"/>
      <c r="D556" s="2">
        <v>3.36</v>
      </c>
      <c r="E556" s="2" t="s">
        <v>380</v>
      </c>
      <c r="F556" s="9">
        <v>-1</v>
      </c>
      <c r="G556">
        <v>-1</v>
      </c>
      <c r="I556" s="2">
        <v>1</v>
      </c>
      <c r="J556" s="25">
        <v>0</v>
      </c>
      <c r="K556">
        <v>0</v>
      </c>
      <c r="L556">
        <v>0</v>
      </c>
      <c r="M556" s="2">
        <v>3.74</v>
      </c>
      <c r="N556" s="2">
        <v>3.74</v>
      </c>
      <c r="O556" s="2">
        <v>30.8</v>
      </c>
      <c r="P556" s="2" t="s">
        <v>519</v>
      </c>
      <c r="Q556" s="2">
        <v>30.8</v>
      </c>
      <c r="R556" s="25">
        <v>0</v>
      </c>
      <c r="U556">
        <v>0</v>
      </c>
      <c r="X556">
        <v>0</v>
      </c>
      <c r="AA556" s="2"/>
      <c r="AB556">
        <v>22</v>
      </c>
      <c r="AC556" s="55">
        <f t="shared" si="57"/>
        <v>430.81808000000007</v>
      </c>
      <c r="AD556" s="57">
        <v>0</v>
      </c>
      <c r="AE556" s="55">
        <v>0</v>
      </c>
      <c r="AF556" s="55">
        <v>0</v>
      </c>
      <c r="AG556" s="52">
        <f t="shared" si="56"/>
        <v>5.1065637728110194E-2</v>
      </c>
      <c r="AH556" s="52"/>
      <c r="AI556" s="52"/>
      <c r="AJ556" s="52"/>
      <c r="AK556" s="28">
        <v>1.545454545454545</v>
      </c>
      <c r="AL556" s="28">
        <v>1.363636363636364</v>
      </c>
      <c r="AM556" s="28">
        <v>0.13636363636363641</v>
      </c>
      <c r="AN556" s="28">
        <v>0.1818181818181818</v>
      </c>
      <c r="AO556" s="28">
        <v>0.47887323943661969</v>
      </c>
      <c r="AP556" s="28">
        <v>0.42253521126760563</v>
      </c>
      <c r="AQ556" s="28">
        <v>4.2253521126760563E-2</v>
      </c>
      <c r="AR556" s="28">
        <v>5.6338028169014093E-2</v>
      </c>
      <c r="AS556" s="25">
        <v>1.1399999999999999</v>
      </c>
      <c r="AT556" s="25">
        <v>3.44</v>
      </c>
      <c r="AU556" s="25">
        <v>2.2999999999999998</v>
      </c>
      <c r="AV556" s="25">
        <v>2.4804545454545459</v>
      </c>
      <c r="AW556">
        <v>2.480454545454545</v>
      </c>
      <c r="AX556">
        <v>6.6484842021595449</v>
      </c>
      <c r="AY556" s="75"/>
      <c r="AZ556" s="75"/>
      <c r="BA556" s="75"/>
      <c r="BB556">
        <v>2.5532818864055101E-2</v>
      </c>
      <c r="BF556">
        <v>5.1065637728110187E-2</v>
      </c>
      <c r="BG556">
        <v>2.5532818864055101E-2</v>
      </c>
      <c r="BH556">
        <v>0</v>
      </c>
    </row>
    <row r="557" spans="1:60" x14ac:dyDescent="0.3">
      <c r="A557" s="1" t="s">
        <v>394</v>
      </c>
      <c r="B557" s="18" t="s">
        <v>1056</v>
      </c>
      <c r="C557" s="13"/>
      <c r="D557" s="2">
        <v>3.29</v>
      </c>
      <c r="E557" s="2" t="s">
        <v>393</v>
      </c>
      <c r="F557" s="9">
        <v>-1</v>
      </c>
      <c r="G557">
        <v>-1</v>
      </c>
      <c r="H557" t="s">
        <v>1243</v>
      </c>
      <c r="I557" s="2">
        <v>1</v>
      </c>
      <c r="J557" s="25">
        <v>0</v>
      </c>
      <c r="K557">
        <v>0</v>
      </c>
      <c r="L557">
        <v>0</v>
      </c>
      <c r="M557" s="2">
        <v>3.85</v>
      </c>
      <c r="N557" s="2">
        <v>3.85</v>
      </c>
      <c r="O557" s="2">
        <v>21.37</v>
      </c>
      <c r="P557" s="2" t="s">
        <v>1131</v>
      </c>
      <c r="Q557" s="2"/>
      <c r="R557" s="25">
        <v>0</v>
      </c>
      <c r="U557">
        <v>0</v>
      </c>
      <c r="X557">
        <v>0</v>
      </c>
      <c r="AA557" s="2"/>
      <c r="AB557">
        <v>26</v>
      </c>
      <c r="AC557" s="55">
        <f t="shared" si="57"/>
        <v>316.75682500000005</v>
      </c>
      <c r="AD557" s="57">
        <v>0</v>
      </c>
      <c r="AE557" s="55">
        <v>0</v>
      </c>
      <c r="AF557" s="55">
        <v>0</v>
      </c>
      <c r="AG557" s="52">
        <f t="shared" si="56"/>
        <v>8.2081893578772921E-2</v>
      </c>
      <c r="AH557" s="52"/>
      <c r="AI557" s="52"/>
      <c r="AJ557" s="52"/>
      <c r="AK557" s="28">
        <v>1.791666666666667</v>
      </c>
      <c r="AL557" s="28">
        <v>2.416666666666667</v>
      </c>
      <c r="AM557" s="28">
        <v>1.166666666666667</v>
      </c>
      <c r="AN557" s="28">
        <v>1.166666666666667</v>
      </c>
      <c r="AO557" s="28">
        <v>0.27388535031847128</v>
      </c>
      <c r="AP557" s="28">
        <v>0.36942675159235672</v>
      </c>
      <c r="AQ557" s="28">
        <v>0.178343949044586</v>
      </c>
      <c r="AR557" s="28">
        <v>0.178343949044586</v>
      </c>
      <c r="AS557" s="25">
        <v>0.82</v>
      </c>
      <c r="AT557" s="25">
        <v>3.44</v>
      </c>
      <c r="AU557" s="25">
        <v>2.62</v>
      </c>
      <c r="AV557" s="25">
        <v>2.689166666666666</v>
      </c>
      <c r="AW557">
        <v>2.6891666666666669</v>
      </c>
      <c r="AX557">
        <v>6.2990365295585002</v>
      </c>
      <c r="AY557" s="75"/>
      <c r="AZ557" s="75"/>
      <c r="BA557" s="75">
        <v>0</v>
      </c>
      <c r="BB557">
        <v>4.1040946789386461E-2</v>
      </c>
      <c r="BF557">
        <v>8.2081893578772921E-2</v>
      </c>
      <c r="BG557">
        <v>4.1040946789386461E-2</v>
      </c>
      <c r="BH557">
        <v>0</v>
      </c>
    </row>
    <row r="558" spans="1:60" x14ac:dyDescent="0.3">
      <c r="A558" s="5" t="s">
        <v>395</v>
      </c>
      <c r="B558" s="43" t="s">
        <v>1057</v>
      </c>
      <c r="C558" s="39"/>
      <c r="D558" s="5">
        <v>3.17</v>
      </c>
      <c r="E558" s="5" t="s">
        <v>393</v>
      </c>
      <c r="F558" s="40">
        <v>-2</v>
      </c>
      <c r="G558" s="5">
        <v>-1</v>
      </c>
      <c r="H558" s="5"/>
      <c r="I558" s="5">
        <v>1</v>
      </c>
      <c r="J558" s="41">
        <v>0</v>
      </c>
      <c r="K558">
        <v>0</v>
      </c>
      <c r="L558">
        <v>0</v>
      </c>
      <c r="M558" s="2">
        <v>3.85</v>
      </c>
      <c r="N558" s="2">
        <v>3.85</v>
      </c>
      <c r="O558" s="5">
        <v>21.88</v>
      </c>
      <c r="P558" s="5"/>
      <c r="Q558" s="5"/>
      <c r="R558" s="41">
        <v>0</v>
      </c>
      <c r="S558" s="5"/>
      <c r="T558" s="5"/>
      <c r="U558">
        <v>0</v>
      </c>
      <c r="X558">
        <v>0</v>
      </c>
      <c r="AA558" s="5"/>
      <c r="AB558" s="5">
        <v>26</v>
      </c>
      <c r="AC558" s="55">
        <f t="shared" si="57"/>
        <v>324.31630000000001</v>
      </c>
      <c r="AD558" s="57">
        <v>0</v>
      </c>
      <c r="AE558" s="55">
        <v>0</v>
      </c>
      <c r="AF558" s="55">
        <v>0</v>
      </c>
      <c r="AG558" s="52">
        <f t="shared" si="56"/>
        <v>8.0168650172686359E-2</v>
      </c>
      <c r="AH558" s="52"/>
      <c r="AI558" s="52"/>
      <c r="AJ558" s="52"/>
      <c r="AK558" s="5">
        <v>1.7272727272727271</v>
      </c>
      <c r="AL558" s="5">
        <v>2.1818181818181821</v>
      </c>
      <c r="AM558" s="5">
        <v>1.0181818181818181</v>
      </c>
      <c r="AN558" s="5">
        <v>1.0181818181818181</v>
      </c>
      <c r="AO558" s="5">
        <v>0.29051987767584098</v>
      </c>
      <c r="AP558" s="5">
        <v>0.36697247706422009</v>
      </c>
      <c r="AQ558" s="5">
        <v>0.17125382262996941</v>
      </c>
      <c r="AR558" s="5">
        <v>0.17125382262996941</v>
      </c>
      <c r="AS558" s="41">
        <v>0.82</v>
      </c>
      <c r="AT558" s="41">
        <v>3.44</v>
      </c>
      <c r="AU558" s="41">
        <v>2.62</v>
      </c>
      <c r="AV558" s="41">
        <v>2.6647272727272728</v>
      </c>
      <c r="AW558" s="5">
        <v>2.6647272727272728</v>
      </c>
      <c r="AX558" s="5">
        <v>6.4638943890893454</v>
      </c>
      <c r="AY558" s="75"/>
      <c r="AZ558" s="75"/>
      <c r="BA558" s="75"/>
      <c r="BB558">
        <v>4.008432508634318E-2</v>
      </c>
      <c r="BF558">
        <v>8.0168650172686359E-2</v>
      </c>
      <c r="BG558">
        <v>4.008432508634318E-2</v>
      </c>
      <c r="BH558">
        <v>0</v>
      </c>
    </row>
    <row r="559" spans="1:60" x14ac:dyDescent="0.3">
      <c r="A559" s="5" t="s">
        <v>396</v>
      </c>
      <c r="B559" s="43" t="s">
        <v>1058</v>
      </c>
      <c r="C559" s="39"/>
      <c r="D559" s="5">
        <v>3.19</v>
      </c>
      <c r="E559" s="5" t="s">
        <v>393</v>
      </c>
      <c r="F559" s="40">
        <v>-2</v>
      </c>
      <c r="G559" s="5">
        <v>-1</v>
      </c>
      <c r="H559" s="5"/>
      <c r="I559" s="5">
        <v>1</v>
      </c>
      <c r="J559" s="41">
        <v>0</v>
      </c>
      <c r="K559">
        <v>0</v>
      </c>
      <c r="L559">
        <v>0</v>
      </c>
      <c r="M559" s="2">
        <v>3.85</v>
      </c>
      <c r="N559" s="2">
        <v>3.85</v>
      </c>
      <c r="O559" s="5">
        <v>23.3</v>
      </c>
      <c r="P559" s="5"/>
      <c r="Q559" s="5"/>
      <c r="R559" s="41">
        <v>0</v>
      </c>
      <c r="S559" s="5"/>
      <c r="T559" s="5"/>
      <c r="U559">
        <v>0</v>
      </c>
      <c r="X559">
        <v>0</v>
      </c>
      <c r="AA559" s="5"/>
      <c r="AB559" s="5">
        <v>26</v>
      </c>
      <c r="AC559" s="55">
        <f t="shared" si="57"/>
        <v>345.36425000000003</v>
      </c>
      <c r="AD559" s="57">
        <v>0</v>
      </c>
      <c r="AE559" s="55">
        <v>0</v>
      </c>
      <c r="AF559" s="55">
        <v>0</v>
      </c>
      <c r="AG559" s="52">
        <f t="shared" si="56"/>
        <v>7.5282835441132068E-2</v>
      </c>
      <c r="AH559" s="52"/>
      <c r="AI559" s="52"/>
      <c r="AJ559" s="52"/>
      <c r="AK559" s="5">
        <v>1.693548387096774</v>
      </c>
      <c r="AL559" s="5">
        <v>2.0483870967741939</v>
      </c>
      <c r="AM559" s="5">
        <v>1.064516129032258</v>
      </c>
      <c r="AN559" s="5">
        <v>1.129032258064516</v>
      </c>
      <c r="AO559" s="5">
        <v>0.28532608695652167</v>
      </c>
      <c r="AP559" s="5">
        <v>0.34510869565217389</v>
      </c>
      <c r="AQ559" s="5">
        <v>0.17934782608695651</v>
      </c>
      <c r="AR559" s="5">
        <v>0.19021739130434781</v>
      </c>
      <c r="AS559" s="41">
        <v>0.82</v>
      </c>
      <c r="AT559" s="41">
        <v>3.44</v>
      </c>
      <c r="AU559" s="41">
        <v>2.62</v>
      </c>
      <c r="AV559" s="41">
        <v>2.620645161290323</v>
      </c>
      <c r="AW559" s="5">
        <v>2.620645161290323</v>
      </c>
      <c r="AX559" s="5">
        <v>6.4654289883277096</v>
      </c>
      <c r="AY559" s="75"/>
      <c r="AZ559" s="75"/>
      <c r="BA559" s="75"/>
      <c r="BB559">
        <v>3.7641417720566027E-2</v>
      </c>
      <c r="BF559">
        <v>7.5282835441132068E-2</v>
      </c>
      <c r="BG559">
        <v>3.7641417720566027E-2</v>
      </c>
      <c r="BH559">
        <v>0</v>
      </c>
    </row>
    <row r="560" spans="1:60" x14ac:dyDescent="0.3">
      <c r="A560" s="5" t="s">
        <v>397</v>
      </c>
      <c r="B560" s="43" t="s">
        <v>1059</v>
      </c>
      <c r="C560" s="39"/>
      <c r="D560" s="5">
        <v>3.19</v>
      </c>
      <c r="E560" s="5" t="s">
        <v>393</v>
      </c>
      <c r="F560" s="40">
        <v>-2</v>
      </c>
      <c r="G560" s="5">
        <v>-1</v>
      </c>
      <c r="H560" s="5"/>
      <c r="I560" s="5">
        <v>1</v>
      </c>
      <c r="J560" s="41">
        <v>0</v>
      </c>
      <c r="K560">
        <v>0</v>
      </c>
      <c r="L560">
        <v>0</v>
      </c>
      <c r="M560" s="2">
        <v>3.85</v>
      </c>
      <c r="N560" s="2">
        <v>3.85</v>
      </c>
      <c r="O560" s="5">
        <v>25.26</v>
      </c>
      <c r="P560" s="5"/>
      <c r="Q560" s="5"/>
      <c r="R560" s="41">
        <v>0</v>
      </c>
      <c r="S560" s="41"/>
      <c r="T560" s="41"/>
      <c r="U560">
        <v>0</v>
      </c>
      <c r="X560">
        <v>0</v>
      </c>
      <c r="AA560" s="5"/>
      <c r="AB560" s="5">
        <v>26</v>
      </c>
      <c r="AC560" s="55">
        <f t="shared" si="57"/>
        <v>374.41635000000008</v>
      </c>
      <c r="AD560" s="57">
        <v>0</v>
      </c>
      <c r="AE560" s="55">
        <v>0</v>
      </c>
      <c r="AF560" s="55">
        <v>0</v>
      </c>
      <c r="AG560" s="52">
        <f t="shared" si="56"/>
        <v>6.9441411946887452E-2</v>
      </c>
      <c r="AH560" s="51"/>
      <c r="AI560" s="52"/>
      <c r="AJ560" s="52"/>
      <c r="AK560" s="5">
        <v>1.661764705882353</v>
      </c>
      <c r="AL560" s="5">
        <v>1.9264705882352939</v>
      </c>
      <c r="AM560" s="5">
        <v>0.97058823529411764</v>
      </c>
      <c r="AN560" s="5">
        <v>1.029411764705882</v>
      </c>
      <c r="AO560" s="5">
        <v>0.29736842105263162</v>
      </c>
      <c r="AP560" s="5">
        <v>0.34473684210526317</v>
      </c>
      <c r="AQ560" s="5">
        <v>0.1736842105263158</v>
      </c>
      <c r="AR560" s="5">
        <v>0.18421052631578949</v>
      </c>
      <c r="AS560" s="41">
        <v>0.82</v>
      </c>
      <c r="AT560" s="41">
        <v>3.44</v>
      </c>
      <c r="AU560" s="41">
        <v>2.62</v>
      </c>
      <c r="AV560" s="41">
        <v>2.5938235294117651</v>
      </c>
      <c r="AW560" s="5">
        <v>2.5938235294117651</v>
      </c>
      <c r="AX560" s="5">
        <v>6.5012509424665001</v>
      </c>
      <c r="AY560" s="75"/>
      <c r="AZ560" s="75"/>
      <c r="BA560" s="75"/>
      <c r="BB560">
        <v>3.4720705973443733E-2</v>
      </c>
      <c r="BF560">
        <v>6.9441411946887452E-2</v>
      </c>
      <c r="BG560">
        <v>3.4720705973443733E-2</v>
      </c>
      <c r="BH560">
        <v>0</v>
      </c>
    </row>
    <row r="561" spans="1:60" x14ac:dyDescent="0.3">
      <c r="A561" s="5" t="s">
        <v>398</v>
      </c>
      <c r="B561" s="43" t="s">
        <v>1060</v>
      </c>
      <c r="C561" s="39"/>
      <c r="D561" s="5">
        <v>3.17</v>
      </c>
      <c r="E561" s="5" t="s">
        <v>393</v>
      </c>
      <c r="F561" s="40">
        <v>-2</v>
      </c>
      <c r="G561" s="5">
        <v>-1</v>
      </c>
      <c r="H561" s="5"/>
      <c r="I561" s="5">
        <v>1</v>
      </c>
      <c r="J561" s="41">
        <v>0</v>
      </c>
      <c r="K561">
        <v>0</v>
      </c>
      <c r="L561">
        <v>0</v>
      </c>
      <c r="M561" s="2">
        <v>3.85</v>
      </c>
      <c r="N561" s="2">
        <v>3.85</v>
      </c>
      <c r="O561" s="5">
        <v>27.23</v>
      </c>
      <c r="P561" s="5"/>
      <c r="Q561" s="5"/>
      <c r="R561" s="41">
        <v>0</v>
      </c>
      <c r="S561" s="41"/>
      <c r="T561" s="41"/>
      <c r="U561">
        <v>0</v>
      </c>
      <c r="X561">
        <v>0</v>
      </c>
      <c r="AA561" s="5"/>
      <c r="AB561" s="5">
        <v>26</v>
      </c>
      <c r="AC561" s="55">
        <f t="shared" si="57"/>
        <v>403.61667500000004</v>
      </c>
      <c r="AD561" s="57">
        <v>0</v>
      </c>
      <c r="AE561" s="55">
        <v>0</v>
      </c>
      <c r="AF561" s="55">
        <v>0</v>
      </c>
      <c r="AG561" s="52">
        <f t="shared" si="56"/>
        <v>6.4417556583855201E-2</v>
      </c>
      <c r="AH561" s="51"/>
      <c r="AI561" s="52"/>
      <c r="AJ561" s="52"/>
      <c r="AK561" s="5">
        <v>1.6351351351351351</v>
      </c>
      <c r="AL561" s="5">
        <v>1.8243243243243239</v>
      </c>
      <c r="AM561" s="5">
        <v>0.89189189189189189</v>
      </c>
      <c r="AN561" s="5">
        <v>0.94594594594594594</v>
      </c>
      <c r="AO561" s="5">
        <v>0.30867346938775508</v>
      </c>
      <c r="AP561" s="5">
        <v>0.34438775510204078</v>
      </c>
      <c r="AQ561" s="5">
        <v>0.1683673469387755</v>
      </c>
      <c r="AR561" s="5">
        <v>0.1785714285714286</v>
      </c>
      <c r="AS561" s="41">
        <v>0.82</v>
      </c>
      <c r="AT561" s="41">
        <v>3.44</v>
      </c>
      <c r="AU561" s="41">
        <v>2.62</v>
      </c>
      <c r="AV561" s="41">
        <v>2.5713513513513511</v>
      </c>
      <c r="AW561" s="5">
        <v>2.571351351351352</v>
      </c>
      <c r="AX561" s="5">
        <v>6.5312639310692706</v>
      </c>
      <c r="AY561" s="75"/>
      <c r="AZ561" s="75"/>
      <c r="BA561" s="75"/>
      <c r="BB561">
        <v>3.2208778291927601E-2</v>
      </c>
      <c r="BF561">
        <v>6.4417556583855201E-2</v>
      </c>
      <c r="BG561">
        <v>3.2208778291927601E-2</v>
      </c>
      <c r="BH561">
        <v>0</v>
      </c>
    </row>
    <row r="562" spans="1:60" x14ac:dyDescent="0.3">
      <c r="A562" s="5" t="s">
        <v>399</v>
      </c>
      <c r="B562" s="43" t="s">
        <v>1061</v>
      </c>
      <c r="C562" s="39"/>
      <c r="D562" s="5">
        <v>3.15</v>
      </c>
      <c r="E562" s="5" t="s">
        <v>393</v>
      </c>
      <c r="F562" s="40">
        <v>-2</v>
      </c>
      <c r="G562" s="5">
        <v>-1</v>
      </c>
      <c r="H562" s="5"/>
      <c r="I562" s="5">
        <v>1</v>
      </c>
      <c r="J562" s="41">
        <v>0</v>
      </c>
      <c r="K562">
        <v>0</v>
      </c>
      <c r="L562">
        <v>0</v>
      </c>
      <c r="M562" s="2">
        <v>3.85</v>
      </c>
      <c r="N562" s="2">
        <v>3.85</v>
      </c>
      <c r="O562" s="5">
        <v>33.19</v>
      </c>
      <c r="P562" s="5"/>
      <c r="Q562" s="5"/>
      <c r="R562" s="41">
        <v>0</v>
      </c>
      <c r="S562" s="41"/>
      <c r="T562" s="41"/>
      <c r="U562">
        <v>0</v>
      </c>
      <c r="X562">
        <v>0</v>
      </c>
      <c r="AA562" s="5"/>
      <c r="AB562" s="5">
        <v>26</v>
      </c>
      <c r="AC562" s="55">
        <f t="shared" si="57"/>
        <v>491.958775</v>
      </c>
      <c r="AD562" s="57">
        <v>0</v>
      </c>
      <c r="AE562" s="55">
        <v>0</v>
      </c>
      <c r="AF562" s="55">
        <v>0</v>
      </c>
      <c r="AG562" s="52">
        <f t="shared" si="56"/>
        <v>5.2849956787537733E-2</v>
      </c>
      <c r="AH562" s="51"/>
      <c r="AI562" s="52"/>
      <c r="AJ562" s="52"/>
      <c r="AK562" s="5">
        <v>1.593023255813953</v>
      </c>
      <c r="AL562" s="5">
        <v>1.6627906976744189</v>
      </c>
      <c r="AM562" s="5">
        <v>0.76744186046511631</v>
      </c>
      <c r="AN562" s="5">
        <v>0.81395348837209303</v>
      </c>
      <c r="AO562" s="5">
        <v>0.32932692307692307</v>
      </c>
      <c r="AP562" s="5">
        <v>0.34375000000000011</v>
      </c>
      <c r="AQ562" s="5">
        <v>0.1586538461538462</v>
      </c>
      <c r="AR562" s="5">
        <v>0.16826923076923081</v>
      </c>
      <c r="AS562" s="41">
        <v>0.82</v>
      </c>
      <c r="AT562" s="41">
        <v>3.44</v>
      </c>
      <c r="AU562" s="41">
        <v>2.62</v>
      </c>
      <c r="AV562" s="41">
        <v>2.5358139534883719</v>
      </c>
      <c r="AW562" s="5">
        <v>2.5358139534883719</v>
      </c>
      <c r="AX562" s="5">
        <v>6.5787263316503957</v>
      </c>
      <c r="AY562" s="75"/>
      <c r="AZ562" s="75"/>
      <c r="BA562" s="75"/>
      <c r="BB562">
        <v>2.642497839376887E-2</v>
      </c>
      <c r="BF562">
        <v>5.2849956787537733E-2</v>
      </c>
      <c r="BG562">
        <v>2.642497839376887E-2</v>
      </c>
      <c r="BH562">
        <v>0</v>
      </c>
    </row>
    <row r="563" spans="1:60" x14ac:dyDescent="0.3">
      <c r="A563" s="5" t="s">
        <v>400</v>
      </c>
      <c r="B563" s="43" t="s">
        <v>1062</v>
      </c>
      <c r="C563" s="39"/>
      <c r="D563" s="5">
        <v>3.15</v>
      </c>
      <c r="E563" s="5" t="s">
        <v>393</v>
      </c>
      <c r="F563" s="49">
        <v>-2</v>
      </c>
      <c r="G563" s="5">
        <v>-1</v>
      </c>
      <c r="H563" s="5"/>
      <c r="I563" s="5">
        <v>1</v>
      </c>
      <c r="J563" s="41">
        <v>0</v>
      </c>
      <c r="K563">
        <v>0</v>
      </c>
      <c r="L563">
        <v>0</v>
      </c>
      <c r="M563" s="2">
        <v>3.85</v>
      </c>
      <c r="N563" s="2">
        <v>3.85</v>
      </c>
      <c r="O563" s="5">
        <v>38.67</v>
      </c>
      <c r="P563" s="5"/>
      <c r="Q563" s="5"/>
      <c r="R563" s="41">
        <v>0</v>
      </c>
      <c r="S563" s="41"/>
      <c r="T563" s="41"/>
      <c r="U563">
        <v>0</v>
      </c>
      <c r="X563">
        <v>0</v>
      </c>
      <c r="AA563" s="5"/>
      <c r="AB563" s="5">
        <v>26</v>
      </c>
      <c r="AC563" s="55">
        <f t="shared" si="57"/>
        <v>573.18607500000007</v>
      </c>
      <c r="AD563" s="57">
        <v>0</v>
      </c>
      <c r="AE563" s="55">
        <v>0</v>
      </c>
      <c r="AF563" s="55">
        <v>0</v>
      </c>
      <c r="AG563" s="52">
        <f t="shared" si="56"/>
        <v>4.5360487866004065E-2</v>
      </c>
      <c r="AH563" s="51"/>
      <c r="AI563" s="52"/>
      <c r="AJ563" s="52"/>
      <c r="AK563" s="5">
        <v>1.561224489795918</v>
      </c>
      <c r="AL563" s="5">
        <v>1.5408163265306121</v>
      </c>
      <c r="AM563" s="5">
        <v>0.67346938775510201</v>
      </c>
      <c r="AN563" s="5">
        <v>0.7142857142857143</v>
      </c>
      <c r="AO563" s="5">
        <v>0.34772727272727277</v>
      </c>
      <c r="AP563" s="5">
        <v>0.3431818181818182</v>
      </c>
      <c r="AQ563" s="5">
        <v>0.15</v>
      </c>
      <c r="AR563" s="5">
        <v>0.15909090909090909</v>
      </c>
      <c r="AS563" s="41">
        <v>0.82</v>
      </c>
      <c r="AT563" s="41">
        <v>3.44</v>
      </c>
      <c r="AU563" s="41">
        <v>2.62</v>
      </c>
      <c r="AV563" s="41">
        <v>2.5089795918367348</v>
      </c>
      <c r="AW563" s="5">
        <v>2.5089795918367348</v>
      </c>
      <c r="AX563" s="5">
        <v>6.6145652871912439</v>
      </c>
      <c r="AY563" s="75"/>
      <c r="AZ563" s="75"/>
      <c r="BA563" s="75"/>
      <c r="BB563">
        <v>2.2680243933002029E-2</v>
      </c>
      <c r="BF563">
        <v>4.5360487866004072E-2</v>
      </c>
      <c r="BG563">
        <v>2.2680243933002029E-2</v>
      </c>
      <c r="BH563">
        <v>0</v>
      </c>
    </row>
    <row r="564" spans="1:60" x14ac:dyDescent="0.3">
      <c r="A564" s="2" t="s">
        <v>381</v>
      </c>
      <c r="B564" s="13" t="s">
        <v>838</v>
      </c>
      <c r="C564" s="13"/>
      <c r="D564" s="2">
        <v>3.46</v>
      </c>
      <c r="E564" s="2" t="s">
        <v>401</v>
      </c>
      <c r="F564" s="9">
        <v>-1</v>
      </c>
      <c r="G564">
        <v>-1</v>
      </c>
      <c r="I564" s="2">
        <v>2</v>
      </c>
      <c r="J564" s="25">
        <v>0</v>
      </c>
      <c r="K564">
        <v>0</v>
      </c>
      <c r="L564">
        <v>0</v>
      </c>
      <c r="M564" s="2">
        <v>3.7829999999999999</v>
      </c>
      <c r="N564" s="2">
        <v>3.7829999999999999</v>
      </c>
      <c r="O564" s="2">
        <v>27.18</v>
      </c>
      <c r="P564" s="2" t="s">
        <v>1131</v>
      </c>
      <c r="Q564" s="2"/>
      <c r="R564" s="25">
        <v>0</v>
      </c>
      <c r="S564" s="25"/>
      <c r="T564" s="25"/>
      <c r="U564">
        <v>0</v>
      </c>
      <c r="X564">
        <v>0</v>
      </c>
      <c r="AA564" s="2"/>
      <c r="AB564">
        <v>20</v>
      </c>
      <c r="AC564" s="55">
        <f t="shared" si="57"/>
        <v>388.97539902</v>
      </c>
      <c r="AD564" s="57">
        <v>0</v>
      </c>
      <c r="AE564" s="55">
        <v>0</v>
      </c>
      <c r="AF564" s="55">
        <v>0</v>
      </c>
      <c r="AG564" s="52">
        <f t="shared" si="56"/>
        <v>0.10283426689908304</v>
      </c>
      <c r="AH564" s="51"/>
      <c r="AI564" s="52"/>
      <c r="AJ564" s="52"/>
      <c r="AK564" s="28">
        <v>1.882352941176471</v>
      </c>
      <c r="AL564" s="28">
        <v>2.3529411764705879</v>
      </c>
      <c r="AM564" s="28">
        <v>0.35294117647058831</v>
      </c>
      <c r="AN564" s="28">
        <v>0.47058823529411759</v>
      </c>
      <c r="AO564" s="28">
        <v>0.37209302325581389</v>
      </c>
      <c r="AP564" s="28">
        <v>0.46511627906976749</v>
      </c>
      <c r="AQ564" s="28">
        <v>6.9767441860465129E-2</v>
      </c>
      <c r="AR564" s="28">
        <v>9.3023255813953487E-2</v>
      </c>
      <c r="AS564" s="25">
        <v>1.1399999999999999</v>
      </c>
      <c r="AT564" s="25">
        <v>3.44</v>
      </c>
      <c r="AU564" s="25">
        <v>2.2999999999999998</v>
      </c>
      <c r="AV564" s="25">
        <v>2.6882352941176468</v>
      </c>
      <c r="AW564">
        <v>2.6882352941176468</v>
      </c>
      <c r="AX564">
        <v>6.2192249941001183</v>
      </c>
      <c r="AY564" s="75"/>
      <c r="AZ564" s="75"/>
      <c r="BA564" s="75"/>
      <c r="BB564">
        <v>5.1417133449541519E-2</v>
      </c>
      <c r="BF564">
        <v>0.102834266899083</v>
      </c>
      <c r="BG564">
        <v>5.1417133449541519E-2</v>
      </c>
      <c r="BH564">
        <v>0</v>
      </c>
    </row>
    <row r="565" spans="1:60" x14ac:dyDescent="0.3">
      <c r="A565" s="2" t="s">
        <v>385</v>
      </c>
      <c r="B565" s="18" t="s">
        <v>1063</v>
      </c>
      <c r="C565" s="13"/>
      <c r="D565" s="2">
        <v>3.58</v>
      </c>
      <c r="E565" s="2" t="s">
        <v>401</v>
      </c>
      <c r="F565" s="9">
        <v>-1</v>
      </c>
      <c r="G565">
        <v>-1</v>
      </c>
      <c r="I565" s="2">
        <v>1</v>
      </c>
      <c r="J565" s="25">
        <v>0</v>
      </c>
      <c r="K565">
        <v>0</v>
      </c>
      <c r="L565">
        <v>0</v>
      </c>
      <c r="M565" s="2">
        <v>3.802</v>
      </c>
      <c r="N565" s="2">
        <v>3.802</v>
      </c>
      <c r="O565" s="2">
        <v>24.7</v>
      </c>
      <c r="P565" s="2" t="s">
        <v>439</v>
      </c>
      <c r="Q565" s="2"/>
      <c r="R565" s="25">
        <v>0</v>
      </c>
      <c r="S565" s="25"/>
      <c r="T565" s="25"/>
      <c r="U565">
        <v>0</v>
      </c>
      <c r="X565">
        <v>0</v>
      </c>
      <c r="AA565" s="2"/>
      <c r="AB565">
        <v>20</v>
      </c>
      <c r="AC565" s="55">
        <f t="shared" si="57"/>
        <v>357.04353880000002</v>
      </c>
      <c r="AD565" s="57">
        <v>0</v>
      </c>
      <c r="AE565" s="55">
        <v>0</v>
      </c>
      <c r="AF565" s="55">
        <v>0</v>
      </c>
      <c r="AG565" s="52">
        <f t="shared" si="56"/>
        <v>5.6015577448113731E-2</v>
      </c>
      <c r="AH565" s="51"/>
      <c r="AI565" s="52"/>
      <c r="AJ565" s="52"/>
      <c r="AK565" s="28">
        <v>1.606060606060606</v>
      </c>
      <c r="AL565" s="28">
        <v>1.545454545454545</v>
      </c>
      <c r="AM565" s="28">
        <v>0.1818181818181818</v>
      </c>
      <c r="AN565" s="28">
        <v>0.2424242424242424</v>
      </c>
      <c r="AO565" s="28">
        <v>0.44915254237288132</v>
      </c>
      <c r="AP565" s="28">
        <v>0.43220338983050849</v>
      </c>
      <c r="AQ565" s="28">
        <v>5.0847457627118647E-2</v>
      </c>
      <c r="AR565" s="28">
        <v>6.7796610169491525E-2</v>
      </c>
      <c r="AS565" s="25">
        <v>1.1399999999999999</v>
      </c>
      <c r="AT565" s="25">
        <v>3.44</v>
      </c>
      <c r="AU565" s="25">
        <v>2.2999999999999998</v>
      </c>
      <c r="AV565" s="25">
        <v>2.51939393939394</v>
      </c>
      <c r="AW565">
        <v>2.51939393939394</v>
      </c>
      <c r="AX565">
        <v>6.5741021946079687</v>
      </c>
      <c r="AY565" s="75"/>
      <c r="AZ565" s="75"/>
      <c r="BA565" s="75"/>
      <c r="BB565">
        <v>2.8007788724056869E-2</v>
      </c>
      <c r="BF565">
        <v>5.6015577448113731E-2</v>
      </c>
      <c r="BG565">
        <v>2.8007788724056869E-2</v>
      </c>
      <c r="BH565">
        <v>0</v>
      </c>
    </row>
    <row r="566" spans="1:60" x14ac:dyDescent="0.3">
      <c r="A566" s="2" t="s">
        <v>51</v>
      </c>
      <c r="B566" s="13" t="s">
        <v>703</v>
      </c>
      <c r="C566" s="13"/>
      <c r="D566" s="2">
        <v>5.5</v>
      </c>
      <c r="E566" s="2" t="s">
        <v>52</v>
      </c>
      <c r="F566" s="70" t="s">
        <v>536</v>
      </c>
      <c r="G566" t="s">
        <v>617</v>
      </c>
      <c r="I566" s="2"/>
      <c r="J566" s="25">
        <v>1</v>
      </c>
      <c r="K566">
        <v>4</v>
      </c>
      <c r="L566">
        <v>0</v>
      </c>
      <c r="M566" s="2">
        <v>-1</v>
      </c>
      <c r="N566" s="2"/>
      <c r="O566" s="2"/>
      <c r="P566" s="2"/>
      <c r="Q566" s="2"/>
      <c r="R566" s="25">
        <v>12.88926011</v>
      </c>
      <c r="S566" s="25">
        <v>12.88926011</v>
      </c>
      <c r="T566" s="25">
        <v>12.88926011</v>
      </c>
      <c r="U566">
        <v>5.5223699999999996</v>
      </c>
      <c r="V566">
        <v>5.5240799999999997</v>
      </c>
      <c r="W566">
        <v>25.026399999999999</v>
      </c>
      <c r="X566">
        <v>0</v>
      </c>
      <c r="AA566" s="2"/>
      <c r="AB566">
        <v>18</v>
      </c>
      <c r="AC566" s="55">
        <f t="shared" si="57"/>
        <v>0</v>
      </c>
      <c r="AD566" s="57">
        <v>195.03203980213701</v>
      </c>
      <c r="AE566" s="55">
        <v>763.45570050087724</v>
      </c>
      <c r="AF566" s="55">
        <v>0</v>
      </c>
      <c r="AG566" s="52"/>
      <c r="AH566" s="51">
        <v>9.2292528029042184E-2</v>
      </c>
      <c r="AI566" s="52">
        <v>9.4308025930991482E-2</v>
      </c>
      <c r="AJ566" s="52"/>
      <c r="AK566" s="28">
        <v>2</v>
      </c>
      <c r="AL566" s="28">
        <v>3</v>
      </c>
      <c r="AM566" s="28">
        <v>1.857142857142857</v>
      </c>
      <c r="AN566" s="28">
        <v>4</v>
      </c>
      <c r="AO566" s="28">
        <v>0.18421052631578949</v>
      </c>
      <c r="AP566" s="28">
        <v>0.27631578947368418</v>
      </c>
      <c r="AQ566" s="28">
        <v>0.1710526315789474</v>
      </c>
      <c r="AR566" s="28">
        <v>0.36842105263157893</v>
      </c>
      <c r="AS566" s="25">
        <v>0.95</v>
      </c>
      <c r="AT566" s="25">
        <v>3.44</v>
      </c>
      <c r="AU566" s="25">
        <v>2.4900000000000002</v>
      </c>
      <c r="AV566" s="25">
        <v>2.782142857142857</v>
      </c>
      <c r="AW566">
        <v>2.7821428571428579</v>
      </c>
      <c r="AX566">
        <v>6.2021612289285706</v>
      </c>
      <c r="AY566" s="75">
        <v>0.52524560229640982</v>
      </c>
      <c r="AZ566" s="75">
        <v>0.53671599358424449</v>
      </c>
      <c r="BA566" s="75"/>
      <c r="BC566">
        <v>4.6146264014521092E-2</v>
      </c>
      <c r="BD566">
        <v>4.7154012965495741E-2</v>
      </c>
      <c r="BF566">
        <v>9.3300276980016833E-2</v>
      </c>
      <c r="BG566">
        <v>4.6650138490008423E-2</v>
      </c>
      <c r="BH566">
        <v>0.53098079794032715</v>
      </c>
    </row>
    <row r="567" spans="1:60" x14ac:dyDescent="0.3">
      <c r="A567" s="2" t="s">
        <v>403</v>
      </c>
      <c r="B567" s="17" t="s">
        <v>956</v>
      </c>
      <c r="C567" s="13"/>
      <c r="D567" s="2">
        <v>3.76</v>
      </c>
      <c r="E567" s="2" t="s">
        <v>402</v>
      </c>
      <c r="F567" s="9">
        <v>-1</v>
      </c>
      <c r="G567">
        <v>-1</v>
      </c>
      <c r="I567" s="2">
        <v>2</v>
      </c>
      <c r="J567" s="25">
        <v>0</v>
      </c>
      <c r="K567">
        <v>0</v>
      </c>
      <c r="L567">
        <v>0</v>
      </c>
      <c r="M567" s="2">
        <v>3.9</v>
      </c>
      <c r="N567" s="2">
        <v>3.9</v>
      </c>
      <c r="O567" s="2">
        <f>15.91*2</f>
        <v>31.82</v>
      </c>
      <c r="P567" s="2"/>
      <c r="Q567" s="2"/>
      <c r="R567" s="25">
        <v>0</v>
      </c>
      <c r="S567" s="25"/>
      <c r="T567" s="25"/>
      <c r="U567">
        <v>0</v>
      </c>
      <c r="X567">
        <v>0</v>
      </c>
      <c r="AA567" s="2"/>
      <c r="AB567">
        <v>20</v>
      </c>
      <c r="AC567" s="55">
        <f t="shared" si="57"/>
        <v>483.98219999999998</v>
      </c>
      <c r="AD567" s="57">
        <v>0</v>
      </c>
      <c r="AE567" s="55">
        <v>0</v>
      </c>
      <c r="AF567" s="55">
        <v>0</v>
      </c>
      <c r="AG567" s="52">
        <f>I567*AB567/AC567</f>
        <v>8.2647667620833989E-2</v>
      </c>
      <c r="AH567" s="51"/>
      <c r="AI567" s="52"/>
      <c r="AJ567" s="52"/>
      <c r="AK567" s="28">
        <v>1.882352941176471</v>
      </c>
      <c r="AL567" s="28">
        <v>2.3529411764705879</v>
      </c>
      <c r="AM567" s="28">
        <v>0.43529411764705878</v>
      </c>
      <c r="AN567" s="28">
        <v>0.82352941176470584</v>
      </c>
      <c r="AO567" s="28">
        <v>0.34261241970021411</v>
      </c>
      <c r="AP567" s="28">
        <v>0.42826552462526768</v>
      </c>
      <c r="AQ567" s="28">
        <v>7.922912205567452E-2</v>
      </c>
      <c r="AR567" s="28">
        <v>0.1498929336188437</v>
      </c>
      <c r="AS567" s="25">
        <v>0.82</v>
      </c>
      <c r="AT567" s="25">
        <v>3.44</v>
      </c>
      <c r="AU567" s="25">
        <v>2.62</v>
      </c>
      <c r="AV567" s="25">
        <v>2.5324117647058819</v>
      </c>
      <c r="AW567">
        <v>2.532941176470588</v>
      </c>
      <c r="AX567">
        <v>5.690008021176471</v>
      </c>
      <c r="AY567" s="75"/>
      <c r="AZ567" s="75"/>
      <c r="BA567" s="75"/>
      <c r="BB567">
        <v>4.1323833810416988E-2</v>
      </c>
      <c r="BF567">
        <v>8.2647667620833989E-2</v>
      </c>
      <c r="BG567">
        <v>4.1323833810416988E-2</v>
      </c>
      <c r="BH567">
        <v>0</v>
      </c>
    </row>
    <row r="568" spans="1:60" x14ac:dyDescent="0.3">
      <c r="A568" s="2" t="s">
        <v>404</v>
      </c>
      <c r="B568" s="33" t="s">
        <v>957</v>
      </c>
      <c r="C568" s="34"/>
      <c r="D568" s="2">
        <v>3.88</v>
      </c>
      <c r="E568" s="2" t="s">
        <v>402</v>
      </c>
      <c r="F568" s="35">
        <v>-1</v>
      </c>
      <c r="G568" s="2">
        <v>-1</v>
      </c>
      <c r="H568" s="2"/>
      <c r="I568" s="2">
        <v>2</v>
      </c>
      <c r="J568" s="29">
        <v>0</v>
      </c>
      <c r="K568">
        <v>0</v>
      </c>
      <c r="L568">
        <v>0</v>
      </c>
      <c r="M568" s="2">
        <v>3.8050000000000002</v>
      </c>
      <c r="N568" s="2">
        <v>3.8050000000000002</v>
      </c>
      <c r="O568" s="2">
        <v>27.44</v>
      </c>
      <c r="P568" s="2" t="s">
        <v>1131</v>
      </c>
      <c r="Q568" s="2"/>
      <c r="R568" s="29">
        <v>0</v>
      </c>
      <c r="S568" s="29"/>
      <c r="T568" s="29"/>
      <c r="U568">
        <v>0</v>
      </c>
      <c r="X568">
        <v>0</v>
      </c>
      <c r="AA568" s="2"/>
      <c r="AB568" s="2">
        <v>20</v>
      </c>
      <c r="AC568" s="55">
        <f t="shared" si="57"/>
        <v>397.27700600000003</v>
      </c>
      <c r="AD568" s="57">
        <v>0</v>
      </c>
      <c r="AE568" s="55">
        <v>0</v>
      </c>
      <c r="AF568" s="55">
        <v>0</v>
      </c>
      <c r="AG568" s="52">
        <f>I568*AB568/AC568</f>
        <v>0.10068541444857747</v>
      </c>
      <c r="AH568" s="51"/>
      <c r="AI568" s="52"/>
      <c r="AJ568" s="52"/>
      <c r="AK568" s="2">
        <v>1.882352941176471</v>
      </c>
      <c r="AL568" s="2">
        <v>2.3529411764705879</v>
      </c>
      <c r="AM568" s="2">
        <v>0.43529411764705878</v>
      </c>
      <c r="AN568" s="2">
        <v>0.82352941176470584</v>
      </c>
      <c r="AO568" s="2">
        <v>0.34261241970021411</v>
      </c>
      <c r="AP568" s="2">
        <v>0.42826552462526768</v>
      </c>
      <c r="AQ568" s="2">
        <v>7.922912205567452E-2</v>
      </c>
      <c r="AR568" s="2">
        <v>0.1498929336188437</v>
      </c>
      <c r="AS568" s="29">
        <v>1.1850000000000001</v>
      </c>
      <c r="AT568" s="29">
        <v>3.44</v>
      </c>
      <c r="AU568" s="29">
        <v>2.2549999999999999</v>
      </c>
      <c r="AV568" s="29">
        <v>2.6947647058823532</v>
      </c>
      <c r="AW568" s="2">
        <v>2.6952941176470588</v>
      </c>
      <c r="AX568" s="2">
        <v>6.2494732999824709</v>
      </c>
      <c r="AY568" s="75"/>
      <c r="AZ568" s="75"/>
      <c r="BA568" s="75"/>
      <c r="BB568">
        <v>5.0342707224288727E-2</v>
      </c>
      <c r="BF568">
        <v>0.1006854144485775</v>
      </c>
      <c r="BG568">
        <v>5.0342707224288727E-2</v>
      </c>
      <c r="BH568">
        <v>0</v>
      </c>
    </row>
    <row r="569" spans="1:60" x14ac:dyDescent="0.3">
      <c r="A569" s="2" t="s">
        <v>405</v>
      </c>
      <c r="B569" s="17" t="s">
        <v>958</v>
      </c>
      <c r="C569" s="13"/>
      <c r="D569" s="2">
        <v>4.51</v>
      </c>
      <c r="E569" s="2" t="s">
        <v>402</v>
      </c>
      <c r="F569" s="9">
        <v>-1</v>
      </c>
      <c r="G569">
        <v>-1</v>
      </c>
      <c r="H569" s="1" t="s">
        <v>1184</v>
      </c>
      <c r="I569" s="2"/>
      <c r="J569" s="25">
        <v>0</v>
      </c>
      <c r="K569">
        <v>0</v>
      </c>
      <c r="L569">
        <v>0</v>
      </c>
      <c r="M569" s="2">
        <v>-1</v>
      </c>
      <c r="N569" s="2"/>
      <c r="O569" s="2"/>
      <c r="P569" s="2"/>
      <c r="Q569" s="2"/>
      <c r="R569" s="25">
        <v>0</v>
      </c>
      <c r="S569" s="25"/>
      <c r="T569" s="25"/>
      <c r="U569">
        <v>0</v>
      </c>
      <c r="X569">
        <v>0</v>
      </c>
      <c r="AA569" s="2"/>
      <c r="AB569">
        <v>14</v>
      </c>
      <c r="AC569" s="55">
        <f t="shared" si="57"/>
        <v>0</v>
      </c>
      <c r="AD569" s="57">
        <v>0</v>
      </c>
      <c r="AE569" s="55">
        <v>0</v>
      </c>
      <c r="AF569" s="55">
        <v>0</v>
      </c>
      <c r="AG569" s="52"/>
      <c r="AH569" s="51"/>
      <c r="AI569" s="52"/>
      <c r="AJ569" s="52"/>
      <c r="AK569" s="28">
        <v>1.9090909090909089</v>
      </c>
      <c r="AL569" s="28">
        <v>2.545454545454545</v>
      </c>
      <c r="AM569" s="28">
        <v>0.60909090909090913</v>
      </c>
      <c r="AN569" s="28">
        <v>2.790909090909091</v>
      </c>
      <c r="AO569" s="28">
        <v>0.24305555555555561</v>
      </c>
      <c r="AP569" s="28">
        <v>0.32407407407407413</v>
      </c>
      <c r="AQ569" s="28">
        <v>7.7546296296296308E-2</v>
      </c>
      <c r="AR569" s="28">
        <v>0.35532407407407413</v>
      </c>
      <c r="AS569" s="25">
        <v>0.82</v>
      </c>
      <c r="AT569" s="25">
        <v>3.44</v>
      </c>
      <c r="AU569" s="25">
        <v>2.62</v>
      </c>
      <c r="AV569" s="25">
        <v>2.6393636363636359</v>
      </c>
      <c r="AW569">
        <v>2.6363636363636358</v>
      </c>
      <c r="AX569">
        <v>6.0025089159090914</v>
      </c>
      <c r="AY569" s="75"/>
      <c r="AZ569" s="75"/>
      <c r="BA569" s="75"/>
      <c r="BF569">
        <v>0</v>
      </c>
      <c r="BG569">
        <v>0</v>
      </c>
      <c r="BH569">
        <v>0</v>
      </c>
    </row>
    <row r="570" spans="1:60" x14ac:dyDescent="0.3">
      <c r="A570" s="2" t="s">
        <v>1190</v>
      </c>
      <c r="B570" s="33" t="s">
        <v>959</v>
      </c>
      <c r="C570" s="34"/>
      <c r="D570" s="2">
        <v>5.4</v>
      </c>
      <c r="E570" s="2" t="s">
        <v>402</v>
      </c>
      <c r="F570" s="35">
        <v>-1</v>
      </c>
      <c r="G570" s="2">
        <v>-1</v>
      </c>
      <c r="H570" s="2" t="s">
        <v>1164</v>
      </c>
      <c r="I570" s="2"/>
      <c r="J570" s="29">
        <v>0</v>
      </c>
      <c r="K570">
        <v>0</v>
      </c>
      <c r="L570">
        <v>1</v>
      </c>
      <c r="M570" s="2">
        <v>3.89</v>
      </c>
      <c r="N570" s="2">
        <v>3.89</v>
      </c>
      <c r="O570" s="2">
        <v>10.34</v>
      </c>
      <c r="P570" s="2" t="s">
        <v>440</v>
      </c>
      <c r="Q570" s="2"/>
      <c r="R570" s="29">
        <v>0</v>
      </c>
      <c r="S570" s="29"/>
      <c r="T570" s="29"/>
      <c r="U570">
        <v>0</v>
      </c>
      <c r="X570">
        <v>3.88</v>
      </c>
      <c r="Y570">
        <v>3.88</v>
      </c>
      <c r="Z570">
        <v>10.66</v>
      </c>
      <c r="AA570" s="2"/>
      <c r="AB570" s="2">
        <v>14</v>
      </c>
      <c r="AC570" s="55">
        <f t="shared" si="57"/>
        <v>156.465914</v>
      </c>
      <c r="AD570" s="57">
        <v>0</v>
      </c>
      <c r="AE570" s="55">
        <v>0</v>
      </c>
      <c r="AF570" s="55">
        <v>160.479904</v>
      </c>
      <c r="AG570" s="52"/>
      <c r="AH570" s="51"/>
      <c r="AI570" s="52"/>
      <c r="AJ570" s="67">
        <f>L570*AB570/AF570</f>
        <v>8.7238337331009372E-2</v>
      </c>
      <c r="AK570" s="2">
        <v>2</v>
      </c>
      <c r="AL570" s="2">
        <v>2.8</v>
      </c>
      <c r="AM570" s="2">
        <v>0.67</v>
      </c>
      <c r="AN570" s="2">
        <v>3.07</v>
      </c>
      <c r="AO570" s="2">
        <v>0.23419203747072601</v>
      </c>
      <c r="AP570" s="2">
        <v>0.32786885245901642</v>
      </c>
      <c r="AQ570" s="2">
        <v>7.8454332552693226E-2</v>
      </c>
      <c r="AR570" s="2">
        <v>0.35948477751756441</v>
      </c>
      <c r="AS570" s="29">
        <v>1.1000000000000001</v>
      </c>
      <c r="AT570" s="29">
        <v>3.44</v>
      </c>
      <c r="AU570" s="29">
        <v>2.34</v>
      </c>
      <c r="AV570" s="29">
        <v>2.8212999999999999</v>
      </c>
      <c r="AW570" s="2">
        <v>2.8180000000000001</v>
      </c>
      <c r="AX570" s="2">
        <v>6.3696075919999986</v>
      </c>
      <c r="AY570" s="75"/>
      <c r="AZ570" s="75"/>
      <c r="BA570" s="75">
        <v>0</v>
      </c>
      <c r="BE570">
        <v>4.3619168665504693E-2</v>
      </c>
      <c r="BF570">
        <v>8.7238337331009372E-2</v>
      </c>
      <c r="BG570">
        <v>4.3619168665504693E-2</v>
      </c>
      <c r="BH570">
        <v>0</v>
      </c>
    </row>
    <row r="571" spans="1:60" x14ac:dyDescent="0.3">
      <c r="A571" s="2" t="s">
        <v>406</v>
      </c>
      <c r="B571" s="17" t="s">
        <v>960</v>
      </c>
      <c r="C571" s="13"/>
      <c r="D571" s="2">
        <v>0.01</v>
      </c>
      <c r="E571" s="2" t="s">
        <v>408</v>
      </c>
      <c r="F571" s="9">
        <v>-1</v>
      </c>
      <c r="G571">
        <v>4101345</v>
      </c>
      <c r="I571" s="2"/>
      <c r="J571" s="25">
        <v>0</v>
      </c>
      <c r="K571">
        <v>2</v>
      </c>
      <c r="L571">
        <v>2</v>
      </c>
      <c r="M571" s="2">
        <v>5.3959999999999999</v>
      </c>
      <c r="N571" s="2">
        <v>5.4489999999999998</v>
      </c>
      <c r="O571" s="2">
        <v>20.521999999999998</v>
      </c>
      <c r="P571" s="2" t="s">
        <v>1135</v>
      </c>
      <c r="Q571" s="2"/>
      <c r="R571" s="25">
        <v>0</v>
      </c>
      <c r="S571" s="25"/>
      <c r="T571" s="25"/>
      <c r="U571">
        <v>3.9685999999999999</v>
      </c>
      <c r="V571">
        <v>3.9685999999999999</v>
      </c>
      <c r="W571">
        <v>19.3154</v>
      </c>
      <c r="X571">
        <v>0</v>
      </c>
      <c r="AA571" s="2"/>
      <c r="AB571">
        <v>13.84</v>
      </c>
      <c r="AC571" s="55">
        <f t="shared" si="57"/>
        <v>603.40434368799993</v>
      </c>
      <c r="AD571" s="57">
        <v>0</v>
      </c>
      <c r="AE571" s="55">
        <v>0</v>
      </c>
      <c r="AF571" s="55">
        <v>304.20999999999998</v>
      </c>
      <c r="AG571" s="52"/>
      <c r="AH571" s="51"/>
      <c r="AI571" s="52"/>
      <c r="AJ571" s="67">
        <f>L571*AB571/AF571</f>
        <v>9.0989776798921798E-2</v>
      </c>
      <c r="AK571" s="28">
        <v>2</v>
      </c>
      <c r="AL571" s="28">
        <v>2.3221476510067109</v>
      </c>
      <c r="AM571" s="28">
        <v>1.593959731543624</v>
      </c>
      <c r="AN571" s="28">
        <v>0</v>
      </c>
      <c r="AO571" s="28">
        <v>0.33806012478729441</v>
      </c>
      <c r="AP571" s="28">
        <v>0.39251276233692572</v>
      </c>
      <c r="AQ571" s="28">
        <v>0.26942711287577992</v>
      </c>
      <c r="AR571" s="28">
        <v>0</v>
      </c>
      <c r="AS571" s="25">
        <v>1.1000000000000001</v>
      </c>
      <c r="AT571" s="25">
        <v>3.44</v>
      </c>
      <c r="AU571" s="25">
        <v>2.34</v>
      </c>
      <c r="AV571" s="25">
        <v>2.5943624161073831</v>
      </c>
      <c r="AW571">
        <v>2.5943624161073831</v>
      </c>
      <c r="AX571">
        <v>5.8869633505033558</v>
      </c>
      <c r="AY571" s="75"/>
      <c r="AZ571" s="75">
        <v>0.46352185946891089</v>
      </c>
      <c r="BA571" s="75"/>
      <c r="BD571" t="s">
        <v>459</v>
      </c>
      <c r="BE571">
        <v>4.5494888399460899E-2</v>
      </c>
      <c r="BF571">
        <v>9.0989776798921798E-2</v>
      </c>
      <c r="BG571" t="s">
        <v>459</v>
      </c>
      <c r="BH571">
        <v>0.46352185946891089</v>
      </c>
    </row>
    <row r="572" spans="1:60" x14ac:dyDescent="0.3">
      <c r="A572" s="2" t="s">
        <v>407</v>
      </c>
      <c r="B572" s="17" t="s">
        <v>961</v>
      </c>
      <c r="C572" s="13"/>
      <c r="D572" s="2">
        <v>0.15</v>
      </c>
      <c r="E572" s="2" t="s">
        <v>408</v>
      </c>
      <c r="F572" s="9">
        <v>-1</v>
      </c>
      <c r="G572" t="s">
        <v>673</v>
      </c>
      <c r="I572" s="2"/>
      <c r="J572" s="25">
        <v>0</v>
      </c>
      <c r="K572">
        <v>2</v>
      </c>
      <c r="L572">
        <v>2</v>
      </c>
      <c r="M572" s="2">
        <v>5.484</v>
      </c>
      <c r="N572" s="2">
        <v>5.4790000000000001</v>
      </c>
      <c r="O572" s="2">
        <v>20.064</v>
      </c>
      <c r="P572" s="2" t="s">
        <v>1135</v>
      </c>
      <c r="Q572" s="2"/>
      <c r="R572" s="25">
        <v>0</v>
      </c>
      <c r="S572" s="25"/>
      <c r="T572" s="25"/>
      <c r="U572">
        <v>3.9685999999999999</v>
      </c>
      <c r="V572">
        <v>3.9685999999999999</v>
      </c>
      <c r="W572">
        <v>19.3154</v>
      </c>
      <c r="X572">
        <v>0</v>
      </c>
      <c r="AA572" s="2"/>
      <c r="AB572">
        <v>12.7</v>
      </c>
      <c r="AC572" s="55">
        <f t="shared" si="57"/>
        <v>602.85971750399995</v>
      </c>
      <c r="AD572" s="57">
        <v>0</v>
      </c>
      <c r="AE572" s="55">
        <v>304.21341573178398</v>
      </c>
      <c r="AF572" s="55"/>
      <c r="AG572" s="52"/>
      <c r="AH572" s="51"/>
      <c r="AI572" s="52">
        <v>9.098875515866349E-2</v>
      </c>
      <c r="AJ572" s="52"/>
      <c r="AK572" s="28">
        <v>2</v>
      </c>
      <c r="AL572" s="28">
        <v>2.2378854625550662</v>
      </c>
      <c r="AM572" s="28">
        <v>1.6740088105726869</v>
      </c>
      <c r="AN572" s="28">
        <v>0</v>
      </c>
      <c r="AO572" s="28">
        <v>0.33830104321907611</v>
      </c>
      <c r="AP572" s="28">
        <v>0.37853949329359171</v>
      </c>
      <c r="AQ572" s="28">
        <v>0.2831594634873324</v>
      </c>
      <c r="AR572" s="28">
        <v>0</v>
      </c>
      <c r="AS572" s="25">
        <v>1.1000000000000001</v>
      </c>
      <c r="AT572" s="25">
        <v>3.44</v>
      </c>
      <c r="AU572" s="25">
        <v>2.34</v>
      </c>
      <c r="AV572" s="25">
        <v>2.5518942731277532</v>
      </c>
      <c r="AW572">
        <v>2.5518942731277532</v>
      </c>
      <c r="AX572">
        <v>5.8039684980176212</v>
      </c>
      <c r="AY572" s="75"/>
      <c r="AZ572" s="75">
        <v>0.46352185946891089</v>
      </c>
      <c r="BA572" s="75"/>
      <c r="BD572">
        <v>4.1747008327855002E-2</v>
      </c>
      <c r="BF572">
        <v>9.098875515866349E-2</v>
      </c>
      <c r="BG572">
        <v>4.1747008327855002E-2</v>
      </c>
      <c r="BH572">
        <v>0.46352185946891089</v>
      </c>
    </row>
    <row r="573" spans="1:60" x14ac:dyDescent="0.3">
      <c r="A573" s="2" t="s">
        <v>409</v>
      </c>
      <c r="B573" s="17" t="s">
        <v>962</v>
      </c>
      <c r="C573" s="13"/>
      <c r="D573" s="2">
        <v>3.22</v>
      </c>
      <c r="E573" s="2" t="s">
        <v>411</v>
      </c>
      <c r="F573" s="9">
        <v>-1</v>
      </c>
      <c r="G573">
        <v>-1</v>
      </c>
      <c r="I573" s="2"/>
      <c r="J573" s="25">
        <v>0</v>
      </c>
      <c r="K573">
        <v>2</v>
      </c>
      <c r="L573">
        <v>0</v>
      </c>
      <c r="M573" s="2">
        <v>7.8239999999999998</v>
      </c>
      <c r="N573" s="2">
        <v>7.8432000000000004</v>
      </c>
      <c r="O573" s="2">
        <v>7.9165000000000001</v>
      </c>
      <c r="P573" s="2" t="s">
        <v>1136</v>
      </c>
      <c r="Q573" s="2"/>
      <c r="R573" s="25">
        <v>0</v>
      </c>
      <c r="S573" s="25"/>
      <c r="T573" s="25"/>
      <c r="U573">
        <v>3.9685999999999999</v>
      </c>
      <c r="V573">
        <v>3.9685999999999999</v>
      </c>
      <c r="W573">
        <v>19.3154</v>
      </c>
      <c r="X573">
        <v>0</v>
      </c>
      <c r="AA573" s="2"/>
      <c r="AB573">
        <v>6</v>
      </c>
      <c r="AC573" s="55">
        <f t="shared" si="57"/>
        <v>485.79758046720002</v>
      </c>
      <c r="AD573" s="57">
        <v>0</v>
      </c>
      <c r="AE573" s="55">
        <v>304.21341573178398</v>
      </c>
      <c r="AF573" s="55">
        <v>0</v>
      </c>
      <c r="AG573" s="52"/>
      <c r="AH573" s="51"/>
      <c r="AI573" s="52">
        <v>8.3494016655709991E-2</v>
      </c>
      <c r="AJ573" s="52"/>
      <c r="AK573" s="28">
        <v>1.7690531177829101</v>
      </c>
      <c r="AL573" s="28">
        <v>2.7713625866050808</v>
      </c>
      <c r="AM573" s="28">
        <v>1</v>
      </c>
      <c r="AN573" s="28">
        <v>0</v>
      </c>
      <c r="AO573" s="28">
        <v>0.31929970821175491</v>
      </c>
      <c r="AP573" s="28">
        <v>0.50020842017507294</v>
      </c>
      <c r="AQ573" s="28">
        <v>0.18049187161317221</v>
      </c>
      <c r="AR573" s="28">
        <v>0</v>
      </c>
      <c r="AS573" s="25">
        <v>1.1000000000000001</v>
      </c>
      <c r="AT573" s="25">
        <v>3.44</v>
      </c>
      <c r="AU573" s="25">
        <v>2.34</v>
      </c>
      <c r="AV573" s="25">
        <v>2.8367205542725169</v>
      </c>
      <c r="AW573">
        <v>2.8367205542725169</v>
      </c>
      <c r="AX573">
        <v>6.3438920491916866</v>
      </c>
      <c r="AY573" s="75"/>
      <c r="AZ573" s="75"/>
      <c r="BA573" s="75"/>
      <c r="BD573">
        <v>1.9722996060403931E-2</v>
      </c>
      <c r="BF573">
        <v>8.3494016655709991E-2</v>
      </c>
      <c r="BG573">
        <v>1.9722996060403931E-2</v>
      </c>
      <c r="BH573">
        <v>0</v>
      </c>
    </row>
    <row r="574" spans="1:60" x14ac:dyDescent="0.3">
      <c r="A574" s="2" t="s">
        <v>90</v>
      </c>
      <c r="B574" s="17" t="s">
        <v>963</v>
      </c>
      <c r="C574" s="13"/>
      <c r="D574" s="2">
        <v>3.87</v>
      </c>
      <c r="E574" s="2" t="s">
        <v>411</v>
      </c>
      <c r="F574" s="9">
        <v>-1</v>
      </c>
      <c r="G574">
        <v>-1</v>
      </c>
      <c r="I574" s="2"/>
      <c r="J574" s="25">
        <v>0</v>
      </c>
      <c r="K574">
        <v>0</v>
      </c>
      <c r="L574">
        <v>0</v>
      </c>
      <c r="M574" s="2">
        <v>3.9186000000000001</v>
      </c>
      <c r="N574" s="2">
        <v>3.9186000000000001</v>
      </c>
      <c r="O574" s="2">
        <v>7.9149000000000003</v>
      </c>
      <c r="P574" s="2" t="s">
        <v>439</v>
      </c>
      <c r="Q574" s="2"/>
      <c r="R574" s="25">
        <v>0</v>
      </c>
      <c r="S574" s="25"/>
      <c r="T574" s="25"/>
      <c r="U574">
        <v>0</v>
      </c>
      <c r="X574">
        <v>0</v>
      </c>
      <c r="AA574" s="2"/>
      <c r="AB574">
        <v>6</v>
      </c>
      <c r="AC574" s="55">
        <f t="shared" si="57"/>
        <v>121.536660930804</v>
      </c>
      <c r="AD574" s="57">
        <v>0</v>
      </c>
      <c r="AE574" s="55">
        <v>0</v>
      </c>
      <c r="AF574" s="55">
        <v>0</v>
      </c>
      <c r="AG574" s="52"/>
      <c r="AH574" s="51"/>
      <c r="AI574" s="52"/>
      <c r="AJ574" s="52"/>
      <c r="AK574" s="28">
        <v>2</v>
      </c>
      <c r="AL574" s="28">
        <v>2.7713625866050808</v>
      </c>
      <c r="AM574" s="28">
        <v>0.76905311778290997</v>
      </c>
      <c r="AN574" s="28">
        <v>3.2332563510392611</v>
      </c>
      <c r="AO574" s="28">
        <v>0.2279547249276126</v>
      </c>
      <c r="AP574" s="28">
        <v>0.31587259805211898</v>
      </c>
      <c r="AQ574" s="28">
        <v>8.765464595946304E-2</v>
      </c>
      <c r="AR574" s="28">
        <v>0.36851803106080561</v>
      </c>
      <c r="AS574" s="25">
        <v>1.1000000000000001</v>
      </c>
      <c r="AT574" s="25">
        <v>3.44</v>
      </c>
      <c r="AU574" s="25">
        <v>2.34</v>
      </c>
      <c r="AV574" s="25">
        <v>2.813625866050808</v>
      </c>
      <c r="AW574">
        <v>2.8136258660508089</v>
      </c>
      <c r="AX574">
        <v>6.3665749591224019</v>
      </c>
      <c r="AY574" s="75"/>
      <c r="AZ574" s="75"/>
      <c r="BA574" s="75"/>
      <c r="BF574">
        <v>0</v>
      </c>
      <c r="BG574">
        <v>0</v>
      </c>
      <c r="BH574">
        <v>0</v>
      </c>
    </row>
    <row r="575" spans="1:60" x14ac:dyDescent="0.3">
      <c r="A575" s="2" t="s">
        <v>410</v>
      </c>
      <c r="B575" s="13" t="s">
        <v>839</v>
      </c>
      <c r="C575" s="13"/>
      <c r="D575" s="2">
        <v>3.56</v>
      </c>
      <c r="E575" s="2" t="s">
        <v>411</v>
      </c>
      <c r="F575" s="9" t="s">
        <v>602</v>
      </c>
      <c r="G575" t="s">
        <v>674</v>
      </c>
      <c r="I575" s="2"/>
      <c r="J575" s="25">
        <v>2</v>
      </c>
      <c r="K575">
        <v>0</v>
      </c>
      <c r="L575">
        <v>0</v>
      </c>
      <c r="M575" s="2">
        <v>-1</v>
      </c>
      <c r="N575" s="2"/>
      <c r="O575" s="2"/>
      <c r="P575" s="2"/>
      <c r="Q575" s="2"/>
      <c r="R575" s="25">
        <v>5.44114334</v>
      </c>
      <c r="S575" s="25">
        <v>5.44114334</v>
      </c>
      <c r="T575" s="25">
        <v>5.44114334</v>
      </c>
      <c r="U575">
        <v>0</v>
      </c>
      <c r="X575">
        <v>0</v>
      </c>
      <c r="AA575" s="2"/>
      <c r="AB575">
        <v>6</v>
      </c>
      <c r="AC575" s="55">
        <f t="shared" si="57"/>
        <v>0</v>
      </c>
      <c r="AD575" s="57">
        <v>112.4131248985337</v>
      </c>
      <c r="AE575" s="55">
        <v>0</v>
      </c>
      <c r="AF575" s="55">
        <v>0</v>
      </c>
      <c r="AG575" s="52"/>
      <c r="AH575" s="51">
        <v>0.106749100790779</v>
      </c>
      <c r="AI575" s="52"/>
      <c r="AJ575" s="52"/>
      <c r="AK575" s="28">
        <v>2</v>
      </c>
      <c r="AL575" s="28">
        <v>2.4</v>
      </c>
      <c r="AM575" s="28">
        <v>0.4</v>
      </c>
      <c r="AN575" s="28">
        <v>0</v>
      </c>
      <c r="AO575" s="28">
        <v>0.41666666666666669</v>
      </c>
      <c r="AP575" s="28">
        <v>0.5</v>
      </c>
      <c r="AQ575" s="28">
        <v>8.3333333333333343E-2</v>
      </c>
      <c r="AR575" s="28">
        <v>0</v>
      </c>
      <c r="AS575" s="25">
        <v>1</v>
      </c>
      <c r="AT575" s="25">
        <v>3.44</v>
      </c>
      <c r="AU575" s="25">
        <v>2.44</v>
      </c>
      <c r="AV575" s="25">
        <v>2.5720000000000001</v>
      </c>
      <c r="AW575">
        <v>2.5720000000000001</v>
      </c>
      <c r="AX575">
        <v>5.8278852370000003</v>
      </c>
      <c r="AY575" s="75">
        <v>0.58846120068676144</v>
      </c>
      <c r="AZ575" s="75">
        <v>0.59176212397517092</v>
      </c>
      <c r="BA575" s="75"/>
      <c r="BC575">
        <v>5.3374550395389492E-2</v>
      </c>
      <c r="BF575">
        <v>0.106749100790779</v>
      </c>
      <c r="BG575">
        <v>5.3374550395389492E-2</v>
      </c>
      <c r="BH575">
        <v>0.59011166233096612</v>
      </c>
    </row>
    <row r="576" spans="1:60" x14ac:dyDescent="0.3">
      <c r="A576" s="2" t="s">
        <v>413</v>
      </c>
      <c r="B576" s="13" t="s">
        <v>840</v>
      </c>
      <c r="C576" s="13"/>
      <c r="D576" s="2">
        <v>2.86</v>
      </c>
      <c r="E576" s="2" t="s">
        <v>412</v>
      </c>
      <c r="F576" s="9">
        <v>-1</v>
      </c>
      <c r="G576">
        <v>-1</v>
      </c>
      <c r="H576" s="69" t="s">
        <v>1244</v>
      </c>
      <c r="I576" s="2">
        <v>1</v>
      </c>
      <c r="J576" s="25">
        <v>0</v>
      </c>
      <c r="K576">
        <v>4</v>
      </c>
      <c r="L576">
        <v>0</v>
      </c>
      <c r="M576" s="2">
        <v>3.91</v>
      </c>
      <c r="N576" s="2">
        <v>3.91</v>
      </c>
      <c r="O576" s="2">
        <v>18.495999999999999</v>
      </c>
      <c r="P576" s="2" t="s">
        <v>439</v>
      </c>
      <c r="Q576" s="2"/>
      <c r="R576" s="25">
        <v>0</v>
      </c>
      <c r="S576" s="25"/>
      <c r="T576" s="25"/>
      <c r="U576">
        <v>5.38</v>
      </c>
      <c r="V576">
        <v>5.44</v>
      </c>
      <c r="W576">
        <v>7.6390000000000002</v>
      </c>
      <c r="X576">
        <v>0</v>
      </c>
      <c r="AA576" s="2"/>
      <c r="AB576">
        <v>22</v>
      </c>
      <c r="AC576" s="55">
        <f t="shared" si="57"/>
        <v>282.7686976</v>
      </c>
      <c r="AD576" s="57">
        <v>0</v>
      </c>
      <c r="AE576" s="55">
        <v>223.5721408</v>
      </c>
      <c r="AF576" s="55">
        <v>0</v>
      </c>
      <c r="AG576" s="52"/>
      <c r="AH576" s="51"/>
      <c r="AI576" s="52">
        <v>0.1073479008347001</v>
      </c>
      <c r="AJ576" s="52"/>
      <c r="AK576" s="28">
        <v>2</v>
      </c>
      <c r="AL576" s="28">
        <v>3.052631578947369</v>
      </c>
      <c r="AM576" s="28">
        <v>1.8947368421052631</v>
      </c>
      <c r="AN576" s="28">
        <v>3.6842105263157889</v>
      </c>
      <c r="AO576" s="28">
        <v>0.18811881188118809</v>
      </c>
      <c r="AP576" s="28">
        <v>0.28712871287128722</v>
      </c>
      <c r="AQ576" s="28">
        <v>0.17821782178217821</v>
      </c>
      <c r="AR576" s="28">
        <v>0.34653465346534651</v>
      </c>
      <c r="AS576" s="25">
        <v>0.95</v>
      </c>
      <c r="AT576" s="25">
        <v>3.44</v>
      </c>
      <c r="AU576" s="25">
        <v>2.4900000000000002</v>
      </c>
      <c r="AV576" s="25">
        <v>2.7347368421052631</v>
      </c>
      <c r="AW576">
        <v>2.7347368421052631</v>
      </c>
      <c r="AX576">
        <v>6.1677369702631566</v>
      </c>
      <c r="AY576" s="75"/>
      <c r="AZ576" s="75"/>
      <c r="BA576" s="75">
        <v>0</v>
      </c>
      <c r="BB576">
        <v>3.8901052674367873E-2</v>
      </c>
      <c r="BD576">
        <v>0.19680448486361679</v>
      </c>
      <c r="BF576">
        <v>0.1073479008347001</v>
      </c>
      <c r="BG576">
        <v>0.1178527687689923</v>
      </c>
      <c r="BH576">
        <v>0</v>
      </c>
    </row>
    <row r="577" spans="1:67" x14ac:dyDescent="0.3">
      <c r="A577" s="2" t="s">
        <v>414</v>
      </c>
      <c r="B577" s="13" t="s">
        <v>841</v>
      </c>
      <c r="C577" s="13"/>
      <c r="D577" s="2">
        <v>2.58</v>
      </c>
      <c r="E577" s="2" t="s">
        <v>412</v>
      </c>
      <c r="F577" s="9">
        <v>-1</v>
      </c>
      <c r="G577">
        <v>-1</v>
      </c>
      <c r="H577" s="69" t="s">
        <v>1244</v>
      </c>
      <c r="I577" s="2">
        <v>1</v>
      </c>
      <c r="J577" s="25">
        <v>0</v>
      </c>
      <c r="K577">
        <v>0</v>
      </c>
      <c r="L577">
        <v>0</v>
      </c>
      <c r="M577" s="2">
        <v>3.9119999999999999</v>
      </c>
      <c r="N577" s="2">
        <v>3.9119999999999999</v>
      </c>
      <c r="O577" s="2">
        <v>18.582000000000001</v>
      </c>
      <c r="P577" s="2" t="s">
        <v>439</v>
      </c>
      <c r="Q577" s="2"/>
      <c r="R577" s="25">
        <v>0</v>
      </c>
      <c r="S577" s="25"/>
      <c r="T577" s="25"/>
      <c r="U577">
        <v>0</v>
      </c>
      <c r="X577">
        <v>0</v>
      </c>
      <c r="AA577" s="2"/>
      <c r="AB577">
        <v>22</v>
      </c>
      <c r="AC577" s="55">
        <f t="shared" si="57"/>
        <v>284.37417100800002</v>
      </c>
      <c r="AD577" s="57">
        <v>0</v>
      </c>
      <c r="AE577" s="55">
        <v>0</v>
      </c>
      <c r="AF577" s="55">
        <v>0</v>
      </c>
      <c r="AG577" s="52">
        <f>I577*AB577/AC577</f>
        <v>7.7362862885958422E-2</v>
      </c>
      <c r="AH577" s="51"/>
      <c r="AI577" s="52"/>
      <c r="AJ577" s="52"/>
      <c r="AK577" s="28">
        <v>2</v>
      </c>
      <c r="AL577" s="28">
        <v>3.1578947368421049</v>
      </c>
      <c r="AM577" s="28">
        <v>2.4210526315789469</v>
      </c>
      <c r="AN577" s="28">
        <v>4.4210526315789478</v>
      </c>
      <c r="AO577" s="28">
        <v>0.16666666666666671</v>
      </c>
      <c r="AP577" s="28">
        <v>0.26315789473684209</v>
      </c>
      <c r="AQ577" s="28">
        <v>0.2017543859649123</v>
      </c>
      <c r="AR577" s="28">
        <v>0.36842105263157898</v>
      </c>
      <c r="AS577" s="25">
        <v>0.95</v>
      </c>
      <c r="AT577" s="25">
        <v>3.44</v>
      </c>
      <c r="AU577" s="25">
        <v>2.4900000000000002</v>
      </c>
      <c r="AV577" s="25">
        <v>2.8073684210526308</v>
      </c>
      <c r="AW577">
        <v>2.8073684210526308</v>
      </c>
      <c r="AX577">
        <v>6.2210650663157896</v>
      </c>
      <c r="AY577" s="75"/>
      <c r="AZ577" s="75"/>
      <c r="BA577" s="75">
        <v>0</v>
      </c>
      <c r="BB577">
        <v>3.8681431442979211E-2</v>
      </c>
      <c r="BF577">
        <v>7.7362862885958422E-2</v>
      </c>
      <c r="BG577">
        <v>3.8681431442979211E-2</v>
      </c>
      <c r="BH577">
        <v>0</v>
      </c>
    </row>
    <row r="578" spans="1:67" x14ac:dyDescent="0.3">
      <c r="A578" s="2" t="s">
        <v>415</v>
      </c>
      <c r="B578" s="13" t="s">
        <v>842</v>
      </c>
      <c r="C578" s="13"/>
      <c r="D578" s="2">
        <v>2.57</v>
      </c>
      <c r="E578" s="2" t="s">
        <v>412</v>
      </c>
      <c r="F578" s="9">
        <v>-1</v>
      </c>
      <c r="G578">
        <v>-1</v>
      </c>
      <c r="H578" s="69" t="s">
        <v>1244</v>
      </c>
      <c r="I578" s="2">
        <v>1</v>
      </c>
      <c r="J578" s="25">
        <v>0</v>
      </c>
      <c r="K578">
        <v>0</v>
      </c>
      <c r="L578">
        <v>0</v>
      </c>
      <c r="M578" s="2">
        <v>3.9607600000000001</v>
      </c>
      <c r="N578" s="2">
        <v>3.9607600000000001</v>
      </c>
      <c r="O578" s="2">
        <v>18.789100000000001</v>
      </c>
      <c r="P578" s="2" t="s">
        <v>439</v>
      </c>
      <c r="Q578" s="2"/>
      <c r="R578" s="25">
        <v>0</v>
      </c>
      <c r="S578" s="25"/>
      <c r="T578" s="25"/>
      <c r="U578">
        <v>0</v>
      </c>
      <c r="X578">
        <v>0</v>
      </c>
      <c r="AA578" s="2"/>
      <c r="AB578">
        <v>22</v>
      </c>
      <c r="AC578" s="55">
        <f t="shared" si="57"/>
        <v>294.75625676330418</v>
      </c>
      <c r="AD578" s="57">
        <v>0</v>
      </c>
      <c r="AE578" s="55">
        <v>0</v>
      </c>
      <c r="AF578" s="55">
        <v>0</v>
      </c>
      <c r="AG578" s="52">
        <f>I578*AB578/AC578</f>
        <v>7.4637940655035831E-2</v>
      </c>
      <c r="AH578" s="51"/>
      <c r="AI578" s="52"/>
      <c r="AJ578" s="52"/>
      <c r="AK578" s="28">
        <v>2</v>
      </c>
      <c r="AL578" s="28">
        <v>3.052631578947369</v>
      </c>
      <c r="AM578" s="28">
        <v>1.8947368421052631</v>
      </c>
      <c r="AN578" s="28">
        <v>3.6842105263157889</v>
      </c>
      <c r="AO578" s="28">
        <v>0.18811881188118809</v>
      </c>
      <c r="AP578" s="28">
        <v>0.28712871287128722</v>
      </c>
      <c r="AQ578" s="28">
        <v>0.17821782178217821</v>
      </c>
      <c r="AR578" s="28">
        <v>0.34653465346534651</v>
      </c>
      <c r="AS578" s="25">
        <v>0.89</v>
      </c>
      <c r="AT578" s="25">
        <v>3.44</v>
      </c>
      <c r="AU578" s="25">
        <v>2.5499999999999998</v>
      </c>
      <c r="AV578" s="25">
        <v>2.7284210526315791</v>
      </c>
      <c r="AW578">
        <v>2.7284210526315791</v>
      </c>
      <c r="AX578">
        <v>6.1471768202631578</v>
      </c>
      <c r="AY578" s="75"/>
      <c r="AZ578" s="75"/>
      <c r="BA578" s="75">
        <v>0</v>
      </c>
      <c r="BB578">
        <v>3.7318970327517922E-2</v>
      </c>
      <c r="BF578">
        <v>7.4637940655035831E-2</v>
      </c>
      <c r="BG578">
        <v>3.7318970327517922E-2</v>
      </c>
      <c r="BH578">
        <v>0</v>
      </c>
    </row>
    <row r="579" spans="1:67" x14ac:dyDescent="0.3">
      <c r="A579" s="2" t="s">
        <v>416</v>
      </c>
      <c r="B579" s="13" t="s">
        <v>843</v>
      </c>
      <c r="C579" s="13"/>
      <c r="D579" s="2">
        <v>2.6</v>
      </c>
      <c r="E579" s="2" t="s">
        <v>412</v>
      </c>
      <c r="F579" s="9">
        <v>-1</v>
      </c>
      <c r="G579">
        <v>-1</v>
      </c>
      <c r="H579" s="69" t="s">
        <v>1244</v>
      </c>
      <c r="I579" s="2">
        <v>1</v>
      </c>
      <c r="J579" s="25">
        <v>0</v>
      </c>
      <c r="K579">
        <v>0</v>
      </c>
      <c r="L579">
        <v>0</v>
      </c>
      <c r="M579" s="2">
        <v>3.9350499999999999</v>
      </c>
      <c r="N579" s="2">
        <v>3.9350499999999999</v>
      </c>
      <c r="O579" s="2">
        <v>18.790900000000001</v>
      </c>
      <c r="P579" s="2" t="s">
        <v>439</v>
      </c>
      <c r="Q579" s="2"/>
      <c r="R579" s="25">
        <v>0</v>
      </c>
      <c r="S579" s="25"/>
      <c r="T579" s="25"/>
      <c r="U579">
        <v>0</v>
      </c>
      <c r="X579">
        <v>0</v>
      </c>
      <c r="AA579" s="2"/>
      <c r="AB579">
        <v>22</v>
      </c>
      <c r="AC579" s="55">
        <f t="shared" si="57"/>
        <v>290.96991781862727</v>
      </c>
      <c r="AD579" s="57">
        <v>0</v>
      </c>
      <c r="AE579" s="55">
        <v>0</v>
      </c>
      <c r="AF579" s="55">
        <v>0</v>
      </c>
      <c r="AG579" s="52">
        <f t="shared" ref="AG579:AG604" si="58">I579*AB579/AC579</f>
        <v>7.5609190685180877E-2</v>
      </c>
      <c r="AH579" s="51"/>
      <c r="AI579" s="52"/>
      <c r="AJ579" s="52"/>
      <c r="AK579" s="28">
        <v>2</v>
      </c>
      <c r="AL579" s="28">
        <v>3.1578947368421049</v>
      </c>
      <c r="AM579" s="28">
        <v>2.4210526315789469</v>
      </c>
      <c r="AN579" s="28">
        <v>4.4210526315789478</v>
      </c>
      <c r="AO579" s="28">
        <v>0.16666666666666671</v>
      </c>
      <c r="AP579" s="28">
        <v>0.26315789473684209</v>
      </c>
      <c r="AQ579" s="28">
        <v>0.2017543859649123</v>
      </c>
      <c r="AR579" s="28">
        <v>0.36842105263157898</v>
      </c>
      <c r="AS579" s="25">
        <v>0.89</v>
      </c>
      <c r="AT579" s="25">
        <v>3.44</v>
      </c>
      <c r="AU579" s="25">
        <v>2.5499999999999998</v>
      </c>
      <c r="AV579" s="25">
        <v>2.804210526315789</v>
      </c>
      <c r="AW579">
        <v>2.804210526315789</v>
      </c>
      <c r="AX579">
        <v>6.2107849913157898</v>
      </c>
      <c r="AY579" s="75"/>
      <c r="AZ579" s="75"/>
      <c r="BA579" s="75">
        <v>0</v>
      </c>
      <c r="BB579">
        <v>3.7804595342590439E-2</v>
      </c>
      <c r="BF579">
        <v>7.5609190685180877E-2</v>
      </c>
      <c r="BG579">
        <v>3.7804595342590439E-2</v>
      </c>
      <c r="BH579">
        <v>0</v>
      </c>
    </row>
    <row r="580" spans="1:67" x14ac:dyDescent="0.3">
      <c r="A580" s="2" t="s">
        <v>417</v>
      </c>
      <c r="B580" s="13" t="s">
        <v>844</v>
      </c>
      <c r="C580" s="13"/>
      <c r="D580" s="2">
        <v>2.57</v>
      </c>
      <c r="E580" s="2" t="s">
        <v>412</v>
      </c>
      <c r="F580" s="9">
        <v>-1</v>
      </c>
      <c r="G580">
        <v>-1</v>
      </c>
      <c r="H580" s="69" t="s">
        <v>1244</v>
      </c>
      <c r="I580" s="2">
        <v>1</v>
      </c>
      <c r="J580" s="25">
        <v>0</v>
      </c>
      <c r="K580">
        <v>0</v>
      </c>
      <c r="L580">
        <v>0</v>
      </c>
      <c r="M580" s="2">
        <v>3.8856000000000002</v>
      </c>
      <c r="N580" s="2">
        <v>3.8856000000000002</v>
      </c>
      <c r="O580" s="2">
        <v>18.356999999999999</v>
      </c>
      <c r="P580" s="2" t="s">
        <v>439</v>
      </c>
      <c r="Q580" s="2"/>
      <c r="R580" s="25">
        <v>0</v>
      </c>
      <c r="S580" s="25"/>
      <c r="T580" s="25"/>
      <c r="U580">
        <v>0</v>
      </c>
      <c r="X580">
        <v>0</v>
      </c>
      <c r="AA580" s="2"/>
      <c r="AB580">
        <v>22</v>
      </c>
      <c r="AC580" s="55">
        <f t="shared" si="57"/>
        <v>277.15191826751999</v>
      </c>
      <c r="AD580" s="57">
        <v>0</v>
      </c>
      <c r="AE580" s="55">
        <v>0</v>
      </c>
      <c r="AF580" s="55">
        <v>0</v>
      </c>
      <c r="AG580" s="52">
        <f t="shared" si="58"/>
        <v>7.9378848025019155E-2</v>
      </c>
      <c r="AH580" s="51"/>
      <c r="AI580" s="52"/>
      <c r="AJ580" s="52"/>
      <c r="AK580" s="28">
        <v>2</v>
      </c>
      <c r="AL580" s="28">
        <v>3.2105263157894739</v>
      </c>
      <c r="AM580" s="28">
        <v>2.3684210526315792</v>
      </c>
      <c r="AN580" s="28">
        <v>3.6842105263157889</v>
      </c>
      <c r="AO580" s="28">
        <v>0.17757009345794389</v>
      </c>
      <c r="AP580" s="28">
        <v>0.28504672897196259</v>
      </c>
      <c r="AQ580" s="28">
        <v>0.2102803738317757</v>
      </c>
      <c r="AR580" s="28">
        <v>0.32710280373831768</v>
      </c>
      <c r="AS580" s="25">
        <v>0.95</v>
      </c>
      <c r="AT580" s="25">
        <v>3.44</v>
      </c>
      <c r="AU580" s="25">
        <v>2.4900000000000002</v>
      </c>
      <c r="AV580" s="25">
        <v>2.7931578947368418</v>
      </c>
      <c r="AW580">
        <v>2.7931578947368418</v>
      </c>
      <c r="AX580">
        <v>6.207524303947368</v>
      </c>
      <c r="AY580" s="75"/>
      <c r="AZ580" s="75"/>
      <c r="BA580" s="75">
        <v>0</v>
      </c>
      <c r="BB580">
        <v>3.9689424012509578E-2</v>
      </c>
      <c r="BF580">
        <v>7.9378848025019155E-2</v>
      </c>
      <c r="BG580">
        <v>3.9689424012509578E-2</v>
      </c>
      <c r="BH580">
        <v>0</v>
      </c>
    </row>
    <row r="581" spans="1:67" x14ac:dyDescent="0.3">
      <c r="A581" s="2" t="s">
        <v>418</v>
      </c>
      <c r="B581" s="13" t="s">
        <v>845</v>
      </c>
      <c r="C581" s="13"/>
      <c r="D581" s="2">
        <v>2.5</v>
      </c>
      <c r="E581" s="2" t="s">
        <v>412</v>
      </c>
      <c r="F581" s="9">
        <v>-1</v>
      </c>
      <c r="G581">
        <v>-1</v>
      </c>
      <c r="H581" s="69" t="s">
        <v>1244</v>
      </c>
      <c r="I581" s="2">
        <v>1</v>
      </c>
      <c r="J581" s="25">
        <v>0</v>
      </c>
      <c r="K581">
        <v>0</v>
      </c>
      <c r="L581">
        <v>0</v>
      </c>
      <c r="M581" s="2">
        <v>3.9121999999999999</v>
      </c>
      <c r="N581" s="2">
        <v>3.9121999999999999</v>
      </c>
      <c r="O581" s="2">
        <v>18.724299999999999</v>
      </c>
      <c r="P581" s="2" t="s">
        <v>439</v>
      </c>
      <c r="Q581" s="2"/>
      <c r="R581" s="25">
        <v>0</v>
      </c>
      <c r="S581" s="25"/>
      <c r="T581" s="25"/>
      <c r="U581">
        <v>0</v>
      </c>
      <c r="X581">
        <v>0</v>
      </c>
      <c r="AA581" s="2"/>
      <c r="AB581">
        <v>22</v>
      </c>
      <c r="AC581" s="55">
        <f t="shared" si="57"/>
        <v>286.58119431281199</v>
      </c>
      <c r="AD581" s="57">
        <v>0</v>
      </c>
      <c r="AE581" s="55">
        <v>0</v>
      </c>
      <c r="AF581" s="55">
        <v>0</v>
      </c>
      <c r="AG581" s="52">
        <f t="shared" si="58"/>
        <v>7.6767074869491747E-2</v>
      </c>
      <c r="AH581" s="51"/>
      <c r="AI581" s="52"/>
      <c r="AJ581" s="52"/>
      <c r="AK581" s="28">
        <v>2</v>
      </c>
      <c r="AL581" s="28">
        <v>3.2105263157894739</v>
      </c>
      <c r="AM581" s="28">
        <v>2.3684210526315792</v>
      </c>
      <c r="AN581" s="28">
        <v>3.6842105263157889</v>
      </c>
      <c r="AO581" s="28">
        <v>0.17757009345794389</v>
      </c>
      <c r="AP581" s="28">
        <v>0.28504672897196259</v>
      </c>
      <c r="AQ581" s="28">
        <v>0.2102803738317757</v>
      </c>
      <c r="AR581" s="28">
        <v>0.32710280373831768</v>
      </c>
      <c r="AS581" s="25">
        <v>0.89</v>
      </c>
      <c r="AT581" s="25">
        <v>3.44</v>
      </c>
      <c r="AU581" s="25">
        <v>2.5499999999999998</v>
      </c>
      <c r="AV581" s="25">
        <v>2.79</v>
      </c>
      <c r="AW581">
        <v>2.79</v>
      </c>
      <c r="AX581">
        <v>6.1972442289473681</v>
      </c>
      <c r="AY581" s="75"/>
      <c r="AZ581" s="75"/>
      <c r="BA581" s="75">
        <v>0</v>
      </c>
      <c r="BB581">
        <v>3.8383537434745867E-2</v>
      </c>
      <c r="BF581">
        <v>7.6767074869491747E-2</v>
      </c>
      <c r="BG581">
        <v>3.8383537434745867E-2</v>
      </c>
      <c r="BH581">
        <v>0</v>
      </c>
    </row>
    <row r="582" spans="1:67" x14ac:dyDescent="0.3">
      <c r="A582" s="2" t="s">
        <v>419</v>
      </c>
      <c r="B582" s="13" t="s">
        <v>846</v>
      </c>
      <c r="C582" s="13"/>
      <c r="D582" s="2">
        <v>2.6</v>
      </c>
      <c r="E582" s="2" t="s">
        <v>412</v>
      </c>
      <c r="F582" s="9">
        <v>-1</v>
      </c>
      <c r="G582">
        <v>-1</v>
      </c>
      <c r="H582" s="69" t="s">
        <v>1244</v>
      </c>
      <c r="I582" s="2">
        <v>1</v>
      </c>
      <c r="J582" s="25">
        <v>0</v>
      </c>
      <c r="K582">
        <v>0</v>
      </c>
      <c r="L582">
        <v>0</v>
      </c>
      <c r="M582" s="2">
        <v>3.8752</v>
      </c>
      <c r="N582" s="2">
        <v>3.8752</v>
      </c>
      <c r="O582" s="2">
        <v>18.687000000000001</v>
      </c>
      <c r="P582" s="2" t="s">
        <v>439</v>
      </c>
      <c r="Q582" s="2"/>
      <c r="R582" s="25">
        <v>0</v>
      </c>
      <c r="S582" s="25"/>
      <c r="T582" s="25"/>
      <c r="U582">
        <v>0</v>
      </c>
      <c r="X582">
        <v>0</v>
      </c>
      <c r="AA582" s="2"/>
      <c r="AB582">
        <v>22</v>
      </c>
      <c r="AC582" s="55">
        <f t="shared" si="57"/>
        <v>280.62594997247999</v>
      </c>
      <c r="AD582" s="57">
        <v>0</v>
      </c>
      <c r="AE582" s="55">
        <v>0</v>
      </c>
      <c r="AF582" s="55">
        <v>0</v>
      </c>
      <c r="AG582" s="52">
        <f t="shared" si="58"/>
        <v>7.8396171138690005E-2</v>
      </c>
      <c r="AH582" s="51"/>
      <c r="AI582" s="52"/>
      <c r="AJ582" s="52"/>
      <c r="AK582" s="28">
        <v>2</v>
      </c>
      <c r="AL582" s="28">
        <v>3.3157894736842111</v>
      </c>
      <c r="AM582" s="28">
        <v>2.8947368421052628</v>
      </c>
      <c r="AN582" s="28">
        <v>4.4210526315789478</v>
      </c>
      <c r="AO582" s="28">
        <v>0.1583333333333333</v>
      </c>
      <c r="AP582" s="28">
        <v>0.26250000000000001</v>
      </c>
      <c r="AQ582" s="28">
        <v>0.22916666666666671</v>
      </c>
      <c r="AR582" s="28">
        <v>0.35</v>
      </c>
      <c r="AS582" s="25">
        <v>1.5</v>
      </c>
      <c r="AT582" s="25">
        <v>3.44</v>
      </c>
      <c r="AU582" s="25">
        <v>1.94</v>
      </c>
      <c r="AV582" s="25">
        <v>2.86578947368421</v>
      </c>
      <c r="AW582">
        <v>2.8657894736842109</v>
      </c>
      <c r="AX582">
        <v>6.2608524000000001</v>
      </c>
      <c r="AY582" s="75"/>
      <c r="AZ582" s="75"/>
      <c r="BA582" s="75">
        <v>0</v>
      </c>
      <c r="BB582">
        <v>3.9198085569345002E-2</v>
      </c>
      <c r="BF582">
        <v>7.8396171138690005E-2</v>
      </c>
      <c r="BG582">
        <v>3.9198085569345002E-2</v>
      </c>
      <c r="BH582">
        <v>0</v>
      </c>
    </row>
    <row r="583" spans="1:67" x14ac:dyDescent="0.3">
      <c r="A583" s="2" t="s">
        <v>426</v>
      </c>
      <c r="B583" s="13" t="s">
        <v>847</v>
      </c>
      <c r="C583" s="13"/>
      <c r="D583" s="2">
        <v>2.82</v>
      </c>
      <c r="E583" s="2" t="s">
        <v>412</v>
      </c>
      <c r="F583" s="9">
        <v>-1</v>
      </c>
      <c r="G583">
        <v>-1</v>
      </c>
      <c r="H583" s="69" t="s">
        <v>1244</v>
      </c>
      <c r="I583" s="2">
        <v>1</v>
      </c>
      <c r="J583" s="25">
        <v>0</v>
      </c>
      <c r="K583">
        <v>0</v>
      </c>
      <c r="L583">
        <v>0</v>
      </c>
      <c r="M583" s="2">
        <v>3.9108999999999998</v>
      </c>
      <c r="N583" s="2">
        <v>3.9108999999999998</v>
      </c>
      <c r="O583" s="2">
        <v>18.454999999999998</v>
      </c>
      <c r="P583" s="2" t="s">
        <v>439</v>
      </c>
      <c r="Q583" s="2"/>
      <c r="R583" s="25">
        <v>0</v>
      </c>
      <c r="S583" s="25"/>
      <c r="T583" s="25"/>
      <c r="U583">
        <v>0</v>
      </c>
      <c r="X583">
        <v>0</v>
      </c>
      <c r="AA583" s="2"/>
      <c r="AB583">
        <v>22</v>
      </c>
      <c r="AC583" s="55">
        <f t="shared" si="57"/>
        <v>282.27178673854996</v>
      </c>
      <c r="AD583" s="57">
        <v>0</v>
      </c>
      <c r="AE583" s="55">
        <v>0</v>
      </c>
      <c r="AF583" s="55">
        <v>0</v>
      </c>
      <c r="AG583" s="52">
        <f t="shared" si="58"/>
        <v>7.7939068066966155E-2</v>
      </c>
      <c r="AH583" s="51"/>
      <c r="AI583" s="52"/>
      <c r="AJ583" s="52"/>
      <c r="AK583" s="28">
        <v>1.8947368421052631</v>
      </c>
      <c r="AL583" s="28">
        <v>3.052631578947369</v>
      </c>
      <c r="AM583" s="28">
        <v>2</v>
      </c>
      <c r="AN583" s="28">
        <v>2.2105263157894739</v>
      </c>
      <c r="AO583" s="28">
        <v>0.2068965517241379</v>
      </c>
      <c r="AP583" s="28">
        <v>0.33333333333333343</v>
      </c>
      <c r="AQ583" s="28">
        <v>0.21839080459770119</v>
      </c>
      <c r="AR583" s="28">
        <v>0.2413793103448276</v>
      </c>
      <c r="AS583" s="25">
        <v>0.95</v>
      </c>
      <c r="AT583" s="25">
        <v>3.44</v>
      </c>
      <c r="AU583" s="25">
        <v>2.4900000000000002</v>
      </c>
      <c r="AV583" s="25">
        <v>2.7452631578947368</v>
      </c>
      <c r="AW583">
        <v>2.7452631578947368</v>
      </c>
      <c r="AX583">
        <v>6.1573983386842102</v>
      </c>
      <c r="AY583" s="75"/>
      <c r="AZ583" s="75"/>
      <c r="BA583" s="75">
        <v>0</v>
      </c>
      <c r="BB583">
        <v>3.8969534033483078E-2</v>
      </c>
      <c r="BF583">
        <v>7.7939068066966155E-2</v>
      </c>
      <c r="BG583">
        <v>3.8969534033483078E-2</v>
      </c>
      <c r="BH583">
        <v>0</v>
      </c>
    </row>
    <row r="584" spans="1:67" x14ac:dyDescent="0.3">
      <c r="A584" s="2" t="s">
        <v>420</v>
      </c>
      <c r="B584" s="13" t="s">
        <v>848</v>
      </c>
      <c r="C584" s="13"/>
      <c r="D584" s="2">
        <v>2.59</v>
      </c>
      <c r="E584" s="2" t="s">
        <v>412</v>
      </c>
      <c r="F584" s="9">
        <v>-1</v>
      </c>
      <c r="G584">
        <v>-1</v>
      </c>
      <c r="H584" s="69" t="s">
        <v>1244</v>
      </c>
      <c r="I584" s="2">
        <v>1</v>
      </c>
      <c r="J584" s="25">
        <v>0</v>
      </c>
      <c r="K584">
        <v>0</v>
      </c>
      <c r="L584">
        <v>0</v>
      </c>
      <c r="M584" s="2">
        <v>3.91</v>
      </c>
      <c r="N584" s="2">
        <v>3.91</v>
      </c>
      <c r="O584" s="2">
        <v>18.651</v>
      </c>
      <c r="P584" s="2" t="s">
        <v>439</v>
      </c>
      <c r="Q584" s="2"/>
      <c r="R584" s="25">
        <v>0</v>
      </c>
      <c r="S584" s="25"/>
      <c r="T584" s="25"/>
      <c r="U584">
        <v>0</v>
      </c>
      <c r="X584">
        <v>0</v>
      </c>
      <c r="AA584" s="2"/>
      <c r="AB584">
        <v>22</v>
      </c>
      <c r="AC584" s="55">
        <f t="shared" si="57"/>
        <v>285.13835310000002</v>
      </c>
      <c r="AD584" s="57">
        <v>0</v>
      </c>
      <c r="AE584" s="55">
        <v>0</v>
      </c>
      <c r="AF584" s="55">
        <v>0</v>
      </c>
      <c r="AG584" s="52">
        <f t="shared" si="58"/>
        <v>7.7155527345998398E-2</v>
      </c>
      <c r="AH584" s="51"/>
      <c r="AI584" s="52"/>
      <c r="AJ584" s="52"/>
      <c r="AK584" s="28">
        <v>1.8947368421052631</v>
      </c>
      <c r="AL584" s="28">
        <v>3.1578947368421049</v>
      </c>
      <c r="AM584" s="28">
        <v>2.5263157894736841</v>
      </c>
      <c r="AN584" s="28">
        <v>2.947368421052631</v>
      </c>
      <c r="AO584" s="28">
        <v>0.18</v>
      </c>
      <c r="AP584" s="28">
        <v>0.3</v>
      </c>
      <c r="AQ584" s="28">
        <v>0.24</v>
      </c>
      <c r="AR584" s="28">
        <v>0.28000000000000003</v>
      </c>
      <c r="AS584" s="25">
        <v>0.95</v>
      </c>
      <c r="AT584" s="25">
        <v>3.44</v>
      </c>
      <c r="AU584" s="25">
        <v>2.4900000000000002</v>
      </c>
      <c r="AV584" s="25">
        <v>2.817894736842105</v>
      </c>
      <c r="AW584">
        <v>2.817894736842105</v>
      </c>
      <c r="AX584">
        <v>6.2107264347368423</v>
      </c>
      <c r="AY584" s="75"/>
      <c r="AZ584" s="75"/>
      <c r="BA584" s="75">
        <v>0</v>
      </c>
      <c r="BB584">
        <v>3.8577763672999199E-2</v>
      </c>
      <c r="BF584">
        <v>7.7155527345998398E-2</v>
      </c>
      <c r="BG584">
        <v>3.8577763672999199E-2</v>
      </c>
      <c r="BH584">
        <v>0</v>
      </c>
    </row>
    <row r="585" spans="1:67" x14ac:dyDescent="0.3">
      <c r="A585" s="2" t="s">
        <v>421</v>
      </c>
      <c r="B585" s="13" t="s">
        <v>849</v>
      </c>
      <c r="C585" s="13"/>
      <c r="D585" s="2">
        <v>2.66</v>
      </c>
      <c r="E585" s="2" t="s">
        <v>412</v>
      </c>
      <c r="F585" s="9">
        <v>-1</v>
      </c>
      <c r="G585">
        <v>-1</v>
      </c>
      <c r="H585" s="69" t="s">
        <v>1244</v>
      </c>
      <c r="I585" s="2">
        <v>1</v>
      </c>
      <c r="J585" s="25">
        <v>0</v>
      </c>
      <c r="K585">
        <v>0</v>
      </c>
      <c r="L585">
        <v>0</v>
      </c>
      <c r="M585" s="2">
        <v>3.9683000000000002</v>
      </c>
      <c r="N585" s="2">
        <v>3.9683000000000002</v>
      </c>
      <c r="O585" s="2">
        <v>18.798999999999999</v>
      </c>
      <c r="P585" s="2" t="s">
        <v>439</v>
      </c>
      <c r="Q585" s="2"/>
      <c r="R585" s="25">
        <v>0</v>
      </c>
      <c r="S585" s="25"/>
      <c r="T585" s="25"/>
      <c r="U585">
        <v>0</v>
      </c>
      <c r="X585">
        <v>0</v>
      </c>
      <c r="AA585" s="2"/>
      <c r="AB585">
        <v>22</v>
      </c>
      <c r="AC585" s="55">
        <f t="shared" si="57"/>
        <v>296.03546452711004</v>
      </c>
      <c r="AD585" s="57">
        <v>0</v>
      </c>
      <c r="AE585" s="55">
        <v>0</v>
      </c>
      <c r="AF585" s="55">
        <v>0</v>
      </c>
      <c r="AG585" s="52">
        <f t="shared" si="58"/>
        <v>7.4315420401211113E-2</v>
      </c>
      <c r="AH585" s="51"/>
      <c r="AI585" s="52"/>
      <c r="AJ585" s="52"/>
      <c r="AK585" s="28">
        <v>1.8947368421052631</v>
      </c>
      <c r="AL585" s="28">
        <v>3.052631578947369</v>
      </c>
      <c r="AM585" s="28">
        <v>2</v>
      </c>
      <c r="AN585" s="28">
        <v>2.2105263157894739</v>
      </c>
      <c r="AO585" s="28">
        <v>0.2068965517241379</v>
      </c>
      <c r="AP585" s="28">
        <v>0.33333333333333343</v>
      </c>
      <c r="AQ585" s="28">
        <v>0.21839080459770119</v>
      </c>
      <c r="AR585" s="28">
        <v>0.2413793103448276</v>
      </c>
      <c r="AS585" s="25">
        <v>0.89</v>
      </c>
      <c r="AT585" s="25">
        <v>3.44</v>
      </c>
      <c r="AU585" s="25">
        <v>2.5499999999999998</v>
      </c>
      <c r="AV585" s="25">
        <v>2.7389473684210519</v>
      </c>
      <c r="AW585">
        <v>2.7389473684210519</v>
      </c>
      <c r="AX585">
        <v>6.1368381886842096</v>
      </c>
      <c r="AY585" s="75"/>
      <c r="AZ585" s="75"/>
      <c r="BA585" s="75">
        <v>0</v>
      </c>
      <c r="BB585">
        <v>3.7157710200605563E-2</v>
      </c>
      <c r="BF585">
        <v>7.4315420401211113E-2</v>
      </c>
      <c r="BG585">
        <v>3.7157710200605563E-2</v>
      </c>
      <c r="BH585">
        <v>0</v>
      </c>
    </row>
    <row r="586" spans="1:67" x14ac:dyDescent="0.3">
      <c r="A586" s="2" t="s">
        <v>422</v>
      </c>
      <c r="B586" s="13" t="s">
        <v>850</v>
      </c>
      <c r="C586" s="13"/>
      <c r="D586" s="2">
        <v>2.56</v>
      </c>
      <c r="E586" s="2" t="s">
        <v>412</v>
      </c>
      <c r="F586" s="9">
        <v>-1</v>
      </c>
      <c r="G586">
        <v>-1</v>
      </c>
      <c r="H586" s="69" t="s">
        <v>1244</v>
      </c>
      <c r="I586" s="2">
        <v>1</v>
      </c>
      <c r="J586" s="25">
        <v>0</v>
      </c>
      <c r="K586">
        <v>0</v>
      </c>
      <c r="L586">
        <v>0</v>
      </c>
      <c r="M586" s="2">
        <v>3.9487999999999999</v>
      </c>
      <c r="N586" s="2">
        <v>3.9487999999999999</v>
      </c>
      <c r="O586" s="2">
        <v>18.829999999999998</v>
      </c>
      <c r="P586" s="2" t="s">
        <v>439</v>
      </c>
      <c r="Q586" s="2"/>
      <c r="R586" s="25">
        <v>0</v>
      </c>
      <c r="S586" s="25"/>
      <c r="T586" s="25"/>
      <c r="U586">
        <v>0</v>
      </c>
      <c r="X586">
        <v>0</v>
      </c>
      <c r="AA586" s="2"/>
      <c r="AB586">
        <v>22</v>
      </c>
      <c r="AC586" s="55">
        <f t="shared" si="57"/>
        <v>293.61659371519994</v>
      </c>
      <c r="AD586" s="57">
        <v>0</v>
      </c>
      <c r="AE586" s="55">
        <v>0</v>
      </c>
      <c r="AF586" s="55">
        <v>0</v>
      </c>
      <c r="AG586" s="52">
        <f t="shared" si="58"/>
        <v>7.4927645340574306E-2</v>
      </c>
      <c r="AH586" s="51"/>
      <c r="AI586" s="52"/>
      <c r="AJ586" s="52"/>
      <c r="AK586" s="28">
        <v>1.8947368421052631</v>
      </c>
      <c r="AL586" s="28">
        <v>3.1578947368421049</v>
      </c>
      <c r="AM586" s="28">
        <v>2.5263157894736841</v>
      </c>
      <c r="AN586" s="28">
        <v>2.947368421052631</v>
      </c>
      <c r="AO586" s="28">
        <v>0.18</v>
      </c>
      <c r="AP586" s="28">
        <v>0.3</v>
      </c>
      <c r="AQ586" s="28">
        <v>0.24</v>
      </c>
      <c r="AR586" s="28">
        <v>0.28000000000000003</v>
      </c>
      <c r="AS586" s="25">
        <v>0.89</v>
      </c>
      <c r="AT586" s="25">
        <v>3.44</v>
      </c>
      <c r="AU586" s="25">
        <v>2.5499999999999998</v>
      </c>
      <c r="AV586" s="25">
        <v>2.8147368421052632</v>
      </c>
      <c r="AW586">
        <v>2.8147368421052632</v>
      </c>
      <c r="AX586">
        <v>6.2004463597368424</v>
      </c>
      <c r="AY586" s="75"/>
      <c r="AZ586" s="75"/>
      <c r="BA586" s="75">
        <v>0</v>
      </c>
      <c r="BB586">
        <v>3.7463822670287153E-2</v>
      </c>
      <c r="BF586">
        <v>7.4927645340574306E-2</v>
      </c>
      <c r="BG586">
        <v>3.7463822670287153E-2</v>
      </c>
      <c r="BH586">
        <v>0</v>
      </c>
    </row>
    <row r="587" spans="1:67" x14ac:dyDescent="0.3">
      <c r="A587" s="2" t="s">
        <v>423</v>
      </c>
      <c r="B587" s="13" t="s">
        <v>851</v>
      </c>
      <c r="C587" s="13"/>
      <c r="D587" s="2">
        <v>2.5099999999999998</v>
      </c>
      <c r="E587" s="2" t="s">
        <v>412</v>
      </c>
      <c r="F587" s="9">
        <v>-1</v>
      </c>
      <c r="G587">
        <v>-1</v>
      </c>
      <c r="H587" s="69" t="s">
        <v>1244</v>
      </c>
      <c r="I587" s="2">
        <v>1</v>
      </c>
      <c r="J587" s="25">
        <v>0</v>
      </c>
      <c r="K587">
        <v>0</v>
      </c>
      <c r="L587">
        <v>0</v>
      </c>
      <c r="M587" s="2">
        <v>3.8788399999999998</v>
      </c>
      <c r="N587" s="2">
        <v>3.8788399999999998</v>
      </c>
      <c r="O587" s="2">
        <v>18.3658</v>
      </c>
      <c r="P587" s="2" t="s">
        <v>439</v>
      </c>
      <c r="Q587" s="2"/>
      <c r="R587" s="25">
        <v>0</v>
      </c>
      <c r="S587" s="25"/>
      <c r="T587" s="25"/>
      <c r="U587">
        <v>0</v>
      </c>
      <c r="X587">
        <v>0</v>
      </c>
      <c r="AA587" s="2"/>
      <c r="AB587">
        <v>22</v>
      </c>
      <c r="AC587" s="55">
        <f t="shared" si="57"/>
        <v>276.32080264774049</v>
      </c>
      <c r="AD587" s="57">
        <v>0</v>
      </c>
      <c r="AE587" s="55">
        <v>0</v>
      </c>
      <c r="AF587" s="55">
        <v>0</v>
      </c>
      <c r="AG587" s="52">
        <f t="shared" si="58"/>
        <v>7.9617603123591299E-2</v>
      </c>
      <c r="AH587" s="51"/>
      <c r="AI587" s="52"/>
      <c r="AJ587" s="52"/>
      <c r="AK587" s="28">
        <v>1.9473684210526321</v>
      </c>
      <c r="AL587" s="28">
        <v>3.2105263157894739</v>
      </c>
      <c r="AM587" s="28">
        <v>2.4210526315789469</v>
      </c>
      <c r="AN587" s="28">
        <v>2.947368421052631</v>
      </c>
      <c r="AO587" s="28">
        <v>0.185</v>
      </c>
      <c r="AP587" s="28">
        <v>0.30499999999999999</v>
      </c>
      <c r="AQ587" s="28">
        <v>0.23</v>
      </c>
      <c r="AR587" s="28">
        <v>0.28000000000000003</v>
      </c>
      <c r="AS587" s="25">
        <v>0.95</v>
      </c>
      <c r="AT587" s="25">
        <v>3.44</v>
      </c>
      <c r="AU587" s="25">
        <v>2.4900000000000002</v>
      </c>
      <c r="AV587" s="25">
        <v>2.798421052631578</v>
      </c>
      <c r="AW587">
        <v>2.7984210526315789</v>
      </c>
      <c r="AX587">
        <v>6.2023549881578939</v>
      </c>
      <c r="AY587" s="75"/>
      <c r="AZ587" s="75"/>
      <c r="BA587" s="75">
        <v>0</v>
      </c>
      <c r="BB587">
        <v>3.9808801561795649E-2</v>
      </c>
      <c r="BF587">
        <v>7.9617603123591299E-2</v>
      </c>
      <c r="BG587">
        <v>3.9808801561795649E-2</v>
      </c>
      <c r="BH587">
        <v>0</v>
      </c>
    </row>
    <row r="588" spans="1:67" x14ac:dyDescent="0.3">
      <c r="A588" s="2" t="s">
        <v>424</v>
      </c>
      <c r="B588" s="13" t="s">
        <v>852</v>
      </c>
      <c r="C588" s="13"/>
      <c r="D588" s="2">
        <v>2.48</v>
      </c>
      <c r="E588" s="2" t="s">
        <v>412</v>
      </c>
      <c r="F588" s="9">
        <v>-1</v>
      </c>
      <c r="G588">
        <v>-1</v>
      </c>
      <c r="H588" s="69" t="s">
        <v>1244</v>
      </c>
      <c r="I588" s="2">
        <v>1</v>
      </c>
      <c r="J588" s="25">
        <v>0</v>
      </c>
      <c r="K588">
        <v>0</v>
      </c>
      <c r="L588">
        <v>0</v>
      </c>
      <c r="M588" s="2">
        <v>3.9116</v>
      </c>
      <c r="N588" s="2">
        <v>3.9116</v>
      </c>
      <c r="O588" s="2">
        <v>18.6922</v>
      </c>
      <c r="P588" s="2" t="s">
        <v>439</v>
      </c>
      <c r="Q588" s="2"/>
      <c r="R588" s="25">
        <v>0</v>
      </c>
      <c r="S588" s="25"/>
      <c r="T588" s="25"/>
      <c r="U588">
        <v>0</v>
      </c>
      <c r="X588">
        <v>0</v>
      </c>
      <c r="AA588" s="2"/>
      <c r="AB588">
        <v>22</v>
      </c>
      <c r="AC588" s="55">
        <f t="shared" si="57"/>
        <v>286.00214747843199</v>
      </c>
      <c r="AD588" s="57">
        <v>0</v>
      </c>
      <c r="AE588" s="55">
        <v>0</v>
      </c>
      <c r="AF588" s="55">
        <v>0</v>
      </c>
      <c r="AG588" s="52">
        <f t="shared" si="58"/>
        <v>7.6922499337733347E-2</v>
      </c>
      <c r="AH588" s="51"/>
      <c r="AI588" s="52"/>
      <c r="AJ588" s="52"/>
      <c r="AK588" s="28">
        <v>1.9473684210526321</v>
      </c>
      <c r="AL588" s="28">
        <v>3.2105263157894739</v>
      </c>
      <c r="AM588" s="28">
        <v>2.4210526315789469</v>
      </c>
      <c r="AN588" s="28">
        <v>2.947368421052631</v>
      </c>
      <c r="AO588" s="28">
        <v>0.185</v>
      </c>
      <c r="AP588" s="28">
        <v>0.30499999999999999</v>
      </c>
      <c r="AQ588" s="28">
        <v>0.23</v>
      </c>
      <c r="AR588" s="28">
        <v>0.28000000000000003</v>
      </c>
      <c r="AS588" s="25">
        <v>0.89</v>
      </c>
      <c r="AT588" s="25">
        <v>3.44</v>
      </c>
      <c r="AU588" s="25">
        <v>2.5499999999999998</v>
      </c>
      <c r="AV588" s="25">
        <v>2.7952631578947358</v>
      </c>
      <c r="AW588">
        <v>2.7952631578947371</v>
      </c>
      <c r="AX588">
        <v>6.1920749131578949</v>
      </c>
      <c r="AY588" s="75"/>
      <c r="AZ588" s="75"/>
      <c r="BA588" s="75">
        <v>0</v>
      </c>
      <c r="BB588">
        <v>3.8461249668866673E-2</v>
      </c>
      <c r="BF588">
        <v>7.6922499337733347E-2</v>
      </c>
      <c r="BG588">
        <v>3.8461249668866673E-2</v>
      </c>
      <c r="BH588">
        <v>0</v>
      </c>
    </row>
    <row r="589" spans="1:67" x14ac:dyDescent="0.3">
      <c r="A589" s="2" t="s">
        <v>425</v>
      </c>
      <c r="B589" s="13" t="s">
        <v>853</v>
      </c>
      <c r="C589" s="13"/>
      <c r="D589" s="2">
        <v>2.5299999999999998</v>
      </c>
      <c r="E589" s="2" t="s">
        <v>412</v>
      </c>
      <c r="F589" s="9">
        <v>-1</v>
      </c>
      <c r="G589">
        <v>-1</v>
      </c>
      <c r="H589" s="69" t="s">
        <v>1244</v>
      </c>
      <c r="I589" s="2">
        <v>1</v>
      </c>
      <c r="J589" s="25">
        <v>0</v>
      </c>
      <c r="K589">
        <v>0</v>
      </c>
      <c r="L589">
        <v>0</v>
      </c>
      <c r="M589" s="2">
        <v>3.8759000000000001</v>
      </c>
      <c r="N589" s="2">
        <v>3.8759000000000001</v>
      </c>
      <c r="O589" s="2">
        <v>18.463000000000001</v>
      </c>
      <c r="P589" s="2" t="s">
        <v>439</v>
      </c>
      <c r="Q589" s="2"/>
      <c r="R589" s="25">
        <v>0</v>
      </c>
      <c r="S589" s="25"/>
      <c r="T589" s="25"/>
      <c r="U589">
        <v>0</v>
      </c>
      <c r="X589">
        <v>0</v>
      </c>
      <c r="AA589" s="2"/>
      <c r="AB589">
        <v>22</v>
      </c>
      <c r="AC589" s="55">
        <f t="shared" si="57"/>
        <v>277.36227875502999</v>
      </c>
      <c r="AD589" s="57">
        <v>0</v>
      </c>
      <c r="AE589" s="55">
        <v>0</v>
      </c>
      <c r="AF589" s="55">
        <v>0</v>
      </c>
      <c r="AG589" s="52">
        <f t="shared" si="58"/>
        <v>7.9318644549465536E-2</v>
      </c>
      <c r="AH589" s="51"/>
      <c r="AI589" s="52"/>
      <c r="AJ589" s="52"/>
      <c r="AK589" s="28">
        <v>1.9473684210526321</v>
      </c>
      <c r="AL589" s="28">
        <v>3.3157894736842111</v>
      </c>
      <c r="AM589" s="28">
        <v>2.947368421052631</v>
      </c>
      <c r="AN589" s="28">
        <v>3.6842105263157889</v>
      </c>
      <c r="AO589" s="28">
        <v>0.16371681415929201</v>
      </c>
      <c r="AP589" s="28">
        <v>0.27876106194690259</v>
      </c>
      <c r="AQ589" s="28">
        <v>0.247787610619469</v>
      </c>
      <c r="AR589" s="28">
        <v>0.30973451327433632</v>
      </c>
      <c r="AS589" s="25">
        <v>1.54</v>
      </c>
      <c r="AT589" s="25">
        <v>3.44</v>
      </c>
      <c r="AU589" s="25">
        <v>1.9</v>
      </c>
      <c r="AV589" s="25">
        <v>2.8710526315789471</v>
      </c>
      <c r="AW589">
        <v>2.871052631578948</v>
      </c>
      <c r="AX589">
        <v>6.255683084210526</v>
      </c>
      <c r="AY589" s="75"/>
      <c r="AZ589" s="75"/>
      <c r="BA589" s="75">
        <v>0</v>
      </c>
      <c r="BB589">
        <v>3.9659322274732768E-2</v>
      </c>
      <c r="BF589">
        <v>7.9318644549465536E-2</v>
      </c>
      <c r="BG589">
        <v>3.9659322274732768E-2</v>
      </c>
      <c r="BH589">
        <v>0</v>
      </c>
    </row>
    <row r="590" spans="1:67" x14ac:dyDescent="0.3">
      <c r="A590" s="2" t="s">
        <v>63</v>
      </c>
      <c r="B590" s="13" t="s">
        <v>773</v>
      </c>
      <c r="C590" s="13"/>
      <c r="D590" s="2">
        <v>3.45</v>
      </c>
      <c r="E590" s="2" t="s">
        <v>432</v>
      </c>
      <c r="F590" s="9">
        <v>-1</v>
      </c>
      <c r="G590">
        <v>-1</v>
      </c>
      <c r="I590" s="2">
        <v>1</v>
      </c>
      <c r="J590" s="25">
        <v>0</v>
      </c>
      <c r="K590">
        <v>0</v>
      </c>
      <c r="L590">
        <v>0</v>
      </c>
      <c r="M590" s="2">
        <v>3.8531</v>
      </c>
      <c r="N590" s="2">
        <v>3.8531</v>
      </c>
      <c r="O590" s="2">
        <v>16.2151</v>
      </c>
      <c r="P590" s="2" t="s">
        <v>1137</v>
      </c>
      <c r="Q590" s="2"/>
      <c r="R590" s="25">
        <v>0</v>
      </c>
      <c r="S590" s="25"/>
      <c r="T590" s="25"/>
      <c r="U590">
        <v>0</v>
      </c>
      <c r="X590">
        <v>0</v>
      </c>
      <c r="AA590" s="2"/>
      <c r="AB590">
        <v>20</v>
      </c>
      <c r="AC590" s="55">
        <f t="shared" si="57"/>
        <v>240.73553001411099</v>
      </c>
      <c r="AD590" s="57">
        <v>0</v>
      </c>
      <c r="AE590" s="55">
        <v>0</v>
      </c>
      <c r="AF590" s="55">
        <v>0</v>
      </c>
      <c r="AG590" s="52">
        <f t="shared" si="58"/>
        <v>8.3078721279022161E-2</v>
      </c>
      <c r="AH590" s="51"/>
      <c r="AI590" s="52"/>
      <c r="AJ590" s="52"/>
      <c r="AK590" s="28">
        <v>1.75</v>
      </c>
      <c r="AL590" s="28">
        <v>2.5</v>
      </c>
      <c r="AM590" s="28">
        <v>0.75</v>
      </c>
      <c r="AN590" s="28">
        <v>0</v>
      </c>
      <c r="AO590" s="28">
        <v>0.35</v>
      </c>
      <c r="AP590" s="28">
        <v>0.5</v>
      </c>
      <c r="AQ590" s="28">
        <v>0.15</v>
      </c>
      <c r="AR590" s="28">
        <v>0</v>
      </c>
      <c r="AS590" s="25">
        <v>1</v>
      </c>
      <c r="AT590" s="25">
        <v>3.44</v>
      </c>
      <c r="AU590" s="25">
        <v>2.44</v>
      </c>
      <c r="AV590" s="25">
        <v>2.7124999999999999</v>
      </c>
      <c r="AW590">
        <v>2.7124999999999999</v>
      </c>
      <c r="AX590">
        <v>6.264025610615688</v>
      </c>
      <c r="AY590" s="75"/>
      <c r="AZ590" s="75"/>
      <c r="BA590" s="75"/>
      <c r="BB590">
        <v>4.153936063951108E-2</v>
      </c>
      <c r="BF590">
        <v>8.3078721279022161E-2</v>
      </c>
      <c r="BG590">
        <v>4.153936063951108E-2</v>
      </c>
      <c r="BH590">
        <v>0</v>
      </c>
    </row>
    <row r="591" spans="1:67" x14ac:dyDescent="0.3">
      <c r="A591" s="2" t="s">
        <v>63</v>
      </c>
      <c r="B591" s="13" t="s">
        <v>773</v>
      </c>
      <c r="C591" s="13"/>
      <c r="D591" s="2">
        <v>3.5</v>
      </c>
      <c r="E591" s="2" t="s">
        <v>432</v>
      </c>
      <c r="F591" s="9">
        <v>-1</v>
      </c>
      <c r="G591">
        <v>-1</v>
      </c>
      <c r="I591" s="2">
        <v>2</v>
      </c>
      <c r="J591" s="25">
        <v>0</v>
      </c>
      <c r="K591">
        <v>0</v>
      </c>
      <c r="L591">
        <v>0</v>
      </c>
      <c r="M591" s="2">
        <v>3.843</v>
      </c>
      <c r="N591" s="2">
        <v>3.843</v>
      </c>
      <c r="O591" s="2">
        <v>32.261000000000003</v>
      </c>
      <c r="P591" s="2" t="s">
        <v>1138</v>
      </c>
      <c r="Q591" s="2"/>
      <c r="R591" s="25">
        <v>0</v>
      </c>
      <c r="U591">
        <v>0</v>
      </c>
      <c r="X591">
        <v>0</v>
      </c>
      <c r="AA591" s="2"/>
      <c r="AB591">
        <v>20</v>
      </c>
      <c r="AC591" s="55">
        <f t="shared" si="57"/>
        <v>476.45138538900005</v>
      </c>
      <c r="AD591" s="57">
        <v>0</v>
      </c>
      <c r="AE591" s="55">
        <v>0</v>
      </c>
      <c r="AF591" s="55">
        <v>0</v>
      </c>
      <c r="AG591" s="52">
        <f t="shared" si="58"/>
        <v>8.3954000820759267E-2</v>
      </c>
      <c r="AH591" s="52"/>
      <c r="AI591" s="52"/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1</v>
      </c>
      <c r="AT591" s="25">
        <v>3.44</v>
      </c>
      <c r="AU591" s="25">
        <v>2.44</v>
      </c>
      <c r="AV591" s="25">
        <v>2.7124999999999999</v>
      </c>
      <c r="AW591">
        <v>2.7124999999999999</v>
      </c>
      <c r="AX591">
        <v>6.264025610615688</v>
      </c>
      <c r="AY591" s="75"/>
      <c r="AZ591" s="75"/>
      <c r="BA591" s="75"/>
      <c r="BB591">
        <v>4.1977000410379627E-2</v>
      </c>
      <c r="BF591">
        <v>8.3954000820759267E-2</v>
      </c>
      <c r="BG591">
        <v>4.1977000410379627E-2</v>
      </c>
      <c r="BH591">
        <v>0</v>
      </c>
      <c r="BN591" s="79" t="s">
        <v>863</v>
      </c>
      <c r="BO591" s="79">
        <v>1</v>
      </c>
    </row>
    <row r="592" spans="1:67" x14ac:dyDescent="0.3">
      <c r="A592" s="2" t="s">
        <v>363</v>
      </c>
      <c r="B592" s="18" t="s">
        <v>1064</v>
      </c>
      <c r="C592" s="13"/>
      <c r="D592" s="2">
        <v>3.52</v>
      </c>
      <c r="E592" s="2" t="s">
        <v>432</v>
      </c>
      <c r="F592" s="9">
        <v>-1</v>
      </c>
      <c r="G592">
        <v>-1</v>
      </c>
      <c r="I592" s="2">
        <v>1</v>
      </c>
      <c r="J592" s="25">
        <v>0</v>
      </c>
      <c r="K592">
        <v>0</v>
      </c>
      <c r="L592">
        <v>0</v>
      </c>
      <c r="M592" s="2">
        <v>3.8693</v>
      </c>
      <c r="N592" s="2">
        <v>3.8693</v>
      </c>
      <c r="O592" s="2">
        <v>16.124700000000001</v>
      </c>
      <c r="P592" s="2" t="s">
        <v>1138</v>
      </c>
      <c r="Q592" s="2"/>
      <c r="R592" s="25">
        <v>0</v>
      </c>
      <c r="U592">
        <v>0</v>
      </c>
      <c r="X592">
        <v>0</v>
      </c>
      <c r="AA592" s="2"/>
      <c r="AB592">
        <v>20</v>
      </c>
      <c r="AC592" s="55">
        <f t="shared" si="57"/>
        <v>241.41066370650302</v>
      </c>
      <c r="AD592" s="57">
        <v>0</v>
      </c>
      <c r="AE592" s="55">
        <v>0</v>
      </c>
      <c r="AF592" s="55">
        <v>0</v>
      </c>
      <c r="AG592" s="52">
        <f t="shared" si="58"/>
        <v>8.2846381733638591E-2</v>
      </c>
      <c r="AH592" s="52"/>
      <c r="AI592" s="52"/>
      <c r="AJ592" s="52"/>
      <c r="AK592" s="28">
        <v>1.6086956521739131</v>
      </c>
      <c r="AL592" s="28">
        <v>1.956521739130435</v>
      </c>
      <c r="AM592" s="28">
        <v>0.52173913043478259</v>
      </c>
      <c r="AN592" s="28">
        <v>0</v>
      </c>
      <c r="AO592" s="28">
        <v>0.3936170212765957</v>
      </c>
      <c r="AP592" s="28">
        <v>0.47872340425531912</v>
      </c>
      <c r="AQ592" s="28">
        <v>0.1276595744680851</v>
      </c>
      <c r="AR592" s="28">
        <v>0</v>
      </c>
      <c r="AS592" s="25">
        <v>1</v>
      </c>
      <c r="AT592" s="25">
        <v>3.44</v>
      </c>
      <c r="AU592" s="25">
        <v>2.44</v>
      </c>
      <c r="AV592" s="25">
        <v>2.6082608695652172</v>
      </c>
      <c r="AW592">
        <v>2.6082608695652181</v>
      </c>
      <c r="AX592">
        <v>6.5043590032654777</v>
      </c>
      <c r="AY592" s="75"/>
      <c r="AZ592" s="75"/>
      <c r="BA592" s="75"/>
      <c r="BB592">
        <v>4.1423190866819302E-2</v>
      </c>
      <c r="BF592">
        <v>8.2846381733638591E-2</v>
      </c>
      <c r="BG592">
        <v>4.1423190866819302E-2</v>
      </c>
      <c r="BH592">
        <v>0</v>
      </c>
    </row>
    <row r="593" spans="1:67" x14ac:dyDescent="0.3">
      <c r="A593" s="2" t="s">
        <v>366</v>
      </c>
      <c r="B593" s="18" t="s">
        <v>1065</v>
      </c>
      <c r="C593" s="13"/>
      <c r="D593" s="2">
        <v>3.58</v>
      </c>
      <c r="E593" s="2" t="s">
        <v>432</v>
      </c>
      <c r="F593" s="9">
        <v>-1</v>
      </c>
      <c r="G593">
        <v>-1</v>
      </c>
      <c r="I593" s="2">
        <v>1</v>
      </c>
      <c r="J593" s="25">
        <v>0</v>
      </c>
      <c r="K593">
        <v>0</v>
      </c>
      <c r="L593">
        <v>0</v>
      </c>
      <c r="M593" s="2">
        <v>3.8614999999999999</v>
      </c>
      <c r="N593" s="2">
        <v>3.8614999999999999</v>
      </c>
      <c r="O593" s="2">
        <v>25.281600000000001</v>
      </c>
      <c r="P593" s="2" t="s">
        <v>1137</v>
      </c>
      <c r="Q593" s="2"/>
      <c r="R593" s="25">
        <v>0</v>
      </c>
      <c r="U593">
        <v>0</v>
      </c>
      <c r="X593">
        <v>0</v>
      </c>
      <c r="AA593" s="2"/>
      <c r="AB593">
        <v>20</v>
      </c>
      <c r="AC593" s="55">
        <f t="shared" si="57"/>
        <v>376.97854517159999</v>
      </c>
      <c r="AD593" s="57">
        <v>0</v>
      </c>
      <c r="AE593" s="55">
        <v>0</v>
      </c>
      <c r="AF593" s="55">
        <v>0</v>
      </c>
      <c r="AG593" s="52">
        <f t="shared" si="58"/>
        <v>5.3053417113952825E-2</v>
      </c>
      <c r="AH593" s="52"/>
      <c r="AI593" s="52"/>
      <c r="AJ593" s="52"/>
      <c r="AK593" s="28">
        <v>1.53125</v>
      </c>
      <c r="AL593" s="28">
        <v>1.59375</v>
      </c>
      <c r="AM593" s="28">
        <v>0.375</v>
      </c>
      <c r="AN593" s="28">
        <v>0</v>
      </c>
      <c r="AO593" s="28">
        <v>0.4375</v>
      </c>
      <c r="AP593" s="28">
        <v>0.45535714285714279</v>
      </c>
      <c r="AQ593" s="28">
        <v>0.1071428571428571</v>
      </c>
      <c r="AR593" s="28">
        <v>0</v>
      </c>
      <c r="AS593" s="25">
        <v>1</v>
      </c>
      <c r="AT593" s="25">
        <v>3.44</v>
      </c>
      <c r="AU593" s="25">
        <v>2.44</v>
      </c>
      <c r="AV593" s="25">
        <v>2.5262500000000001</v>
      </c>
      <c r="AW593">
        <v>2.5262500000000001</v>
      </c>
      <c r="AX593">
        <v>6.6075924153816246</v>
      </c>
      <c r="AY593" s="75"/>
      <c r="AZ593" s="75"/>
      <c r="BA593" s="75"/>
      <c r="BB593">
        <v>2.6526708556976409E-2</v>
      </c>
      <c r="BF593">
        <v>5.3053417113952818E-2</v>
      </c>
      <c r="BG593">
        <v>2.6526708556976409E-2</v>
      </c>
      <c r="BH593">
        <v>0</v>
      </c>
    </row>
    <row r="594" spans="1:67" x14ac:dyDescent="0.3">
      <c r="A594" s="2" t="s">
        <v>368</v>
      </c>
      <c r="B594" s="18" t="s">
        <v>1066</v>
      </c>
      <c r="C594" s="13"/>
      <c r="D594" s="2">
        <v>3.52</v>
      </c>
      <c r="E594" s="2" t="s">
        <v>432</v>
      </c>
      <c r="F594" s="9">
        <v>-1</v>
      </c>
      <c r="G594">
        <v>-1</v>
      </c>
      <c r="I594" s="2">
        <v>1</v>
      </c>
      <c r="J594" s="25">
        <v>0</v>
      </c>
      <c r="K594">
        <v>0</v>
      </c>
      <c r="L594">
        <v>0</v>
      </c>
      <c r="M594" s="2">
        <v>3.8675999999999999</v>
      </c>
      <c r="N594" s="2">
        <v>3.8675999999999999</v>
      </c>
      <c r="O594" s="2">
        <v>34.564999999999998</v>
      </c>
      <c r="P594" s="2" t="s">
        <v>1139</v>
      </c>
      <c r="Q594" s="2"/>
      <c r="R594" s="25">
        <v>0</v>
      </c>
      <c r="U594">
        <v>0</v>
      </c>
      <c r="X594">
        <v>0</v>
      </c>
      <c r="AA594" s="2"/>
      <c r="AB594">
        <v>20</v>
      </c>
      <c r="AC594" s="55">
        <f t="shared" si="57"/>
        <v>517.03466815439992</v>
      </c>
      <c r="AD594" s="57">
        <v>0</v>
      </c>
      <c r="AE594" s="55">
        <v>0</v>
      </c>
      <c r="AF594" s="55">
        <v>0</v>
      </c>
      <c r="AG594" s="52">
        <f t="shared" si="58"/>
        <v>3.8682125652022011E-2</v>
      </c>
      <c r="AH594" s="52"/>
      <c r="AI594" s="52"/>
      <c r="AJ594" s="52"/>
      <c r="AK594" s="28">
        <v>1.4772727272727271</v>
      </c>
      <c r="AL594" s="28">
        <v>1.3409090909090911</v>
      </c>
      <c r="AM594" s="28">
        <v>0.27272727272727271</v>
      </c>
      <c r="AN594" s="28">
        <v>0</v>
      </c>
      <c r="AO594" s="28">
        <v>0.47794117647058831</v>
      </c>
      <c r="AP594" s="28">
        <v>0.43382352941176472</v>
      </c>
      <c r="AQ594" s="28">
        <v>8.8235294117647051E-2</v>
      </c>
      <c r="AR594" s="28">
        <v>0</v>
      </c>
      <c r="AS594" s="25">
        <v>1</v>
      </c>
      <c r="AT594" s="25">
        <v>3.44</v>
      </c>
      <c r="AU594" s="25">
        <v>2.44</v>
      </c>
      <c r="AV594" s="25">
        <v>2.4690909090909088</v>
      </c>
      <c r="AW594">
        <v>2.4690909090909088</v>
      </c>
      <c r="AX594">
        <v>6.679542975341362</v>
      </c>
      <c r="AY594" s="75"/>
      <c r="AZ594" s="75"/>
      <c r="BA594" s="75"/>
      <c r="BB594">
        <v>1.9341062826011009E-2</v>
      </c>
      <c r="BF594">
        <v>3.8682125652022011E-2</v>
      </c>
      <c r="BG594">
        <v>1.9341062826011009E-2</v>
      </c>
      <c r="BH594">
        <v>0</v>
      </c>
    </row>
    <row r="595" spans="1:67" x14ac:dyDescent="0.3">
      <c r="A595" s="2" t="s">
        <v>427</v>
      </c>
      <c r="B595" s="18" t="s">
        <v>1064</v>
      </c>
      <c r="C595" s="13"/>
      <c r="D595" s="2">
        <v>3.57</v>
      </c>
      <c r="E595" s="2" t="s">
        <v>432</v>
      </c>
      <c r="F595" s="9">
        <v>-1</v>
      </c>
      <c r="G595">
        <v>-1</v>
      </c>
      <c r="I595" s="2">
        <v>2</v>
      </c>
      <c r="J595" s="25">
        <v>0</v>
      </c>
      <c r="K595">
        <v>0</v>
      </c>
      <c r="L595">
        <v>0</v>
      </c>
      <c r="M595" s="2">
        <v>3.8532999999999999</v>
      </c>
      <c r="N595" s="2">
        <v>3.8532999999999999</v>
      </c>
      <c r="O595" s="2">
        <v>31.7422</v>
      </c>
      <c r="P595" s="2" t="s">
        <v>1138</v>
      </c>
      <c r="Q595" s="2"/>
      <c r="R595" s="25">
        <v>0</v>
      </c>
      <c r="U595">
        <v>0</v>
      </c>
      <c r="X595">
        <v>0</v>
      </c>
      <c r="AA595" s="2"/>
      <c r="AB595">
        <v>20</v>
      </c>
      <c r="AC595" s="55">
        <f t="shared" si="57"/>
        <v>471.30567447455797</v>
      </c>
      <c r="AD595" s="57">
        <v>0</v>
      </c>
      <c r="AE595" s="55">
        <v>0</v>
      </c>
      <c r="AF595" s="55">
        <v>0</v>
      </c>
      <c r="AG595" s="52">
        <f t="shared" si="58"/>
        <v>8.4870609810914294E-2</v>
      </c>
      <c r="AH595" s="52"/>
      <c r="AI595" s="52"/>
      <c r="AJ595" s="52"/>
      <c r="AK595" s="28">
        <v>1.6086956521739131</v>
      </c>
      <c r="AL595" s="28">
        <v>1.956521739130435</v>
      </c>
      <c r="AM595" s="28">
        <v>0.52173913043478259</v>
      </c>
      <c r="AN595" s="28">
        <v>0</v>
      </c>
      <c r="AO595" s="28">
        <v>0.3936170212765957</v>
      </c>
      <c r="AP595" s="28">
        <v>0.47872340425531912</v>
      </c>
      <c r="AQ595" s="28">
        <v>0.1276595744680851</v>
      </c>
      <c r="AR595" s="28">
        <v>0</v>
      </c>
      <c r="AS595" s="25">
        <v>1</v>
      </c>
      <c r="AT595" s="25">
        <v>3.44</v>
      </c>
      <c r="AU595" s="25">
        <v>2.44</v>
      </c>
      <c r="AV595" s="25">
        <v>2.6082608695652172</v>
      </c>
      <c r="AW595">
        <v>2.6082608695652181</v>
      </c>
      <c r="AX595">
        <v>6.5043590032654777</v>
      </c>
      <c r="AY595" s="75"/>
      <c r="AZ595" s="75"/>
      <c r="BA595" s="75"/>
      <c r="BB595">
        <v>4.2435304905457147E-2</v>
      </c>
      <c r="BF595">
        <v>8.4870609810914294E-2</v>
      </c>
      <c r="BG595">
        <v>4.2435304905457147E-2</v>
      </c>
      <c r="BH595">
        <v>0</v>
      </c>
      <c r="BN595" s="79" t="s">
        <v>863</v>
      </c>
      <c r="BO595" s="79">
        <v>1</v>
      </c>
    </row>
    <row r="596" spans="1:67" x14ac:dyDescent="0.3">
      <c r="A596" s="2" t="s">
        <v>428</v>
      </c>
      <c r="B596" s="18" t="s">
        <v>1065</v>
      </c>
      <c r="C596" s="13"/>
      <c r="D596" s="2">
        <v>3.52</v>
      </c>
      <c r="E596" s="2" t="s">
        <v>432</v>
      </c>
      <c r="F596" s="9">
        <v>-1</v>
      </c>
      <c r="G596">
        <v>-1</v>
      </c>
      <c r="I596" s="2">
        <v>1</v>
      </c>
      <c r="J596" s="25">
        <v>0</v>
      </c>
      <c r="K596">
        <v>0</v>
      </c>
      <c r="L596">
        <v>0</v>
      </c>
      <c r="M596" s="2">
        <v>3.8580000000000001</v>
      </c>
      <c r="N596" s="2">
        <v>3.8580000000000001</v>
      </c>
      <c r="O596" s="2">
        <v>23.879799999999999</v>
      </c>
      <c r="P596" s="2" t="s">
        <v>1137</v>
      </c>
      <c r="Q596" s="2"/>
      <c r="R596" s="25">
        <v>0</v>
      </c>
      <c r="U596">
        <v>0</v>
      </c>
      <c r="X596">
        <v>0</v>
      </c>
      <c r="AA596" s="2"/>
      <c r="AB596">
        <v>20</v>
      </c>
      <c r="AC596" s="55">
        <f t="shared" ref="AC596:AC604" si="59">M596*N596*O596</f>
        <v>355.4308594872</v>
      </c>
      <c r="AD596" s="57">
        <v>0</v>
      </c>
      <c r="AE596" s="55">
        <v>0</v>
      </c>
      <c r="AF596" s="55">
        <v>0</v>
      </c>
      <c r="AG596" s="52">
        <f t="shared" si="58"/>
        <v>5.6269734228634849E-2</v>
      </c>
      <c r="AH596" s="52"/>
      <c r="AI596" s="52"/>
      <c r="AJ596" s="52"/>
      <c r="AK596" s="28">
        <v>1.53125</v>
      </c>
      <c r="AL596" s="28">
        <v>1.59375</v>
      </c>
      <c r="AM596" s="28">
        <v>0.375</v>
      </c>
      <c r="AN596" s="28">
        <v>0</v>
      </c>
      <c r="AO596" s="28">
        <v>0.4375</v>
      </c>
      <c r="AP596" s="28">
        <v>0.45535714285714279</v>
      </c>
      <c r="AQ596" s="28">
        <v>0.1071428571428571</v>
      </c>
      <c r="AR596" s="28">
        <v>0</v>
      </c>
      <c r="AS596" s="25">
        <v>1</v>
      </c>
      <c r="AT596" s="25">
        <v>3.44</v>
      </c>
      <c r="AU596" s="25">
        <v>2.44</v>
      </c>
      <c r="AV596" s="25">
        <v>2.5262500000000001</v>
      </c>
      <c r="AW596">
        <v>2.5262500000000001</v>
      </c>
      <c r="AX596">
        <v>6.6075924153816246</v>
      </c>
      <c r="AY596" s="75"/>
      <c r="AZ596" s="75"/>
      <c r="BA596" s="75"/>
      <c r="BB596">
        <v>2.8134867114317421E-2</v>
      </c>
      <c r="BF596">
        <v>5.6269734228634849E-2</v>
      </c>
      <c r="BG596">
        <v>2.8134867114317421E-2</v>
      </c>
      <c r="BH596">
        <v>0</v>
      </c>
      <c r="BN596" s="79" t="s">
        <v>863</v>
      </c>
      <c r="BO596" s="79">
        <v>1</v>
      </c>
    </row>
    <row r="597" spans="1:67" x14ac:dyDescent="0.3">
      <c r="A597" s="2" t="s">
        <v>429</v>
      </c>
      <c r="B597" s="18" t="s">
        <v>1066</v>
      </c>
      <c r="C597" s="13"/>
      <c r="D597" s="2">
        <v>3.59</v>
      </c>
      <c r="E597" s="2" t="s">
        <v>432</v>
      </c>
      <c r="F597" s="9">
        <v>-1</v>
      </c>
      <c r="G597">
        <v>-1</v>
      </c>
      <c r="I597" s="2">
        <v>1</v>
      </c>
      <c r="J597" s="25">
        <v>0</v>
      </c>
      <c r="K597">
        <v>0</v>
      </c>
      <c r="L597">
        <v>0</v>
      </c>
      <c r="M597" s="2">
        <v>3.8639000000000001</v>
      </c>
      <c r="N597" s="2">
        <v>3.8639000000000001</v>
      </c>
      <c r="O597" s="2">
        <v>34.090000000000003</v>
      </c>
      <c r="P597" s="2" t="s">
        <v>1138</v>
      </c>
      <c r="Q597" s="2"/>
      <c r="R597" s="25">
        <v>0</v>
      </c>
      <c r="U597">
        <v>0</v>
      </c>
      <c r="X597">
        <v>0</v>
      </c>
      <c r="AA597" s="2"/>
      <c r="AB597">
        <v>20</v>
      </c>
      <c r="AC597" s="55">
        <f t="shared" si="59"/>
        <v>508.95426422890006</v>
      </c>
      <c r="AD597" s="57">
        <v>0</v>
      </c>
      <c r="AE597" s="55">
        <v>0</v>
      </c>
      <c r="AF597" s="55">
        <v>0</v>
      </c>
      <c r="AG597" s="52">
        <f t="shared" si="58"/>
        <v>3.9296261777669442E-2</v>
      </c>
      <c r="AH597" s="52"/>
      <c r="AI597" s="52"/>
      <c r="AJ597" s="52"/>
      <c r="AK597" s="28">
        <v>1.4772727272727271</v>
      </c>
      <c r="AL597" s="28">
        <v>1.3409090909090911</v>
      </c>
      <c r="AM597" s="28">
        <v>0.27272727272727271</v>
      </c>
      <c r="AN597" s="28">
        <v>0</v>
      </c>
      <c r="AO597" s="28">
        <v>0.47794117647058831</v>
      </c>
      <c r="AP597" s="28">
        <v>0.43382352941176472</v>
      </c>
      <c r="AQ597" s="28">
        <v>8.8235294117647051E-2</v>
      </c>
      <c r="AR597" s="28">
        <v>0</v>
      </c>
      <c r="AS597" s="25">
        <v>1</v>
      </c>
      <c r="AT597" s="25">
        <v>3.44</v>
      </c>
      <c r="AU597" s="25">
        <v>2.44</v>
      </c>
      <c r="AV597" s="25">
        <v>2.4690909090909088</v>
      </c>
      <c r="AW597">
        <v>2.4690909090909088</v>
      </c>
      <c r="AX597">
        <v>6.679542975341362</v>
      </c>
      <c r="AY597" s="75"/>
      <c r="AZ597" s="75"/>
      <c r="BA597" s="75"/>
      <c r="BB597">
        <v>1.9648130888834721E-2</v>
      </c>
      <c r="BF597">
        <v>3.9296261777669442E-2</v>
      </c>
      <c r="BG597">
        <v>1.9648130888834721E-2</v>
      </c>
      <c r="BH597">
        <v>0</v>
      </c>
      <c r="BN597" s="79" t="s">
        <v>863</v>
      </c>
      <c r="BO597" s="79">
        <v>1</v>
      </c>
    </row>
    <row r="598" spans="1:67" x14ac:dyDescent="0.3">
      <c r="A598" s="2" t="s">
        <v>430</v>
      </c>
      <c r="B598" s="18" t="s">
        <v>1064</v>
      </c>
      <c r="C598" s="13"/>
      <c r="D598" s="2">
        <v>3.57</v>
      </c>
      <c r="E598" s="2" t="s">
        <v>432</v>
      </c>
      <c r="F598" s="9">
        <v>-1</v>
      </c>
      <c r="G598">
        <v>-1</v>
      </c>
      <c r="I598" s="2">
        <v>1</v>
      </c>
      <c r="J598" s="25">
        <v>0</v>
      </c>
      <c r="K598">
        <v>0</v>
      </c>
      <c r="L598">
        <v>0</v>
      </c>
      <c r="M598" s="2">
        <v>3.8664000000000001</v>
      </c>
      <c r="N598" s="2">
        <v>3.8664000000000001</v>
      </c>
      <c r="O598" s="2">
        <v>16.116399999999999</v>
      </c>
      <c r="P598" s="2" t="s">
        <v>1137</v>
      </c>
      <c r="Q598" s="2"/>
      <c r="R598" s="25">
        <v>0</v>
      </c>
      <c r="U598">
        <v>0</v>
      </c>
      <c r="X598">
        <v>0</v>
      </c>
      <c r="AA598" s="2"/>
      <c r="AB598">
        <v>20</v>
      </c>
      <c r="AC598" s="55">
        <f t="shared" si="59"/>
        <v>240.92485265894399</v>
      </c>
      <c r="AD598" s="57">
        <v>0</v>
      </c>
      <c r="AE598" s="55">
        <v>0</v>
      </c>
      <c r="AF598" s="55">
        <v>0</v>
      </c>
      <c r="AG598" s="52">
        <f t="shared" si="58"/>
        <v>8.3013436676506888E-2</v>
      </c>
      <c r="AH598" s="52"/>
      <c r="AI598" s="52"/>
      <c r="AJ598" s="52"/>
      <c r="AK598" s="28">
        <v>1.6086956521739131</v>
      </c>
      <c r="AL598" s="28">
        <v>1.956521739130435</v>
      </c>
      <c r="AM598" s="28">
        <v>0.52173913043478259</v>
      </c>
      <c r="AN598" s="28">
        <v>0</v>
      </c>
      <c r="AO598" s="28">
        <v>0.3936170212765957</v>
      </c>
      <c r="AP598" s="28">
        <v>0.47872340425531912</v>
      </c>
      <c r="AQ598" s="28">
        <v>0.1276595744680851</v>
      </c>
      <c r="AR598" s="28">
        <v>0</v>
      </c>
      <c r="AS598" s="25">
        <v>1</v>
      </c>
      <c r="AT598" s="25">
        <v>3.44</v>
      </c>
      <c r="AU598" s="25">
        <v>2.44</v>
      </c>
      <c r="AV598" s="25">
        <v>2.6082608695652172</v>
      </c>
      <c r="AW598">
        <v>2.6082608695652181</v>
      </c>
      <c r="AX598">
        <v>6.5043590032654777</v>
      </c>
      <c r="AY598" s="75"/>
      <c r="AZ598" s="75"/>
      <c r="BA598" s="75"/>
      <c r="BB598">
        <v>4.1506718338253437E-2</v>
      </c>
      <c r="BF598">
        <v>8.3013436676506888E-2</v>
      </c>
      <c r="BG598">
        <v>4.1506718338253437E-2</v>
      </c>
      <c r="BH598">
        <v>0</v>
      </c>
      <c r="BN598" s="79" t="s">
        <v>863</v>
      </c>
      <c r="BO598" s="79">
        <v>1</v>
      </c>
    </row>
    <row r="599" spans="1:67" x14ac:dyDescent="0.3">
      <c r="A599" s="2" t="s">
        <v>431</v>
      </c>
      <c r="B599" s="18" t="s">
        <v>1065</v>
      </c>
      <c r="C599" s="13"/>
      <c r="D599" s="2">
        <v>3.57</v>
      </c>
      <c r="E599" s="2" t="s">
        <v>432</v>
      </c>
      <c r="F599" s="9">
        <v>-1</v>
      </c>
      <c r="G599">
        <v>-1</v>
      </c>
      <c r="I599" s="2">
        <v>2</v>
      </c>
      <c r="J599" s="25">
        <v>0</v>
      </c>
      <c r="K599">
        <v>0</v>
      </c>
      <c r="L599">
        <v>0</v>
      </c>
      <c r="M599" s="2">
        <v>3.8982000000000001</v>
      </c>
      <c r="N599" s="2">
        <v>3.8982000000000001</v>
      </c>
      <c r="O599" s="2">
        <v>51.103099999999998</v>
      </c>
      <c r="P599" s="2" t="s">
        <v>1140</v>
      </c>
      <c r="Q599" s="2"/>
      <c r="R599" s="25">
        <v>0</v>
      </c>
      <c r="U599">
        <v>0</v>
      </c>
      <c r="X599">
        <v>0</v>
      </c>
      <c r="AA599" s="2"/>
      <c r="AB599">
        <v>20</v>
      </c>
      <c r="AC599" s="55">
        <f t="shared" si="59"/>
        <v>776.56082905004405</v>
      </c>
      <c r="AD599" s="57">
        <v>0</v>
      </c>
      <c r="AE599" s="55">
        <v>0</v>
      </c>
      <c r="AF599" s="55">
        <v>0</v>
      </c>
      <c r="AG599" s="52">
        <f t="shared" si="58"/>
        <v>5.150916515958117E-2</v>
      </c>
      <c r="AH599" s="52"/>
      <c r="AI599" s="52"/>
      <c r="AJ599" s="52"/>
      <c r="AK599" s="28">
        <v>1.53125</v>
      </c>
      <c r="AL599" s="28">
        <v>1.59375</v>
      </c>
      <c r="AM599" s="28">
        <v>0.375</v>
      </c>
      <c r="AN599" s="28">
        <v>0</v>
      </c>
      <c r="AO599" s="28">
        <v>0.4375</v>
      </c>
      <c r="AP599" s="28">
        <v>0.45535714285714279</v>
      </c>
      <c r="AQ599" s="28">
        <v>0.1071428571428571</v>
      </c>
      <c r="AR599" s="28">
        <v>0</v>
      </c>
      <c r="AS599" s="25">
        <v>1</v>
      </c>
      <c r="AT599" s="25">
        <v>3.44</v>
      </c>
      <c r="AU599" s="25">
        <v>2.44</v>
      </c>
      <c r="AV599" s="25">
        <v>2.5262500000000001</v>
      </c>
      <c r="AW599">
        <v>2.5262500000000001</v>
      </c>
      <c r="AX599">
        <v>6.6075924153816246</v>
      </c>
      <c r="AY599" s="75"/>
      <c r="AZ599" s="75"/>
      <c r="BA599" s="75"/>
      <c r="BB599">
        <v>2.5754582579790589E-2</v>
      </c>
      <c r="BF599">
        <v>5.150916515958117E-2</v>
      </c>
      <c r="BG599">
        <v>2.5754582579790589E-2</v>
      </c>
      <c r="BH599">
        <v>0</v>
      </c>
      <c r="BN599" s="79" t="s">
        <v>863</v>
      </c>
      <c r="BO599" s="79">
        <v>1</v>
      </c>
    </row>
    <row r="600" spans="1:67" x14ac:dyDescent="0.3">
      <c r="A600" s="2" t="s">
        <v>107</v>
      </c>
      <c r="B600" s="18" t="s">
        <v>1066</v>
      </c>
      <c r="C600" s="13"/>
      <c r="D600" s="2">
        <v>3.61</v>
      </c>
      <c r="E600" s="2" t="s">
        <v>432</v>
      </c>
      <c r="F600" s="9">
        <v>-1</v>
      </c>
      <c r="G600">
        <v>-1</v>
      </c>
      <c r="I600" s="2">
        <v>2</v>
      </c>
      <c r="J600" s="25">
        <v>0</v>
      </c>
      <c r="K600">
        <v>0</v>
      </c>
      <c r="L600">
        <v>0</v>
      </c>
      <c r="M600" s="2">
        <v>3.8875000000000002</v>
      </c>
      <c r="N600" s="2">
        <v>3.8875000000000002</v>
      </c>
      <c r="O600" s="2">
        <v>34.478000000000002</v>
      </c>
      <c r="P600" s="2" t="s">
        <v>451</v>
      </c>
      <c r="U600">
        <v>0</v>
      </c>
      <c r="X600">
        <v>0</v>
      </c>
      <c r="AA600" s="2"/>
      <c r="AB600">
        <v>20</v>
      </c>
      <c r="AC600" s="55">
        <f t="shared" si="59"/>
        <v>521.05416218750008</v>
      </c>
      <c r="AD600" s="57">
        <v>0</v>
      </c>
      <c r="AE600" s="55">
        <v>0</v>
      </c>
      <c r="AF600" s="55">
        <v>0</v>
      </c>
      <c r="AG600" s="52">
        <f t="shared" si="58"/>
        <v>7.6767451260865469E-2</v>
      </c>
      <c r="AH600" s="52"/>
      <c r="AI600" s="52"/>
      <c r="AJ600" s="52"/>
      <c r="AK600" s="28">
        <v>1.4772727272727271</v>
      </c>
      <c r="AL600" s="28">
        <v>1.3409090909090911</v>
      </c>
      <c r="AM600" s="28">
        <v>0.27272727272727271</v>
      </c>
      <c r="AN600" s="28">
        <v>0</v>
      </c>
      <c r="AO600" s="28">
        <v>0.47794117647058831</v>
      </c>
      <c r="AP600" s="28">
        <v>0.43382352941176472</v>
      </c>
      <c r="AQ600" s="28">
        <v>8.8235294117647051E-2</v>
      </c>
      <c r="AR600" s="28">
        <v>0</v>
      </c>
      <c r="AS600" s="25">
        <v>1</v>
      </c>
      <c r="AT600" s="25">
        <v>3.44</v>
      </c>
      <c r="AU600" s="25">
        <v>2.44</v>
      </c>
      <c r="AV600" s="25">
        <v>2.4690909090909088</v>
      </c>
      <c r="AW600">
        <v>2.4690909090909088</v>
      </c>
      <c r="AX600">
        <v>6.679542975341362</v>
      </c>
      <c r="AY600" s="75"/>
      <c r="AZ600" s="75"/>
      <c r="BA600" s="75"/>
      <c r="BB600">
        <v>3.8383725630432727E-2</v>
      </c>
      <c r="BF600">
        <v>7.6767451260865469E-2</v>
      </c>
      <c r="BG600">
        <v>3.8383725630432727E-2</v>
      </c>
      <c r="BH600">
        <v>0</v>
      </c>
      <c r="BN600" s="79" t="s">
        <v>863</v>
      </c>
      <c r="BO600" s="79">
        <v>1</v>
      </c>
    </row>
    <row r="601" spans="1:67" x14ac:dyDescent="0.3">
      <c r="A601" s="2" t="s">
        <v>4</v>
      </c>
      <c r="B601" s="13" t="s">
        <v>689</v>
      </c>
      <c r="C601" s="13"/>
      <c r="D601" s="2">
        <v>3.5</v>
      </c>
      <c r="E601" s="4"/>
      <c r="F601" s="9"/>
      <c r="I601" s="2">
        <v>2</v>
      </c>
      <c r="K601">
        <v>0</v>
      </c>
      <c r="L601">
        <v>0</v>
      </c>
      <c r="M601">
        <v>3.86</v>
      </c>
      <c r="N601">
        <v>3.86</v>
      </c>
      <c r="O601" s="2">
        <v>29.5</v>
      </c>
      <c r="U601">
        <v>0</v>
      </c>
      <c r="X601">
        <v>0</v>
      </c>
      <c r="AB601">
        <v>20</v>
      </c>
      <c r="AC601" s="55">
        <f t="shared" si="59"/>
        <v>439.53819999999996</v>
      </c>
      <c r="AD601" s="55"/>
      <c r="AE601" s="55">
        <v>0</v>
      </c>
      <c r="AF601" s="55">
        <v>0</v>
      </c>
      <c r="AG601" s="52">
        <f t="shared" si="58"/>
        <v>9.1004604377958515E-2</v>
      </c>
      <c r="AH601" s="52"/>
      <c r="AI601" s="52"/>
      <c r="AJ601" s="52"/>
      <c r="AK601" s="28"/>
      <c r="AL601" s="28"/>
      <c r="AM601" s="28"/>
      <c r="AN601" s="28"/>
      <c r="AO601" s="28"/>
      <c r="AP601" s="28"/>
      <c r="AQ601" s="28"/>
      <c r="AR601" s="28"/>
      <c r="AY601" s="75"/>
      <c r="AZ601" s="75"/>
      <c r="BA601" s="75"/>
      <c r="BB601">
        <v>4.5502302188979257E-2</v>
      </c>
      <c r="BF601">
        <v>9.1004604377958515E-2</v>
      </c>
      <c r="BG601">
        <v>4.5502302188979257E-2</v>
      </c>
      <c r="BH601">
        <v>0</v>
      </c>
    </row>
    <row r="602" spans="1:67" x14ac:dyDescent="0.3">
      <c r="A602" s="2" t="s">
        <v>1177</v>
      </c>
      <c r="B602" t="s">
        <v>1245</v>
      </c>
      <c r="D602" s="2">
        <v>3.6</v>
      </c>
      <c r="I602" s="2">
        <v>2</v>
      </c>
      <c r="K602">
        <v>4</v>
      </c>
      <c r="L602">
        <v>0</v>
      </c>
      <c r="M602">
        <v>3.85</v>
      </c>
      <c r="N602">
        <v>3.85</v>
      </c>
      <c r="O602" s="2">
        <v>29.5</v>
      </c>
      <c r="U602">
        <v>3.8801999999999999</v>
      </c>
      <c r="V602">
        <v>29.507999999999999</v>
      </c>
      <c r="W602">
        <v>7.7140000000000004</v>
      </c>
      <c r="X602">
        <v>0</v>
      </c>
      <c r="AB602">
        <v>20</v>
      </c>
      <c r="AC602" s="55">
        <f t="shared" si="59"/>
        <v>437.26375000000007</v>
      </c>
      <c r="AD602" s="55"/>
      <c r="AE602" s="55">
        <v>883.22940750240002</v>
      </c>
      <c r="AF602" s="55">
        <v>0</v>
      </c>
      <c r="AG602" s="52">
        <f t="shared" si="58"/>
        <v>9.1477969532118758E-2</v>
      </c>
      <c r="AH602" s="52"/>
      <c r="AI602" s="52">
        <v>9.0576694254581439E-2</v>
      </c>
      <c r="AJ602" s="52"/>
      <c r="AK602" s="28"/>
      <c r="AL602" s="28"/>
      <c r="AM602" s="28"/>
      <c r="AN602" s="28"/>
      <c r="AO602" s="28"/>
      <c r="AP602" s="28"/>
      <c r="AQ602" s="28"/>
      <c r="AR602" s="28"/>
      <c r="AY602" s="75"/>
      <c r="AZ602" s="75"/>
      <c r="BA602" s="75"/>
      <c r="BB602">
        <v>4.5738984766059379E-2</v>
      </c>
      <c r="BD602">
        <v>4.5288347127290719E-2</v>
      </c>
      <c r="BF602">
        <v>9.1027331893350105E-2</v>
      </c>
      <c r="BG602">
        <v>4.5513665946675053E-2</v>
      </c>
      <c r="BH602">
        <v>0</v>
      </c>
    </row>
    <row r="603" spans="1:67" x14ac:dyDescent="0.3">
      <c r="A603" s="2" t="s">
        <v>1178</v>
      </c>
      <c r="B603" t="s">
        <v>1246</v>
      </c>
      <c r="D603" s="2">
        <v>3.8</v>
      </c>
      <c r="I603" s="2">
        <v>2</v>
      </c>
      <c r="K603">
        <v>0</v>
      </c>
      <c r="L603">
        <v>0</v>
      </c>
      <c r="M603">
        <v>3.88</v>
      </c>
      <c r="N603">
        <v>3.88</v>
      </c>
      <c r="O603" s="2">
        <v>29.8</v>
      </c>
      <c r="U603">
        <v>0</v>
      </c>
      <c r="X603">
        <v>0</v>
      </c>
      <c r="AB603">
        <v>20</v>
      </c>
      <c r="AC603" s="55">
        <f t="shared" si="59"/>
        <v>448.62112000000002</v>
      </c>
      <c r="AD603" s="55"/>
      <c r="AE603" s="55">
        <v>0</v>
      </c>
      <c r="AF603" s="55">
        <v>0</v>
      </c>
      <c r="AG603" s="52">
        <f t="shared" si="58"/>
        <v>8.9162097406381577E-2</v>
      </c>
      <c r="AH603" s="52"/>
      <c r="AI603" s="52"/>
      <c r="AJ603" s="52"/>
      <c r="AK603" s="28"/>
      <c r="AL603" s="28"/>
      <c r="AM603" s="28"/>
      <c r="AN603" s="28"/>
      <c r="AO603" s="28"/>
      <c r="AP603" s="28"/>
      <c r="AQ603" s="28"/>
      <c r="AR603" s="28"/>
      <c r="AY603" s="75"/>
      <c r="AZ603" s="75"/>
      <c r="BA603" s="75"/>
      <c r="BB603">
        <v>4.4581048703190788E-2</v>
      </c>
      <c r="BF603">
        <v>8.9162097406381577E-2</v>
      </c>
      <c r="BG603">
        <v>4.4581048703190788E-2</v>
      </c>
      <c r="BH603">
        <v>0</v>
      </c>
    </row>
    <row r="604" spans="1:67" x14ac:dyDescent="0.3">
      <c r="A604" s="2" t="s">
        <v>308</v>
      </c>
      <c r="B604" t="s">
        <v>830</v>
      </c>
      <c r="D604" s="2">
        <v>4.2</v>
      </c>
      <c r="I604" s="2">
        <v>2</v>
      </c>
      <c r="K604">
        <v>0</v>
      </c>
      <c r="L604">
        <v>0</v>
      </c>
      <c r="M604">
        <v>3.86</v>
      </c>
      <c r="N604">
        <v>3.86</v>
      </c>
      <c r="O604" s="2">
        <v>29.8</v>
      </c>
      <c r="U604">
        <v>0</v>
      </c>
      <c r="X604">
        <v>0</v>
      </c>
      <c r="AB604">
        <v>20</v>
      </c>
      <c r="AC604" s="55">
        <f t="shared" si="59"/>
        <v>444.00808000000001</v>
      </c>
      <c r="AD604" s="55"/>
      <c r="AE604" s="55">
        <v>0</v>
      </c>
      <c r="AF604" s="55">
        <v>0</v>
      </c>
      <c r="AG604" s="52">
        <f t="shared" si="58"/>
        <v>9.0088450642609924E-2</v>
      </c>
      <c r="AH604" s="52"/>
      <c r="AI604" s="52"/>
      <c r="AJ604" s="52"/>
      <c r="AK604" s="28"/>
      <c r="AL604" s="28"/>
      <c r="AM604" s="28"/>
      <c r="AN604" s="28"/>
      <c r="AO604" s="28"/>
      <c r="AP604" s="28"/>
      <c r="AQ604" s="28"/>
      <c r="AR604" s="28"/>
      <c r="AY604" s="75"/>
      <c r="AZ604" s="75"/>
      <c r="BA604" s="75"/>
      <c r="BB604">
        <v>4.5044225321304962E-2</v>
      </c>
      <c r="BF604">
        <v>9.0088450642609924E-2</v>
      </c>
      <c r="BG604">
        <v>4.5044225321304962E-2</v>
      </c>
      <c r="BH604">
        <v>0</v>
      </c>
    </row>
  </sheetData>
  <hyperlinks>
    <hyperlink ref="E368" r:id="rId1" tooltip="Persistent link using digital object identifier" display="https://doi.org/10.1016/j.pnsc.2012.03.002"/>
    <hyperlink ref="E369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B10" sqref="B10"/>
    </sheetView>
  </sheetViews>
  <sheetFormatPr defaultRowHeight="14.4" x14ac:dyDescent="0.3"/>
  <cols>
    <col min="1" max="1" width="23" customWidth="1"/>
  </cols>
  <sheetData>
    <row r="1" spans="1:2" x14ac:dyDescent="0.3">
      <c r="A1" t="s">
        <v>1277</v>
      </c>
      <c r="B1">
        <v>4</v>
      </c>
    </row>
    <row r="2" spans="1:2" x14ac:dyDescent="0.3">
      <c r="A2" t="s">
        <v>1278</v>
      </c>
      <c r="B2">
        <f>B1</f>
        <v>4</v>
      </c>
    </row>
    <row r="3" spans="1:2" x14ac:dyDescent="0.3">
      <c r="A3" t="s">
        <v>1279</v>
      </c>
      <c r="B3">
        <f>1000/18</f>
        <v>55.555555555555557</v>
      </c>
    </row>
    <row r="4" spans="1:2" x14ac:dyDescent="0.3">
      <c r="A4" t="s">
        <v>1280</v>
      </c>
      <c r="B4">
        <v>1</v>
      </c>
    </row>
    <row r="5" spans="1:2" x14ac:dyDescent="0.3">
      <c r="A5" t="s">
        <v>1281</v>
      </c>
      <c r="B5">
        <f>B2*(12+3+17)</f>
        <v>128</v>
      </c>
    </row>
    <row r="6" spans="1:2" x14ac:dyDescent="0.3">
      <c r="A6" t="s">
        <v>1283</v>
      </c>
      <c r="B6">
        <v>0.79200000000000004</v>
      </c>
    </row>
    <row r="7" spans="1:2" x14ac:dyDescent="0.3">
      <c r="A7" t="s">
        <v>1282</v>
      </c>
      <c r="B7">
        <f>B5/(1000*B6)</f>
        <v>0.16161616161616163</v>
      </c>
    </row>
    <row r="9" spans="1:2" x14ac:dyDescent="0.3">
      <c r="A9" t="s">
        <v>1284</v>
      </c>
      <c r="B9">
        <f>100*B7/B4</f>
        <v>16.161616161616163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Conc 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2025-11-19T20:07:04Z</dcterms:modified>
</cp:coreProperties>
</file>