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3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c converter" sheetId="14" r:id="rId10"/>
  </sheets>
  <calcPr calcId="145621"/>
</workbook>
</file>

<file path=xl/calcChain.xml><?xml version="1.0" encoding="utf-8"?>
<calcChain xmlns="http://schemas.openxmlformats.org/spreadsheetml/2006/main">
  <c r="CA3" i="13" l="1"/>
  <c r="CA4" i="13"/>
  <c r="CA5" i="13"/>
  <c r="CA6" i="13"/>
  <c r="CA7" i="13"/>
  <c r="CA8" i="13"/>
  <c r="CA9" i="13"/>
  <c r="CA10" i="13"/>
  <c r="CA11" i="13"/>
  <c r="CA12" i="13"/>
  <c r="CA13" i="13"/>
  <c r="CA14" i="13"/>
  <c r="CA15" i="13"/>
  <c r="CA16" i="13"/>
  <c r="CA17" i="13"/>
  <c r="CA18" i="13"/>
  <c r="CA19" i="13"/>
  <c r="CA20" i="13"/>
  <c r="CA21" i="13"/>
  <c r="CA22" i="13"/>
  <c r="CA23" i="13"/>
  <c r="CA24" i="13"/>
  <c r="CA25" i="13"/>
  <c r="CA26" i="13"/>
  <c r="CA27" i="13"/>
  <c r="CA28" i="13"/>
  <c r="CA29" i="13"/>
  <c r="CA30" i="13"/>
  <c r="CA31" i="13"/>
  <c r="CA32" i="13"/>
  <c r="CA33" i="13"/>
  <c r="CA34" i="13"/>
  <c r="CA35" i="13"/>
  <c r="CA36" i="13"/>
  <c r="CA37" i="13"/>
  <c r="CA38" i="13"/>
  <c r="CA39" i="13"/>
  <c r="CA40" i="13"/>
  <c r="CA41" i="13"/>
  <c r="CA42" i="13"/>
  <c r="CA43" i="13"/>
  <c r="CA44" i="13"/>
  <c r="CA45" i="13"/>
  <c r="CA46" i="13"/>
  <c r="CA47" i="13"/>
  <c r="CA48" i="13"/>
  <c r="CA49" i="13"/>
  <c r="CA50" i="13"/>
  <c r="CA51" i="13"/>
  <c r="CA52" i="13"/>
  <c r="CA53" i="13"/>
  <c r="CA54" i="13"/>
  <c r="CA55" i="13"/>
  <c r="CA56" i="13"/>
  <c r="CA57" i="13"/>
  <c r="CA58" i="13"/>
  <c r="CA59" i="13"/>
  <c r="CA60" i="13"/>
  <c r="CA61" i="13"/>
  <c r="CA62" i="13"/>
  <c r="CA63" i="13"/>
  <c r="CA64" i="13"/>
  <c r="CA65" i="13"/>
  <c r="CA66" i="13"/>
  <c r="CA67" i="13"/>
  <c r="CA68" i="13"/>
  <c r="CA69" i="13"/>
  <c r="CA70" i="13"/>
  <c r="CA71" i="13"/>
  <c r="CA72" i="13"/>
  <c r="CA73" i="13"/>
  <c r="CA74" i="13"/>
  <c r="CA75" i="13"/>
  <c r="CA76" i="13"/>
  <c r="CA77" i="13"/>
  <c r="CA78" i="13"/>
  <c r="CA79" i="13"/>
  <c r="CA80" i="13"/>
  <c r="CA81" i="13"/>
  <c r="CA82" i="13"/>
  <c r="CA83" i="13"/>
  <c r="CA84" i="13"/>
  <c r="CA85" i="13"/>
  <c r="CA86" i="13"/>
  <c r="CA87" i="13"/>
  <c r="CA88" i="13"/>
  <c r="CA89" i="13"/>
  <c r="CA90" i="13"/>
  <c r="CA91" i="13"/>
  <c r="CA92" i="13"/>
  <c r="CA93" i="13"/>
  <c r="CA94" i="13"/>
  <c r="CA95" i="13"/>
  <c r="CA96" i="13"/>
  <c r="CA97" i="13"/>
  <c r="CA98" i="13"/>
  <c r="CA99" i="13"/>
  <c r="CA100" i="13"/>
  <c r="CA101" i="13"/>
  <c r="CA102" i="13"/>
  <c r="CA103" i="13"/>
  <c r="CA104" i="13"/>
  <c r="CA105" i="13"/>
  <c r="CA106" i="13"/>
  <c r="CA107" i="13"/>
  <c r="CA108" i="13"/>
  <c r="CA109" i="13"/>
  <c r="CA110" i="13"/>
  <c r="CA111" i="13"/>
  <c r="CA112" i="13"/>
  <c r="CA113" i="13"/>
  <c r="CA114" i="13"/>
  <c r="CA115" i="13"/>
  <c r="CA116" i="13"/>
  <c r="CA117" i="13"/>
  <c r="CA118" i="13"/>
  <c r="CA119" i="13"/>
  <c r="CA120" i="13"/>
  <c r="CA121" i="13"/>
  <c r="CA122" i="13"/>
  <c r="CA123" i="13"/>
  <c r="CA124" i="13"/>
  <c r="CA125" i="13"/>
  <c r="CA126" i="13"/>
  <c r="CA127" i="13"/>
  <c r="CA128" i="13"/>
  <c r="CA129" i="13"/>
  <c r="CA130" i="13"/>
  <c r="CA131" i="13"/>
  <c r="CA132" i="13"/>
  <c r="CA133" i="13"/>
  <c r="CA134" i="13"/>
  <c r="CA135" i="13"/>
  <c r="CA136" i="13"/>
  <c r="CA137" i="13"/>
  <c r="CA138" i="13"/>
  <c r="CA139" i="13"/>
  <c r="CA140" i="13"/>
  <c r="CA141" i="13"/>
  <c r="CA142" i="13"/>
  <c r="CA143" i="13"/>
  <c r="CA144" i="13"/>
  <c r="CA145" i="13"/>
  <c r="CA146" i="13"/>
  <c r="CA147" i="13"/>
  <c r="CA148" i="13"/>
  <c r="CA149" i="13"/>
  <c r="CA150" i="13"/>
  <c r="CA151" i="13"/>
  <c r="CA152" i="13"/>
  <c r="CA153" i="13"/>
  <c r="CA154" i="13"/>
  <c r="CA155" i="13"/>
  <c r="CA156" i="13"/>
  <c r="CA157" i="13"/>
  <c r="CA158" i="13"/>
  <c r="CA159" i="13"/>
  <c r="CA160" i="13"/>
  <c r="CA161" i="13"/>
  <c r="CA162" i="13"/>
  <c r="CA163" i="13"/>
  <c r="CA164" i="13"/>
  <c r="CA165" i="13"/>
  <c r="CA166" i="13"/>
  <c r="CA167" i="13"/>
  <c r="CA168" i="13"/>
  <c r="CA169" i="13"/>
  <c r="CA170" i="13"/>
  <c r="CA171" i="13"/>
  <c r="CA172" i="13"/>
  <c r="CA173" i="13"/>
  <c r="CA174" i="13"/>
  <c r="CA175" i="13"/>
  <c r="CA176" i="13"/>
  <c r="CA177" i="13"/>
  <c r="CA178" i="13"/>
  <c r="CA179" i="13"/>
  <c r="CA180" i="13"/>
  <c r="CA181" i="13"/>
  <c r="CA182" i="13"/>
  <c r="CA183" i="13"/>
  <c r="CA184" i="13"/>
  <c r="CA185" i="13"/>
  <c r="CA186" i="13"/>
  <c r="CA187" i="13"/>
  <c r="CA188" i="13"/>
  <c r="CA189" i="13"/>
  <c r="CA190" i="13"/>
  <c r="CA191" i="13"/>
  <c r="CA192" i="13"/>
  <c r="CA193" i="13"/>
  <c r="CA194" i="13"/>
  <c r="CA195" i="13"/>
  <c r="CA196" i="13"/>
  <c r="CA197" i="13"/>
  <c r="CA198" i="13"/>
  <c r="CA199" i="13"/>
  <c r="CA200" i="13"/>
  <c r="CA201" i="13"/>
  <c r="CA202" i="13"/>
  <c r="CA203" i="13"/>
  <c r="CA204" i="13"/>
  <c r="CA205" i="13"/>
  <c r="CA206" i="13"/>
  <c r="CA207" i="13"/>
  <c r="CA208" i="13"/>
  <c r="CA209" i="13"/>
  <c r="CA210" i="13"/>
  <c r="CA211" i="13"/>
  <c r="CA212" i="13"/>
  <c r="CA213" i="13"/>
  <c r="CA214" i="13"/>
  <c r="CA215" i="13"/>
  <c r="CA216" i="13"/>
  <c r="CA217" i="13"/>
  <c r="CA218" i="13"/>
  <c r="CA219" i="13"/>
  <c r="CA220" i="13"/>
  <c r="CA221" i="13"/>
  <c r="CA222" i="13"/>
  <c r="CA223" i="13"/>
  <c r="CA224" i="13"/>
  <c r="CA225" i="13"/>
  <c r="CA226" i="13"/>
  <c r="CA227" i="13"/>
  <c r="CA228" i="13"/>
  <c r="CA229" i="13"/>
  <c r="CA230" i="13"/>
  <c r="CA231" i="13"/>
  <c r="CA232" i="13"/>
  <c r="CA233" i="13"/>
  <c r="CA234" i="13"/>
  <c r="CA235" i="13"/>
  <c r="CA236" i="13"/>
  <c r="CA237" i="13"/>
  <c r="CA238" i="13"/>
  <c r="CA239" i="13"/>
  <c r="CA240" i="13"/>
  <c r="CA241" i="13"/>
  <c r="CA242" i="13"/>
  <c r="CA243" i="13"/>
  <c r="CA244" i="13"/>
  <c r="CA245" i="13"/>
  <c r="CA246" i="13"/>
  <c r="CA247" i="13"/>
  <c r="CA248" i="13"/>
  <c r="CA249" i="13"/>
  <c r="CA250" i="13"/>
  <c r="CA251" i="13"/>
  <c r="CA252" i="13"/>
  <c r="CA253" i="13"/>
  <c r="CA254" i="13"/>
  <c r="CA255" i="13"/>
  <c r="CA256" i="13"/>
  <c r="CA257" i="13"/>
  <c r="CA258" i="13"/>
  <c r="CA259" i="13"/>
  <c r="CA260" i="13"/>
  <c r="CA261" i="13"/>
  <c r="CA262" i="13"/>
  <c r="CA263" i="13"/>
  <c r="CA264" i="13"/>
  <c r="CA265" i="13"/>
  <c r="CA266" i="13"/>
  <c r="CA267" i="13"/>
  <c r="CA268" i="13"/>
  <c r="CA269" i="13"/>
  <c r="CA270" i="13"/>
  <c r="CA271" i="13"/>
  <c r="CA272" i="13"/>
  <c r="CA273" i="13"/>
  <c r="CA274" i="13"/>
  <c r="CA275" i="13"/>
  <c r="CA276" i="13"/>
  <c r="CA277" i="13"/>
  <c r="CA278" i="13"/>
  <c r="CA279" i="13"/>
  <c r="CA280" i="13"/>
  <c r="CA281" i="13"/>
  <c r="CA282" i="13"/>
  <c r="CA283" i="13"/>
  <c r="CA284" i="13"/>
  <c r="CA285" i="13"/>
  <c r="CA286" i="13"/>
  <c r="CA287" i="13"/>
  <c r="CA288" i="13"/>
  <c r="CA289" i="13"/>
  <c r="CA290" i="13"/>
  <c r="CA291" i="13"/>
  <c r="CA292" i="13"/>
  <c r="CA293" i="13"/>
  <c r="CA294" i="13"/>
  <c r="CA295" i="13"/>
  <c r="CA296" i="13"/>
  <c r="CA297" i="13"/>
  <c r="CA298" i="13"/>
  <c r="CA299" i="13"/>
  <c r="CA300" i="13"/>
  <c r="CA301" i="13"/>
  <c r="CA302" i="13"/>
  <c r="CA303" i="13"/>
  <c r="CA304" i="13"/>
  <c r="CA305" i="13"/>
  <c r="CA306" i="13"/>
  <c r="CA307" i="13"/>
  <c r="CA308" i="13"/>
  <c r="CA309" i="13"/>
  <c r="CA310" i="13"/>
  <c r="CA311" i="13"/>
  <c r="CA312" i="13"/>
  <c r="CA313" i="13"/>
  <c r="CA314" i="13"/>
  <c r="CA315" i="13"/>
  <c r="CA316" i="13"/>
  <c r="CA317" i="13"/>
  <c r="CA318" i="13"/>
  <c r="CA319" i="13"/>
  <c r="CA320" i="13"/>
  <c r="CA321" i="13"/>
  <c r="CA322" i="13"/>
  <c r="CA323" i="13"/>
  <c r="CA324" i="13"/>
  <c r="CA325" i="13"/>
  <c r="CA326" i="13"/>
  <c r="CA327" i="13"/>
  <c r="CA328" i="13"/>
  <c r="CA329" i="13"/>
  <c r="CA330" i="13"/>
  <c r="CA331" i="13"/>
  <c r="CA332" i="13"/>
  <c r="CA333" i="13"/>
  <c r="CA334" i="13"/>
  <c r="CA335" i="13"/>
  <c r="CA336" i="13"/>
  <c r="CA337" i="13"/>
  <c r="CA338" i="13"/>
  <c r="CA339" i="13"/>
  <c r="CA340" i="13"/>
  <c r="CA341" i="13"/>
  <c r="CA342" i="13"/>
  <c r="CA343" i="13"/>
  <c r="CA344" i="13"/>
  <c r="CA345" i="13"/>
  <c r="CA346" i="13"/>
  <c r="CA347" i="13"/>
  <c r="CA348" i="13"/>
  <c r="CA349" i="13"/>
  <c r="CA350" i="13"/>
  <c r="CA351" i="13"/>
  <c r="CA352" i="13"/>
  <c r="CA353" i="13"/>
  <c r="CA354" i="13"/>
  <c r="CA355" i="13"/>
  <c r="CA356" i="13"/>
  <c r="CA357" i="13"/>
  <c r="CA358" i="13"/>
  <c r="CA359" i="13"/>
  <c r="CA360" i="13"/>
  <c r="CA361" i="13"/>
  <c r="CA362" i="13"/>
  <c r="CA363" i="13"/>
  <c r="CA364" i="13"/>
  <c r="CA365" i="13"/>
  <c r="CA366" i="13"/>
  <c r="CA367" i="13"/>
  <c r="CA368" i="13"/>
  <c r="CA369" i="13"/>
  <c r="CA370" i="13"/>
  <c r="CA371" i="13"/>
  <c r="CA372" i="13"/>
  <c r="CA373" i="13"/>
  <c r="CA374" i="13"/>
  <c r="CA375" i="13"/>
  <c r="CA376" i="13"/>
  <c r="CA377" i="13"/>
  <c r="CA378" i="13"/>
  <c r="CA379" i="13"/>
  <c r="CA380" i="13"/>
  <c r="CA381" i="13"/>
  <c r="CA382" i="13"/>
  <c r="CA383" i="13"/>
  <c r="CA384" i="13"/>
  <c r="CA385" i="13"/>
  <c r="CA386" i="13"/>
  <c r="CA387" i="13"/>
  <c r="CA388" i="13"/>
  <c r="CA389" i="13"/>
  <c r="CA390" i="13"/>
  <c r="CA391" i="13"/>
  <c r="CA392" i="13"/>
  <c r="CA393" i="13"/>
  <c r="CA394" i="13"/>
  <c r="CA395" i="13"/>
  <c r="CA396" i="13"/>
  <c r="CA397" i="13"/>
  <c r="CA398" i="13"/>
  <c r="CA399" i="13"/>
  <c r="CA400" i="13"/>
  <c r="CA401" i="13"/>
  <c r="CA402" i="13"/>
  <c r="CA403" i="13"/>
  <c r="CA404" i="13"/>
  <c r="CA405" i="13"/>
  <c r="CA406" i="13"/>
  <c r="CA407" i="13"/>
  <c r="CA408" i="13"/>
  <c r="CA409" i="13"/>
  <c r="CA410" i="13"/>
  <c r="CA411" i="13"/>
  <c r="CA412" i="13"/>
  <c r="CA413" i="13"/>
  <c r="CA414" i="13"/>
  <c r="CA415" i="13"/>
  <c r="CA416" i="13"/>
  <c r="CA417" i="13"/>
  <c r="CA418" i="13"/>
  <c r="CA419" i="13"/>
  <c r="CA420" i="13"/>
  <c r="CA421" i="13"/>
  <c r="CA422" i="13"/>
  <c r="CA423" i="13"/>
  <c r="CA424" i="13"/>
  <c r="CA425" i="13"/>
  <c r="CA426" i="13"/>
  <c r="CA427" i="13"/>
  <c r="CA428" i="13"/>
  <c r="CA429" i="13"/>
  <c r="CA430" i="13"/>
  <c r="CA431" i="13"/>
  <c r="CA432" i="13"/>
  <c r="CA433" i="13"/>
  <c r="CA434" i="13"/>
  <c r="CA435" i="13"/>
  <c r="CA436" i="13"/>
  <c r="CA437" i="13"/>
  <c r="CA438" i="13"/>
  <c r="CA439" i="13"/>
  <c r="CA440" i="13"/>
  <c r="CA441" i="13"/>
  <c r="CA442" i="13"/>
  <c r="CA443" i="13"/>
  <c r="CA444" i="13"/>
  <c r="CA445" i="13"/>
  <c r="CA446" i="13"/>
  <c r="CA447" i="13"/>
  <c r="CA448" i="13"/>
  <c r="CA449" i="13"/>
  <c r="CA450" i="13"/>
  <c r="CA451" i="13"/>
  <c r="CA452" i="13"/>
  <c r="CA453" i="13"/>
  <c r="CA454" i="13"/>
  <c r="CA455" i="13"/>
  <c r="CA456" i="13"/>
  <c r="CA457" i="13"/>
  <c r="CA458" i="13"/>
  <c r="CA459" i="13"/>
  <c r="CA460" i="13"/>
  <c r="CA461" i="13"/>
  <c r="CA462" i="13"/>
  <c r="CA463" i="13"/>
  <c r="CA464" i="13"/>
  <c r="CA465" i="13"/>
  <c r="CA466" i="13"/>
  <c r="CA467" i="13"/>
  <c r="CA468" i="13"/>
  <c r="CA469" i="13"/>
  <c r="CA470" i="13"/>
  <c r="CA471" i="13"/>
  <c r="CA472" i="13"/>
  <c r="CA473" i="13"/>
  <c r="CA474" i="13"/>
  <c r="CA475" i="13"/>
  <c r="CA476" i="13"/>
  <c r="CA477" i="13"/>
  <c r="CA478" i="13"/>
  <c r="CA479" i="13"/>
  <c r="CA480" i="13"/>
  <c r="CA481" i="13"/>
  <c r="CA482" i="13"/>
  <c r="CA483" i="13"/>
  <c r="CA484" i="13"/>
  <c r="CA485" i="13"/>
  <c r="CA486" i="13"/>
  <c r="CA487" i="13"/>
  <c r="CA488" i="13"/>
  <c r="CA489" i="13"/>
  <c r="CA490" i="13"/>
  <c r="CA491" i="13"/>
  <c r="CA492" i="13"/>
  <c r="CA493" i="13"/>
  <c r="CA494" i="13"/>
  <c r="CA495" i="13"/>
  <c r="CA496" i="13"/>
  <c r="CA497" i="13"/>
  <c r="CA498" i="13"/>
  <c r="CA499" i="13"/>
  <c r="CA500" i="13"/>
  <c r="CA501" i="13"/>
  <c r="CA502" i="13"/>
  <c r="CA503" i="13"/>
  <c r="CA504" i="13"/>
  <c r="CA505" i="13"/>
  <c r="CA506" i="13"/>
  <c r="CA507" i="13"/>
  <c r="CA508" i="13"/>
  <c r="CA509" i="13"/>
  <c r="CA510" i="13"/>
  <c r="CA511" i="13"/>
  <c r="CA512" i="13"/>
  <c r="CA513" i="13"/>
  <c r="CA514" i="13"/>
  <c r="CA515" i="13"/>
  <c r="CA516" i="13"/>
  <c r="CA517" i="13"/>
  <c r="CA518" i="13"/>
  <c r="CA519" i="13"/>
  <c r="CA520" i="13"/>
  <c r="CA521" i="13"/>
  <c r="CA522" i="13"/>
  <c r="CA523" i="13"/>
  <c r="CA524" i="13"/>
  <c r="CA525" i="13"/>
  <c r="CA526" i="13"/>
  <c r="CA527" i="13"/>
  <c r="CA528" i="13"/>
  <c r="CA529" i="13"/>
  <c r="CA530" i="13"/>
  <c r="CA531" i="13"/>
  <c r="CA532" i="13"/>
  <c r="CA533" i="13"/>
  <c r="CA534" i="13"/>
  <c r="CA535" i="13"/>
  <c r="CA536" i="13"/>
  <c r="CA537" i="13"/>
  <c r="CA538" i="13"/>
  <c r="CA539" i="13"/>
  <c r="CA540" i="13"/>
  <c r="CA541" i="13"/>
  <c r="CA542" i="13"/>
  <c r="CA543" i="13"/>
  <c r="CA544" i="13"/>
  <c r="CA545" i="13"/>
  <c r="CA546" i="13"/>
  <c r="CA547" i="13"/>
  <c r="CA548" i="13"/>
  <c r="CA549" i="13"/>
  <c r="CA550" i="13"/>
  <c r="CA551" i="13"/>
  <c r="CA552" i="13"/>
  <c r="CA553" i="13"/>
  <c r="CA554" i="13"/>
  <c r="CA555" i="13"/>
  <c r="CA556" i="13"/>
  <c r="CA557" i="13"/>
  <c r="CA558" i="13"/>
  <c r="CA559" i="13"/>
  <c r="CA560" i="13"/>
  <c r="CA561" i="13"/>
  <c r="CA562" i="13"/>
  <c r="CA563" i="13"/>
  <c r="CA564" i="13"/>
  <c r="CA565" i="13"/>
  <c r="CA566" i="13"/>
  <c r="CA567" i="13"/>
  <c r="CA568" i="13"/>
  <c r="CA569" i="13"/>
  <c r="CA570" i="13"/>
  <c r="CA571" i="13"/>
  <c r="CA572" i="13"/>
  <c r="CA573" i="13"/>
  <c r="CA574" i="13"/>
  <c r="CA575" i="13"/>
  <c r="CA576" i="13"/>
  <c r="CA577" i="13"/>
  <c r="CA578" i="13"/>
  <c r="CA579" i="13"/>
  <c r="CA580" i="13"/>
  <c r="CA581" i="13"/>
  <c r="CA582" i="13"/>
  <c r="CA583" i="13"/>
  <c r="CA584" i="13"/>
  <c r="CA585" i="13"/>
  <c r="CA586" i="13"/>
  <c r="CA587" i="13"/>
  <c r="CA588" i="13"/>
  <c r="CA589" i="13"/>
  <c r="CA590" i="13"/>
  <c r="CA591" i="13"/>
  <c r="CA592" i="13"/>
  <c r="CA593" i="13"/>
  <c r="CA594" i="13"/>
  <c r="CA595" i="13"/>
  <c r="CA596" i="13"/>
  <c r="CA597" i="13"/>
  <c r="CA598" i="13"/>
  <c r="CA599" i="13"/>
  <c r="CA600" i="13"/>
  <c r="CA601" i="13"/>
  <c r="CA602" i="13"/>
  <c r="CA603" i="13"/>
  <c r="CA604" i="13"/>
  <c r="CA605" i="13"/>
  <c r="CA606" i="13"/>
  <c r="CA607" i="13"/>
  <c r="CA608" i="13"/>
  <c r="CA609" i="13"/>
  <c r="CA610" i="13"/>
  <c r="CA611" i="13"/>
  <c r="CA612" i="13"/>
  <c r="CA613" i="13"/>
  <c r="CA614" i="13"/>
  <c r="CA615" i="13"/>
  <c r="CA616" i="13"/>
  <c r="CA617" i="13"/>
  <c r="CA618" i="13"/>
  <c r="CA619" i="13"/>
  <c r="CA620" i="13"/>
  <c r="CA621" i="13"/>
  <c r="CA622" i="13"/>
  <c r="CA623" i="13"/>
  <c r="CA624" i="13"/>
  <c r="CA625" i="13"/>
  <c r="CA626" i="13"/>
  <c r="CA627" i="13"/>
  <c r="CA2" i="13"/>
  <c r="BY304" i="13"/>
  <c r="BY303" i="13"/>
  <c r="BY302" i="13"/>
  <c r="BY301" i="13"/>
  <c r="BY300" i="13"/>
  <c r="BJ301" i="13"/>
  <c r="BJ302" i="13"/>
  <c r="BJ303" i="13"/>
  <c r="BJ304" i="13"/>
  <c r="BJ300" i="13"/>
  <c r="AC299" i="13"/>
  <c r="AC298" i="13"/>
  <c r="AG298" i="13" s="1"/>
  <c r="AC297" i="13"/>
  <c r="AG297" i="13" s="1"/>
  <c r="BJ266" i="13"/>
  <c r="BJ267" i="13"/>
  <c r="BK267" i="13"/>
  <c r="BJ265" i="13"/>
  <c r="BZ267" i="13"/>
  <c r="BZ265" i="13"/>
  <c r="BZ266" i="13"/>
  <c r="E5" i="14"/>
  <c r="E3" i="14"/>
  <c r="E2" i="14"/>
  <c r="O256" i="13"/>
  <c r="O257" i="13"/>
  <c r="O258" i="13"/>
  <c r="O259" i="13"/>
  <c r="O260" i="13"/>
  <c r="O261" i="13"/>
  <c r="O262" i="13"/>
  <c r="O264" i="13"/>
  <c r="O263" i="13"/>
  <c r="O255" i="13"/>
  <c r="O254" i="13"/>
  <c r="O253" i="13"/>
  <c r="BZ252" i="13"/>
  <c r="BZ251" i="13"/>
  <c r="BZ250" i="13"/>
  <c r="BZ249" i="13"/>
  <c r="BZ248" i="13"/>
  <c r="BZ247" i="13"/>
  <c r="BZ246" i="13"/>
  <c r="BZ245" i="13"/>
  <c r="AC247" i="13"/>
  <c r="AC246" i="13"/>
  <c r="AC245" i="13"/>
  <c r="BZ225" i="13"/>
  <c r="BZ228" i="13"/>
  <c r="BZ227" i="13"/>
  <c r="BZ222" i="13"/>
  <c r="BZ221" i="13"/>
  <c r="BZ220" i="13"/>
  <c r="BZ217" i="13"/>
  <c r="BZ215" i="13"/>
  <c r="E7" i="14" l="1"/>
  <c r="E9" i="14" s="1"/>
  <c r="AC196" i="13"/>
  <c r="AC195" i="13"/>
  <c r="AC194" i="13"/>
  <c r="AC193" i="13"/>
  <c r="AC192" i="13"/>
  <c r="AC191" i="13"/>
  <c r="AC190" i="13"/>
  <c r="BJ188" i="13"/>
  <c r="AC188" i="13"/>
  <c r="AC187" i="13"/>
  <c r="BJ186" i="13"/>
  <c r="AC186" i="13"/>
  <c r="AC185" i="13"/>
  <c r="BJ184" i="13"/>
  <c r="AC184" i="13"/>
  <c r="AC183" i="13"/>
  <c r="BJ182" i="13"/>
  <c r="AC182" i="13"/>
  <c r="BZ179" i="13"/>
  <c r="AC179" i="13"/>
  <c r="BZ178" i="13"/>
  <c r="BZ177" i="13"/>
  <c r="BK178" i="13"/>
  <c r="BK177" i="13"/>
  <c r="BZ176" i="13"/>
  <c r="BZ175" i="13"/>
  <c r="BZ174" i="13"/>
  <c r="BZ172" i="13"/>
  <c r="BZ171" i="13"/>
  <c r="BZ170" i="13"/>
  <c r="BZ169" i="13"/>
  <c r="BZ168" i="13"/>
  <c r="BZ167" i="13"/>
  <c r="BZ173" i="13"/>
  <c r="BK176" i="13"/>
  <c r="BK175" i="13"/>
  <c r="AC175" i="13"/>
  <c r="BK174" i="13"/>
  <c r="AC174" i="13"/>
  <c r="BK173" i="13"/>
  <c r="AC173" i="13"/>
  <c r="I173" i="13"/>
  <c r="BK172" i="13"/>
  <c r="AC172" i="13"/>
  <c r="AG172" i="13" s="1"/>
  <c r="L172" i="13"/>
  <c r="AJ172" i="13" s="1"/>
  <c r="BK171" i="13"/>
  <c r="BK170" i="13"/>
  <c r="BK169" i="13"/>
  <c r="BK168" i="13"/>
  <c r="BK167" i="13"/>
  <c r="BZ166" i="13"/>
  <c r="BZ165" i="13"/>
  <c r="BZ164" i="13"/>
  <c r="AC166" i="13"/>
  <c r="AC165" i="13"/>
  <c r="AG165" i="13" s="1"/>
  <c r="AC164" i="13"/>
  <c r="BZ163" i="13"/>
  <c r="BZ162" i="13"/>
  <c r="BZ161" i="13"/>
  <c r="BZ160" i="13"/>
  <c r="BZ159" i="13"/>
  <c r="BJ158" i="13"/>
  <c r="AC158" i="13"/>
  <c r="AG158" i="13" s="1"/>
  <c r="BJ157" i="13"/>
  <c r="AC157" i="13"/>
  <c r="AG157" i="13" s="1"/>
  <c r="BJ156" i="13"/>
  <c r="O156" i="13"/>
  <c r="AC156" i="13" s="1"/>
  <c r="AG156" i="13" s="1"/>
  <c r="BJ155" i="13"/>
  <c r="AC155" i="13"/>
  <c r="AG155" i="13" s="1"/>
  <c r="BJ154" i="13"/>
  <c r="AC154" i="13"/>
  <c r="AG154" i="13" s="1"/>
  <c r="BJ153" i="13"/>
  <c r="AC153" i="13"/>
  <c r="AG153" i="13" s="1"/>
  <c r="BJ152" i="13"/>
  <c r="AC152" i="13"/>
  <c r="AG152" i="13" s="1"/>
  <c r="BJ151" i="13"/>
  <c r="AC151" i="13"/>
  <c r="BJ150" i="13"/>
  <c r="BJ149" i="13"/>
  <c r="BJ148" i="13"/>
  <c r="BJ147" i="13"/>
  <c r="BJ146" i="13"/>
  <c r="BJ145" i="13"/>
  <c r="BJ144" i="13"/>
  <c r="BJ143" i="13"/>
  <c r="AC142" i="13"/>
  <c r="AC141" i="13"/>
  <c r="AC140" i="13"/>
  <c r="AC139" i="13"/>
  <c r="AC138" i="13"/>
  <c r="AC137" i="13"/>
  <c r="BZ127" i="13"/>
  <c r="BZ126" i="13"/>
  <c r="BZ125" i="13"/>
  <c r="AC127" i="13"/>
  <c r="AG127" i="13" s="1"/>
  <c r="AC126" i="13"/>
  <c r="AC125" i="13"/>
  <c r="BZ122" i="13"/>
  <c r="BZ124" i="13"/>
  <c r="BZ123" i="13"/>
  <c r="BZ121" i="13"/>
  <c r="AG173" i="13" l="1"/>
  <c r="AC105" i="13"/>
  <c r="AC100" i="13"/>
  <c r="AC99" i="13"/>
  <c r="AC98" i="13"/>
  <c r="BZ95" i="13"/>
  <c r="BZ94" i="13"/>
  <c r="BZ93" i="13"/>
  <c r="BZ92" i="13"/>
  <c r="AC95" i="13"/>
  <c r="AC94" i="13"/>
  <c r="AC93" i="13"/>
  <c r="AC92" i="13"/>
  <c r="BZ76" i="13"/>
  <c r="BZ75" i="13"/>
  <c r="BZ74" i="13"/>
  <c r="AC55" i="13"/>
  <c r="AC54" i="13"/>
  <c r="AC53" i="13"/>
  <c r="AC52" i="13"/>
  <c r="B3" i="14"/>
  <c r="B2" i="14"/>
  <c r="B5" i="14" s="1"/>
  <c r="B7" i="14" s="1"/>
  <c r="B9" i="14" s="1"/>
  <c r="BJ47" i="13"/>
  <c r="BJ46" i="13"/>
  <c r="BJ45" i="13"/>
  <c r="BJ44" i="13"/>
  <c r="BJ43" i="13"/>
  <c r="BJ42" i="13"/>
  <c r="BJ41" i="13"/>
  <c r="BJ40" i="13"/>
  <c r="BJ39" i="13"/>
  <c r="AC39" i="13"/>
  <c r="AG39" i="13" s="1"/>
  <c r="Q39" i="13"/>
  <c r="BJ38" i="13"/>
  <c r="AD38" i="13"/>
  <c r="AC38" i="13"/>
  <c r="AG38" i="13" s="1"/>
  <c r="BJ37" i="13"/>
  <c r="AC37" i="13"/>
  <c r="BJ36" i="13"/>
  <c r="AC36" i="13"/>
  <c r="BJ35" i="13"/>
  <c r="AC35" i="13"/>
  <c r="BJ34" i="13"/>
  <c r="AC34" i="13"/>
  <c r="BJ33" i="13"/>
  <c r="AC33" i="13"/>
  <c r="BJ32" i="13"/>
  <c r="AC32" i="13"/>
  <c r="BJ31" i="13"/>
  <c r="AC31" i="13"/>
  <c r="AC48" i="13"/>
  <c r="BJ30" i="13"/>
  <c r="AC30" i="13"/>
  <c r="AG30" i="13" s="1"/>
  <c r="Q30" i="13"/>
  <c r="BJ29" i="13"/>
  <c r="AD29" i="13"/>
  <c r="AC29" i="13"/>
  <c r="AG29" i="13" s="1"/>
  <c r="BJ28" i="13"/>
  <c r="AC28" i="13"/>
  <c r="BJ27" i="13"/>
  <c r="AC27" i="13"/>
  <c r="BJ26" i="13"/>
  <c r="AC26" i="13"/>
  <c r="BJ25" i="13"/>
  <c r="AC25" i="13"/>
  <c r="BJ24" i="13"/>
  <c r="AC24" i="13"/>
  <c r="BJ23" i="13"/>
  <c r="AC23" i="13"/>
  <c r="BJ22" i="13"/>
  <c r="AC22" i="13"/>
  <c r="AC21" i="13"/>
  <c r="BJ20" i="13"/>
  <c r="AC20" i="13"/>
  <c r="AG20" i="13" s="1"/>
  <c r="Q20" i="13"/>
  <c r="BJ19" i="13"/>
  <c r="AD19" i="13"/>
  <c r="AC19" i="13"/>
  <c r="AG19" i="13" s="1"/>
  <c r="BJ18" i="13"/>
  <c r="AC18" i="13"/>
  <c r="BJ17" i="13"/>
  <c r="AC17" i="13"/>
  <c r="BJ16" i="13"/>
  <c r="AC16" i="13"/>
  <c r="BJ15" i="13"/>
  <c r="AC15" i="13"/>
  <c r="BJ14" i="13"/>
  <c r="AC14" i="13"/>
  <c r="BJ13" i="13"/>
  <c r="AC13" i="13"/>
  <c r="BJ12" i="13"/>
  <c r="AC12" i="13"/>
  <c r="BJ10" i="13"/>
  <c r="BJ2" i="13"/>
  <c r="BO358" i="13"/>
  <c r="BO357" i="13"/>
  <c r="BO356" i="13"/>
  <c r="BO355" i="13"/>
  <c r="AC627" i="13"/>
  <c r="AG627" i="13" s="1"/>
  <c r="AC626" i="13"/>
  <c r="AG626" i="13" s="1"/>
  <c r="AC625" i="13"/>
  <c r="AG625" i="13" s="1"/>
  <c r="AC624" i="13"/>
  <c r="AG624" i="13" s="1"/>
  <c r="AC623" i="13"/>
  <c r="AG623" i="13" s="1"/>
  <c r="AC622" i="13"/>
  <c r="AG622" i="13" s="1"/>
  <c r="AC621" i="13"/>
  <c r="AG621" i="13" s="1"/>
  <c r="AC620" i="13"/>
  <c r="AG620" i="13" s="1"/>
  <c r="AC619" i="13"/>
  <c r="AG619" i="13" s="1"/>
  <c r="AC618" i="13"/>
  <c r="AG618" i="13" s="1"/>
  <c r="AC617" i="13"/>
  <c r="AG617" i="13" s="1"/>
  <c r="AC616" i="13"/>
  <c r="AG616" i="13" s="1"/>
  <c r="AC615" i="13"/>
  <c r="AG615" i="13" s="1"/>
  <c r="AC614" i="13"/>
  <c r="AG614" i="13" s="1"/>
  <c r="AC613" i="13"/>
  <c r="AG613" i="13" s="1"/>
  <c r="AC612" i="13"/>
  <c r="AG612" i="13" s="1"/>
  <c r="AC611" i="13"/>
  <c r="AG611" i="13" s="1"/>
  <c r="AC610" i="13"/>
  <c r="AG610" i="13" s="1"/>
  <c r="AC609" i="13"/>
  <c r="AG609" i="13" s="1"/>
  <c r="AC608" i="13"/>
  <c r="AG608" i="13" s="1"/>
  <c r="AC607" i="13"/>
  <c r="AG607" i="13" s="1"/>
  <c r="AC606" i="13"/>
  <c r="AG606" i="13" s="1"/>
  <c r="AC605" i="13"/>
  <c r="AG605" i="13" s="1"/>
  <c r="AC604" i="13"/>
  <c r="AG604" i="13" s="1"/>
  <c r="AC603" i="13"/>
  <c r="AG603" i="13" s="1"/>
  <c r="AC602" i="13"/>
  <c r="AG602" i="13" s="1"/>
  <c r="AC601" i="13"/>
  <c r="AG601" i="13" s="1"/>
  <c r="AC600" i="13"/>
  <c r="AG600" i="13" s="1"/>
  <c r="AC599" i="13"/>
  <c r="AC598" i="13"/>
  <c r="AC597" i="13"/>
  <c r="AC596" i="13"/>
  <c r="AC595" i="13"/>
  <c r="AJ594" i="13"/>
  <c r="AC594" i="13"/>
  <c r="AJ593" i="13"/>
  <c r="AC593" i="13"/>
  <c r="AC592" i="13"/>
  <c r="AC591" i="13"/>
  <c r="AG591" i="13" s="1"/>
  <c r="O590" i="13"/>
  <c r="AC590" i="13" s="1"/>
  <c r="AG590" i="13" s="1"/>
  <c r="AC589" i="13"/>
  <c r="AC588" i="13"/>
  <c r="AG588" i="13" s="1"/>
  <c r="AC587" i="13"/>
  <c r="AG587" i="13" s="1"/>
  <c r="AC586" i="13"/>
  <c r="AG586" i="13" s="1"/>
  <c r="AC585" i="13"/>
  <c r="AG585" i="13" s="1"/>
  <c r="AC584" i="13"/>
  <c r="AG584" i="13" s="1"/>
  <c r="AC583" i="13"/>
  <c r="AG583" i="13" s="1"/>
  <c r="AC582" i="13"/>
  <c r="AG582" i="13" s="1"/>
  <c r="AC581" i="13"/>
  <c r="AG581" i="13" s="1"/>
  <c r="AC580" i="13"/>
  <c r="AG580" i="13" s="1"/>
  <c r="AC579" i="13"/>
  <c r="AG579" i="13" s="1"/>
  <c r="AC578" i="13"/>
  <c r="AG578" i="13" s="1"/>
  <c r="AC577" i="13"/>
  <c r="AG577" i="13" s="1"/>
  <c r="AC576" i="13"/>
  <c r="AG576" i="13" s="1"/>
  <c r="AC575" i="13"/>
  <c r="AG575" i="13" s="1"/>
  <c r="AC574" i="13"/>
  <c r="AG574" i="13" s="1"/>
  <c r="AC573" i="13"/>
  <c r="AG573" i="13" s="1"/>
  <c r="AC572" i="13"/>
  <c r="AG572" i="13" s="1"/>
  <c r="AC571" i="13"/>
  <c r="AG571" i="13" s="1"/>
  <c r="AC570" i="13"/>
  <c r="AG570" i="13" s="1"/>
  <c r="AC569" i="13"/>
  <c r="AG569" i="13" s="1"/>
  <c r="AC568" i="13"/>
  <c r="AG568" i="13" s="1"/>
  <c r="AC567" i="13"/>
  <c r="AG567" i="13" s="1"/>
  <c r="AC566" i="13"/>
  <c r="AG566" i="13" s="1"/>
  <c r="AC565" i="13"/>
  <c r="AG565" i="13" s="1"/>
  <c r="AC564" i="13"/>
  <c r="AG564" i="13" s="1"/>
  <c r="AC563" i="13"/>
  <c r="AG563" i="13" s="1"/>
  <c r="AC562" i="13"/>
  <c r="AG562" i="13" s="1"/>
  <c r="AC561" i="13"/>
  <c r="AG561" i="13" s="1"/>
  <c r="AC560" i="13"/>
  <c r="AG560" i="13" s="1"/>
  <c r="AC559" i="13"/>
  <c r="AG559" i="13" s="1"/>
  <c r="AC558" i="13"/>
  <c r="AG558" i="13" s="1"/>
  <c r="AC557" i="13"/>
  <c r="AG557" i="13" s="1"/>
  <c r="AC556" i="13"/>
  <c r="AG556" i="13" s="1"/>
  <c r="AC555" i="13"/>
  <c r="AG555" i="13" s="1"/>
  <c r="AC554" i="13"/>
  <c r="AG554" i="13" s="1"/>
  <c r="AC553" i="13"/>
  <c r="AG553" i="13" s="1"/>
  <c r="AC552" i="13"/>
  <c r="AG552" i="13" s="1"/>
  <c r="AC551" i="13"/>
  <c r="AG551" i="13" s="1"/>
  <c r="AC550" i="13"/>
  <c r="AG550" i="13" s="1"/>
  <c r="AC549" i="13"/>
  <c r="AG549" i="13" s="1"/>
  <c r="AC548" i="13"/>
  <c r="AG548" i="13" s="1"/>
  <c r="AC547" i="13"/>
  <c r="AG547" i="13" s="1"/>
  <c r="AC546" i="13"/>
  <c r="AG546" i="13" s="1"/>
  <c r="AC545" i="13"/>
  <c r="AG545" i="13" s="1"/>
  <c r="AC544" i="13"/>
  <c r="AG544" i="13" s="1"/>
  <c r="AC543" i="13"/>
  <c r="AC542" i="13"/>
  <c r="AC541" i="13"/>
  <c r="AG541" i="13" s="1"/>
  <c r="AJ540" i="13"/>
  <c r="AC540" i="13"/>
  <c r="AJ539" i="13"/>
  <c r="AC539" i="13"/>
  <c r="AJ538" i="13"/>
  <c r="AC538" i="13"/>
  <c r="AJ537" i="13"/>
  <c r="AC537" i="13"/>
  <c r="AJ536" i="13"/>
  <c r="AC536" i="13"/>
  <c r="AJ535" i="13"/>
  <c r="AC535" i="13"/>
  <c r="AG535" i="13" s="1"/>
  <c r="AC534" i="13"/>
  <c r="AG534" i="13" s="1"/>
  <c r="AC533" i="13"/>
  <c r="AG533" i="13" s="1"/>
  <c r="AC532" i="13"/>
  <c r="AG532" i="13" s="1"/>
  <c r="AC531" i="13"/>
  <c r="AG531" i="13" s="1"/>
  <c r="AC530" i="13"/>
  <c r="AG530" i="13" s="1"/>
  <c r="AC529" i="13"/>
  <c r="AG529" i="13" s="1"/>
  <c r="AC528" i="13"/>
  <c r="AG528" i="13" s="1"/>
  <c r="AC527" i="13"/>
  <c r="AG527" i="13" s="1"/>
  <c r="AC526" i="13"/>
  <c r="AG526" i="13" s="1"/>
  <c r="AC525" i="13"/>
  <c r="AG525" i="13" s="1"/>
  <c r="AC524" i="13"/>
  <c r="AG524" i="13" s="1"/>
  <c r="AC523" i="13"/>
  <c r="AG523" i="13" s="1"/>
  <c r="AC522" i="13"/>
  <c r="AG522" i="13" s="1"/>
  <c r="AC521" i="13"/>
  <c r="AC520" i="13"/>
  <c r="AG520" i="13" s="1"/>
  <c r="AC519" i="13"/>
  <c r="AG519" i="13" s="1"/>
  <c r="AC518" i="13"/>
  <c r="AG518" i="13" s="1"/>
  <c r="AC517" i="13"/>
  <c r="AG517" i="13" s="1"/>
  <c r="AC516" i="13"/>
  <c r="AG516" i="13" s="1"/>
  <c r="AC515" i="13"/>
  <c r="AG515" i="13" s="1"/>
  <c r="AC514" i="13"/>
  <c r="AG514" i="13" s="1"/>
  <c r="AC513" i="13"/>
  <c r="AG513" i="13" s="1"/>
  <c r="AC512" i="13"/>
  <c r="AG512" i="13" s="1"/>
  <c r="AC511" i="13"/>
  <c r="AG511" i="13" s="1"/>
  <c r="AC510" i="13"/>
  <c r="AG510" i="13" s="1"/>
  <c r="AC509" i="13"/>
  <c r="AG509" i="13" s="1"/>
  <c r="AJ508" i="13"/>
  <c r="AC508" i="13"/>
  <c r="AG508" i="13" s="1"/>
  <c r="AC507" i="13"/>
  <c r="AG507" i="13" s="1"/>
  <c r="AC506" i="13"/>
  <c r="AG506" i="13" s="1"/>
  <c r="AC505" i="13"/>
  <c r="AG505" i="13" s="1"/>
  <c r="AC504" i="13"/>
  <c r="AG504" i="13" s="1"/>
  <c r="AC503" i="13"/>
  <c r="AG503" i="13" s="1"/>
  <c r="AC502" i="13"/>
  <c r="AG502" i="13" s="1"/>
  <c r="AC501" i="13"/>
  <c r="AG501" i="13" s="1"/>
  <c r="AC500" i="13"/>
  <c r="AG500" i="13" s="1"/>
  <c r="AC499" i="13"/>
  <c r="AG499" i="13" s="1"/>
  <c r="AC498" i="13"/>
  <c r="AG498" i="13" s="1"/>
  <c r="AC497" i="13"/>
  <c r="AG497" i="13" s="1"/>
  <c r="AC496" i="13"/>
  <c r="AG496" i="13" s="1"/>
  <c r="AJ495" i="13"/>
  <c r="AC495" i="13"/>
  <c r="AG495" i="13" s="1"/>
  <c r="AC494" i="13"/>
  <c r="AG494" i="13" s="1"/>
  <c r="AC493" i="13"/>
  <c r="AC492" i="13"/>
  <c r="AC491" i="13"/>
  <c r="AC490" i="13"/>
  <c r="AG490" i="13" s="1"/>
  <c r="AC489" i="13"/>
  <c r="AG489" i="13" s="1"/>
  <c r="AC488" i="13"/>
  <c r="AG488" i="13" s="1"/>
  <c r="AC487" i="13"/>
  <c r="AC486" i="13"/>
  <c r="AC485" i="13"/>
  <c r="AC484" i="13"/>
  <c r="AG484" i="13" s="1"/>
  <c r="AC483" i="13"/>
  <c r="AG483" i="13" s="1"/>
  <c r="AC482" i="13"/>
  <c r="AG482" i="13" s="1"/>
  <c r="AJ481" i="13"/>
  <c r="AC481" i="13"/>
  <c r="AC480" i="13"/>
  <c r="AC479" i="13"/>
  <c r="AC478" i="13"/>
  <c r="AC477" i="13"/>
  <c r="AG477" i="13" s="1"/>
  <c r="AC476" i="13"/>
  <c r="AG476" i="13" s="1"/>
  <c r="AC475" i="13"/>
  <c r="AG475" i="13" s="1"/>
  <c r="AC474" i="13"/>
  <c r="AG474" i="13" s="1"/>
  <c r="AC473" i="13"/>
  <c r="AG473" i="13" s="1"/>
  <c r="AC472" i="13"/>
  <c r="AG472" i="13" s="1"/>
  <c r="AC471" i="13"/>
  <c r="AG471" i="13" s="1"/>
  <c r="T471" i="13"/>
  <c r="AJ470" i="13"/>
  <c r="AC470" i="13"/>
  <c r="AG470" i="13" s="1"/>
  <c r="AG469" i="13"/>
  <c r="AG468" i="13"/>
  <c r="AG467" i="13"/>
  <c r="AH466" i="13"/>
  <c r="AG466" i="13"/>
  <c r="AC465" i="13"/>
  <c r="AC464" i="13"/>
  <c r="AC463" i="13"/>
  <c r="AC462" i="13"/>
  <c r="AC461" i="13"/>
  <c r="AC460" i="13"/>
  <c r="AC459" i="13"/>
  <c r="AC458" i="13"/>
  <c r="AC457" i="13"/>
  <c r="AC456" i="13"/>
  <c r="AC455" i="13"/>
  <c r="AC454" i="13"/>
  <c r="AG454" i="13" s="1"/>
  <c r="AC453" i="13"/>
  <c r="AG453" i="13" s="1"/>
  <c r="AC452" i="13"/>
  <c r="AG452" i="13" s="1"/>
  <c r="AC451" i="13"/>
  <c r="AG451" i="13" s="1"/>
  <c r="AC450" i="13"/>
  <c r="AG450" i="13" s="1"/>
  <c r="AC449" i="13"/>
  <c r="AG449" i="13" s="1"/>
  <c r="AC448" i="13"/>
  <c r="AG448" i="13" s="1"/>
  <c r="AC447" i="13"/>
  <c r="AG447" i="13" s="1"/>
  <c r="AC446" i="13"/>
  <c r="AG446" i="13" s="1"/>
  <c r="AC445" i="13"/>
  <c r="AG445" i="13" s="1"/>
  <c r="AC444" i="13"/>
  <c r="AG444" i="13" s="1"/>
  <c r="AC443" i="13"/>
  <c r="AG443" i="13" s="1"/>
  <c r="AC442" i="13"/>
  <c r="AG442" i="13" s="1"/>
  <c r="AC441" i="13"/>
  <c r="AG441" i="13" s="1"/>
  <c r="AC440" i="13"/>
  <c r="AC439" i="13"/>
  <c r="AC438" i="13"/>
  <c r="AJ437" i="13"/>
  <c r="AC437" i="13"/>
  <c r="AC436" i="13"/>
  <c r="AG436" i="13" s="1"/>
  <c r="AC435" i="13"/>
  <c r="AG435" i="13" s="1"/>
  <c r="AC434" i="13"/>
  <c r="AC433" i="13"/>
  <c r="AC432" i="13"/>
  <c r="AC431" i="13"/>
  <c r="AC430" i="13"/>
  <c r="AC429" i="13"/>
  <c r="AC428" i="13"/>
  <c r="AC427" i="13"/>
  <c r="AC426" i="13"/>
  <c r="AC425" i="13"/>
  <c r="AC424" i="13"/>
  <c r="AC423" i="13"/>
  <c r="AC422" i="13"/>
  <c r="AC421" i="13"/>
  <c r="AC420" i="13"/>
  <c r="AJ419" i="13"/>
  <c r="AH419" i="13"/>
  <c r="AC419" i="13"/>
  <c r="AC418" i="13"/>
  <c r="AC417" i="13"/>
  <c r="AC416" i="13"/>
  <c r="AC415" i="13"/>
  <c r="AC414" i="13"/>
  <c r="AC413" i="13"/>
  <c r="AC412" i="13"/>
  <c r="AC411" i="13"/>
  <c r="AC410" i="13"/>
  <c r="AC409" i="13"/>
  <c r="AC408" i="13"/>
  <c r="AF407" i="13"/>
  <c r="AJ407" i="13" s="1"/>
  <c r="AC407" i="13"/>
  <c r="AF406" i="13"/>
  <c r="AJ406" i="13" s="1"/>
  <c r="AC406" i="13"/>
  <c r="AF405" i="13"/>
  <c r="AJ405" i="13" s="1"/>
  <c r="AC405" i="13"/>
  <c r="AF404" i="13"/>
  <c r="AJ404" i="13" s="1"/>
  <c r="AC404" i="13"/>
  <c r="AF403" i="13"/>
  <c r="AJ403" i="13" s="1"/>
  <c r="AC403" i="13"/>
  <c r="AF402" i="13"/>
  <c r="AJ402" i="13" s="1"/>
  <c r="AC402" i="13"/>
  <c r="AC401" i="13"/>
  <c r="AC400" i="13"/>
  <c r="AG400" i="13" s="1"/>
  <c r="AC399" i="13"/>
  <c r="AG399" i="13" s="1"/>
  <c r="AC398" i="13"/>
  <c r="AG398" i="13" s="1"/>
  <c r="AC397" i="13"/>
  <c r="AG397" i="13" s="1"/>
  <c r="AC396" i="13"/>
  <c r="AC395" i="13"/>
  <c r="AC394" i="13"/>
  <c r="AC393" i="13"/>
  <c r="AC392" i="13"/>
  <c r="AC391" i="13"/>
  <c r="AC390" i="13"/>
  <c r="AC389" i="13"/>
  <c r="AC388" i="13"/>
  <c r="AC387" i="13"/>
  <c r="AC386" i="13"/>
  <c r="AC385" i="13"/>
  <c r="AC384" i="13"/>
  <c r="AC383" i="13"/>
  <c r="AC382" i="13"/>
  <c r="AC381" i="13"/>
  <c r="AC380" i="13"/>
  <c r="AC379" i="13"/>
  <c r="AC378" i="13"/>
  <c r="AC377" i="13"/>
  <c r="AG377" i="13" s="1"/>
  <c r="AC376" i="13"/>
  <c r="AG376" i="13" s="1"/>
  <c r="AC375" i="13"/>
  <c r="AC374" i="13"/>
  <c r="AC373" i="13"/>
  <c r="AC372" i="13"/>
  <c r="AC371" i="13"/>
  <c r="AC370" i="13"/>
  <c r="AC369" i="13"/>
  <c r="AC368" i="13"/>
  <c r="AC367" i="13"/>
  <c r="AG367" i="13" s="1"/>
  <c r="AC366" i="13"/>
  <c r="AG366" i="13" s="1"/>
  <c r="AC365" i="13"/>
  <c r="AG365" i="13" s="1"/>
  <c r="AC364" i="13"/>
  <c r="AG364" i="13" s="1"/>
  <c r="AC363" i="13"/>
  <c r="AG363" i="13" s="1"/>
  <c r="AC362" i="13"/>
  <c r="AG362" i="13" s="1"/>
  <c r="AC361" i="13"/>
  <c r="AG361" i="13" s="1"/>
  <c r="AC360" i="13"/>
  <c r="AG360" i="13" s="1"/>
  <c r="AC359" i="13"/>
  <c r="AC358" i="13"/>
  <c r="AC357" i="13"/>
  <c r="AC356" i="13"/>
  <c r="AC355" i="13"/>
  <c r="AC354" i="13"/>
  <c r="AC353" i="13"/>
  <c r="AC352" i="13"/>
  <c r="AC351" i="13"/>
  <c r="AC350" i="13"/>
  <c r="AC349" i="13"/>
  <c r="AC348" i="13"/>
  <c r="AC347" i="13"/>
  <c r="AC346" i="13"/>
  <c r="AC345" i="13"/>
  <c r="AC344" i="13"/>
  <c r="AC343" i="13"/>
  <c r="AC342" i="13"/>
  <c r="AC341" i="13"/>
  <c r="AC340" i="13"/>
  <c r="AG340" i="13" s="1"/>
  <c r="AC339" i="13"/>
  <c r="AG339" i="13" s="1"/>
  <c r="AC338" i="13"/>
  <c r="AG338" i="13" s="1"/>
  <c r="AC337" i="13"/>
  <c r="AG337" i="13" s="1"/>
  <c r="AC336" i="13"/>
  <c r="AG336" i="13" s="1"/>
  <c r="AC335" i="13"/>
  <c r="AC334" i="13"/>
  <c r="AG334" i="13" s="1"/>
  <c r="AC333" i="13"/>
  <c r="AG333" i="13" s="1"/>
  <c r="AC332" i="13"/>
  <c r="AG332" i="13" s="1"/>
  <c r="AC331" i="13"/>
  <c r="AG331" i="13" s="1"/>
  <c r="AC330" i="13"/>
  <c r="AG330" i="13" s="1"/>
  <c r="AC329" i="13"/>
  <c r="AG329" i="13" s="1"/>
  <c r="AC328" i="13"/>
  <c r="AG328" i="13" s="1"/>
  <c r="AC327" i="13"/>
  <c r="AG327" i="13" s="1"/>
  <c r="AC326" i="13"/>
  <c r="AC325" i="13"/>
  <c r="AC324" i="13"/>
  <c r="AC323" i="13"/>
  <c r="AC322" i="13"/>
  <c r="AC321" i="13"/>
  <c r="AC320" i="13"/>
  <c r="AC319" i="13"/>
  <c r="AC318" i="13"/>
  <c r="AC317" i="13"/>
  <c r="AC316" i="13"/>
  <c r="AG316" i="13" s="1"/>
  <c r="AC315" i="13"/>
  <c r="AC314" i="13"/>
  <c r="AG314" i="13" s="1"/>
  <c r="AC313" i="13"/>
  <c r="AG313" i="13" s="1"/>
  <c r="AC312" i="13"/>
  <c r="AC311" i="13"/>
  <c r="AC310" i="13"/>
  <c r="AC309" i="13"/>
  <c r="AC308" i="13"/>
  <c r="AC307" i="13"/>
  <c r="AC306" i="13"/>
  <c r="AC305" i="13"/>
  <c r="AC304" i="13"/>
  <c r="AG304" i="13" s="1"/>
  <c r="AC303" i="13"/>
  <c r="AG303" i="13" s="1"/>
  <c r="AC302" i="13"/>
  <c r="AG302" i="13" s="1"/>
  <c r="AC301" i="13"/>
  <c r="AG301" i="13" s="1"/>
  <c r="AC300" i="13"/>
  <c r="AG300" i="13" s="1"/>
  <c r="AC296" i="13"/>
  <c r="AC295" i="13"/>
  <c r="AG295" i="13" s="1"/>
  <c r="AC294" i="13"/>
  <c r="AG294" i="13" s="1"/>
  <c r="N282" i="13"/>
  <c r="M282" i="13"/>
  <c r="N281" i="13"/>
  <c r="M281" i="13"/>
  <c r="N280" i="13"/>
  <c r="M280" i="13"/>
  <c r="N279" i="13"/>
  <c r="M279" i="13"/>
  <c r="N278" i="13"/>
  <c r="M278" i="13"/>
  <c r="N277" i="13"/>
  <c r="M277" i="13"/>
  <c r="N276" i="13"/>
  <c r="M276" i="13"/>
  <c r="N275" i="13"/>
  <c r="M275" i="13"/>
  <c r="N274" i="13"/>
  <c r="M274" i="13"/>
  <c r="N273" i="13"/>
  <c r="M273" i="13"/>
  <c r="AC272" i="13"/>
  <c r="AG272" i="13" s="1"/>
  <c r="AC271" i="13"/>
  <c r="AG271" i="13" s="1"/>
  <c r="AC270" i="13"/>
  <c r="AG270" i="13" s="1"/>
  <c r="AC269" i="13"/>
  <c r="AG269" i="13" s="1"/>
  <c r="AC268" i="13"/>
  <c r="AG268" i="13" s="1"/>
  <c r="AC267" i="13"/>
  <c r="AC266" i="13"/>
  <c r="AG266" i="13" s="1"/>
  <c r="AC265" i="13"/>
  <c r="AC248" i="13"/>
  <c r="AC244" i="13"/>
  <c r="AG244" i="13" s="1"/>
  <c r="AC243" i="13"/>
  <c r="AG243" i="13" s="1"/>
  <c r="AC242" i="13"/>
  <c r="AG242" i="13" s="1"/>
  <c r="AC241" i="13"/>
  <c r="AG241" i="13" s="1"/>
  <c r="AC240" i="13"/>
  <c r="AG240" i="13" s="1"/>
  <c r="AC239" i="13"/>
  <c r="AG239" i="13" s="1"/>
  <c r="AC238" i="13"/>
  <c r="AG238" i="13" s="1"/>
  <c r="AC237" i="13"/>
  <c r="AG237" i="13" s="1"/>
  <c r="AC236" i="13"/>
  <c r="AG236" i="13" s="1"/>
  <c r="AC235" i="13"/>
  <c r="AG235" i="13" s="1"/>
  <c r="AC234" i="13"/>
  <c r="AG234" i="13" s="1"/>
  <c r="AC233" i="13"/>
  <c r="AG233" i="13" s="1"/>
  <c r="AC232" i="13"/>
  <c r="AC231" i="13"/>
  <c r="AC230" i="13"/>
  <c r="AC229" i="13"/>
  <c r="AC228" i="13"/>
  <c r="AC227" i="13"/>
  <c r="AC226" i="13"/>
  <c r="AC225" i="13"/>
  <c r="AC224" i="13"/>
  <c r="Q224" i="13"/>
  <c r="AC223" i="13"/>
  <c r="AC222" i="13"/>
  <c r="AC221" i="13"/>
  <c r="AC220" i="13"/>
  <c r="AC219" i="13"/>
  <c r="AC218" i="13"/>
  <c r="AG218" i="13" s="1"/>
  <c r="AC217" i="13"/>
  <c r="AG217" i="13" s="1"/>
  <c r="AC216" i="13"/>
  <c r="AG216" i="13" s="1"/>
  <c r="AJ215" i="13"/>
  <c r="AC215" i="13"/>
  <c r="AG215" i="13" s="1"/>
  <c r="AC214" i="13"/>
  <c r="AC213" i="13"/>
  <c r="AC212" i="13"/>
  <c r="AC211" i="13"/>
  <c r="AC210" i="13"/>
  <c r="AC209" i="13"/>
  <c r="AC208" i="13"/>
  <c r="AJ207" i="13"/>
  <c r="AC207" i="13"/>
  <c r="AC206" i="13"/>
  <c r="AC205" i="13"/>
  <c r="AC202" i="13"/>
  <c r="AG202" i="13" s="1"/>
  <c r="AC201" i="13"/>
  <c r="AG201" i="13" s="1"/>
  <c r="AJ200" i="13"/>
  <c r="AC200" i="13"/>
  <c r="AG200" i="13" s="1"/>
  <c r="AC199" i="13"/>
  <c r="AG199" i="13" s="1"/>
  <c r="AC198" i="13"/>
  <c r="AG198" i="13" s="1"/>
  <c r="AC197" i="13"/>
  <c r="AC189" i="13"/>
  <c r="AC181" i="13"/>
  <c r="AC180" i="13"/>
  <c r="AC170" i="13"/>
  <c r="AC169" i="13"/>
  <c r="AC168" i="13"/>
  <c r="I168" i="13"/>
  <c r="AC167" i="13"/>
  <c r="AG167" i="13" s="1"/>
  <c r="L167" i="13"/>
  <c r="AJ167" i="13" s="1"/>
  <c r="AC163" i="13"/>
  <c r="AC162" i="13"/>
  <c r="AG162" i="13" s="1"/>
  <c r="AC161" i="13"/>
  <c r="AG161" i="13" s="1"/>
  <c r="AC160" i="13"/>
  <c r="AC159" i="13"/>
  <c r="AC150" i="13"/>
  <c r="AG150" i="13" s="1"/>
  <c r="AC149" i="13"/>
  <c r="AG149" i="13" s="1"/>
  <c r="O148" i="13"/>
  <c r="AC148" i="13" s="1"/>
  <c r="AG148" i="13" s="1"/>
  <c r="AC147" i="13"/>
  <c r="AG147" i="13" s="1"/>
  <c r="AC146" i="13"/>
  <c r="AG146" i="13" s="1"/>
  <c r="AC145" i="13"/>
  <c r="AG145" i="13" s="1"/>
  <c r="AC144" i="13"/>
  <c r="AG144" i="13" s="1"/>
  <c r="AC143" i="13"/>
  <c r="AC136" i="13"/>
  <c r="AC135" i="13"/>
  <c r="AC134" i="13"/>
  <c r="AC133" i="13"/>
  <c r="AC132" i="13"/>
  <c r="AC131" i="13"/>
  <c r="AC130" i="13"/>
  <c r="AG130" i="13" s="1"/>
  <c r="AC129" i="13"/>
  <c r="AG129" i="13" s="1"/>
  <c r="AC128" i="13"/>
  <c r="AC124" i="13"/>
  <c r="AG124" i="13" s="1"/>
  <c r="AC123" i="13"/>
  <c r="AG123" i="13" s="1"/>
  <c r="AC122" i="13"/>
  <c r="AC121" i="13"/>
  <c r="AC120" i="13"/>
  <c r="AC119" i="13"/>
  <c r="AC118" i="13"/>
  <c r="AC117" i="13"/>
  <c r="AC116" i="13"/>
  <c r="AC115" i="13"/>
  <c r="AC97" i="13"/>
  <c r="AC96" i="13"/>
  <c r="AC91" i="13"/>
  <c r="AC90" i="13"/>
  <c r="AC89" i="13"/>
  <c r="AC88" i="13"/>
  <c r="AC87" i="13"/>
  <c r="AC86" i="13"/>
  <c r="AC85" i="13"/>
  <c r="AC84" i="13"/>
  <c r="AC83" i="13"/>
  <c r="AC82" i="13"/>
  <c r="AC81" i="13"/>
  <c r="AJ80" i="13"/>
  <c r="AC80" i="13"/>
  <c r="AC79" i="13"/>
  <c r="AC78" i="13"/>
  <c r="AC77" i="13"/>
  <c r="AC74" i="13"/>
  <c r="AC73" i="13"/>
  <c r="AC72" i="13"/>
  <c r="AC71" i="13"/>
  <c r="AC70" i="13"/>
  <c r="AC69" i="13"/>
  <c r="AC68" i="13"/>
  <c r="AC67" i="13"/>
  <c r="AC66" i="13"/>
  <c r="AC65" i="13"/>
  <c r="AC64" i="13"/>
  <c r="AC63" i="13"/>
  <c r="AC62" i="13"/>
  <c r="AC61" i="13"/>
  <c r="AC60" i="13"/>
  <c r="AC59" i="13"/>
  <c r="AC58" i="13"/>
  <c r="AC57" i="13"/>
  <c r="AC51" i="13"/>
  <c r="AC50" i="13"/>
  <c r="AC49" i="13"/>
  <c r="AC11" i="13"/>
  <c r="AC10" i="13"/>
  <c r="AG10" i="13" s="1"/>
  <c r="Q10" i="13"/>
  <c r="BJ9" i="13"/>
  <c r="AD9" i="13"/>
  <c r="AC9" i="13"/>
  <c r="AG9" i="13" s="1"/>
  <c r="BJ8" i="13"/>
  <c r="AC8" i="13"/>
  <c r="BJ7" i="13"/>
  <c r="AC7" i="13"/>
  <c r="BJ6" i="13"/>
  <c r="AC6" i="13"/>
  <c r="BJ5" i="13"/>
  <c r="AC5" i="13"/>
  <c r="BJ4" i="13"/>
  <c r="AC4" i="13"/>
  <c r="BJ3" i="13"/>
  <c r="AC3" i="13"/>
  <c r="AC2" i="13"/>
  <c r="BL9" i="3"/>
  <c r="BL8" i="3"/>
  <c r="BL6" i="3"/>
  <c r="BL7" i="3"/>
  <c r="BL5" i="3"/>
  <c r="BL4" i="3"/>
  <c r="BL3" i="3"/>
  <c r="AC279" i="13" l="1"/>
  <c r="AG279" i="13" s="1"/>
  <c r="AC274" i="13"/>
  <c r="AG274" i="13" s="1"/>
  <c r="AC278" i="13"/>
  <c r="AG278" i="13" s="1"/>
  <c r="AC280" i="13"/>
  <c r="AG280" i="13" s="1"/>
  <c r="AC282" i="13"/>
  <c r="AG282" i="13" s="1"/>
  <c r="AG168" i="13"/>
  <c r="AC273" i="13"/>
  <c r="AG273" i="13" s="1"/>
  <c r="AC275" i="13"/>
  <c r="AG275" i="13" s="1"/>
  <c r="AC281" i="13"/>
  <c r="AG281" i="13" s="1"/>
  <c r="AC277" i="13"/>
  <c r="AG277" i="13" s="1"/>
  <c r="AC276" i="13"/>
  <c r="AG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<sst xmlns="http://schemas.openxmlformats.org/spreadsheetml/2006/main" count="12883" uniqueCount="1336">
  <si>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</si>
  <si>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</si>
  <si>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</si>
  <si>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</si>
  <si>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</si>
  <si>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</si>
  <si>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</si>
  <si>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</si>
  <si>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</si>
  <si>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</si>
  <si>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</si>
  <si>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</si>
  <si>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</si>
  <si>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</si>
  <si>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</si>
  <si>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</si>
  <si>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</si>
  <si>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</si>
  <si>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</si>
  <si>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</si>
  <si>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</si>
  <si>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</si>
  <si>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</si>
  <si>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</si>
  <si>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</si>
  <si>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</si>
  <si>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</si>
  <si>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</si>
  <si>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</si>
  <si>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</si>
  <si>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</si>
  <si>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</si>
  <si>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</si>
  <si>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</si>
  <si>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</si>
  <si>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</si>
  <si>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</si>
  <si>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</si>
  <si>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</si>
  <si>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</si>
  <si>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</si>
  <si>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</si>
  <si>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</si>
  <si>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</si>
  <si>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</si>
  <si>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</si>
  <si>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</si>
  <si>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</si>
  <si>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</si>
  <si>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</si>
  <si>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</si>
  <si>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</si>
  <si>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</si>
  <si>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</si>
  <si>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</si>
  <si>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</si>
  <si>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</si>
  <si>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</si>
  <si>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</si>
  <si>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</si>
  <si>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</si>
  <si>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</si>
  <si>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</si>
  <si>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</si>
  <si>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</si>
  <si>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</si>
  <si>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</si>
  <si>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</si>
  <si>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</si>
  <si>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</si>
  <si>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</si>
  <si>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</si>
  <si>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</si>
  <si>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</si>
  <si>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</si>
  <si>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</si>
  <si>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</si>
  <si>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</si>
  <si>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</si>
  <si>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</si>
  <si>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</si>
  <si>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</si>
  <si>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</si>
  <si>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</si>
  <si>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</si>
  <si>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</si>
  <si>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</si>
  <si>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</si>
  <si>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</si>
  <si>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</si>
  <si>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</si>
  <si>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</si>
  <si>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</si>
  <si>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</si>
  <si>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</si>
  <si>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</si>
  <si>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</si>
  <si>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</si>
  <si>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</si>
  <si>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</si>
  <si>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</si>
  <si>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</si>
  <si>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</si>
  <si>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</si>
  <si>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</si>
  <si>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</si>
  <si>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</si>
  <si>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</si>
  <si>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</si>
  <si>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</si>
  <si>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</si>
  <si>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</si>
  <si>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</si>
  <si>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</si>
  <si>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</si>
  <si>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</si>
  <si>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</si>
  <si>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</si>
  <si>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</si>
  <si>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</si>
  <si>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</si>
  <si>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</si>
  <si>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</si>
  <si>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</si>
  <si>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</si>
  <si>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</si>
  <si>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</si>
  <si>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</si>
  <si>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</si>
  <si>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</si>
  <si>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</si>
  <si>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</si>
  <si>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</si>
  <si>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</si>
  <si>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</si>
  <si>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</si>
  <si>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</si>
  <si>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</si>
  <si>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</si>
  <si>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</si>
  <si>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</si>
  <si>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</si>
  <si>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</si>
  <si>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</si>
  <si>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</si>
  <si>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</si>
  <si>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</si>
  <si>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</si>
  <si>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</si>
  <si>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</si>
  <si>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</si>
  <si>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</si>
  <si>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</si>
  <si>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</si>
  <si>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</si>
  <si>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</si>
  <si>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</si>
  <si>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</si>
  <si>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</si>
  <si>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</si>
  <si>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</si>
  <si>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</si>
  <si>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</si>
  <si>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</si>
  <si>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</si>
  <si>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</si>
  <si>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</si>
  <si>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</si>
  <si>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</si>
  <si>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</si>
  <si>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</si>
  <si>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</si>
  <si>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</si>
  <si>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</si>
  <si>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</si>
  <si>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</si>
  <si>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</si>
  <si>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</si>
  <si>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</si>
  <si>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</si>
  <si>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</si>
  <si>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</si>
  <si>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</si>
  <si>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</si>
  <si>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</si>
  <si>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</si>
  <si>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</si>
  <si>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</si>
  <si>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</si>
  <si>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</si>
  <si>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</si>
  <si>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</si>
  <si>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</si>
  <si>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</si>
  <si>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</si>
  <si>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</si>
  <si>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</si>
  <si>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</si>
  <si>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</si>
  <si>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</si>
  <si>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</si>
  <si>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</si>
  <si>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</si>
  <si>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</si>
  <si>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</si>
  <si>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</si>
  <si>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</si>
  <si>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</si>
  <si>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</si>
  <si>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</si>
  <si>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</si>
  <si>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</si>
  <si>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</si>
  <si>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</si>
  <si>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</si>
  <si>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</si>
  <si>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</si>
  <si>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</si>
  <si>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</si>
  <si>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</si>
  <si>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</si>
  <si>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</si>
  <si>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</si>
  <si>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</si>
  <si>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</si>
  <si>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</si>
  <si>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</si>
  <si>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</si>
  <si>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</si>
  <si>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</si>
  <si>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</si>
  <si>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</si>
  <si>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</si>
  <si>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</si>
  <si>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</si>
  <si>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</si>
  <si>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</si>
  <si>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</si>
  <si>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</si>
  <si>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</si>
  <si>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</si>
  <si>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</si>
  <si>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</si>
  <si>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</si>
  <si>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</si>
  <si>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</si>
  <si>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</si>
  <si>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</si>
  <si>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</si>
  <si>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</si>
  <si>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</si>
  <si>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</si>
  <si>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</si>
  <si>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</si>
  <si>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</si>
  <si>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</si>
  <si>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</si>
  <si>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</si>
  <si>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</si>
  <si>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</si>
  <si>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</si>
  <si>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</si>
  <si>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</si>
  <si>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</si>
  <si>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</si>
  <si>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</si>
  <si>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</si>
  <si>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</si>
  <si>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</si>
  <si>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</si>
  <si>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</si>
  <si>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</si>
  <si>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</si>
  <si>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</si>
  <si>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</si>
  <si>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</si>
  <si>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</si>
  <si>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</si>
  <si>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</si>
  <si>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</si>
  <si>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</si>
  <si>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</si>
  <si>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</si>
  <si>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</si>
  <si>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</si>
  <si>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</si>
  <si>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</si>
  <si>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</si>
  <si>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</si>
  <si>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</si>
  <si>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</si>
  <si>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</si>
  <si>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</si>
  <si>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</si>
  <si>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</si>
  <si>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</si>
  <si>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</si>
  <si>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</si>
  <si>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</si>
  <si>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</si>
  <si>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</si>
  <si>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</si>
  <si>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</si>
  <si>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</si>
  <si>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</si>
  <si>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</si>
  <si>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</si>
  <si>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</si>
  <si>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</si>
  <si>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</si>
  <si>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</si>
  <si>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</si>
  <si>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</si>
  <si>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</si>
  <si>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</si>
  <si>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</si>
  <si>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</si>
  <si>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</si>
  <si>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</si>
  <si>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</si>
  <si>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</si>
  <si>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</si>
  <si>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</si>
  <si>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</si>
  <si>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</si>
  <si>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</si>
  <si>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</si>
  <si>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</si>
  <si>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</si>
  <si>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</si>
  <si>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</si>
  <si>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</si>
  <si>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</si>
  <si>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</si>
  <si>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</si>
  <si>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</si>
  <si>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</si>
  <si>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</si>
  <si>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</si>
  <si>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</si>
  <si>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</si>
  <si>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</si>
  <si>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</si>
  <si>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</si>
  <si>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</si>
  <si>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</si>
  <si>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</si>
  <si>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</si>
  <si>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</si>
  <si>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</si>
  <si>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</si>
  <si>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</si>
  <si>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</si>
  <si>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</si>
  <si>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</si>
  <si>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</si>
  <si>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</si>
  <si>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</si>
  <si>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</si>
  <si>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</si>
  <si>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</si>
  <si>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</si>
  <si>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</si>
  <si>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</si>
  <si>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</si>
  <si>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</si>
  <si>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</si>
  <si>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</si>
  <si>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</si>
  <si>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</si>
  <si>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</si>
  <si>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</si>
  <si>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</si>
  <si>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</si>
  <si>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</si>
  <si>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</si>
  <si>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</si>
  <si>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</si>
  <si>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</si>
  <si>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</si>
  <si>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</si>
  <si>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</si>
  <si>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</si>
  <si>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</si>
  <si>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</si>
  <si>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</si>
  <si>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</si>
  <si>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</si>
  <si>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</si>
  <si>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</si>
  <si>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</si>
  <si>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</si>
  <si>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</si>
  <si>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</si>
  <si>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</si>
  <si>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</si>
  <si>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</si>
  <si>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</si>
  <si>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</si>
  <si>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</si>
  <si>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</si>
  <si>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</si>
  <si>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</si>
  <si>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</si>
  <si>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</si>
  <si>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</si>
  <si>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</si>
  <si>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</si>
  <si>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</si>
  <si>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</si>
  <si>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</si>
  <si>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</si>
  <si>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</si>
  <si>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</si>
  <si>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</si>
  <si>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</si>
  <si>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</si>
  <si>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</si>
  <si>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</si>
  <si>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</si>
  <si>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</si>
  <si>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</si>
  <si>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</si>
  <si>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</si>
  <si>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</si>
  <si>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</si>
  <si>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</si>
  <si>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</si>
  <si>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</si>
  <si>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</si>
  <si>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</si>
  <si>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</si>
  <si>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</si>
  <si>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</si>
  <si>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</si>
  <si>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</si>
  <si>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</si>
  <si>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</si>
  <si>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</si>
  <si>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</si>
  <si>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</si>
  <si>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</si>
  <si>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</si>
  <si>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</si>
  <si>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</si>
  <si>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</si>
  <si>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</si>
  <si>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</si>
  <si>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</si>
  <si>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</si>
  <si>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</si>
  <si>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</si>
  <si>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</si>
  <si>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</si>
  <si>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</si>
  <si>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</si>
  <si>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</si>
  <si>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</si>
  <si>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</si>
  <si>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</si>
  <si>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</si>
  <si>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</si>
  <si>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</si>
  <si>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</si>
  <si>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</si>
  <si>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</si>
  <si>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</si>
  <si>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</si>
  <si>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</si>
  <si>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</si>
  <si>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</si>
  <si>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</si>
  <si>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</si>
  <si>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</si>
  <si>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</si>
  <si>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</si>
  <si>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</si>
  <si>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</si>
  <si>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</si>
  <si>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</si>
  <si>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</si>
  <si>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</si>
  <si>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</si>
  <si>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</si>
  <si>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</si>
  <si>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</si>
  <si>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</si>
  <si>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</si>
  <si>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</si>
  <si>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</si>
  <si>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</si>
  <si>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</si>
  <si>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</si>
  <si>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</si>
  <si>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</si>
  <si>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</si>
  <si>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</si>
  <si>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</si>
  <si>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</si>
  <si>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</si>
  <si>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</si>
  <si>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</si>
  <si>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</si>
  <si>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</si>
  <si>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</si>
  <si>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</si>
  <si>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</si>
  <si>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</si>
  <si>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</si>
  <si>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</si>
  <si>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</si>
  <si>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</si>
  <si>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</si>
  <si>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</si>
  <si>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</si>
  <si>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</si>
  <si>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</si>
  <si>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</si>
  <si>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</si>
  <si>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</si>
  <si>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</si>
  <si>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</si>
  <si>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</si>
  <si>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</si>
  <si>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</si>
  <si>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</si>
  <si>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</si>
  <si>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</si>
  <si>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</si>
  <si>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</si>
  <si>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</si>
  <si>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</si>
  <si>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</si>
  <si>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</si>
  <si>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</si>
  <si>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</si>
  <si>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</si>
  <si>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</si>
  <si>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</si>
  <si>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</si>
  <si>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</si>
  <si>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</si>
  <si>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</si>
  <si>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</si>
  <si>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</si>
  <si>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</si>
  <si>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</si>
  <si>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</si>
  <si>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</si>
  <si>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</si>
  <si>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</si>
  <si>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</si>
  <si>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</si>
  <si>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</si>
  <si>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</si>
  <si>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</si>
  <si>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</si>
  <si>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</si>
  <si>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</si>
  <si>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</si>
  <si>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</si>
  <si>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</si>
  <si>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</si>
  <si>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</si>
  <si>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</si>
  <si>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</si>
  <si>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</si>
  <si>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</si>
  <si>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</si>
  <si>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</si>
  <si>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</si>
  <si>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</si>
  <si>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</si>
  <si>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</si>
  <si>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</si>
  <si>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</si>
  <si>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</si>
  <si>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</si>
  <si>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</si>
  <si>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</si>
  <si>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</si>
  <si>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</si>
  <si>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</si>
  <si>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</si>
  <si>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</si>
  <si>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</si>
  <si>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</si>
  <si>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</si>
  <si>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</si>
  <si>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</si>
  <si>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</si>
  <si>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</si>
  <si>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</si>
  <si>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</si>
  <si>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</si>
  <si>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</si>
  <si>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</si>
  <si>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</si>
  <si>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</si>
  <si>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</si>
  <si>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</si>
  <si>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</si>
  <si>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</si>
  <si>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</si>
  <si>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</si>
  <si>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</si>
  <si>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</si>
  <si>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</si>
  <si>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</si>
  <si>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</si>
  <si>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</si>
  <si>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</si>
  <si>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</si>
  <si>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</si>
  <si>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</si>
  <si>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</si>
  <si>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</si>
  <si>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</si>
  <si>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</si>
  <si>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</si>
  <si>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</si>
  <si>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</si>
  <si>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</si>
  <si>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</si>
  <si>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</si>
  <si>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</si>
  <si>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</si>
  <si>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</si>
  <si>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</si>
  <si>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</si>
  <si>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</si>
  <si>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</si>
  <si>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</si>
  <si>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</si>
  <si>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</si>
  <si>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</si>
  <si>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</si>
  <si>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</si>
  <si>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</si>
  <si>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</si>
  <si>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</si>
  <si>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</si>
  <si>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</si>
  <si>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</si>
  <si>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</si>
  <si>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</si>
  <si>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</si>
  <si>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</si>
  <si>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</si>
  <si>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</si>
  <si>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</si>
  <si>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</si>
  <si>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</si>
  <si>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</si>
  <si>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</si>
  <si>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</si>
  <si>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</si>
  <si>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</si>
  <si>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</si>
  <si>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</si>
  <si>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</si>
  <si>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</si>
  <si>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</si>
  <si>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</si>
  <si>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</si>
  <si>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</si>
  <si>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</si>
  <si>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</si>
  <si>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</si>
  <si>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</si>
  <si>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</si>
  <si>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</si>
  <si>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</si>
  <si>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</si>
  <si>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</si>
  <si>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</si>
  <si>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</si>
  <si>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</si>
  <si>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</si>
  <si>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</si>
  <si>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</si>
  <si>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</si>
  <si>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</si>
  <si>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</si>
  <si>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</si>
  <si>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</si>
  <si>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</si>
  <si>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</si>
  <si>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</si>
  <si>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</si>
  <si>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</si>
  <si>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</si>
  <si>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</si>
  <si>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</si>
  <si>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</si>
  <si>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</si>
  <si>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</si>
  <si>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</si>
  <si>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</si>
  <si>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</si>
  <si>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</si>
  <si>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</si>
  <si>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</si>
  <si>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</si>
  <si>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</si>
  <si>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</si>
  <si>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</si>
  <si>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</si>
  <si>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</si>
  <si>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</si>
  <si>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</si>
  <si>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</si>
  <si>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</si>
  <si>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</si>
  <si>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</si>
  <si>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</si>
  <si>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</si>
  <si>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</si>
  <si>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</si>
  <si>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</si>
  <si>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</si>
  <si>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</si>
  <si>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</si>
  <si>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</si>
  <si>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</si>
  <si>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</si>
  <si>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</si>
  <si>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</si>
  <si>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</si>
  <si>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</si>
  <si>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</si>
  <si>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</si>
  <si>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</si>
  <si>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</si>
  <si>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</si>
  <si>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</si>
  <si>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</si>
  <si>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</si>
  <si>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</si>
  <si>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</si>
  <si>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</si>
  <si>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</si>
  <si>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</si>
  <si>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</si>
  <si>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</si>
  <si>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</si>
  <si>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</si>
  <si>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</si>
  <si>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</si>
  <si>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</si>
  <si>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</si>
  <si>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</si>
  <si>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</si>
  <si>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</si>
  <si>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</si>
  <si>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</si>
  <si>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</si>
  <si>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</si>
  <si>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</si>
  <si>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</si>
  <si>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</si>
  <si>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</si>
  <si>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</si>
  <si>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</si>
  <si>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</si>
  <si>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</si>
  <si>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</si>
  <si>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</si>
  <si>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</si>
  <si>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</si>
  <si>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</si>
  <si>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</si>
  <si>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</si>
  <si>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</si>
  <si>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</si>
  <si>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</si>
  <si>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</si>
  <si>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</si>
  <si>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</si>
  <si>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</si>
  <si>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</si>
  <si>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</si>
  <si>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</si>
  <si>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</si>
  <si>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</si>
  <si>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</si>
  <si>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</si>
  <si>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</si>
  <si>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</si>
  <si>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</si>
  <si>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</si>
  <si>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</si>
  <si>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</si>
  <si>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</si>
  <si>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</si>
  <si>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</si>
  <si>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</si>
  <si>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</si>
  <si>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</si>
  <si>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</si>
  <si>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</si>
  <si>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</si>
  <si>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</si>
  <si>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</si>
  <si>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</si>
  <si>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</si>
  <si>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</si>
  <si>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</si>
  <si>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</si>
  <si>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</si>
  <si>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</si>
  <si>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</si>
  <si>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</si>
  <si>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</si>
  <si>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</si>
  <si>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</si>
  <si>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</si>
  <si>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</si>
  <si>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</si>
  <si>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</si>
  <si>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</si>
  <si>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</si>
  <si>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</si>
  <si>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</si>
  <si>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</si>
  <si>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</si>
  <si>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</si>
  <si>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</si>
  <si>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</si>
  <si>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</si>
  <si>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</si>
  <si>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</si>
  <si>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</si>
  <si>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</si>
  <si>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</si>
  <si>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</si>
  <si>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</si>
  <si>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</si>
  <si>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</si>
  <si>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</si>
  <si>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</si>
  <si>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</si>
  <si>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</si>
  <si>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</si>
  <si>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</si>
  <si>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</si>
  <si>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</si>
  <si>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</si>
  <si>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</si>
  <si>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</si>
  <si>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</si>
  <si>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</si>
  <si>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</si>
  <si>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</si>
  <si>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</si>
  <si>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</si>
  <si>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</si>
  <si>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</si>
  <si>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</si>
  <si>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</si>
  <si>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</si>
  <si>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</si>
  <si>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</si>
  <si>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</si>
  <si>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</si>
  <si>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</si>
  <si>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</si>
  <si>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</si>
  <si>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</si>
  <si>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</si>
  <si>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</si>
  <si>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</si>
  <si>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</si>
  <si>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</si>
  <si>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</si>
  <si>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</si>
  <si>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</si>
  <si>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</si>
  <si>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</si>
  <si>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</si>
  <si>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</si>
  <si>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</si>
  <si>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</si>
  <si>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</si>
  <si>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</si>
  <si>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</si>
  <si>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</si>
  <si>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</si>
  <si>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</si>
  <si>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</si>
  <si>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</si>
  <si>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</si>
  <si>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</si>
  <si>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</si>
  <si>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</si>
  <si>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</si>
  <si>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</si>
  <si>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</si>
  <si>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</si>
  <si>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</si>
  <si>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</si>
  <si>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</si>
  <si>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</si>
  <si>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</si>
  <si>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</si>
  <si>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</si>
  <si>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</si>
  <si>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</si>
  <si>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</si>
  <si>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</si>
  <si>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</si>
  <si>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</si>
  <si>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</si>
  <si>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</si>
  <si>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</si>
  <si>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</si>
  <si>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</si>
  <si>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</si>
  <si>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</si>
  <si>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</si>
  <si>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</si>
  <si>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</si>
  <si>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</si>
  <si>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</si>
  <si>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</si>
  <si>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</si>
  <si>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</si>
  <si>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</si>
  <si>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</si>
  <si>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</si>
  <si>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</si>
  <si>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</si>
  <si>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</si>
  <si>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</si>
  <si>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</si>
  <si>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</si>
  <si>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</si>
  <si>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</si>
  <si>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</si>
  <si>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</si>
  <si>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</si>
  <si>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</si>
  <si>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</si>
  <si>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</si>
  <si>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</si>
  <si>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</si>
  <si>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</si>
  <si>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</si>
  <si>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</si>
  <si>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</si>
  <si>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</si>
  <si>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</si>
  <si>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</si>
  <si>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</si>
  <si>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</si>
  <si>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</si>
  <si>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</si>
  <si>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</si>
  <si>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</si>
  <si>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</si>
  <si>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</si>
  <si>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</si>
  <si>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</si>
  <si>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</si>
  <si>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</si>
  <si>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</si>
  <si>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</si>
  <si>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</si>
  <si>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</si>
  <si>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</si>
  <si>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</si>
  <si>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</si>
  <si>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</si>
  <si>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</si>
  <si>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</si>
  <si>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</si>
  <si>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</si>
  <si>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</si>
  <si>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</si>
  <si>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</si>
  <si>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</si>
  <si>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</si>
  <si>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</si>
  <si>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</si>
  <si>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</si>
  <si>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</si>
  <si>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</si>
  <si>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</si>
  <si>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</si>
  <si>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</si>
  <si>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</si>
  <si>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</si>
  <si>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</si>
  <si>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</si>
  <si>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</si>
  <si>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</si>
  <si>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</si>
  <si>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</si>
  <si>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</si>
  <si>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</si>
  <si>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</si>
  <si>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</si>
  <si>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</si>
  <si>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</si>
  <si>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</si>
  <si>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</si>
  <si>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</si>
  <si>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</si>
  <si>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</si>
  <si>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</si>
  <si>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</si>
  <si>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</si>
  <si>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</si>
  <si>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</si>
  <si>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</si>
  <si>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</si>
  <si>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</si>
  <si>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</si>
  <si>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</si>
  <si>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</si>
  <si>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</si>
  <si>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</si>
  <si>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</si>
  <si>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</si>
  <si>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</si>
  <si>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</si>
  <si>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</si>
  <si>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</si>
  <si>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</si>
  <si>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</si>
  <si>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</si>
  <si>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</si>
  <si>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</si>
  <si>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</si>
  <si>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</si>
  <si>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</si>
  <si>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</si>
  <si>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</si>
  <si>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</si>
  <si>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</si>
  <si>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</si>
  <si>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</si>
  <si>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</si>
  <si>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</si>
  <si>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</si>
  <si>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</si>
  <si>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</si>
  <si>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</si>
  <si>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</si>
  <si>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</si>
  <si>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</si>
  <si>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</si>
  <si>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</si>
  <si>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</si>
  <si>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</si>
  <si>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</si>
  <si>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</si>
  <si>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</si>
  <si>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</si>
  <si>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</si>
  <si>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</si>
  <si>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</si>
  <si>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</si>
  <si>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</si>
  <si>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</si>
  <si>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</si>
  <si>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</si>
  <si>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</si>
  <si>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</si>
  <si>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</si>
  <si>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</si>
  <si>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</si>
  <si>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</si>
  <si>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</si>
  <si>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</si>
  <si>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</si>
  <si>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</si>
  <si>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</si>
  <si>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</si>
  <si>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</si>
  <si>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</si>
  <si>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</si>
  <si>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</si>
  <si>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</si>
  <si>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</si>
  <si>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</si>
  <si>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</si>
  <si>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</si>
  <si>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</si>
  <si>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</si>
  <si>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</si>
  <si>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</si>
  <si>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</si>
  <si>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</si>
  <si>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</si>
  <si>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</si>
  <si>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</si>
  <si>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</si>
  <si>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</si>
  <si>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</si>
  <si>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</si>
  <si>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</si>
  <si>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</si>
  <si>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</si>
  <si>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</si>
  <si>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</si>
  <si>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</si>
  <si>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</si>
  <si>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</si>
  <si>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</si>
  <si>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</si>
  <si>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</si>
  <si>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</si>
  <si>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</si>
  <si>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</si>
  <si>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</si>
  <si>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</si>
  <si>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</si>
  <si>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</si>
  <si>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</si>
  <si>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</si>
  <si>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</si>
  <si>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</si>
  <si>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</si>
  <si>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</si>
  <si>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</si>
  <si>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</si>
  <si>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</si>
  <si>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</si>
  <si>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</si>
  <si>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</si>
  <si>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</si>
  <si>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</si>
  <si>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</si>
  <si>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</si>
  <si>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</si>
  <si>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</si>
  <si>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</si>
  <si>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</si>
  <si>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</si>
  <si>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</si>
  <si>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</si>
  <si>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</si>
  <si>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</si>
  <si>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</si>
  <si>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</si>
  <si>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</si>
  <si>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</si>
  <si>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</si>
  <si>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</si>
  <si>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</si>
  <si>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</si>
  <si>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</si>
  <si>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</si>
  <si>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</si>
  <si>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</si>
  <si>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</si>
  <si>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</si>
  <si>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</si>
  <si>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</si>
  <si>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</si>
  <si>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</si>
  <si>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</si>
  <si>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</si>
  <si>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</si>
  <si>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</si>
  <si>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</si>
  <si>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</si>
  <si>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</si>
  <si>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</si>
  <si>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</si>
  <si>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</si>
  <si>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</si>
  <si>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</si>
  <si>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</si>
  <si>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</si>
  <si>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</si>
  <si>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</si>
  <si>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</si>
  <si>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</si>
  <si>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</si>
  <si>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</si>
  <si>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</si>
  <si>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</si>
  <si>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</si>
  <si>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</si>
  <si>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</si>
  <si>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</si>
  <si>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</si>
  <si>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</si>
  <si>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</si>
  <si>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</si>
  <si>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</si>
  <si>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</si>
  <si>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</si>
  <si>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</si>
  <si>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</si>
  <si>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</si>
  <si>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</si>
  <si>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</si>
  <si>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</si>
  <si>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</si>
  <si>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</si>
  <si>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</si>
  <si>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</si>
  <si>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</si>
  <si>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</si>
  <si>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</si>
  <si>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</si>
  <si>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</si>
  <si>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</si>
  <si>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</si>
  <si>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</si>
  <si>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</si>
  <si>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</si>
  <si>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</si>
  <si>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</si>
  <si>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</si>
  <si>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</si>
  <si>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</si>
  <si>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</si>
  <si>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</si>
  <si>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</si>
  <si>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</si>
  <si>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</si>
  <si>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</si>
  <si>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</si>
  <si>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</si>
  <si>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</si>
  <si>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</si>
  <si>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</si>
  <si>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</si>
  <si>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</si>
  <si>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</si>
  <si>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</si>
  <si>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</si>
  <si>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</si>
  <si>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</si>
  <si>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</si>
  <si>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</si>
  <si>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</si>
  <si>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</si>
  <si>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</si>
  <si>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</si>
  <si>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</si>
  <si>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</si>
  <si>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</si>
  <si>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</si>
  <si>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</si>
  <si>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</si>
  <si>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</si>
  <si>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</si>
  <si>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</si>
  <si>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</si>
  <si>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</si>
  <si>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</si>
  <si>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</si>
  <si>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</si>
  <si>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</si>
  <si>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</si>
  <si>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</si>
  <si>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</si>
  <si>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</si>
  <si>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</si>
  <si>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</si>
  <si>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</si>
  <si>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</si>
  <si>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</si>
  <si>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</si>
  <si>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</si>
  <si>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</si>
  <si>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</si>
  <si>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</si>
  <si>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</si>
  <si>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</si>
  <si>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</si>
  <si>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</si>
  <si>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</si>
  <si>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</si>
  <si>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</si>
  <si>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</si>
  <si>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</si>
  <si>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</si>
  <si>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</si>
  <si>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</si>
  <si>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</si>
  <si>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</si>
  <si>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</si>
  <si>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</si>
  <si>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</si>
  <si>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</si>
  <si>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</si>
  <si>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</si>
  <si>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</si>
  <si>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</si>
  <si>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</si>
  <si>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</si>
  <si>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</si>
  <si>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</si>
  <si>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</si>
  <si>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</si>
  <si>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</si>
  <si>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</si>
  <si>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</si>
  <si>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</si>
  <si>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</si>
  <si>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Xe  lamp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</si>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</sst>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5" fillId="0" borderId="0" applyNumberFormat="0" applyFill="0" applyBorder="0" applyAlignment="0" applyProtection="0"/>
    <xf numFmtId="0" fontId="14" fillId="0" borderId="0"/>
    <xf numFmtId="0" fontId="13" fillId="0" borderId="0"/>
    <xf numFmtId="0" fontId="9" fillId="0" borderId="0"/>
  </cellStyleXfs>
  <cellXfs count="90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5" fillId="0" borderId="0" xfId="1"/>
    <xf numFmtId="0" fontId="0" fillId="4" borderId="0" xfId="0" applyFill="1"/>
    <xf numFmtId="0" fontId="0" fillId="5" borderId="0" xfId="0" applyFill="1"/>
    <xf numFmtId="0" fontId="15" fillId="0" borderId="0" xfId="1" applyFill="1"/>
    <xf numFmtId="0" fontId="16" fillId="0" borderId="0" xfId="0" applyFont="1" applyFill="1"/>
    <xf numFmtId="0" fontId="14" fillId="0" borderId="0" xfId="2"/>
    <xf numFmtId="0" fontId="17" fillId="0" borderId="1" xfId="2" applyFont="1" applyBorder="1" applyAlignment="1">
      <alignment horizontal="center" vertical="top"/>
    </xf>
    <xf numFmtId="0" fontId="17" fillId="0" borderId="1" xfId="0" applyFont="1" applyBorder="1" applyAlignment="1">
      <alignment horizontal="center" vertical="top"/>
    </xf>
    <xf numFmtId="0" fontId="13" fillId="0" borderId="0" xfId="2" applyFont="1"/>
    <xf numFmtId="0" fontId="13" fillId="0" borderId="0" xfId="3"/>
    <xf numFmtId="0" fontId="17" fillId="0" borderId="1" xfId="3" applyFont="1" applyBorder="1" applyAlignment="1">
      <alignment horizontal="center" vertical="top"/>
    </xf>
    <xf numFmtId="0" fontId="13" fillId="2" borderId="0" xfId="3" applyFill="1"/>
    <xf numFmtId="0" fontId="17" fillId="0" borderId="0" xfId="3" applyFont="1" applyBorder="1" applyAlignment="1">
      <alignment horizontal="center" vertical="top"/>
    </xf>
    <xf numFmtId="0" fontId="12" fillId="0" borderId="0" xfId="3" applyFont="1"/>
    <xf numFmtId="0" fontId="11" fillId="0" borderId="0" xfId="3" applyFont="1"/>
    <xf numFmtId="0" fontId="17" fillId="0" borderId="2" xfId="0" applyFont="1" applyFill="1" applyBorder="1" applyAlignment="1">
      <alignment horizontal="center" vertical="top"/>
    </xf>
    <xf numFmtId="0" fontId="10" fillId="0" borderId="0" xfId="3" applyFont="1"/>
    <xf numFmtId="0" fontId="9" fillId="0" borderId="0" xfId="4"/>
    <xf numFmtId="0" fontId="17" fillId="0" borderId="1" xfId="4" applyFont="1" applyBorder="1" applyAlignment="1">
      <alignment horizontal="center" vertical="top"/>
    </xf>
    <xf numFmtId="0" fontId="9" fillId="0" borderId="0" xfId="4"/>
    <xf numFmtId="0" fontId="17" fillId="0" borderId="1" xfId="4" applyFont="1" applyBorder="1" applyAlignment="1">
      <alignment horizontal="center" vertical="top"/>
    </xf>
    <xf numFmtId="0" fontId="9" fillId="0" borderId="0" xfId="4"/>
    <xf numFmtId="0" fontId="17" fillId="0" borderId="1" xfId="4" applyFont="1" applyBorder="1" applyAlignment="1">
      <alignment horizontal="center" vertical="top"/>
    </xf>
    <xf numFmtId="0" fontId="17" fillId="6" borderId="1" xfId="0" applyFont="1" applyFill="1" applyBorder="1" applyAlignment="1">
      <alignment horizontal="center" vertical="top"/>
    </xf>
    <xf numFmtId="0" fontId="0" fillId="6" borderId="0" xfId="0" applyFill="1"/>
    <xf numFmtId="0" fontId="9" fillId="0" borderId="0" xfId="4" applyFill="1"/>
    <xf numFmtId="0" fontId="0" fillId="0" borderId="0" xfId="0" applyFill="1" applyBorder="1"/>
    <xf numFmtId="0" fontId="17" fillId="0" borderId="0" xfId="0" applyFont="1" applyBorder="1" applyAlignment="1">
      <alignment horizontal="center" vertical="top"/>
    </xf>
    <xf numFmtId="0" fontId="14" fillId="2" borderId="0" xfId="2" applyFill="1"/>
    <xf numFmtId="0" fontId="12" fillId="0" borderId="0" xfId="3" applyFont="1" applyFill="1"/>
    <xf numFmtId="0" fontId="13" fillId="0" borderId="0" xfId="3" applyFill="1"/>
    <xf numFmtId="0" fontId="14" fillId="0" borderId="0" xfId="2" applyFill="1"/>
    <xf numFmtId="0" fontId="9" fillId="2" borderId="0" xfId="4" applyFill="1"/>
    <xf numFmtId="0" fontId="8" fillId="0" borderId="0" xfId="3" applyFont="1"/>
    <xf numFmtId="0" fontId="8" fillId="4" borderId="0" xfId="3" applyFont="1" applyFill="1"/>
    <xf numFmtId="0" fontId="13" fillId="4" borderId="0" xfId="3" applyFill="1"/>
    <xf numFmtId="0" fontId="14" fillId="4" borderId="0" xfId="2" applyFill="1"/>
    <xf numFmtId="0" fontId="9" fillId="4" borderId="0" xfId="4" applyFill="1"/>
    <xf numFmtId="0" fontId="0" fillId="7" borderId="0" xfId="0" applyFill="1"/>
    <xf numFmtId="0" fontId="11" fillId="4" borderId="0" xfId="3" applyFont="1" applyFill="1"/>
    <xf numFmtId="0" fontId="0" fillId="8" borderId="0" xfId="0" applyFill="1"/>
    <xf numFmtId="0" fontId="8" fillId="0" borderId="0" xfId="4" applyFont="1"/>
    <xf numFmtId="0" fontId="12" fillId="4" borderId="0" xfId="3" applyFont="1" applyFill="1"/>
    <xf numFmtId="0" fontId="7" fillId="0" borderId="0" xfId="3" applyFont="1" applyFill="1"/>
    <xf numFmtId="0" fontId="11" fillId="0" borderId="0" xfId="3" applyFont="1" applyFill="1"/>
    <xf numFmtId="0" fontId="6" fillId="4" borderId="0" xfId="2" applyFont="1" applyFill="1"/>
    <xf numFmtId="0" fontId="17" fillId="9" borderId="1" xfId="4" applyFont="1" applyFill="1" applyBorder="1" applyAlignment="1">
      <alignment horizontal="center" vertical="top"/>
    </xf>
    <xf numFmtId="0" fontId="9" fillId="9" borderId="0" xfId="4" applyFill="1"/>
    <xf numFmtId="0" fontId="0" fillId="9" borderId="0" xfId="0" applyFill="1"/>
    <xf numFmtId="0" fontId="17" fillId="9" borderId="1" xfId="0" applyFont="1" applyFill="1" applyBorder="1" applyAlignment="1">
      <alignment horizontal="center" vertical="top"/>
    </xf>
    <xf numFmtId="0" fontId="17" fillId="10" borderId="1" xfId="0" applyFont="1" applyFill="1" applyBorder="1" applyAlignment="1">
      <alignment horizontal="center" vertical="top"/>
    </xf>
    <xf numFmtId="0" fontId="0" fillId="10" borderId="0" xfId="0" applyFill="1"/>
    <xf numFmtId="0" fontId="17" fillId="10" borderId="1" xfId="4" applyFont="1" applyFill="1" applyBorder="1" applyAlignment="1">
      <alignment horizontal="center" vertical="top"/>
    </xf>
    <xf numFmtId="0" fontId="9" fillId="10" borderId="0" xfId="4" applyFill="1"/>
    <xf numFmtId="0" fontId="5" fillId="0" borderId="0" xfId="2" applyFont="1"/>
    <xf numFmtId="0" fontId="17" fillId="11" borderId="1" xfId="0" applyFont="1" applyFill="1" applyBorder="1" applyAlignment="1">
      <alignment horizontal="center" vertical="top"/>
    </xf>
    <xf numFmtId="0" fontId="17" fillId="12" borderId="1" xfId="2" applyFont="1" applyFill="1" applyBorder="1" applyAlignment="1">
      <alignment horizontal="center" vertical="top"/>
    </xf>
    <xf numFmtId="0" fontId="17" fillId="12" borderId="1" xfId="0" applyFont="1" applyFill="1" applyBorder="1" applyAlignment="1">
      <alignment horizontal="center" vertical="top"/>
    </xf>
    <xf numFmtId="0" fontId="17" fillId="12" borderId="0" xfId="0" applyFont="1" applyFill="1" applyBorder="1" applyAlignment="1">
      <alignment horizontal="center" vertical="top"/>
    </xf>
    <xf numFmtId="0" fontId="17" fillId="11" borderId="2" xfId="0" applyFont="1" applyFill="1" applyBorder="1" applyAlignment="1">
      <alignment horizontal="center" vertical="top"/>
    </xf>
    <xf numFmtId="0" fontId="17" fillId="11" borderId="1" xfId="4" applyFont="1" applyFill="1" applyBorder="1" applyAlignment="1">
      <alignment horizontal="center" vertical="top"/>
    </xf>
    <xf numFmtId="0" fontId="18" fillId="0" borderId="0" xfId="1" applyFont="1" applyFill="1"/>
    <xf numFmtId="0" fontId="19" fillId="9" borderId="1" xfId="4" applyFont="1" applyFill="1" applyBorder="1" applyAlignment="1">
      <alignment horizontal="center" vertical="top"/>
    </xf>
    <xf numFmtId="0" fontId="0" fillId="13" borderId="0" xfId="0" applyFill="1"/>
    <xf numFmtId="0" fontId="3" fillId="0" borderId="0" xfId="3" applyFont="1"/>
    <xf numFmtId="0" fontId="0" fillId="14" borderId="0" xfId="0" applyFill="1"/>
    <xf numFmtId="0" fontId="3" fillId="0" borderId="0" xfId="2" applyFont="1"/>
    <xf numFmtId="0" fontId="0" fillId="15" borderId="0" xfId="0" applyFill="1"/>
    <xf numFmtId="0" fontId="4" fillId="0" borderId="0" xfId="3" applyFont="1" applyFill="1"/>
    <xf numFmtId="0" fontId="2" fillId="0" borderId="0" xfId="3" applyFont="1"/>
    <xf numFmtId="0" fontId="17" fillId="16" borderId="1" xfId="0" applyFont="1" applyFill="1" applyBorder="1" applyAlignment="1">
      <alignment horizontal="center" vertical="top"/>
    </xf>
    <xf numFmtId="0" fontId="0" fillId="16" borderId="0" xfId="0" applyFill="1"/>
    <xf numFmtId="0" fontId="17" fillId="0" borderId="3" xfId="0" applyFont="1" applyFill="1" applyBorder="1" applyAlignment="1">
      <alignment horizontal="center" vertical="top"/>
    </xf>
    <xf numFmtId="0" fontId="17" fillId="0" borderId="4" xfId="0" applyFont="1" applyBorder="1" applyAlignment="1">
      <alignment horizontal="center" vertical="top"/>
    </xf>
    <xf numFmtId="0" fontId="17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17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1" fillId="0" borderId="0" xfId="2" applyFont="1"/>
    <xf numFmtId="0" fontId="1" fillId="2" borderId="0" xfId="2" applyFont="1" applyFill="1"/>
    <xf numFmtId="0" fontId="0" fillId="4" borderId="1" xfId="0" applyFill="1" applyBorder="1"/>
    <xf numFmtId="0" fontId="1" fillId="0" borderId="0" xfId="3" applyFont="1"/>
    <xf numFmtId="0" fontId="0" fillId="0" borderId="1" xfId="0" applyFill="1" applyBorder="1"/>
    <xf numFmtId="0" fontId="0" fillId="14" borderId="1" xfId="0" applyFill="1" applyBorder="1"/>
    <xf numFmtId="0" fontId="14" fillId="14" borderId="0" xfId="2" applyFill="1"/>
    <xf numFmtId="0" fontId="5" fillId="4" borderId="0" xfId="2" applyFont="1" applyFill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4" Type="http://schemas.openxmlformats.org/officeDocument/2006/relationships/hyperlink" Target="https://www.crystallography.net/cod/15444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627"/>
  <sheetViews>
    <sheetView tabSelected="1" topLeftCell="B1" workbookViewId="0">
      <pane ySplit="1" topLeftCell="A2" activePane="bottomLeft" state="frozen"/>
      <selection pane="bottomLeft" activeCell="K25" sqref="K25"/>
    </sheetView>
  </sheetViews>
  <sheetFormatPr defaultRowHeight="14.4" x14ac:dyDescent="0.3"/>
  <cols>
    <col min="1" max="1" width="21.5546875" customWidth="1"/>
    <col min="2" max="2" width="15.44140625" customWidth="1"/>
    <col min="5" max="5" width="27.6640625" customWidth="1"/>
    <col min="6" max="6" width="12.109375" customWidth="1"/>
    <col min="8" max="8" width="12.33203125" customWidth="1"/>
    <col min="9" max="16" width="8.88671875" customWidth="1"/>
    <col min="17" max="60" width="8.88671875" hidden="1" customWidth="1"/>
    <col min="61" max="61" width="12.109375" style="79" customWidth="1"/>
    <col min="62" max="62" width="8.88671875" style="79"/>
    <col min="63" max="64" width="10.33203125" style="79" customWidth="1"/>
    <col min="65" max="65" width="20.21875" style="79" customWidth="1"/>
    <col min="66" max="66" width="8.88671875" style="79"/>
    <col min="67" max="67" width="12.5546875" style="79" customWidth="1"/>
    <col min="68" max="68" width="18.109375" style="79" customWidth="1"/>
    <col min="69" max="69" width="10.5546875" style="79" customWidth="1"/>
    <col min="70" max="70" width="8.88671875" style="79"/>
    <col min="71" max="71" width="10.6640625" style="79" customWidth="1"/>
    <col min="72" max="72" width="11.21875" style="79" customWidth="1"/>
    <col min="73" max="73" width="10" style="79" customWidth="1"/>
    <col min="74" max="74" width="8.88671875" style="79"/>
    <col min="75" max="77" width="13.21875" style="79" customWidth="1"/>
    <col min="78" max="78" width="12.6640625" style="81" customWidth="1"/>
    <col min="79" max="79" width="13.88671875" customWidth="1"/>
  </cols>
  <sheetData>
    <row r="1" spans="1:79" x14ac:dyDescent="0.3">
      <c r="A1" s="2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63" t="s">
        <v>1096</v>
      </c>
      <c r="J1" s="64" t="s">
        <v>1108</v>
      </c>
      <c r="K1" s="59" t="s">
        <v>1191</v>
      </c>
      <c r="L1" s="59" t="s">
        <v>1203</v>
      </c>
      <c r="M1" s="2" t="s">
        <v>467</v>
      </c>
      <c r="N1" s="2" t="s">
        <v>468</v>
      </c>
      <c r="O1" s="2" t="s">
        <v>469</v>
      </c>
      <c r="P1" s="2" t="s">
        <v>438</v>
      </c>
      <c r="Q1" s="30" t="s">
        <v>1132</v>
      </c>
      <c r="R1" s="26" t="s">
        <v>1105</v>
      </c>
      <c r="S1" s="26" t="s">
        <v>1106</v>
      </c>
      <c r="T1" s="26" t="s">
        <v>1107</v>
      </c>
      <c r="U1" s="11" t="s">
        <v>1192</v>
      </c>
      <c r="V1" s="11" t="s">
        <v>1193</v>
      </c>
      <c r="W1" s="11" t="s">
        <v>1194</v>
      </c>
      <c r="X1" s="11" t="s">
        <v>1199</v>
      </c>
      <c r="Y1" s="11" t="s">
        <v>1200</v>
      </c>
      <c r="Z1" s="11" t="s">
        <v>1201</v>
      </c>
      <c r="AA1" s="2" t="s">
        <v>466</v>
      </c>
      <c r="AB1" s="11" t="s">
        <v>1094</v>
      </c>
      <c r="AC1" s="54" t="s">
        <v>1103</v>
      </c>
      <c r="AD1" s="56" t="s">
        <v>1196</v>
      </c>
      <c r="AE1" s="54" t="s">
        <v>1195</v>
      </c>
      <c r="AF1" s="54" t="s">
        <v>1202</v>
      </c>
      <c r="AG1" s="66" t="s">
        <v>1104</v>
      </c>
      <c r="AH1" s="50" t="s">
        <v>1197</v>
      </c>
      <c r="AI1" s="53" t="s">
        <v>1198</v>
      </c>
      <c r="AJ1" s="53" t="s">
        <v>1204</v>
      </c>
      <c r="AK1" s="27" t="s">
        <v>1113</v>
      </c>
      <c r="AL1" s="27" t="s">
        <v>1114</v>
      </c>
      <c r="AM1" s="27" t="s">
        <v>1115</v>
      </c>
      <c r="AN1" s="27" t="s">
        <v>1116</v>
      </c>
      <c r="AO1" s="27" t="s">
        <v>1117</v>
      </c>
      <c r="AP1" s="27" t="s">
        <v>1118</v>
      </c>
      <c r="AQ1" s="27" t="s">
        <v>1119</v>
      </c>
      <c r="AR1" s="27" t="s">
        <v>1120</v>
      </c>
      <c r="AS1" s="26" t="s">
        <v>1109</v>
      </c>
      <c r="AT1" s="26" t="s">
        <v>1110</v>
      </c>
      <c r="AU1" s="26" t="s">
        <v>1111</v>
      </c>
      <c r="AV1" s="26" t="s">
        <v>1112</v>
      </c>
      <c r="AW1" s="11" t="s">
        <v>1092</v>
      </c>
      <c r="AX1" s="11" t="s">
        <v>1093</v>
      </c>
      <c r="AY1" s="74" t="s">
        <v>1205</v>
      </c>
      <c r="AZ1" s="74" t="s">
        <v>1206</v>
      </c>
      <c r="BA1" s="74" t="s">
        <v>1207</v>
      </c>
      <c r="BB1" s="11" t="s">
        <v>1211</v>
      </c>
      <c r="BC1" s="11" t="s">
        <v>1208</v>
      </c>
      <c r="BD1" s="11" t="s">
        <v>1209</v>
      </c>
      <c r="BE1" s="11" t="s">
        <v>1210</v>
      </c>
      <c r="BF1" s="11" t="s">
        <v>1247</v>
      </c>
      <c r="BG1" s="11" t="s">
        <v>1248</v>
      </c>
      <c r="BH1" s="77" t="s">
        <v>1249</v>
      </c>
      <c r="BI1" s="78" t="s">
        <v>1251</v>
      </c>
      <c r="BJ1" s="78" t="s">
        <v>1252</v>
      </c>
      <c r="BK1" s="78" t="s">
        <v>1253</v>
      </c>
      <c r="BL1" s="78" t="s">
        <v>1307</v>
      </c>
      <c r="BM1" s="78" t="s">
        <v>1254</v>
      </c>
      <c r="BN1" s="79" t="s">
        <v>1250</v>
      </c>
      <c r="BO1" s="79" t="s">
        <v>1267</v>
      </c>
      <c r="BP1" s="78" t="s">
        <v>1256</v>
      </c>
      <c r="BQ1" s="78" t="s">
        <v>1257</v>
      </c>
      <c r="BR1" s="78" t="s">
        <v>1258</v>
      </c>
      <c r="BS1" s="78" t="s">
        <v>1259</v>
      </c>
      <c r="BT1" s="78" t="s">
        <v>1260</v>
      </c>
      <c r="BU1" s="78" t="s">
        <v>1261</v>
      </c>
      <c r="BV1" s="78" t="s">
        <v>1262</v>
      </c>
      <c r="BW1" s="78" t="s">
        <v>1285</v>
      </c>
      <c r="BX1" s="78" t="s">
        <v>1286</v>
      </c>
      <c r="BY1" s="78" t="s">
        <v>1295</v>
      </c>
      <c r="BZ1" s="80" t="s">
        <v>1265</v>
      </c>
    </row>
    <row r="2" spans="1:79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I2" s="65">
        <v>4</v>
      </c>
      <c r="J2" s="25">
        <v>4</v>
      </c>
      <c r="K2">
        <v>4</v>
      </c>
      <c r="L2">
        <v>0</v>
      </c>
      <c r="M2" s="2"/>
      <c r="N2" s="2"/>
      <c r="O2" s="2"/>
      <c r="P2" s="2"/>
      <c r="Q2" s="2"/>
      <c r="R2" s="25">
        <v>6.6040679999999998</v>
      </c>
      <c r="S2" s="25">
        <v>7.9389519999999996</v>
      </c>
      <c r="T2" s="25">
        <v>33.703336</v>
      </c>
      <c r="U2">
        <v>7.83</v>
      </c>
      <c r="V2">
        <v>33.209989999999998</v>
      </c>
      <c r="W2">
        <v>6.46</v>
      </c>
      <c r="X2">
        <v>0</v>
      </c>
      <c r="AA2" s="2"/>
      <c r="AB2">
        <v>34</v>
      </c>
      <c r="AC2" s="55">
        <f>M2*N2*O2</f>
        <v>0</v>
      </c>
      <c r="AD2" s="57">
        <v>1767.0449718798691</v>
      </c>
      <c r="AE2" s="55">
        <v>1679.8210721820001</v>
      </c>
      <c r="AF2" s="55">
        <v>0</v>
      </c>
      <c r="AG2" s="52"/>
      <c r="AH2" s="51">
        <v>7.6964651247849417E-2</v>
      </c>
      <c r="AI2" s="52">
        <v>8.0961003676030277E-2</v>
      </c>
      <c r="AJ2" s="52"/>
      <c r="AK2" s="28">
        <v>1.62962962962963</v>
      </c>
      <c r="AL2" s="28">
        <v>2.518518518518519</v>
      </c>
      <c r="AM2" s="28">
        <v>0.88888888888888884</v>
      </c>
      <c r="AN2" s="28">
        <v>0</v>
      </c>
      <c r="AO2" s="28">
        <v>0.32352941176470579</v>
      </c>
      <c r="AP2" s="28">
        <v>0.5</v>
      </c>
      <c r="AQ2" s="28">
        <v>0.1764705882352941</v>
      </c>
      <c r="AR2" s="28">
        <v>0</v>
      </c>
      <c r="AS2" s="25">
        <v>0.82</v>
      </c>
      <c r="AT2" s="25">
        <v>3.44</v>
      </c>
      <c r="AU2" s="25">
        <v>2.62</v>
      </c>
      <c r="AV2" s="25">
        <v>2.642962962962963</v>
      </c>
      <c r="AW2">
        <v>2.642962962962963</v>
      </c>
      <c r="AX2">
        <v>5.9587362692592576</v>
      </c>
      <c r="AY2" s="75">
        <v>0.48264383878002159</v>
      </c>
      <c r="AZ2" s="75">
        <v>0.50770488753139842</v>
      </c>
      <c r="BA2" s="75"/>
      <c r="BB2" t="s">
        <v>459</v>
      </c>
      <c r="BC2">
        <v>3.8482325623924708E-2</v>
      </c>
      <c r="BD2">
        <v>4.0480501838015132E-2</v>
      </c>
      <c r="BF2">
        <v>7.8962827461939847E-2</v>
      </c>
      <c r="BG2" t="s">
        <v>459</v>
      </c>
      <c r="BH2">
        <v>0.49517436315571001</v>
      </c>
      <c r="BI2" s="79" t="s">
        <v>1264</v>
      </c>
      <c r="BJ2" s="79">
        <f t="shared" ref="BJ2:BJ10" si="0">1200+273</f>
        <v>1473</v>
      </c>
      <c r="BK2" s="79">
        <v>48</v>
      </c>
      <c r="BM2" s="79" t="s">
        <v>464</v>
      </c>
      <c r="BN2" s="79" t="s">
        <v>464</v>
      </c>
      <c r="BO2" s="79">
        <v>0</v>
      </c>
      <c r="BQ2" s="79">
        <v>2.85</v>
      </c>
      <c r="BR2" s="79">
        <v>14.3</v>
      </c>
      <c r="BS2" s="79" t="s">
        <v>464</v>
      </c>
      <c r="BT2" s="79" t="s">
        <v>464</v>
      </c>
      <c r="BU2" s="79" t="s">
        <v>1266</v>
      </c>
      <c r="BV2" s="79">
        <v>450</v>
      </c>
      <c r="BZ2" s="81">
        <v>130</v>
      </c>
      <c r="CA2">
        <f>LN(BZ2)</f>
        <v>4.8675344504555822</v>
      </c>
    </row>
    <row r="3" spans="1:79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I3" s="2"/>
      <c r="J3" s="25">
        <v>1</v>
      </c>
      <c r="K3">
        <v>1</v>
      </c>
      <c r="L3">
        <v>0</v>
      </c>
      <c r="M3" s="2">
        <v>7.806</v>
      </c>
      <c r="N3" s="2">
        <v>7.6680000000000001</v>
      </c>
      <c r="O3" s="2">
        <v>21.54</v>
      </c>
      <c r="P3" s="1" t="s">
        <v>513</v>
      </c>
      <c r="Q3" s="1"/>
      <c r="R3" s="25">
        <v>3.9327019999999999</v>
      </c>
      <c r="S3" s="25">
        <v>3.9458000000000002</v>
      </c>
      <c r="T3" s="25">
        <v>11.356398779999999</v>
      </c>
      <c r="U3">
        <v>3.9060000000000001</v>
      </c>
      <c r="V3">
        <v>21.603000000000002</v>
      </c>
      <c r="W3">
        <v>3.8879000000000001</v>
      </c>
      <c r="X3">
        <v>0</v>
      </c>
      <c r="AA3" s="2">
        <v>2</v>
      </c>
      <c r="AB3">
        <v>14</v>
      </c>
      <c r="AC3" s="55">
        <f t="shared" ref="AC3:AC91" si="1">M3*N3*O3</f>
        <v>1289.30702832</v>
      </c>
      <c r="AD3" s="57">
        <v>173.54502164551991</v>
      </c>
      <c r="AE3" s="55">
        <v>328.06612625219998</v>
      </c>
      <c r="AF3" s="55">
        <v>0</v>
      </c>
      <c r="AG3" s="52"/>
      <c r="AH3" s="51">
        <v>8.0670709348241429E-2</v>
      </c>
      <c r="AI3" s="52">
        <v>4.2674323496713393E-2</v>
      </c>
      <c r="AJ3" s="52"/>
      <c r="AK3" s="28">
        <v>1.7272727272727271</v>
      </c>
      <c r="AL3" s="28">
        <v>2.545454545454545</v>
      </c>
      <c r="AM3" s="28">
        <v>0.81818181818181823</v>
      </c>
      <c r="AN3" s="28">
        <v>0</v>
      </c>
      <c r="AO3" s="28">
        <v>0.3392857142857143</v>
      </c>
      <c r="AP3" s="28">
        <v>0.5</v>
      </c>
      <c r="AQ3" s="28">
        <v>0.1607142857142857</v>
      </c>
      <c r="AR3" s="28">
        <v>0</v>
      </c>
      <c r="AS3" s="25">
        <v>0.82</v>
      </c>
      <c r="AT3" s="25">
        <v>3.44</v>
      </c>
      <c r="AU3" s="25">
        <v>2.62</v>
      </c>
      <c r="AV3" s="25">
        <v>2.6545454545454539</v>
      </c>
      <c r="AW3">
        <v>2.6545454545454539</v>
      </c>
      <c r="AX3">
        <v>5.9946911436363637</v>
      </c>
      <c r="AY3" s="75">
        <v>0.48450364842179561</v>
      </c>
      <c r="AZ3" s="75"/>
      <c r="BA3" s="75"/>
      <c r="BC3">
        <v>4.0335354674120701E-2</v>
      </c>
      <c r="BD3">
        <v>2.13371617483567E-2</v>
      </c>
      <c r="BF3">
        <v>6.1672516422477411E-2</v>
      </c>
      <c r="BG3">
        <v>3.0836258211238698E-2</v>
      </c>
      <c r="BH3">
        <v>0.48450364842179561</v>
      </c>
      <c r="BI3" s="79" t="s">
        <v>1264</v>
      </c>
      <c r="BJ3" s="79">
        <f t="shared" si="0"/>
        <v>1473</v>
      </c>
      <c r="BK3" s="79">
        <v>48</v>
      </c>
      <c r="BM3" s="79" t="s">
        <v>464</v>
      </c>
      <c r="BN3" s="79" t="s">
        <v>464</v>
      </c>
      <c r="BO3" s="79">
        <v>0</v>
      </c>
      <c r="BQ3" s="79">
        <v>2.85</v>
      </c>
      <c r="BR3" s="79">
        <v>14.3</v>
      </c>
      <c r="BS3" s="79" t="s">
        <v>464</v>
      </c>
      <c r="BT3" s="79" t="s">
        <v>464</v>
      </c>
      <c r="BU3" s="79" t="s">
        <v>1266</v>
      </c>
      <c r="BV3" s="79">
        <v>450</v>
      </c>
      <c r="BZ3" s="81">
        <v>28</v>
      </c>
      <c r="CA3">
        <f t="shared" ref="CA3:CA66" si="2">LN(BZ3)</f>
        <v>3.3322045101752038</v>
      </c>
    </row>
    <row r="4" spans="1:79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I4" s="2"/>
      <c r="J4" s="25">
        <v>2</v>
      </c>
      <c r="K4">
        <v>0</v>
      </c>
      <c r="L4">
        <v>0</v>
      </c>
      <c r="M4" s="2">
        <v>3.8849999999999998</v>
      </c>
      <c r="N4" s="2">
        <v>3.8849999999999998</v>
      </c>
      <c r="O4" s="2">
        <v>10.989000000000001</v>
      </c>
      <c r="P4" s="1" t="s">
        <v>439</v>
      </c>
      <c r="Q4" s="1"/>
      <c r="R4" s="25">
        <v>11.92921406</v>
      </c>
      <c r="S4" s="25">
        <v>11.92921406</v>
      </c>
      <c r="T4" s="25">
        <v>11.92921406</v>
      </c>
      <c r="U4">
        <v>0</v>
      </c>
      <c r="X4">
        <v>0</v>
      </c>
      <c r="AA4" s="2">
        <v>2</v>
      </c>
      <c r="AB4">
        <v>14</v>
      </c>
      <c r="AC4" s="55">
        <f t="shared" si="1"/>
        <v>165.859449525</v>
      </c>
      <c r="AD4" s="57">
        <v>349.00875366799971</v>
      </c>
      <c r="AE4" s="55">
        <v>0</v>
      </c>
      <c r="AF4" s="55">
        <v>0</v>
      </c>
      <c r="AG4" s="52"/>
      <c r="AH4" s="51">
        <v>8.0227214090553903E-2</v>
      </c>
      <c r="AI4" s="52"/>
      <c r="AJ4" s="52"/>
      <c r="AK4" s="28">
        <v>1.7272727272727271</v>
      </c>
      <c r="AL4" s="28">
        <v>2.545454545454545</v>
      </c>
      <c r="AM4" s="28">
        <v>0.81818181818181823</v>
      </c>
      <c r="AN4" s="28">
        <v>0</v>
      </c>
      <c r="AO4" s="28">
        <v>0.3392857142857143</v>
      </c>
      <c r="AP4" s="28">
        <v>0.5</v>
      </c>
      <c r="AQ4" s="28">
        <v>0.1607142857142857</v>
      </c>
      <c r="AR4" s="28">
        <v>0</v>
      </c>
      <c r="AS4" s="25">
        <v>0.82</v>
      </c>
      <c r="AT4" s="25">
        <v>3.44</v>
      </c>
      <c r="AU4" s="25">
        <v>2.62</v>
      </c>
      <c r="AV4" s="25">
        <v>2.6545454545454539</v>
      </c>
      <c r="AW4">
        <v>2.6545454545454552</v>
      </c>
      <c r="AX4">
        <v>5.9865512095454543</v>
      </c>
      <c r="AY4" s="75">
        <v>0.50734392504100967</v>
      </c>
      <c r="AZ4" s="75"/>
      <c r="BA4" s="75"/>
      <c r="BC4">
        <v>4.0113607045276937E-2</v>
      </c>
      <c r="BF4">
        <v>8.0227214090553903E-2</v>
      </c>
      <c r="BG4">
        <v>4.0113607045276937E-2</v>
      </c>
      <c r="BH4">
        <v>0.50734392504100967</v>
      </c>
      <c r="BI4" s="79" t="s">
        <v>1264</v>
      </c>
      <c r="BJ4" s="79">
        <f t="shared" si="0"/>
        <v>1473</v>
      </c>
      <c r="BK4" s="79">
        <v>48</v>
      </c>
      <c r="BM4" s="79" t="s">
        <v>464</v>
      </c>
      <c r="BN4" s="79" t="s">
        <v>464</v>
      </c>
      <c r="BO4" s="79">
        <v>0</v>
      </c>
      <c r="BQ4" s="79">
        <v>2.85</v>
      </c>
      <c r="BR4" s="79">
        <v>14.3</v>
      </c>
      <c r="BS4" s="79" t="s">
        <v>464</v>
      </c>
      <c r="BT4" s="79" t="s">
        <v>464</v>
      </c>
      <c r="BU4" s="79" t="s">
        <v>1266</v>
      </c>
      <c r="BV4" s="79">
        <v>450</v>
      </c>
      <c r="BZ4" s="81">
        <v>60</v>
      </c>
      <c r="CA4">
        <f t="shared" si="2"/>
        <v>4.0943445622221004</v>
      </c>
    </row>
    <row r="5" spans="1:79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I5" s="2"/>
      <c r="J5" s="25">
        <v>1</v>
      </c>
      <c r="K5">
        <v>1</v>
      </c>
      <c r="L5">
        <v>0</v>
      </c>
      <c r="M5" s="2">
        <v>3.9049999999999998</v>
      </c>
      <c r="N5" s="2">
        <v>3.9049999999999998</v>
      </c>
      <c r="O5" s="2">
        <v>11.185</v>
      </c>
      <c r="P5" s="1" t="s">
        <v>439</v>
      </c>
      <c r="Q5" s="1"/>
      <c r="R5" s="25">
        <v>3.952105</v>
      </c>
      <c r="S5" s="25">
        <v>3.952105</v>
      </c>
      <c r="T5" s="25">
        <v>11.503833</v>
      </c>
      <c r="U5">
        <v>3.9079999999999999</v>
      </c>
      <c r="V5">
        <v>3.9079999999999999</v>
      </c>
      <c r="W5">
        <v>11.16</v>
      </c>
      <c r="X5">
        <v>0</v>
      </c>
      <c r="AA5" s="2">
        <v>2</v>
      </c>
      <c r="AB5">
        <v>14</v>
      </c>
      <c r="AC5" s="55">
        <f t="shared" si="1"/>
        <v>170.56034462499997</v>
      </c>
      <c r="AD5" s="57">
        <v>179.6799083471451</v>
      </c>
      <c r="AE5" s="55">
        <v>170.44069823999999</v>
      </c>
      <c r="AF5" s="55">
        <v>0</v>
      </c>
      <c r="AG5" s="52"/>
      <c r="AH5" s="51">
        <v>7.7916335380980528E-2</v>
      </c>
      <c r="AI5" s="52">
        <v>8.2140006140355049E-2</v>
      </c>
      <c r="AJ5" s="52"/>
      <c r="AK5" s="28">
        <v>1.7272727272727271</v>
      </c>
      <c r="AL5" s="28">
        <v>2.545454545454545</v>
      </c>
      <c r="AM5" s="28">
        <v>0.81818181818181823</v>
      </c>
      <c r="AN5" s="28">
        <v>0</v>
      </c>
      <c r="AO5" s="28">
        <v>0.3392857142857143</v>
      </c>
      <c r="AP5" s="28">
        <v>0.5</v>
      </c>
      <c r="AQ5" s="28">
        <v>0.1607142857142857</v>
      </c>
      <c r="AR5" s="28">
        <v>0</v>
      </c>
      <c r="AS5" s="25">
        <v>0.79</v>
      </c>
      <c r="AT5" s="25">
        <v>3.44</v>
      </c>
      <c r="AU5" s="25">
        <v>2.65</v>
      </c>
      <c r="AV5" s="25">
        <v>2.6518181818181819</v>
      </c>
      <c r="AW5">
        <v>2.6518181818181819</v>
      </c>
      <c r="AX5">
        <v>5.9730281035195452</v>
      </c>
      <c r="AY5" s="75">
        <v>0.5243291310951993</v>
      </c>
      <c r="AZ5" s="75">
        <v>0.55275184384813547</v>
      </c>
      <c r="BA5" s="75"/>
      <c r="BC5">
        <v>3.8958167690490257E-2</v>
      </c>
      <c r="BD5">
        <v>4.1070003070177517E-2</v>
      </c>
      <c r="BF5">
        <v>8.0028170760667788E-2</v>
      </c>
      <c r="BG5">
        <v>4.0014085380333887E-2</v>
      </c>
      <c r="BH5">
        <v>0.53854048747166738</v>
      </c>
      <c r="BI5" s="79" t="s">
        <v>1264</v>
      </c>
      <c r="BJ5" s="79">
        <f t="shared" si="0"/>
        <v>1473</v>
      </c>
      <c r="BK5" s="79">
        <v>48</v>
      </c>
      <c r="BM5" s="79" t="s">
        <v>464</v>
      </c>
      <c r="BN5" s="79" t="s">
        <v>464</v>
      </c>
      <c r="BO5" s="79">
        <v>0</v>
      </c>
      <c r="BQ5" s="79">
        <v>2.85</v>
      </c>
      <c r="BR5" s="79">
        <v>14.3</v>
      </c>
      <c r="BS5" s="79" t="s">
        <v>464</v>
      </c>
      <c r="BT5" s="79" t="s">
        <v>464</v>
      </c>
      <c r="BU5" s="79" t="s">
        <v>1266</v>
      </c>
      <c r="BV5" s="79">
        <v>450</v>
      </c>
      <c r="BZ5" s="81">
        <v>12</v>
      </c>
      <c r="CA5">
        <f t="shared" si="2"/>
        <v>2.4849066497880004</v>
      </c>
    </row>
    <row r="6" spans="1:79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9" t="s">
        <v>527</v>
      </c>
      <c r="G6" t="s">
        <v>609</v>
      </c>
      <c r="I6" s="7"/>
      <c r="J6" s="25">
        <v>4</v>
      </c>
      <c r="K6">
        <v>4</v>
      </c>
      <c r="L6">
        <v>0</v>
      </c>
      <c r="M6" s="2">
        <v>7.7270000000000003</v>
      </c>
      <c r="N6" s="2">
        <v>7.7270000000000003</v>
      </c>
      <c r="O6" s="2">
        <v>29.466000000000001</v>
      </c>
      <c r="P6" s="2" t="s">
        <v>452</v>
      </c>
      <c r="Q6" s="2"/>
      <c r="R6" s="25">
        <v>7.8084429999999996</v>
      </c>
      <c r="S6" s="25">
        <v>7.8548809999999998</v>
      </c>
      <c r="T6" s="25">
        <v>15.19056011</v>
      </c>
      <c r="U6">
        <v>3.8801999999999999</v>
      </c>
      <c r="V6">
        <v>29.507999999999999</v>
      </c>
      <c r="W6">
        <v>7.7140000000000004</v>
      </c>
      <c r="X6">
        <v>0</v>
      </c>
      <c r="AA6" s="2">
        <v>3</v>
      </c>
      <c r="AB6">
        <v>20</v>
      </c>
      <c r="AC6" s="55">
        <f t="shared" si="1"/>
        <v>1759.3125835140002</v>
      </c>
      <c r="AD6" s="57">
        <v>924.74694800021894</v>
      </c>
      <c r="AE6" s="55">
        <v>883.22940750240002</v>
      </c>
      <c r="AF6" s="55">
        <v>0</v>
      </c>
      <c r="AG6" s="52"/>
      <c r="AH6" s="51">
        <v>8.6510153045653584E-2</v>
      </c>
      <c r="AI6" s="52">
        <v>9.0576694254581439E-2</v>
      </c>
      <c r="AJ6" s="52"/>
      <c r="AK6" s="28">
        <v>1.75</v>
      </c>
      <c r="AL6" s="28">
        <v>2.5</v>
      </c>
      <c r="AM6" s="28">
        <v>0.75</v>
      </c>
      <c r="AN6" s="28">
        <v>0</v>
      </c>
      <c r="AO6" s="28">
        <v>0.35</v>
      </c>
      <c r="AP6" s="28">
        <v>0.5</v>
      </c>
      <c r="AQ6" s="28">
        <v>0.15</v>
      </c>
      <c r="AR6" s="28">
        <v>0</v>
      </c>
      <c r="AS6" s="25">
        <v>0.82</v>
      </c>
      <c r="AT6" s="25">
        <v>3.44</v>
      </c>
      <c r="AU6" s="25">
        <v>2.62</v>
      </c>
      <c r="AV6" s="25">
        <v>2.6262500000000002</v>
      </c>
      <c r="AW6">
        <v>2.6262500000000002</v>
      </c>
      <c r="AX6">
        <v>5.96680968125</v>
      </c>
      <c r="AY6" s="75">
        <v>0.50555206026575039</v>
      </c>
      <c r="AZ6" s="75">
        <v>0</v>
      </c>
      <c r="BA6" s="75"/>
      <c r="BC6">
        <v>4.3255076522826792E-2</v>
      </c>
      <c r="BD6">
        <v>4.5288347127290719E-2</v>
      </c>
      <c r="BF6">
        <v>8.8543423650117511E-2</v>
      </c>
      <c r="BG6">
        <v>4.4271711825058763E-2</v>
      </c>
      <c r="BH6">
        <v>0.2527760301328752</v>
      </c>
      <c r="BI6" s="79" t="s">
        <v>1264</v>
      </c>
      <c r="BJ6" s="79">
        <f t="shared" si="0"/>
        <v>1473</v>
      </c>
      <c r="BK6" s="79">
        <v>48</v>
      </c>
      <c r="BM6" s="79" t="s">
        <v>464</v>
      </c>
      <c r="BN6" s="79" t="s">
        <v>464</v>
      </c>
      <c r="BO6" s="79">
        <v>0</v>
      </c>
      <c r="BQ6" s="79">
        <v>2.85</v>
      </c>
      <c r="BR6" s="79">
        <v>14.3</v>
      </c>
      <c r="BS6" s="79" t="s">
        <v>464</v>
      </c>
      <c r="BT6" s="79" t="s">
        <v>464</v>
      </c>
      <c r="BU6" s="79" t="s">
        <v>1266</v>
      </c>
      <c r="BV6" s="79">
        <v>450</v>
      </c>
      <c r="BZ6" s="81">
        <v>14</v>
      </c>
      <c r="CA6">
        <f t="shared" si="2"/>
        <v>2.6390573296152584</v>
      </c>
    </row>
    <row r="7" spans="1:79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I7" s="7"/>
      <c r="J7" s="25">
        <v>1</v>
      </c>
      <c r="K7">
        <v>1</v>
      </c>
      <c r="L7">
        <v>0</v>
      </c>
      <c r="M7" s="2">
        <v>7.7249999999999996</v>
      </c>
      <c r="N7" s="2">
        <v>7.7249999999999996</v>
      </c>
      <c r="O7" s="2">
        <v>14.909000000000001</v>
      </c>
      <c r="P7" s="2" t="s">
        <v>451</v>
      </c>
      <c r="Q7" s="2"/>
      <c r="R7" s="25">
        <v>3.9661010000000001</v>
      </c>
      <c r="S7" s="25">
        <v>3.9661010000000001</v>
      </c>
      <c r="T7" s="25">
        <v>15.283337</v>
      </c>
      <c r="U7">
        <v>3.8586499999999999</v>
      </c>
      <c r="V7">
        <v>3.8586499999999999</v>
      </c>
      <c r="W7">
        <v>14.9108</v>
      </c>
      <c r="X7">
        <v>0</v>
      </c>
      <c r="AA7" s="2">
        <v>3</v>
      </c>
      <c r="AB7">
        <v>20</v>
      </c>
      <c r="AC7" s="55">
        <f t="shared" si="1"/>
        <v>889.70389312500004</v>
      </c>
      <c r="AD7" s="57">
        <v>240.40623599981481</v>
      </c>
      <c r="AE7" s="55">
        <v>222.00958249733301</v>
      </c>
      <c r="AF7" s="55">
        <v>0</v>
      </c>
      <c r="AG7" s="52"/>
      <c r="AH7" s="51">
        <v>8.3192517518619641E-2</v>
      </c>
      <c r="AI7" s="52">
        <v>9.0086201573034624E-2</v>
      </c>
      <c r="AJ7" s="52"/>
      <c r="AK7" s="28">
        <v>1.75</v>
      </c>
      <c r="AL7" s="28">
        <v>2.5</v>
      </c>
      <c r="AM7" s="28">
        <v>0.75</v>
      </c>
      <c r="AN7" s="28">
        <v>0</v>
      </c>
      <c r="AO7" s="28">
        <v>0.35</v>
      </c>
      <c r="AP7" s="28">
        <v>0.5</v>
      </c>
      <c r="AQ7" s="28">
        <v>0.15</v>
      </c>
      <c r="AR7" s="28">
        <v>0</v>
      </c>
      <c r="AS7" s="25">
        <v>0.82</v>
      </c>
      <c r="AT7" s="25">
        <v>3.44</v>
      </c>
      <c r="AU7" s="25">
        <v>2.62</v>
      </c>
      <c r="AV7" s="25">
        <v>2.6262500000000002</v>
      </c>
      <c r="AW7">
        <v>2.6262500000000002</v>
      </c>
      <c r="AX7">
        <v>5.9612134765624996</v>
      </c>
      <c r="AY7" s="75">
        <v>0.50467688585120674</v>
      </c>
      <c r="AZ7" s="75">
        <v>0.54649654829675798</v>
      </c>
      <c r="BA7" s="75"/>
      <c r="BC7">
        <v>4.159625875930982E-2</v>
      </c>
      <c r="BD7">
        <v>4.5043100786517312E-2</v>
      </c>
      <c r="BF7">
        <v>8.6639359545827133E-2</v>
      </c>
      <c r="BG7">
        <v>4.3319679772913573E-2</v>
      </c>
      <c r="BH7">
        <v>0.5255867170739823</v>
      </c>
      <c r="BI7" s="79" t="s">
        <v>1264</v>
      </c>
      <c r="BJ7" s="79">
        <f t="shared" si="0"/>
        <v>1473</v>
      </c>
      <c r="BK7" s="79">
        <v>48</v>
      </c>
      <c r="BM7" s="79" t="s">
        <v>464</v>
      </c>
      <c r="BN7" s="79" t="s">
        <v>464</v>
      </c>
      <c r="BO7" s="79">
        <v>0</v>
      </c>
      <c r="BQ7" s="79">
        <v>2.85</v>
      </c>
      <c r="BR7" s="79">
        <v>14.3</v>
      </c>
      <c r="BS7" s="79" t="s">
        <v>464</v>
      </c>
      <c r="BT7" s="79" t="s">
        <v>464</v>
      </c>
      <c r="BU7" s="79" t="s">
        <v>1266</v>
      </c>
      <c r="BV7" s="79">
        <v>450</v>
      </c>
      <c r="BZ7" s="81">
        <v>3</v>
      </c>
      <c r="CA7">
        <f t="shared" si="2"/>
        <v>1.0986122886681098</v>
      </c>
    </row>
    <row r="8" spans="1:79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I8" s="7"/>
      <c r="J8" s="25">
        <v>8</v>
      </c>
      <c r="K8">
        <v>8</v>
      </c>
      <c r="L8">
        <v>0</v>
      </c>
      <c r="M8" s="2">
        <v>7.7270000000000003</v>
      </c>
      <c r="N8" s="2">
        <v>7.7270000000000003</v>
      </c>
      <c r="O8" s="2">
        <v>30.175999999999998</v>
      </c>
      <c r="P8" s="2" t="s">
        <v>452</v>
      </c>
      <c r="Q8" s="2"/>
      <c r="R8" s="25">
        <v>7.8252249999999997</v>
      </c>
      <c r="S8" s="25">
        <v>7.8345229999999999</v>
      </c>
      <c r="T8" s="25">
        <v>31.031406</v>
      </c>
      <c r="U8">
        <v>30.184999999999999</v>
      </c>
      <c r="V8">
        <v>7.74</v>
      </c>
      <c r="W8">
        <v>7.7460000000000004</v>
      </c>
      <c r="X8">
        <v>0</v>
      </c>
      <c r="AA8" s="2">
        <v>3</v>
      </c>
      <c r="AB8">
        <v>20</v>
      </c>
      <c r="AC8" s="55">
        <f t="shared" si="1"/>
        <v>1801.704219104</v>
      </c>
      <c r="AD8" s="57">
        <v>1902.4394671889761</v>
      </c>
      <c r="AE8" s="55">
        <v>1809.7126974</v>
      </c>
      <c r="AF8" s="55">
        <v>0</v>
      </c>
      <c r="AG8" s="52"/>
      <c r="AH8" s="51">
        <v>8.4102544527429435E-2</v>
      </c>
      <c r="AI8" s="52">
        <v>8.8411823727529093E-2</v>
      </c>
      <c r="AJ8" s="52"/>
      <c r="AK8" s="28">
        <v>1.75</v>
      </c>
      <c r="AL8" s="28">
        <v>2.5</v>
      </c>
      <c r="AM8" s="28">
        <v>0.75</v>
      </c>
      <c r="AN8" s="28">
        <v>0</v>
      </c>
      <c r="AO8" s="28">
        <v>0.35</v>
      </c>
      <c r="AP8" s="28">
        <v>0.5</v>
      </c>
      <c r="AQ8" s="28">
        <v>0.15</v>
      </c>
      <c r="AR8" s="28">
        <v>0</v>
      </c>
      <c r="AS8" s="25">
        <v>0.79</v>
      </c>
      <c r="AT8" s="25">
        <v>3.44</v>
      </c>
      <c r="AU8" s="25">
        <v>2.65</v>
      </c>
      <c r="AV8" s="25">
        <v>2.6243750000000001</v>
      </c>
      <c r="AW8">
        <v>2.6243750000000001</v>
      </c>
      <c r="AX8">
        <v>5.9519163411696878</v>
      </c>
      <c r="AY8" s="75">
        <v>0.53407279423354193</v>
      </c>
      <c r="AZ8" s="75">
        <v>0.5614378257728565</v>
      </c>
      <c r="BA8" s="75"/>
      <c r="BC8">
        <v>4.2051272263714717E-2</v>
      </c>
      <c r="BD8">
        <v>4.4205911863764553E-2</v>
      </c>
      <c r="BF8">
        <v>8.6257184127479264E-2</v>
      </c>
      <c r="BG8">
        <v>4.3128592063739632E-2</v>
      </c>
      <c r="BH8">
        <v>0.54775531000319921</v>
      </c>
      <c r="BI8" s="79" t="s">
        <v>1264</v>
      </c>
      <c r="BJ8" s="79">
        <f t="shared" si="0"/>
        <v>1473</v>
      </c>
      <c r="BK8" s="79">
        <v>48</v>
      </c>
      <c r="BM8" s="79" t="s">
        <v>464</v>
      </c>
      <c r="BN8" s="79" t="s">
        <v>464</v>
      </c>
      <c r="BO8" s="79">
        <v>0</v>
      </c>
      <c r="BQ8" s="79">
        <v>2.85</v>
      </c>
      <c r="BR8" s="79">
        <v>14.3</v>
      </c>
      <c r="BS8" s="79" t="s">
        <v>464</v>
      </c>
      <c r="BT8" s="79" t="s">
        <v>464</v>
      </c>
      <c r="BU8" s="79" t="s">
        <v>1266</v>
      </c>
      <c r="BV8" s="79">
        <v>450</v>
      </c>
      <c r="BZ8" s="81">
        <v>2</v>
      </c>
      <c r="CA8">
        <f t="shared" si="2"/>
        <v>0.69314718055994529</v>
      </c>
    </row>
    <row r="9" spans="1:79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9">
        <v>-1</v>
      </c>
      <c r="G9">
        <v>-1</v>
      </c>
      <c r="I9" s="2">
        <v>4</v>
      </c>
      <c r="J9" s="25">
        <v>0</v>
      </c>
      <c r="K9">
        <v>0</v>
      </c>
      <c r="L9">
        <v>0</v>
      </c>
      <c r="M9" s="2">
        <v>7.8310000000000004</v>
      </c>
      <c r="N9" s="2">
        <v>7.8010000000000002</v>
      </c>
      <c r="O9" s="2">
        <v>15.05</v>
      </c>
      <c r="P9" s="2" t="s">
        <v>1141</v>
      </c>
      <c r="Q9" s="2">
        <v>15.05</v>
      </c>
      <c r="R9" s="25">
        <v>0</v>
      </c>
      <c r="S9" s="25"/>
      <c r="T9" s="25"/>
      <c r="U9">
        <v>0</v>
      </c>
      <c r="X9">
        <v>0</v>
      </c>
      <c r="AA9" s="2">
        <v>3</v>
      </c>
      <c r="AB9">
        <v>20</v>
      </c>
      <c r="AC9" s="55">
        <f t="shared" si="1"/>
        <v>919.39894655000012</v>
      </c>
      <c r="AD9" s="57">
        <f>M9*N9*O9*SIN(RADIANS(97.44))</f>
        <v>911.65853089860946</v>
      </c>
      <c r="AE9" s="55">
        <v>0</v>
      </c>
      <c r="AF9" s="55">
        <v>0</v>
      </c>
      <c r="AG9" s="52">
        <f>I9*AB9/AC9</f>
        <v>8.7013369223660861E-2</v>
      </c>
      <c r="AH9" s="51"/>
      <c r="AI9" s="52"/>
      <c r="AJ9" s="52"/>
      <c r="AK9" s="28">
        <v>1.75</v>
      </c>
      <c r="AL9" s="28">
        <v>2.5</v>
      </c>
      <c r="AM9" s="28">
        <v>0.75</v>
      </c>
      <c r="AN9" s="28">
        <v>0</v>
      </c>
      <c r="AO9" s="28">
        <v>0.35</v>
      </c>
      <c r="AP9" s="28">
        <v>0.5</v>
      </c>
      <c r="AQ9" s="28">
        <v>0.15</v>
      </c>
      <c r="AR9" s="28">
        <v>0</v>
      </c>
      <c r="AS9" s="25">
        <v>0.82</v>
      </c>
      <c r="AT9" s="25">
        <v>3.44</v>
      </c>
      <c r="AU9" s="25">
        <v>2.62</v>
      </c>
      <c r="AV9" s="25">
        <v>2.62</v>
      </c>
      <c r="AW9">
        <v>2.62</v>
      </c>
      <c r="AX9">
        <v>5.9423863675000002</v>
      </c>
      <c r="AY9" s="75"/>
      <c r="AZ9" s="75"/>
      <c r="BA9" s="75"/>
      <c r="BB9">
        <v>4.350668461183043E-2</v>
      </c>
      <c r="BC9">
        <v>0</v>
      </c>
      <c r="BF9">
        <v>8.7013369223660861E-2</v>
      </c>
      <c r="BG9">
        <v>2.1753342305915219E-2</v>
      </c>
      <c r="BH9">
        <v>0</v>
      </c>
      <c r="BI9" s="79" t="s">
        <v>1264</v>
      </c>
      <c r="BJ9" s="79">
        <f t="shared" si="0"/>
        <v>1473</v>
      </c>
      <c r="BK9" s="79">
        <v>48</v>
      </c>
      <c r="BM9" s="79" t="s">
        <v>464</v>
      </c>
      <c r="BN9" s="79" t="s">
        <v>464</v>
      </c>
      <c r="BO9" s="79">
        <v>0</v>
      </c>
      <c r="BQ9" s="79">
        <v>2.85</v>
      </c>
      <c r="BR9" s="79">
        <v>14.3</v>
      </c>
      <c r="BS9" s="79" t="s">
        <v>464</v>
      </c>
      <c r="BT9" s="79" t="s">
        <v>464</v>
      </c>
      <c r="BU9" s="79" t="s">
        <v>1266</v>
      </c>
      <c r="BV9" s="79">
        <v>450</v>
      </c>
      <c r="BZ9" s="81">
        <v>10</v>
      </c>
      <c r="CA9">
        <f t="shared" si="2"/>
        <v>2.3025850929940459</v>
      </c>
    </row>
    <row r="10" spans="1:79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I10" s="2">
        <v>8</v>
      </c>
      <c r="J10" s="25">
        <v>0</v>
      </c>
      <c r="K10">
        <v>0</v>
      </c>
      <c r="L10">
        <v>0</v>
      </c>
      <c r="M10" s="2">
        <v>7.7489999999999997</v>
      </c>
      <c r="N10" s="2">
        <v>7.7359999999999998</v>
      </c>
      <c r="O10" s="2">
        <v>37.369999999999997</v>
      </c>
      <c r="P10" s="2" t="s">
        <v>1142</v>
      </c>
      <c r="Q10" s="2">
        <f>O10/2</f>
        <v>18.684999999999999</v>
      </c>
      <c r="R10" s="25">
        <v>0</v>
      </c>
      <c r="S10" s="25"/>
      <c r="T10" s="25"/>
      <c r="U10">
        <v>0</v>
      </c>
      <c r="X10">
        <v>0</v>
      </c>
      <c r="AA10" s="2">
        <v>4</v>
      </c>
      <c r="AB10">
        <v>26</v>
      </c>
      <c r="AC10" s="55">
        <f t="shared" si="1"/>
        <v>2240.1918856799994</v>
      </c>
      <c r="AD10" s="57">
        <v>2240</v>
      </c>
      <c r="AE10" s="55">
        <v>0</v>
      </c>
      <c r="AF10" s="55">
        <v>0</v>
      </c>
      <c r="AG10" s="52">
        <f>I10*AB10/AC10</f>
        <v>9.2849189093845236E-2</v>
      </c>
      <c r="AH10" s="51"/>
      <c r="AI10" s="52"/>
      <c r="AJ10" s="52"/>
      <c r="AK10" s="28">
        <v>1.714285714285714</v>
      </c>
      <c r="AL10" s="28">
        <v>2.4761904761904758</v>
      </c>
      <c r="AM10" s="28">
        <v>0.76190476190476186</v>
      </c>
      <c r="AN10" s="28">
        <v>0</v>
      </c>
      <c r="AO10" s="28">
        <v>0.34615384615384609</v>
      </c>
      <c r="AP10" s="28">
        <v>0.5</v>
      </c>
      <c r="AQ10" s="28">
        <v>0.1538461538461538</v>
      </c>
      <c r="AR10" s="28">
        <v>0</v>
      </c>
      <c r="AS10" s="25">
        <v>0.82</v>
      </c>
      <c r="AT10" s="25">
        <v>3.44</v>
      </c>
      <c r="AU10" s="25">
        <v>2.62</v>
      </c>
      <c r="AV10" s="25">
        <v>2.612857142857143</v>
      </c>
      <c r="AW10">
        <v>2.612857142857143</v>
      </c>
      <c r="AX10">
        <v>5.9413964502380949</v>
      </c>
      <c r="AY10" s="75"/>
      <c r="AZ10" s="75"/>
      <c r="BA10" s="75"/>
      <c r="BB10">
        <v>4.6424594546922618E-2</v>
      </c>
      <c r="BC10">
        <v>0</v>
      </c>
      <c r="BF10">
        <v>9.2849189093845236E-2</v>
      </c>
      <c r="BG10">
        <v>2.3212297273461309E-2</v>
      </c>
      <c r="BH10">
        <v>0</v>
      </c>
      <c r="BI10" s="79" t="s">
        <v>1264</v>
      </c>
      <c r="BJ10" s="79">
        <f t="shared" si="0"/>
        <v>1473</v>
      </c>
      <c r="BK10" s="79">
        <v>48</v>
      </c>
      <c r="BM10" s="79" t="s">
        <v>464</v>
      </c>
      <c r="BN10" s="79" t="s">
        <v>464</v>
      </c>
      <c r="BO10" s="79">
        <v>0</v>
      </c>
      <c r="BQ10" s="79">
        <v>2.85</v>
      </c>
      <c r="BR10" s="79">
        <v>14.3</v>
      </c>
      <c r="BS10" s="79" t="s">
        <v>464</v>
      </c>
      <c r="BT10" s="79" t="s">
        <v>464</v>
      </c>
      <c r="BU10" s="79" t="s">
        <v>1266</v>
      </c>
      <c r="BV10" s="79">
        <v>450</v>
      </c>
      <c r="BZ10" s="81">
        <v>5</v>
      </c>
      <c r="CA10">
        <f t="shared" si="2"/>
        <v>1.6094379124341003</v>
      </c>
    </row>
    <row r="11" spans="1:79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I11" s="2"/>
      <c r="J11" s="25">
        <v>30</v>
      </c>
      <c r="K11">
        <v>4</v>
      </c>
      <c r="L11">
        <v>0</v>
      </c>
      <c r="M11" s="2"/>
      <c r="N11" s="2"/>
      <c r="O11" s="2"/>
      <c r="P11" s="2"/>
      <c r="Q11" s="2"/>
      <c r="R11" s="25">
        <v>10.59112378</v>
      </c>
      <c r="S11" s="25">
        <v>10.784736629999999</v>
      </c>
      <c r="T11" s="25">
        <v>10.486176179999999</v>
      </c>
      <c r="U11">
        <v>3.73</v>
      </c>
      <c r="V11">
        <v>3.73</v>
      </c>
      <c r="W11">
        <v>9.3699999999999992</v>
      </c>
      <c r="X11">
        <v>0</v>
      </c>
      <c r="AA11" s="1" t="s">
        <v>459</v>
      </c>
      <c r="AB11">
        <v>4</v>
      </c>
      <c r="AC11" s="55">
        <f t="shared" si="1"/>
        <v>0</v>
      </c>
      <c r="AD11" s="57">
        <v>1182.741260108548</v>
      </c>
      <c r="AE11" s="55">
        <v>130.36387300000001</v>
      </c>
      <c r="AF11" s="55">
        <v>0</v>
      </c>
      <c r="AG11" s="52"/>
      <c r="AH11" s="51">
        <v>0.1014592151701775</v>
      </c>
      <c r="AI11" s="52">
        <v>0.1227333894874388</v>
      </c>
      <c r="AJ11" s="52"/>
      <c r="AK11" s="28">
        <v>2</v>
      </c>
      <c r="AL11" s="28">
        <v>2.666666666666667</v>
      </c>
      <c r="AM11" s="28">
        <v>0.66666666666666663</v>
      </c>
      <c r="AN11" s="28">
        <v>0</v>
      </c>
      <c r="AO11" s="28">
        <v>0.375</v>
      </c>
      <c r="AP11" s="28">
        <v>0.5</v>
      </c>
      <c r="AQ11" s="28">
        <v>0.125</v>
      </c>
      <c r="AR11" s="28">
        <v>0</v>
      </c>
      <c r="AS11" s="25">
        <v>1.54</v>
      </c>
      <c r="AT11" s="25">
        <v>3.44</v>
      </c>
      <c r="AU11" s="25">
        <v>1.9</v>
      </c>
      <c r="AV11" s="25">
        <v>2.8066666666666671</v>
      </c>
      <c r="AW11">
        <v>2.8066666666666662</v>
      </c>
      <c r="AX11">
        <v>6.1769976</v>
      </c>
      <c r="AY11" s="75">
        <v>0.46900407026869628</v>
      </c>
      <c r="AZ11" s="75">
        <v>0.56734579634715776</v>
      </c>
      <c r="BA11" s="75"/>
      <c r="BC11">
        <v>5.072960758508873E-2</v>
      </c>
      <c r="BD11">
        <v>6.136669474371937E-2</v>
      </c>
      <c r="BF11">
        <v>0.1120963023288082</v>
      </c>
      <c r="BG11">
        <v>5.604815116440405E-2</v>
      </c>
      <c r="BH11">
        <v>0.51817493330792708</v>
      </c>
      <c r="BM11" s="79" t="s">
        <v>464</v>
      </c>
      <c r="BN11" s="79" t="s">
        <v>464</v>
      </c>
      <c r="BO11" s="79">
        <v>0</v>
      </c>
      <c r="BQ11" s="79">
        <v>2.85</v>
      </c>
      <c r="BR11" s="79">
        <v>14.3</v>
      </c>
      <c r="BS11" s="79" t="s">
        <v>464</v>
      </c>
      <c r="BT11" s="79" t="s">
        <v>464</v>
      </c>
      <c r="BU11" s="79" t="s">
        <v>1266</v>
      </c>
      <c r="BV11" s="79">
        <v>450</v>
      </c>
      <c r="BZ11" s="81">
        <v>0</v>
      </c>
      <c r="CA11" t="e">
        <f t="shared" si="2"/>
        <v>#NUM!</v>
      </c>
    </row>
    <row r="12" spans="1:79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I12" s="65">
        <v>4</v>
      </c>
      <c r="J12" s="25">
        <v>4</v>
      </c>
      <c r="K12">
        <v>4</v>
      </c>
      <c r="L12">
        <v>0</v>
      </c>
      <c r="M12" s="2"/>
      <c r="N12" s="2"/>
      <c r="O12" s="2"/>
      <c r="P12" s="2"/>
      <c r="Q12" s="2"/>
      <c r="R12" s="25">
        <v>6.6040679999999998</v>
      </c>
      <c r="S12" s="25">
        <v>7.9389519999999996</v>
      </c>
      <c r="T12" s="25">
        <v>33.703336</v>
      </c>
      <c r="U12">
        <v>7.83</v>
      </c>
      <c r="V12">
        <v>33.209989999999998</v>
      </c>
      <c r="W12">
        <v>6.46</v>
      </c>
      <c r="X12">
        <v>0</v>
      </c>
      <c r="AA12" s="2"/>
      <c r="AB12">
        <v>34</v>
      </c>
      <c r="AC12" s="55">
        <f>M12*N12*O12</f>
        <v>0</v>
      </c>
      <c r="AD12" s="57">
        <v>1767.0449718798691</v>
      </c>
      <c r="AE12" s="55">
        <v>1679.8210721820001</v>
      </c>
      <c r="AF12" s="55">
        <v>0</v>
      </c>
      <c r="AG12" s="52"/>
      <c r="AH12" s="51">
        <v>7.6964651247849417E-2</v>
      </c>
      <c r="AI12" s="52">
        <v>8.0961003676030277E-2</v>
      </c>
      <c r="AJ12" s="52"/>
      <c r="AK12" s="28">
        <v>1.62962962962963</v>
      </c>
      <c r="AL12" s="28">
        <v>2.518518518518519</v>
      </c>
      <c r="AM12" s="28">
        <v>0.88888888888888884</v>
      </c>
      <c r="AN12" s="28">
        <v>0</v>
      </c>
      <c r="AO12" s="28">
        <v>0.32352941176470579</v>
      </c>
      <c r="AP12" s="28">
        <v>0.5</v>
      </c>
      <c r="AQ12" s="28">
        <v>0.1764705882352941</v>
      </c>
      <c r="AR12" s="28">
        <v>0</v>
      </c>
      <c r="AS12" s="25">
        <v>0.82</v>
      </c>
      <c r="AT12" s="25">
        <v>3.44</v>
      </c>
      <c r="AU12" s="25">
        <v>2.62</v>
      </c>
      <c r="AV12" s="25">
        <v>2.642962962962963</v>
      </c>
      <c r="AW12">
        <v>2.642962962962963</v>
      </c>
      <c r="AX12">
        <v>5.9587362692592576</v>
      </c>
      <c r="AY12" s="75">
        <v>0.48264383878002159</v>
      </c>
      <c r="AZ12" s="75">
        <v>0.50770488753139842</v>
      </c>
      <c r="BA12" s="75"/>
      <c r="BB12" t="s">
        <v>459</v>
      </c>
      <c r="BC12">
        <v>3.8482325623924708E-2</v>
      </c>
      <c r="BD12">
        <v>4.0480501838015132E-2</v>
      </c>
      <c r="BF12">
        <v>7.8962827461939847E-2</v>
      </c>
      <c r="BG12" t="s">
        <v>459</v>
      </c>
      <c r="BH12">
        <v>0.49517436315571001</v>
      </c>
      <c r="BI12" s="79" t="s">
        <v>1264</v>
      </c>
      <c r="BJ12" s="79">
        <f t="shared" ref="BJ12:BJ20" si="3">1200+273</f>
        <v>1473</v>
      </c>
      <c r="BK12" s="79">
        <v>48</v>
      </c>
      <c r="BM12" s="79" t="s">
        <v>1268</v>
      </c>
      <c r="BN12" s="79" t="s">
        <v>863</v>
      </c>
      <c r="BO12" s="79">
        <v>0.1</v>
      </c>
      <c r="BQ12" s="79">
        <v>2.85</v>
      </c>
      <c r="BR12" s="79">
        <v>14.3</v>
      </c>
      <c r="BS12" s="79" t="s">
        <v>464</v>
      </c>
      <c r="BT12" s="79" t="s">
        <v>464</v>
      </c>
      <c r="BU12" s="79" t="s">
        <v>1266</v>
      </c>
      <c r="BV12" s="79">
        <v>450</v>
      </c>
      <c r="BZ12" s="81">
        <v>270</v>
      </c>
      <c r="CA12">
        <f t="shared" si="2"/>
        <v>5.598421958998375</v>
      </c>
    </row>
    <row r="13" spans="1:79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I13" s="2"/>
      <c r="J13" s="25">
        <v>1</v>
      </c>
      <c r="K13">
        <v>1</v>
      </c>
      <c r="L13">
        <v>0</v>
      </c>
      <c r="M13" s="2">
        <v>7.806</v>
      </c>
      <c r="N13" s="2">
        <v>7.6680000000000001</v>
      </c>
      <c r="O13" s="2">
        <v>21.54</v>
      </c>
      <c r="P13" s="1" t="s">
        <v>513</v>
      </c>
      <c r="Q13" s="1"/>
      <c r="R13" s="25">
        <v>3.9327019999999999</v>
      </c>
      <c r="S13" s="25">
        <v>3.9458000000000002</v>
      </c>
      <c r="T13" s="25">
        <v>11.356398779999999</v>
      </c>
      <c r="U13">
        <v>3.9060000000000001</v>
      </c>
      <c r="V13">
        <v>21.603000000000002</v>
      </c>
      <c r="W13">
        <v>3.8879000000000001</v>
      </c>
      <c r="X13">
        <v>0</v>
      </c>
      <c r="AA13" s="2">
        <v>2</v>
      </c>
      <c r="AB13">
        <v>14</v>
      </c>
      <c r="AC13" s="55">
        <f t="shared" ref="AC13:AC21" si="4">M13*N13*O13</f>
        <v>1289.30702832</v>
      </c>
      <c r="AD13" s="57">
        <v>173.54502164551991</v>
      </c>
      <c r="AE13" s="55">
        <v>328.06612625219998</v>
      </c>
      <c r="AF13" s="55">
        <v>0</v>
      </c>
      <c r="AG13" s="52"/>
      <c r="AH13" s="51">
        <v>8.0670709348241429E-2</v>
      </c>
      <c r="AI13" s="52">
        <v>4.2674323496713393E-2</v>
      </c>
      <c r="AJ13" s="52"/>
      <c r="AK13" s="28">
        <v>1.7272727272727271</v>
      </c>
      <c r="AL13" s="28">
        <v>2.545454545454545</v>
      </c>
      <c r="AM13" s="28">
        <v>0.81818181818181823</v>
      </c>
      <c r="AN13" s="28">
        <v>0</v>
      </c>
      <c r="AO13" s="28">
        <v>0.3392857142857143</v>
      </c>
      <c r="AP13" s="28">
        <v>0.5</v>
      </c>
      <c r="AQ13" s="28">
        <v>0.1607142857142857</v>
      </c>
      <c r="AR13" s="28">
        <v>0</v>
      </c>
      <c r="AS13" s="25">
        <v>0.82</v>
      </c>
      <c r="AT13" s="25">
        <v>3.44</v>
      </c>
      <c r="AU13" s="25">
        <v>2.62</v>
      </c>
      <c r="AV13" s="25">
        <v>2.6545454545454539</v>
      </c>
      <c r="AW13">
        <v>2.6545454545454539</v>
      </c>
      <c r="AX13">
        <v>5.9946911436363637</v>
      </c>
      <c r="AY13" s="75">
        <v>0.48450364842179561</v>
      </c>
      <c r="AZ13" s="75"/>
      <c r="BA13" s="75"/>
      <c r="BC13">
        <v>4.0335354674120701E-2</v>
      </c>
      <c r="BD13">
        <v>2.13371617483567E-2</v>
      </c>
      <c r="BF13">
        <v>6.1672516422477411E-2</v>
      </c>
      <c r="BG13">
        <v>3.0836258211238698E-2</v>
      </c>
      <c r="BH13">
        <v>0.48450364842179561</v>
      </c>
      <c r="BI13" s="79" t="s">
        <v>1264</v>
      </c>
      <c r="BJ13" s="79">
        <f t="shared" si="3"/>
        <v>1473</v>
      </c>
      <c r="BK13" s="79">
        <v>48</v>
      </c>
      <c r="BM13" s="79" t="s">
        <v>1268</v>
      </c>
      <c r="BN13" s="79" t="s">
        <v>863</v>
      </c>
      <c r="BO13" s="79">
        <v>0.1</v>
      </c>
      <c r="BQ13" s="79">
        <v>2.85</v>
      </c>
      <c r="BR13" s="79">
        <v>14.3</v>
      </c>
      <c r="BS13" s="79" t="s">
        <v>464</v>
      </c>
      <c r="BT13" s="79" t="s">
        <v>464</v>
      </c>
      <c r="BU13" s="79" t="s">
        <v>1266</v>
      </c>
      <c r="BV13" s="79">
        <v>450</v>
      </c>
      <c r="BZ13" s="81">
        <v>54</v>
      </c>
      <c r="CA13">
        <f t="shared" si="2"/>
        <v>3.9889840465642745</v>
      </c>
    </row>
    <row r="14" spans="1:79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I14" s="2"/>
      <c r="J14" s="25">
        <v>2</v>
      </c>
      <c r="K14">
        <v>0</v>
      </c>
      <c r="L14">
        <v>0</v>
      </c>
      <c r="M14" s="2">
        <v>3.8849999999999998</v>
      </c>
      <c r="N14" s="2">
        <v>3.8849999999999998</v>
      </c>
      <c r="O14" s="2">
        <v>10.989000000000001</v>
      </c>
      <c r="P14" s="1" t="s">
        <v>439</v>
      </c>
      <c r="Q14" s="1"/>
      <c r="R14" s="25">
        <v>11.92921406</v>
      </c>
      <c r="S14" s="25">
        <v>11.92921406</v>
      </c>
      <c r="T14" s="25">
        <v>11.92921406</v>
      </c>
      <c r="U14">
        <v>0</v>
      </c>
      <c r="X14">
        <v>0</v>
      </c>
      <c r="AA14" s="2">
        <v>2</v>
      </c>
      <c r="AB14">
        <v>14</v>
      </c>
      <c r="AC14" s="55">
        <f t="shared" si="4"/>
        <v>165.859449525</v>
      </c>
      <c r="AD14" s="57">
        <v>349.00875366799971</v>
      </c>
      <c r="AE14" s="55">
        <v>0</v>
      </c>
      <c r="AF14" s="55">
        <v>0</v>
      </c>
      <c r="AG14" s="52"/>
      <c r="AH14" s="51">
        <v>8.0227214090553903E-2</v>
      </c>
      <c r="AI14" s="52"/>
      <c r="AJ14" s="52"/>
      <c r="AK14" s="28">
        <v>1.7272727272727271</v>
      </c>
      <c r="AL14" s="28">
        <v>2.545454545454545</v>
      </c>
      <c r="AM14" s="28">
        <v>0.81818181818181823</v>
      </c>
      <c r="AN14" s="28">
        <v>0</v>
      </c>
      <c r="AO14" s="28">
        <v>0.3392857142857143</v>
      </c>
      <c r="AP14" s="28">
        <v>0.5</v>
      </c>
      <c r="AQ14" s="28">
        <v>0.1607142857142857</v>
      </c>
      <c r="AR14" s="28">
        <v>0</v>
      </c>
      <c r="AS14" s="25">
        <v>0.82</v>
      </c>
      <c r="AT14" s="25">
        <v>3.44</v>
      </c>
      <c r="AU14" s="25">
        <v>2.62</v>
      </c>
      <c r="AV14" s="25">
        <v>2.6545454545454539</v>
      </c>
      <c r="AW14">
        <v>2.6545454545454552</v>
      </c>
      <c r="AX14">
        <v>5.9865512095454543</v>
      </c>
      <c r="AY14" s="75">
        <v>0.50734392504100967</v>
      </c>
      <c r="AZ14" s="75"/>
      <c r="BA14" s="75"/>
      <c r="BC14">
        <v>4.0113607045276937E-2</v>
      </c>
      <c r="BF14">
        <v>8.0227214090553903E-2</v>
      </c>
      <c r="BG14">
        <v>4.0113607045276937E-2</v>
      </c>
      <c r="BH14">
        <v>0.50734392504100967</v>
      </c>
      <c r="BI14" s="79" t="s">
        <v>1264</v>
      </c>
      <c r="BJ14" s="79">
        <f t="shared" si="3"/>
        <v>1473</v>
      </c>
      <c r="BK14" s="79">
        <v>48</v>
      </c>
      <c r="BM14" s="79" t="s">
        <v>1268</v>
      </c>
      <c r="BN14" s="79" t="s">
        <v>863</v>
      </c>
      <c r="BO14" s="79">
        <v>0.1</v>
      </c>
      <c r="BQ14" s="79">
        <v>2.85</v>
      </c>
      <c r="BR14" s="79">
        <v>14.3</v>
      </c>
      <c r="BS14" s="79" t="s">
        <v>464</v>
      </c>
      <c r="BT14" s="79" t="s">
        <v>464</v>
      </c>
      <c r="BU14" s="79" t="s">
        <v>1266</v>
      </c>
      <c r="BV14" s="79">
        <v>450</v>
      </c>
      <c r="BZ14" s="81">
        <v>90</v>
      </c>
      <c r="CA14">
        <f t="shared" si="2"/>
        <v>4.499809670330265</v>
      </c>
    </row>
    <row r="15" spans="1:79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I15" s="2"/>
      <c r="J15" s="25">
        <v>1</v>
      </c>
      <c r="K15">
        <v>1</v>
      </c>
      <c r="L15">
        <v>0</v>
      </c>
      <c r="M15" s="2">
        <v>3.9049999999999998</v>
      </c>
      <c r="N15" s="2">
        <v>3.9049999999999998</v>
      </c>
      <c r="O15" s="2">
        <v>11.185</v>
      </c>
      <c r="P15" s="1" t="s">
        <v>439</v>
      </c>
      <c r="Q15" s="1"/>
      <c r="R15" s="25">
        <v>3.952105</v>
      </c>
      <c r="S15" s="25">
        <v>3.952105</v>
      </c>
      <c r="T15" s="25">
        <v>11.503833</v>
      </c>
      <c r="U15">
        <v>3.9079999999999999</v>
      </c>
      <c r="V15">
        <v>3.9079999999999999</v>
      </c>
      <c r="W15">
        <v>11.16</v>
      </c>
      <c r="X15">
        <v>0</v>
      </c>
      <c r="AA15" s="2">
        <v>2</v>
      </c>
      <c r="AB15">
        <v>14</v>
      </c>
      <c r="AC15" s="55">
        <f t="shared" si="4"/>
        <v>170.56034462499997</v>
      </c>
      <c r="AD15" s="57">
        <v>179.6799083471451</v>
      </c>
      <c r="AE15" s="55">
        <v>170.44069823999999</v>
      </c>
      <c r="AF15" s="55">
        <v>0</v>
      </c>
      <c r="AG15" s="52"/>
      <c r="AH15" s="51">
        <v>7.7916335380980528E-2</v>
      </c>
      <c r="AI15" s="52">
        <v>8.2140006140355049E-2</v>
      </c>
      <c r="AJ15" s="52"/>
      <c r="AK15" s="28">
        <v>1.7272727272727271</v>
      </c>
      <c r="AL15" s="28">
        <v>2.545454545454545</v>
      </c>
      <c r="AM15" s="28">
        <v>0.81818181818181823</v>
      </c>
      <c r="AN15" s="28">
        <v>0</v>
      </c>
      <c r="AO15" s="28">
        <v>0.3392857142857143</v>
      </c>
      <c r="AP15" s="28">
        <v>0.5</v>
      </c>
      <c r="AQ15" s="28">
        <v>0.1607142857142857</v>
      </c>
      <c r="AR15" s="28">
        <v>0</v>
      </c>
      <c r="AS15" s="25">
        <v>0.79</v>
      </c>
      <c r="AT15" s="25">
        <v>3.44</v>
      </c>
      <c r="AU15" s="25">
        <v>2.65</v>
      </c>
      <c r="AV15" s="25">
        <v>2.6518181818181819</v>
      </c>
      <c r="AW15">
        <v>2.6518181818181819</v>
      </c>
      <c r="AX15">
        <v>5.9730281035195452</v>
      </c>
      <c r="AY15" s="75">
        <v>0.5243291310951993</v>
      </c>
      <c r="AZ15" s="75">
        <v>0.55275184384813547</v>
      </c>
      <c r="BA15" s="75"/>
      <c r="BC15">
        <v>3.8958167690490257E-2</v>
      </c>
      <c r="BD15">
        <v>4.1070003070177517E-2</v>
      </c>
      <c r="BF15">
        <v>8.0028170760667788E-2</v>
      </c>
      <c r="BG15">
        <v>4.0014085380333887E-2</v>
      </c>
      <c r="BH15">
        <v>0.53854048747166738</v>
      </c>
      <c r="BI15" s="79" t="s">
        <v>1264</v>
      </c>
      <c r="BJ15" s="79">
        <f t="shared" si="3"/>
        <v>1473</v>
      </c>
      <c r="BK15" s="79">
        <v>48</v>
      </c>
      <c r="BM15" s="79" t="s">
        <v>1268</v>
      </c>
      <c r="BN15" s="79" t="s">
        <v>863</v>
      </c>
      <c r="BO15" s="79">
        <v>0.1</v>
      </c>
      <c r="BQ15" s="79">
        <v>2.85</v>
      </c>
      <c r="BR15" s="79">
        <v>14.3</v>
      </c>
      <c r="BS15" s="79" t="s">
        <v>464</v>
      </c>
      <c r="BT15" s="79" t="s">
        <v>464</v>
      </c>
      <c r="BU15" s="79" t="s">
        <v>1266</v>
      </c>
      <c r="BV15" s="79">
        <v>450</v>
      </c>
      <c r="BZ15" s="81">
        <v>28</v>
      </c>
      <c r="CA15">
        <f t="shared" si="2"/>
        <v>3.3322045101752038</v>
      </c>
    </row>
    <row r="16" spans="1:79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I16" s="7"/>
      <c r="J16" s="25">
        <v>4</v>
      </c>
      <c r="K16">
        <v>4</v>
      </c>
      <c r="L16">
        <v>0</v>
      </c>
      <c r="M16" s="2">
        <v>7.7270000000000003</v>
      </c>
      <c r="N16" s="2">
        <v>7.7270000000000003</v>
      </c>
      <c r="O16" s="2">
        <v>29.466000000000001</v>
      </c>
      <c r="P16" s="2" t="s">
        <v>452</v>
      </c>
      <c r="Q16" s="2"/>
      <c r="R16" s="25">
        <v>7.8084429999999996</v>
      </c>
      <c r="S16" s="25">
        <v>7.8548809999999998</v>
      </c>
      <c r="T16" s="25">
        <v>15.19056011</v>
      </c>
      <c r="U16">
        <v>3.8801999999999999</v>
      </c>
      <c r="V16">
        <v>29.507999999999999</v>
      </c>
      <c r="W16">
        <v>7.7140000000000004</v>
      </c>
      <c r="X16">
        <v>0</v>
      </c>
      <c r="AA16" s="2">
        <v>3</v>
      </c>
      <c r="AB16">
        <v>20</v>
      </c>
      <c r="AC16" s="55">
        <f t="shared" si="4"/>
        <v>1759.3125835140002</v>
      </c>
      <c r="AD16" s="57">
        <v>924.74694800021894</v>
      </c>
      <c r="AE16" s="55">
        <v>883.22940750240002</v>
      </c>
      <c r="AF16" s="55">
        <v>0</v>
      </c>
      <c r="AG16" s="52"/>
      <c r="AH16" s="51">
        <v>8.6510153045653584E-2</v>
      </c>
      <c r="AI16" s="52">
        <v>9.0576694254581439E-2</v>
      </c>
      <c r="AJ16" s="52"/>
      <c r="AK16" s="28">
        <v>1.75</v>
      </c>
      <c r="AL16" s="28">
        <v>2.5</v>
      </c>
      <c r="AM16" s="28">
        <v>0.75</v>
      </c>
      <c r="AN16" s="28">
        <v>0</v>
      </c>
      <c r="AO16" s="28">
        <v>0.35</v>
      </c>
      <c r="AP16" s="28">
        <v>0.5</v>
      </c>
      <c r="AQ16" s="28">
        <v>0.15</v>
      </c>
      <c r="AR16" s="28">
        <v>0</v>
      </c>
      <c r="AS16" s="25">
        <v>0.82</v>
      </c>
      <c r="AT16" s="25">
        <v>3.44</v>
      </c>
      <c r="AU16" s="25">
        <v>2.62</v>
      </c>
      <c r="AV16" s="25">
        <v>2.6262500000000002</v>
      </c>
      <c r="AW16">
        <v>2.6262500000000002</v>
      </c>
      <c r="AX16">
        <v>5.96680968125</v>
      </c>
      <c r="AY16" s="75">
        <v>0.50555206026575039</v>
      </c>
      <c r="AZ16" s="75">
        <v>0</v>
      </c>
      <c r="BA16" s="75"/>
      <c r="BC16">
        <v>4.3255076522826792E-2</v>
      </c>
      <c r="BD16">
        <v>4.5288347127290719E-2</v>
      </c>
      <c r="BF16">
        <v>8.8543423650117511E-2</v>
      </c>
      <c r="BG16">
        <v>4.4271711825058763E-2</v>
      </c>
      <c r="BH16">
        <v>0.2527760301328752</v>
      </c>
      <c r="BI16" s="79" t="s">
        <v>1264</v>
      </c>
      <c r="BJ16" s="79">
        <f t="shared" si="3"/>
        <v>1473</v>
      </c>
      <c r="BK16" s="79">
        <v>48</v>
      </c>
      <c r="BM16" s="79" t="s">
        <v>1268</v>
      </c>
      <c r="BN16" s="79" t="s">
        <v>863</v>
      </c>
      <c r="BO16" s="79">
        <v>0.1</v>
      </c>
      <c r="BQ16" s="79">
        <v>2.85</v>
      </c>
      <c r="BR16" s="79">
        <v>14.3</v>
      </c>
      <c r="BS16" s="79" t="s">
        <v>464</v>
      </c>
      <c r="BT16" s="79" t="s">
        <v>464</v>
      </c>
      <c r="BU16" s="79" t="s">
        <v>1266</v>
      </c>
      <c r="BV16" s="79">
        <v>450</v>
      </c>
      <c r="BZ16" s="81">
        <v>100</v>
      </c>
      <c r="CA16">
        <f t="shared" si="2"/>
        <v>4.6051701859880918</v>
      </c>
    </row>
    <row r="17" spans="1:79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I17" s="7"/>
      <c r="J17" s="25">
        <v>1</v>
      </c>
      <c r="K17">
        <v>1</v>
      </c>
      <c r="L17">
        <v>0</v>
      </c>
      <c r="M17" s="2">
        <v>7.7249999999999996</v>
      </c>
      <c r="N17" s="2">
        <v>7.7249999999999996</v>
      </c>
      <c r="O17" s="2">
        <v>14.909000000000001</v>
      </c>
      <c r="P17" s="2" t="s">
        <v>451</v>
      </c>
      <c r="Q17" s="2"/>
      <c r="R17" s="25">
        <v>3.9661010000000001</v>
      </c>
      <c r="S17" s="25">
        <v>3.9661010000000001</v>
      </c>
      <c r="T17" s="25">
        <v>15.283337</v>
      </c>
      <c r="U17">
        <v>3.8586499999999999</v>
      </c>
      <c r="V17">
        <v>3.8586499999999999</v>
      </c>
      <c r="W17">
        <v>14.9108</v>
      </c>
      <c r="X17">
        <v>0</v>
      </c>
      <c r="AA17" s="2">
        <v>3</v>
      </c>
      <c r="AB17">
        <v>20</v>
      </c>
      <c r="AC17" s="55">
        <f t="shared" si="4"/>
        <v>889.70389312500004</v>
      </c>
      <c r="AD17" s="57">
        <v>240.40623599981481</v>
      </c>
      <c r="AE17" s="55">
        <v>222.00958249733301</v>
      </c>
      <c r="AF17" s="55">
        <v>0</v>
      </c>
      <c r="AG17" s="52"/>
      <c r="AH17" s="51">
        <v>8.3192517518619641E-2</v>
      </c>
      <c r="AI17" s="52">
        <v>9.0086201573034624E-2</v>
      </c>
      <c r="AJ17" s="52"/>
      <c r="AK17" s="28">
        <v>1.75</v>
      </c>
      <c r="AL17" s="28">
        <v>2.5</v>
      </c>
      <c r="AM17" s="28">
        <v>0.75</v>
      </c>
      <c r="AN17" s="28">
        <v>0</v>
      </c>
      <c r="AO17" s="28">
        <v>0.35</v>
      </c>
      <c r="AP17" s="28">
        <v>0.5</v>
      </c>
      <c r="AQ17" s="28">
        <v>0.15</v>
      </c>
      <c r="AR17" s="28">
        <v>0</v>
      </c>
      <c r="AS17" s="25">
        <v>0.82</v>
      </c>
      <c r="AT17" s="25">
        <v>3.44</v>
      </c>
      <c r="AU17" s="25">
        <v>2.62</v>
      </c>
      <c r="AV17" s="25">
        <v>2.6262500000000002</v>
      </c>
      <c r="AW17">
        <v>2.6262500000000002</v>
      </c>
      <c r="AX17">
        <v>5.9612134765624996</v>
      </c>
      <c r="AY17" s="75">
        <v>0.50467688585120674</v>
      </c>
      <c r="AZ17" s="75">
        <v>0.54649654829675798</v>
      </c>
      <c r="BA17" s="75"/>
      <c r="BC17">
        <v>4.159625875930982E-2</v>
      </c>
      <c r="BD17">
        <v>4.5043100786517312E-2</v>
      </c>
      <c r="BF17">
        <v>8.6639359545827133E-2</v>
      </c>
      <c r="BG17">
        <v>4.3319679772913573E-2</v>
      </c>
      <c r="BH17">
        <v>0.5255867170739823</v>
      </c>
      <c r="BI17" s="79" t="s">
        <v>1264</v>
      </c>
      <c r="BJ17" s="79">
        <f t="shared" si="3"/>
        <v>1473</v>
      </c>
      <c r="BK17" s="79">
        <v>48</v>
      </c>
      <c r="BM17" s="79" t="s">
        <v>1268</v>
      </c>
      <c r="BN17" s="79" t="s">
        <v>863</v>
      </c>
      <c r="BO17" s="79">
        <v>0.1</v>
      </c>
      <c r="BQ17" s="79">
        <v>2.85</v>
      </c>
      <c r="BR17" s="79">
        <v>14.3</v>
      </c>
      <c r="BS17" s="79" t="s">
        <v>464</v>
      </c>
      <c r="BT17" s="79" t="s">
        <v>464</v>
      </c>
      <c r="BU17" s="79" t="s">
        <v>1266</v>
      </c>
      <c r="BV17" s="79">
        <v>450</v>
      </c>
      <c r="BZ17" s="81">
        <v>26</v>
      </c>
      <c r="CA17">
        <f t="shared" si="2"/>
        <v>3.2580965380214821</v>
      </c>
    </row>
    <row r="18" spans="1:79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I18" s="7"/>
      <c r="J18" s="25">
        <v>8</v>
      </c>
      <c r="K18">
        <v>8</v>
      </c>
      <c r="L18">
        <v>0</v>
      </c>
      <c r="M18" s="2">
        <v>7.7270000000000003</v>
      </c>
      <c r="N18" s="2">
        <v>7.7270000000000003</v>
      </c>
      <c r="O18" s="2">
        <v>30.175999999999998</v>
      </c>
      <c r="P18" s="2" t="s">
        <v>452</v>
      </c>
      <c r="Q18" s="2"/>
      <c r="R18" s="25">
        <v>7.8252249999999997</v>
      </c>
      <c r="S18" s="25">
        <v>7.8345229999999999</v>
      </c>
      <c r="T18" s="25">
        <v>31.031406</v>
      </c>
      <c r="U18">
        <v>30.184999999999999</v>
      </c>
      <c r="V18">
        <v>7.74</v>
      </c>
      <c r="W18">
        <v>7.7460000000000004</v>
      </c>
      <c r="X18">
        <v>0</v>
      </c>
      <c r="AA18" s="2">
        <v>3</v>
      </c>
      <c r="AB18">
        <v>20</v>
      </c>
      <c r="AC18" s="55">
        <f t="shared" si="4"/>
        <v>1801.704219104</v>
      </c>
      <c r="AD18" s="57">
        <v>1902.4394671889761</v>
      </c>
      <c r="AE18" s="55">
        <v>1809.7126974</v>
      </c>
      <c r="AF18" s="55">
        <v>0</v>
      </c>
      <c r="AG18" s="52"/>
      <c r="AH18" s="51">
        <v>8.4102544527429435E-2</v>
      </c>
      <c r="AI18" s="52">
        <v>8.8411823727529093E-2</v>
      </c>
      <c r="AJ18" s="52"/>
      <c r="AK18" s="28">
        <v>1.75</v>
      </c>
      <c r="AL18" s="28">
        <v>2.5</v>
      </c>
      <c r="AM18" s="28">
        <v>0.75</v>
      </c>
      <c r="AN18" s="28">
        <v>0</v>
      </c>
      <c r="AO18" s="28">
        <v>0.35</v>
      </c>
      <c r="AP18" s="28">
        <v>0.5</v>
      </c>
      <c r="AQ18" s="28">
        <v>0.15</v>
      </c>
      <c r="AR18" s="28">
        <v>0</v>
      </c>
      <c r="AS18" s="25">
        <v>0.79</v>
      </c>
      <c r="AT18" s="25">
        <v>3.44</v>
      </c>
      <c r="AU18" s="25">
        <v>2.65</v>
      </c>
      <c r="AV18" s="25">
        <v>2.6243750000000001</v>
      </c>
      <c r="AW18">
        <v>2.6243750000000001</v>
      </c>
      <c r="AX18">
        <v>5.9519163411696878</v>
      </c>
      <c r="AY18" s="75">
        <v>0.53407279423354193</v>
      </c>
      <c r="AZ18" s="75">
        <v>0.5614378257728565</v>
      </c>
      <c r="BA18" s="75"/>
      <c r="BC18">
        <v>4.2051272263714717E-2</v>
      </c>
      <c r="BD18">
        <v>4.4205911863764553E-2</v>
      </c>
      <c r="BF18">
        <v>8.6257184127479264E-2</v>
      </c>
      <c r="BG18">
        <v>4.3128592063739632E-2</v>
      </c>
      <c r="BH18">
        <v>0.54775531000319921</v>
      </c>
      <c r="BI18" s="79" t="s">
        <v>1264</v>
      </c>
      <c r="BJ18" s="79">
        <f t="shared" si="3"/>
        <v>1473</v>
      </c>
      <c r="BK18" s="79">
        <v>48</v>
      </c>
      <c r="BM18" s="79" t="s">
        <v>1268</v>
      </c>
      <c r="BN18" s="79" t="s">
        <v>863</v>
      </c>
      <c r="BO18" s="79">
        <v>0.1</v>
      </c>
      <c r="BQ18" s="79">
        <v>2.85</v>
      </c>
      <c r="BR18" s="79">
        <v>14.3</v>
      </c>
      <c r="BS18" s="79" t="s">
        <v>464</v>
      </c>
      <c r="BT18" s="79" t="s">
        <v>464</v>
      </c>
      <c r="BU18" s="79" t="s">
        <v>1266</v>
      </c>
      <c r="BV18" s="79">
        <v>450</v>
      </c>
      <c r="BZ18" s="81">
        <v>10</v>
      </c>
      <c r="CA18">
        <f t="shared" si="2"/>
        <v>2.3025850929940459</v>
      </c>
    </row>
    <row r="19" spans="1:79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9">
        <v>-1</v>
      </c>
      <c r="G19">
        <v>-1</v>
      </c>
      <c r="I19" s="2">
        <v>4</v>
      </c>
      <c r="J19" s="25">
        <v>0</v>
      </c>
      <c r="K19">
        <v>0</v>
      </c>
      <c r="L19">
        <v>0</v>
      </c>
      <c r="M19" s="2">
        <v>7.8310000000000004</v>
      </c>
      <c r="N19" s="2">
        <v>7.8010000000000002</v>
      </c>
      <c r="O19" s="2">
        <v>15.05</v>
      </c>
      <c r="P19" s="2" t="s">
        <v>1141</v>
      </c>
      <c r="Q19" s="2">
        <v>15.05</v>
      </c>
      <c r="R19" s="25">
        <v>0</v>
      </c>
      <c r="S19" s="25"/>
      <c r="T19" s="25"/>
      <c r="U19">
        <v>0</v>
      </c>
      <c r="X19">
        <v>0</v>
      </c>
      <c r="AA19" s="2">
        <v>3</v>
      </c>
      <c r="AB19">
        <v>20</v>
      </c>
      <c r="AC19" s="55">
        <f t="shared" si="4"/>
        <v>919.39894655000012</v>
      </c>
      <c r="AD19" s="57">
        <f>M19*N19*O19*SIN(RADIANS(97.44))</f>
        <v>911.65853089860946</v>
      </c>
      <c r="AE19" s="55">
        <v>0</v>
      </c>
      <c r="AF19" s="55">
        <v>0</v>
      </c>
      <c r="AG19" s="52">
        <f>I19*AB19/AC19</f>
        <v>8.7013369223660861E-2</v>
      </c>
      <c r="AH19" s="51"/>
      <c r="AI19" s="52"/>
      <c r="AJ19" s="52"/>
      <c r="AK19" s="28">
        <v>1.75</v>
      </c>
      <c r="AL19" s="28">
        <v>2.5</v>
      </c>
      <c r="AM19" s="28">
        <v>0.75</v>
      </c>
      <c r="AN19" s="28">
        <v>0</v>
      </c>
      <c r="AO19" s="28">
        <v>0.35</v>
      </c>
      <c r="AP19" s="28">
        <v>0.5</v>
      </c>
      <c r="AQ19" s="28">
        <v>0.15</v>
      </c>
      <c r="AR19" s="28">
        <v>0</v>
      </c>
      <c r="AS19" s="25">
        <v>0.82</v>
      </c>
      <c r="AT19" s="25">
        <v>3.44</v>
      </c>
      <c r="AU19" s="25">
        <v>2.62</v>
      </c>
      <c r="AV19" s="25">
        <v>2.62</v>
      </c>
      <c r="AW19">
        <v>2.62</v>
      </c>
      <c r="AX19">
        <v>5.9423863675000002</v>
      </c>
      <c r="AY19" s="75"/>
      <c r="AZ19" s="75"/>
      <c r="BA19" s="75"/>
      <c r="BB19">
        <v>4.350668461183043E-2</v>
      </c>
      <c r="BC19">
        <v>0</v>
      </c>
      <c r="BF19">
        <v>8.7013369223660861E-2</v>
      </c>
      <c r="BG19">
        <v>2.1753342305915219E-2</v>
      </c>
      <c r="BH19">
        <v>0</v>
      </c>
      <c r="BI19" s="79" t="s">
        <v>1264</v>
      </c>
      <c r="BJ19" s="79">
        <f t="shared" si="3"/>
        <v>1473</v>
      </c>
      <c r="BK19" s="79">
        <v>48</v>
      </c>
      <c r="BM19" s="79" t="s">
        <v>1268</v>
      </c>
      <c r="BN19" s="79" t="s">
        <v>863</v>
      </c>
      <c r="BO19" s="79">
        <v>0.1</v>
      </c>
      <c r="BQ19" s="79">
        <v>2.85</v>
      </c>
      <c r="BR19" s="79">
        <v>14.3</v>
      </c>
      <c r="BS19" s="79" t="s">
        <v>464</v>
      </c>
      <c r="BT19" s="79" t="s">
        <v>464</v>
      </c>
      <c r="BU19" s="79" t="s">
        <v>1266</v>
      </c>
      <c r="BV19" s="79">
        <v>450</v>
      </c>
      <c r="BZ19" s="81">
        <v>110</v>
      </c>
      <c r="CA19">
        <f t="shared" si="2"/>
        <v>4.7004803657924166</v>
      </c>
    </row>
    <row r="20" spans="1:79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I20" s="2">
        <v>8</v>
      </c>
      <c r="J20" s="25">
        <v>0</v>
      </c>
      <c r="K20">
        <v>0</v>
      </c>
      <c r="L20">
        <v>0</v>
      </c>
      <c r="M20" s="2">
        <v>7.7489999999999997</v>
      </c>
      <c r="N20" s="2">
        <v>7.7359999999999998</v>
      </c>
      <c r="O20" s="2">
        <v>37.369999999999997</v>
      </c>
      <c r="P20" s="2" t="s">
        <v>1142</v>
      </c>
      <c r="Q20" s="2">
        <f>O20/2</f>
        <v>18.684999999999999</v>
      </c>
      <c r="R20" s="25">
        <v>0</v>
      </c>
      <c r="S20" s="25"/>
      <c r="T20" s="25"/>
      <c r="U20">
        <v>0</v>
      </c>
      <c r="X20">
        <v>0</v>
      </c>
      <c r="AA20" s="2">
        <v>4</v>
      </c>
      <c r="AB20">
        <v>26</v>
      </c>
      <c r="AC20" s="55">
        <f t="shared" si="4"/>
        <v>2240.1918856799994</v>
      </c>
      <c r="AD20" s="57">
        <v>2240</v>
      </c>
      <c r="AE20" s="55">
        <v>0</v>
      </c>
      <c r="AF20" s="55">
        <v>0</v>
      </c>
      <c r="AG20" s="52">
        <f>I20*AB20/AC20</f>
        <v>9.2849189093845236E-2</v>
      </c>
      <c r="AH20" s="51"/>
      <c r="AI20" s="52"/>
      <c r="AJ20" s="52"/>
      <c r="AK20" s="28">
        <v>1.714285714285714</v>
      </c>
      <c r="AL20" s="28">
        <v>2.4761904761904758</v>
      </c>
      <c r="AM20" s="28">
        <v>0.76190476190476186</v>
      </c>
      <c r="AN20" s="28">
        <v>0</v>
      </c>
      <c r="AO20" s="28">
        <v>0.34615384615384609</v>
      </c>
      <c r="AP20" s="28">
        <v>0.5</v>
      </c>
      <c r="AQ20" s="28">
        <v>0.1538461538461538</v>
      </c>
      <c r="AR20" s="28">
        <v>0</v>
      </c>
      <c r="AS20" s="25">
        <v>0.82</v>
      </c>
      <c r="AT20" s="25">
        <v>3.44</v>
      </c>
      <c r="AU20" s="25">
        <v>2.62</v>
      </c>
      <c r="AV20" s="25">
        <v>2.612857142857143</v>
      </c>
      <c r="AW20">
        <v>2.612857142857143</v>
      </c>
      <c r="AX20">
        <v>5.9413964502380949</v>
      </c>
      <c r="AY20" s="75"/>
      <c r="AZ20" s="75"/>
      <c r="BA20" s="75"/>
      <c r="BB20">
        <v>4.6424594546922618E-2</v>
      </c>
      <c r="BC20">
        <v>0</v>
      </c>
      <c r="BF20">
        <v>9.2849189093845236E-2</v>
      </c>
      <c r="BG20">
        <v>2.3212297273461309E-2</v>
      </c>
      <c r="BH20">
        <v>0</v>
      </c>
      <c r="BI20" s="79" t="s">
        <v>1264</v>
      </c>
      <c r="BJ20" s="79">
        <f t="shared" si="3"/>
        <v>1473</v>
      </c>
      <c r="BK20" s="79">
        <v>48</v>
      </c>
      <c r="BM20" s="79" t="s">
        <v>1268</v>
      </c>
      <c r="BN20" s="79" t="s">
        <v>863</v>
      </c>
      <c r="BO20" s="79">
        <v>0.1</v>
      </c>
      <c r="BQ20" s="79">
        <v>2.85</v>
      </c>
      <c r="BR20" s="79">
        <v>14.3</v>
      </c>
      <c r="BS20" s="79" t="s">
        <v>464</v>
      </c>
      <c r="BT20" s="79" t="s">
        <v>464</v>
      </c>
      <c r="BU20" s="79" t="s">
        <v>1266</v>
      </c>
      <c r="BV20" s="79">
        <v>450</v>
      </c>
      <c r="BZ20" s="81">
        <v>280</v>
      </c>
      <c r="CA20">
        <f t="shared" si="2"/>
        <v>5.6347896031692493</v>
      </c>
    </row>
    <row r="21" spans="1:79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I21" s="2"/>
      <c r="J21" s="25">
        <v>30</v>
      </c>
      <c r="K21">
        <v>4</v>
      </c>
      <c r="L21">
        <v>0</v>
      </c>
      <c r="M21" s="2"/>
      <c r="N21" s="2"/>
      <c r="O21" s="2"/>
      <c r="P21" s="2"/>
      <c r="Q21" s="2"/>
      <c r="R21" s="25">
        <v>10.59112378</v>
      </c>
      <c r="S21" s="25">
        <v>10.784736629999999</v>
      </c>
      <c r="T21" s="25">
        <v>10.486176179999999</v>
      </c>
      <c r="U21">
        <v>3.73</v>
      </c>
      <c r="V21">
        <v>3.73</v>
      </c>
      <c r="W21">
        <v>9.3699999999999992</v>
      </c>
      <c r="X21">
        <v>0</v>
      </c>
      <c r="AA21" s="1" t="s">
        <v>459</v>
      </c>
      <c r="AB21">
        <v>4</v>
      </c>
      <c r="AC21" s="55">
        <f t="shared" si="4"/>
        <v>0</v>
      </c>
      <c r="AD21" s="57">
        <v>1182.741260108548</v>
      </c>
      <c r="AE21" s="55">
        <v>130.36387300000001</v>
      </c>
      <c r="AF21" s="55">
        <v>0</v>
      </c>
      <c r="AG21" s="52"/>
      <c r="AH21" s="51">
        <v>0.1014592151701775</v>
      </c>
      <c r="AI21" s="52">
        <v>0.1227333894874388</v>
      </c>
      <c r="AJ21" s="52"/>
      <c r="AK21" s="28">
        <v>2</v>
      </c>
      <c r="AL21" s="28">
        <v>2.666666666666667</v>
      </c>
      <c r="AM21" s="28">
        <v>0.66666666666666663</v>
      </c>
      <c r="AN21" s="28">
        <v>0</v>
      </c>
      <c r="AO21" s="28">
        <v>0.375</v>
      </c>
      <c r="AP21" s="28">
        <v>0.5</v>
      </c>
      <c r="AQ21" s="28">
        <v>0.125</v>
      </c>
      <c r="AR21" s="28">
        <v>0</v>
      </c>
      <c r="AS21" s="25">
        <v>1.54</v>
      </c>
      <c r="AT21" s="25">
        <v>3.44</v>
      </c>
      <c r="AU21" s="25">
        <v>1.9</v>
      </c>
      <c r="AV21" s="25">
        <v>2.8066666666666671</v>
      </c>
      <c r="AW21">
        <v>2.8066666666666662</v>
      </c>
      <c r="AX21">
        <v>6.1769976</v>
      </c>
      <c r="AY21" s="75">
        <v>0.46900407026869628</v>
      </c>
      <c r="AZ21" s="75">
        <v>0.56734579634715776</v>
      </c>
      <c r="BA21" s="75"/>
      <c r="BC21">
        <v>5.072960758508873E-2</v>
      </c>
      <c r="BD21">
        <v>6.136669474371937E-2</v>
      </c>
      <c r="BF21">
        <v>0.1120963023288082</v>
      </c>
      <c r="BG21">
        <v>5.604815116440405E-2</v>
      </c>
      <c r="BH21">
        <v>0.51817493330792708</v>
      </c>
      <c r="BM21" s="79" t="s">
        <v>1268</v>
      </c>
      <c r="BN21" s="79" t="s">
        <v>863</v>
      </c>
      <c r="BO21" s="79">
        <v>0.1</v>
      </c>
      <c r="BQ21" s="79">
        <v>2.85</v>
      </c>
      <c r="BR21" s="79">
        <v>14.3</v>
      </c>
      <c r="BS21" s="79" t="s">
        <v>464</v>
      </c>
      <c r="BT21" s="79" t="s">
        <v>464</v>
      </c>
      <c r="BU21" s="79" t="s">
        <v>1266</v>
      </c>
      <c r="BV21" s="79">
        <v>450</v>
      </c>
      <c r="BZ21" s="81">
        <v>7400</v>
      </c>
      <c r="CA21">
        <f t="shared" si="2"/>
        <v>8.9092352791922611</v>
      </c>
    </row>
    <row r="22" spans="1:79" x14ac:dyDescent="0.3">
      <c r="A22" s="2" t="s">
        <v>304</v>
      </c>
      <c r="B22" s="13"/>
      <c r="C22" s="13"/>
      <c r="D22" s="2">
        <v>3.5</v>
      </c>
      <c r="E22" s="2" t="s">
        <v>454</v>
      </c>
      <c r="F22" s="9"/>
      <c r="I22" s="65">
        <v>4</v>
      </c>
      <c r="J22" s="25">
        <v>4</v>
      </c>
      <c r="K22">
        <v>4</v>
      </c>
      <c r="L22">
        <v>0</v>
      </c>
      <c r="M22" s="2"/>
      <c r="N22" s="2"/>
      <c r="O22" s="2"/>
      <c r="P22" s="2"/>
      <c r="Q22" s="2"/>
      <c r="R22" s="25">
        <v>6.6040679999999998</v>
      </c>
      <c r="S22" s="25">
        <v>7.9389519999999996</v>
      </c>
      <c r="T22" s="25">
        <v>33.703336</v>
      </c>
      <c r="U22">
        <v>7.83</v>
      </c>
      <c r="V22">
        <v>33.209989999999998</v>
      </c>
      <c r="W22">
        <v>6.46</v>
      </c>
      <c r="X22">
        <v>0</v>
      </c>
      <c r="AA22" s="2"/>
      <c r="AB22">
        <v>34</v>
      </c>
      <c r="AC22" s="55">
        <f>M22*N22*O22</f>
        <v>0</v>
      </c>
      <c r="AD22" s="57">
        <v>1767.0449718798691</v>
      </c>
      <c r="AE22" s="55">
        <v>1679.8210721820001</v>
      </c>
      <c r="AF22" s="55">
        <v>0</v>
      </c>
      <c r="AG22" s="52"/>
      <c r="AH22" s="51">
        <v>7.6964651247849417E-2</v>
      </c>
      <c r="AI22" s="52">
        <v>8.0961003676030277E-2</v>
      </c>
      <c r="AJ22" s="52"/>
      <c r="AK22" s="28">
        <v>1.62962962962963</v>
      </c>
      <c r="AL22" s="28">
        <v>2.518518518518519</v>
      </c>
      <c r="AM22" s="28">
        <v>0.88888888888888884</v>
      </c>
      <c r="AN22" s="28">
        <v>0</v>
      </c>
      <c r="AO22" s="28">
        <v>0.32352941176470579</v>
      </c>
      <c r="AP22" s="28">
        <v>0.5</v>
      </c>
      <c r="AQ22" s="28">
        <v>0.1764705882352941</v>
      </c>
      <c r="AR22" s="28">
        <v>0</v>
      </c>
      <c r="AS22" s="25">
        <v>0.82</v>
      </c>
      <c r="AT22" s="25">
        <v>3.44</v>
      </c>
      <c r="AU22" s="25">
        <v>2.62</v>
      </c>
      <c r="AV22" s="25">
        <v>2.642962962962963</v>
      </c>
      <c r="AW22">
        <v>2.642962962962963</v>
      </c>
      <c r="AX22">
        <v>5.9587362692592576</v>
      </c>
      <c r="AY22" s="75">
        <v>0.48264383878002159</v>
      </c>
      <c r="AZ22" s="75">
        <v>0.50770488753139842</v>
      </c>
      <c r="BA22" s="75"/>
      <c r="BB22" t="s">
        <v>459</v>
      </c>
      <c r="BC22">
        <v>3.8482325623924708E-2</v>
      </c>
      <c r="BD22">
        <v>4.0480501838015132E-2</v>
      </c>
      <c r="BF22">
        <v>7.8962827461939847E-2</v>
      </c>
      <c r="BG22" t="s">
        <v>459</v>
      </c>
      <c r="BH22">
        <v>0.49517436315571001</v>
      </c>
      <c r="BI22" s="79" t="s">
        <v>1264</v>
      </c>
      <c r="BJ22" s="79">
        <f t="shared" ref="BJ22:BJ47" si="5">1200+273</f>
        <v>1473</v>
      </c>
      <c r="BK22" s="79">
        <v>48</v>
      </c>
      <c r="BM22" s="79" t="s">
        <v>464</v>
      </c>
      <c r="BN22" s="79" t="s">
        <v>464</v>
      </c>
      <c r="BO22" s="79">
        <v>0</v>
      </c>
      <c r="BQ22" s="79">
        <v>2.85</v>
      </c>
      <c r="BR22" s="79">
        <v>14.3</v>
      </c>
      <c r="BS22" s="79" t="s">
        <v>464</v>
      </c>
      <c r="BT22" s="79" t="s">
        <v>464</v>
      </c>
      <c r="BU22" s="79" t="s">
        <v>1266</v>
      </c>
      <c r="BV22" s="79">
        <v>450</v>
      </c>
      <c r="BZ22" s="81">
        <v>750</v>
      </c>
      <c r="CA22">
        <f t="shared" si="2"/>
        <v>6.620073206530356</v>
      </c>
    </row>
    <row r="23" spans="1:79" x14ac:dyDescent="0.3">
      <c r="A23" s="2" t="s">
        <v>153</v>
      </c>
      <c r="B23" s="13"/>
      <c r="C23" s="13"/>
      <c r="D23" s="2">
        <v>3.2</v>
      </c>
      <c r="E23" s="2" t="s">
        <v>454</v>
      </c>
      <c r="F23" s="9"/>
      <c r="I23" s="2"/>
      <c r="J23" s="25">
        <v>1</v>
      </c>
      <c r="K23">
        <v>1</v>
      </c>
      <c r="L23">
        <v>0</v>
      </c>
      <c r="M23" s="2">
        <v>7.806</v>
      </c>
      <c r="N23" s="2">
        <v>7.6680000000000001</v>
      </c>
      <c r="O23" s="2">
        <v>21.54</v>
      </c>
      <c r="P23" s="1" t="s">
        <v>513</v>
      </c>
      <c r="Q23" s="1"/>
      <c r="R23" s="25">
        <v>3.9327019999999999</v>
      </c>
      <c r="S23" s="25">
        <v>3.9458000000000002</v>
      </c>
      <c r="T23" s="25">
        <v>11.356398779999999</v>
      </c>
      <c r="U23">
        <v>3.9060000000000001</v>
      </c>
      <c r="V23">
        <v>21.603000000000002</v>
      </c>
      <c r="W23">
        <v>3.8879000000000001</v>
      </c>
      <c r="X23">
        <v>0</v>
      </c>
      <c r="AA23" s="2">
        <v>2</v>
      </c>
      <c r="AB23">
        <v>14</v>
      </c>
      <c r="AC23" s="55">
        <f t="shared" ref="AC23:AC30" si="6">M23*N23*O23</f>
        <v>1289.30702832</v>
      </c>
      <c r="AD23" s="57">
        <v>173.54502164551991</v>
      </c>
      <c r="AE23" s="55">
        <v>328.06612625219998</v>
      </c>
      <c r="AF23" s="55">
        <v>0</v>
      </c>
      <c r="AG23" s="52"/>
      <c r="AH23" s="51">
        <v>8.0670709348241429E-2</v>
      </c>
      <c r="AI23" s="52">
        <v>4.2674323496713393E-2</v>
      </c>
      <c r="AJ23" s="52"/>
      <c r="AK23" s="28">
        <v>1.7272727272727271</v>
      </c>
      <c r="AL23" s="28">
        <v>2.545454545454545</v>
      </c>
      <c r="AM23" s="28">
        <v>0.81818181818181823</v>
      </c>
      <c r="AN23" s="28">
        <v>0</v>
      </c>
      <c r="AO23" s="28">
        <v>0.3392857142857143</v>
      </c>
      <c r="AP23" s="28">
        <v>0.5</v>
      </c>
      <c r="AQ23" s="28">
        <v>0.1607142857142857</v>
      </c>
      <c r="AR23" s="28">
        <v>0</v>
      </c>
      <c r="AS23" s="25">
        <v>0.82</v>
      </c>
      <c r="AT23" s="25">
        <v>3.44</v>
      </c>
      <c r="AU23" s="25">
        <v>2.62</v>
      </c>
      <c r="AV23" s="25">
        <v>2.6545454545454539</v>
      </c>
      <c r="AW23">
        <v>2.6545454545454539</v>
      </c>
      <c r="AX23">
        <v>5.9946911436363637</v>
      </c>
      <c r="AY23" s="75">
        <v>0.48450364842179561</v>
      </c>
      <c r="AZ23" s="75"/>
      <c r="BA23" s="75"/>
      <c r="BC23">
        <v>4.0335354674120701E-2</v>
      </c>
      <c r="BD23">
        <v>2.13371617483567E-2</v>
      </c>
      <c r="BF23">
        <v>6.1672516422477411E-2</v>
      </c>
      <c r="BG23">
        <v>3.0836258211238698E-2</v>
      </c>
      <c r="BH23">
        <v>0.48450364842179561</v>
      </c>
      <c r="BI23" s="79" t="s">
        <v>1264</v>
      </c>
      <c r="BJ23" s="79">
        <f t="shared" si="5"/>
        <v>1473</v>
      </c>
      <c r="BK23" s="79">
        <v>48</v>
      </c>
      <c r="BM23" s="79" t="s">
        <v>464</v>
      </c>
      <c r="BN23" s="79" t="s">
        <v>464</v>
      </c>
      <c r="BO23" s="79">
        <v>0</v>
      </c>
      <c r="BQ23" s="79">
        <v>2.85</v>
      </c>
      <c r="BR23" s="79">
        <v>14.3</v>
      </c>
      <c r="BS23" s="79" t="s">
        <v>464</v>
      </c>
      <c r="BT23" s="79" t="s">
        <v>464</v>
      </c>
      <c r="BU23" s="79" t="s">
        <v>1266</v>
      </c>
      <c r="BV23" s="79">
        <v>450</v>
      </c>
      <c r="BZ23" s="81">
        <v>760</v>
      </c>
      <c r="CA23">
        <f t="shared" si="2"/>
        <v>6.633318433280377</v>
      </c>
    </row>
    <row r="24" spans="1:79" x14ac:dyDescent="0.3">
      <c r="A24" s="2" t="s">
        <v>153</v>
      </c>
      <c r="B24" s="13"/>
      <c r="C24" s="13"/>
      <c r="D24" s="2">
        <v>3.35</v>
      </c>
      <c r="E24" s="2" t="s">
        <v>454</v>
      </c>
      <c r="F24" s="9"/>
      <c r="I24" s="2"/>
      <c r="J24" s="25">
        <v>2</v>
      </c>
      <c r="K24">
        <v>0</v>
      </c>
      <c r="L24">
        <v>0</v>
      </c>
      <c r="M24" s="2">
        <v>3.8849999999999998</v>
      </c>
      <c r="N24" s="2">
        <v>3.8849999999999998</v>
      </c>
      <c r="O24" s="2">
        <v>10.989000000000001</v>
      </c>
      <c r="P24" s="1" t="s">
        <v>439</v>
      </c>
      <c r="Q24" s="1"/>
      <c r="R24" s="25">
        <v>11.92921406</v>
      </c>
      <c r="S24" s="25">
        <v>11.92921406</v>
      </c>
      <c r="T24" s="25">
        <v>11.92921406</v>
      </c>
      <c r="U24">
        <v>0</v>
      </c>
      <c r="X24">
        <v>0</v>
      </c>
      <c r="AA24" s="2">
        <v>2</v>
      </c>
      <c r="AB24">
        <v>14</v>
      </c>
      <c r="AC24" s="55">
        <f t="shared" si="6"/>
        <v>165.859449525</v>
      </c>
      <c r="AD24" s="57">
        <v>349.00875366799971</v>
      </c>
      <c r="AE24" s="55">
        <v>0</v>
      </c>
      <c r="AF24" s="55">
        <v>0</v>
      </c>
      <c r="AG24" s="52"/>
      <c r="AH24" s="51">
        <v>8.0227214090553903E-2</v>
      </c>
      <c r="AI24" s="52"/>
      <c r="AJ24" s="52"/>
      <c r="AK24" s="28">
        <v>1.7272727272727271</v>
      </c>
      <c r="AL24" s="28">
        <v>2.545454545454545</v>
      </c>
      <c r="AM24" s="28">
        <v>0.81818181818181823</v>
      </c>
      <c r="AN24" s="28">
        <v>0</v>
      </c>
      <c r="AO24" s="28">
        <v>0.3392857142857143</v>
      </c>
      <c r="AP24" s="28">
        <v>0.5</v>
      </c>
      <c r="AQ24" s="28">
        <v>0.1607142857142857</v>
      </c>
      <c r="AR24" s="28">
        <v>0</v>
      </c>
      <c r="AS24" s="25">
        <v>0.82</v>
      </c>
      <c r="AT24" s="25">
        <v>3.44</v>
      </c>
      <c r="AU24" s="25">
        <v>2.62</v>
      </c>
      <c r="AV24" s="25">
        <v>2.6545454545454539</v>
      </c>
      <c r="AW24">
        <v>2.6545454545454552</v>
      </c>
      <c r="AX24">
        <v>5.9865512095454543</v>
      </c>
      <c r="AY24" s="75">
        <v>0.50734392504100967</v>
      </c>
      <c r="AZ24" s="75"/>
      <c r="BA24" s="75"/>
      <c r="BC24">
        <v>4.0113607045276937E-2</v>
      </c>
      <c r="BF24">
        <v>8.0227214090553903E-2</v>
      </c>
      <c r="BG24">
        <v>4.0113607045276937E-2</v>
      </c>
      <c r="BH24">
        <v>0.50734392504100967</v>
      </c>
      <c r="BI24" s="79" t="s">
        <v>1264</v>
      </c>
      <c r="BJ24" s="79">
        <f t="shared" si="5"/>
        <v>1473</v>
      </c>
      <c r="BK24" s="79">
        <v>48</v>
      </c>
      <c r="BM24" s="79" t="s">
        <v>464</v>
      </c>
      <c r="BN24" s="79" t="s">
        <v>464</v>
      </c>
      <c r="BO24" s="79">
        <v>0</v>
      </c>
      <c r="BQ24" s="79">
        <v>2.85</v>
      </c>
      <c r="BR24" s="79">
        <v>14.3</v>
      </c>
      <c r="BS24" s="79" t="s">
        <v>464</v>
      </c>
      <c r="BT24" s="79" t="s">
        <v>464</v>
      </c>
      <c r="BU24" s="79" t="s">
        <v>1266</v>
      </c>
      <c r="BV24" s="79">
        <v>450</v>
      </c>
      <c r="BZ24" s="81">
        <v>740</v>
      </c>
      <c r="CA24">
        <f t="shared" si="2"/>
        <v>6.6066501861982152</v>
      </c>
    </row>
    <row r="25" spans="1:79" x14ac:dyDescent="0.3">
      <c r="A25" s="2" t="s">
        <v>153</v>
      </c>
      <c r="B25" s="13"/>
      <c r="C25" s="13"/>
      <c r="D25" s="2">
        <v>3.3</v>
      </c>
      <c r="E25" s="2" t="s">
        <v>454</v>
      </c>
      <c r="F25" s="9"/>
      <c r="I25" s="2"/>
      <c r="J25" s="25">
        <v>1</v>
      </c>
      <c r="K25">
        <v>1</v>
      </c>
      <c r="L25">
        <v>0</v>
      </c>
      <c r="M25" s="2">
        <v>3.9049999999999998</v>
      </c>
      <c r="N25" s="2">
        <v>3.9049999999999998</v>
      </c>
      <c r="O25" s="2">
        <v>11.185</v>
      </c>
      <c r="P25" s="1" t="s">
        <v>439</v>
      </c>
      <c r="Q25" s="1"/>
      <c r="R25" s="25">
        <v>3.952105</v>
      </c>
      <c r="S25" s="25">
        <v>3.952105</v>
      </c>
      <c r="T25" s="25">
        <v>11.503833</v>
      </c>
      <c r="U25">
        <v>3.9079999999999999</v>
      </c>
      <c r="V25">
        <v>3.9079999999999999</v>
      </c>
      <c r="W25">
        <v>11.16</v>
      </c>
      <c r="X25">
        <v>0</v>
      </c>
      <c r="AA25" s="2">
        <v>2</v>
      </c>
      <c r="AB25">
        <v>14</v>
      </c>
      <c r="AC25" s="55">
        <f t="shared" si="6"/>
        <v>170.56034462499997</v>
      </c>
      <c r="AD25" s="57">
        <v>179.6799083471451</v>
      </c>
      <c r="AE25" s="55">
        <v>170.44069823999999</v>
      </c>
      <c r="AF25" s="55">
        <v>0</v>
      </c>
      <c r="AG25" s="52"/>
      <c r="AH25" s="51">
        <v>7.7916335380980528E-2</v>
      </c>
      <c r="AI25" s="52">
        <v>8.2140006140355049E-2</v>
      </c>
      <c r="AJ25" s="52"/>
      <c r="AK25" s="28">
        <v>1.7272727272727271</v>
      </c>
      <c r="AL25" s="28">
        <v>2.545454545454545</v>
      </c>
      <c r="AM25" s="28">
        <v>0.81818181818181823</v>
      </c>
      <c r="AN25" s="28">
        <v>0</v>
      </c>
      <c r="AO25" s="28">
        <v>0.3392857142857143</v>
      </c>
      <c r="AP25" s="28">
        <v>0.5</v>
      </c>
      <c r="AQ25" s="28">
        <v>0.1607142857142857</v>
      </c>
      <c r="AR25" s="28">
        <v>0</v>
      </c>
      <c r="AS25" s="25">
        <v>0.79</v>
      </c>
      <c r="AT25" s="25">
        <v>3.44</v>
      </c>
      <c r="AU25" s="25">
        <v>2.65</v>
      </c>
      <c r="AV25" s="25">
        <v>2.6518181818181819</v>
      </c>
      <c r="AW25">
        <v>2.6518181818181819</v>
      </c>
      <c r="AX25">
        <v>5.9730281035195452</v>
      </c>
      <c r="AY25" s="75">
        <v>0.5243291310951993</v>
      </c>
      <c r="AZ25" s="75">
        <v>0.55275184384813547</v>
      </c>
      <c r="BA25" s="75"/>
      <c r="BC25">
        <v>3.8958167690490257E-2</v>
      </c>
      <c r="BD25">
        <v>4.1070003070177517E-2</v>
      </c>
      <c r="BF25">
        <v>8.0028170760667788E-2</v>
      </c>
      <c r="BG25">
        <v>4.0014085380333887E-2</v>
      </c>
      <c r="BH25">
        <v>0.53854048747166738</v>
      </c>
      <c r="BI25" s="79" t="s">
        <v>1264</v>
      </c>
      <c r="BJ25" s="79">
        <f t="shared" si="5"/>
        <v>1473</v>
      </c>
      <c r="BK25" s="79">
        <v>48</v>
      </c>
      <c r="BM25" s="79" t="s">
        <v>464</v>
      </c>
      <c r="BN25" s="79" t="s">
        <v>464</v>
      </c>
      <c r="BO25" s="79">
        <v>0</v>
      </c>
      <c r="BQ25" s="79">
        <v>2.85</v>
      </c>
      <c r="BR25" s="79">
        <v>14.3</v>
      </c>
      <c r="BS25" s="79" t="s">
        <v>464</v>
      </c>
      <c r="BT25" s="79" t="s">
        <v>464</v>
      </c>
      <c r="BU25" s="79" t="s">
        <v>1266</v>
      </c>
      <c r="BV25" s="79">
        <v>450</v>
      </c>
      <c r="BZ25" s="81">
        <v>300</v>
      </c>
      <c r="CA25">
        <f t="shared" si="2"/>
        <v>5.7037824746562009</v>
      </c>
    </row>
    <row r="26" spans="1:79" x14ac:dyDescent="0.3">
      <c r="A26" s="2" t="s">
        <v>63</v>
      </c>
      <c r="B26" s="73"/>
      <c r="C26" s="13"/>
      <c r="D26" s="2">
        <v>3.35</v>
      </c>
      <c r="E26" s="2" t="s">
        <v>454</v>
      </c>
      <c r="F26" s="9"/>
      <c r="I26" s="7"/>
      <c r="J26" s="25">
        <v>4</v>
      </c>
      <c r="K26">
        <v>4</v>
      </c>
      <c r="L26">
        <v>0</v>
      </c>
      <c r="M26" s="2">
        <v>7.7270000000000003</v>
      </c>
      <c r="N26" s="2">
        <v>7.7270000000000003</v>
      </c>
      <c r="O26" s="2">
        <v>29.466000000000001</v>
      </c>
      <c r="P26" s="2" t="s">
        <v>452</v>
      </c>
      <c r="Q26" s="2"/>
      <c r="R26" s="25">
        <v>7.8084429999999996</v>
      </c>
      <c r="S26" s="25">
        <v>7.8548809999999998</v>
      </c>
      <c r="T26" s="25">
        <v>15.19056011</v>
      </c>
      <c r="U26">
        <v>3.8801999999999999</v>
      </c>
      <c r="V26">
        <v>29.507999999999999</v>
      </c>
      <c r="W26">
        <v>7.7140000000000004</v>
      </c>
      <c r="X26">
        <v>0</v>
      </c>
      <c r="AA26" s="2">
        <v>3</v>
      </c>
      <c r="AB26">
        <v>20</v>
      </c>
      <c r="AC26" s="55">
        <f t="shared" si="6"/>
        <v>1759.3125835140002</v>
      </c>
      <c r="AD26" s="57">
        <v>924.74694800021894</v>
      </c>
      <c r="AE26" s="55">
        <v>883.22940750240002</v>
      </c>
      <c r="AF26" s="55">
        <v>0</v>
      </c>
      <c r="AG26" s="52"/>
      <c r="AH26" s="51">
        <v>8.6510153045653584E-2</v>
      </c>
      <c r="AI26" s="52">
        <v>9.0576694254581439E-2</v>
      </c>
      <c r="AJ26" s="52"/>
      <c r="AK26" s="28">
        <v>1.75</v>
      </c>
      <c r="AL26" s="28">
        <v>2.5</v>
      </c>
      <c r="AM26" s="28">
        <v>0.75</v>
      </c>
      <c r="AN26" s="28">
        <v>0</v>
      </c>
      <c r="AO26" s="28">
        <v>0.35</v>
      </c>
      <c r="AP26" s="28">
        <v>0.5</v>
      </c>
      <c r="AQ26" s="28">
        <v>0.15</v>
      </c>
      <c r="AR26" s="28">
        <v>0</v>
      </c>
      <c r="AS26" s="25">
        <v>0.82</v>
      </c>
      <c r="AT26" s="25">
        <v>3.44</v>
      </c>
      <c r="AU26" s="25">
        <v>2.62</v>
      </c>
      <c r="AV26" s="25">
        <v>2.6262500000000002</v>
      </c>
      <c r="AW26">
        <v>2.6262500000000002</v>
      </c>
      <c r="AX26">
        <v>5.96680968125</v>
      </c>
      <c r="AY26" s="75">
        <v>0.50555206026575039</v>
      </c>
      <c r="AZ26" s="75">
        <v>0</v>
      </c>
      <c r="BA26" s="75"/>
      <c r="BC26">
        <v>4.3255076522826792E-2</v>
      </c>
      <c r="BD26">
        <v>4.5288347127290719E-2</v>
      </c>
      <c r="BF26">
        <v>8.8543423650117511E-2</v>
      </c>
      <c r="BG26">
        <v>4.4271711825058763E-2</v>
      </c>
      <c r="BH26">
        <v>0.2527760301328752</v>
      </c>
      <c r="BI26" s="79" t="s">
        <v>1264</v>
      </c>
      <c r="BJ26" s="79">
        <f t="shared" si="5"/>
        <v>1473</v>
      </c>
      <c r="BK26" s="79">
        <v>48</v>
      </c>
      <c r="BM26" s="79" t="s">
        <v>464</v>
      </c>
      <c r="BN26" s="79" t="s">
        <v>464</v>
      </c>
      <c r="BO26" s="79">
        <v>0</v>
      </c>
      <c r="BQ26" s="79">
        <v>2.85</v>
      </c>
      <c r="BR26" s="79">
        <v>14.3</v>
      </c>
      <c r="BS26" s="79" t="s">
        <v>464</v>
      </c>
      <c r="BT26" s="79" t="s">
        <v>464</v>
      </c>
      <c r="BU26" s="79" t="s">
        <v>1266</v>
      </c>
      <c r="BV26" s="79">
        <v>450</v>
      </c>
      <c r="BZ26" s="81">
        <v>5900</v>
      </c>
      <c r="CA26">
        <f t="shared" si="2"/>
        <v>8.6827076298938106</v>
      </c>
    </row>
    <row r="27" spans="1:79" x14ac:dyDescent="0.3">
      <c r="A27" s="2" t="s">
        <v>63</v>
      </c>
      <c r="B27" s="13"/>
      <c r="C27" s="13"/>
      <c r="D27" s="2">
        <v>3.5</v>
      </c>
      <c r="E27" s="2" t="s">
        <v>454</v>
      </c>
      <c r="F27" s="9"/>
      <c r="I27" s="7"/>
      <c r="J27" s="25">
        <v>1</v>
      </c>
      <c r="K27">
        <v>1</v>
      </c>
      <c r="L27">
        <v>0</v>
      </c>
      <c r="M27" s="2">
        <v>7.7249999999999996</v>
      </c>
      <c r="N27" s="2">
        <v>7.7249999999999996</v>
      </c>
      <c r="O27" s="2">
        <v>14.909000000000001</v>
      </c>
      <c r="P27" s="2" t="s">
        <v>451</v>
      </c>
      <c r="Q27" s="2"/>
      <c r="R27" s="25">
        <v>3.9661010000000001</v>
      </c>
      <c r="S27" s="25">
        <v>3.9661010000000001</v>
      </c>
      <c r="T27" s="25">
        <v>15.283337</v>
      </c>
      <c r="U27">
        <v>3.8586499999999999</v>
      </c>
      <c r="V27">
        <v>3.8586499999999999</v>
      </c>
      <c r="W27">
        <v>14.9108</v>
      </c>
      <c r="X27">
        <v>0</v>
      </c>
      <c r="AA27" s="2">
        <v>3</v>
      </c>
      <c r="AB27">
        <v>20</v>
      </c>
      <c r="AC27" s="55">
        <f t="shared" si="6"/>
        <v>889.70389312500004</v>
      </c>
      <c r="AD27" s="57">
        <v>240.40623599981481</v>
      </c>
      <c r="AE27" s="55">
        <v>222.00958249733301</v>
      </c>
      <c r="AF27" s="55">
        <v>0</v>
      </c>
      <c r="AG27" s="52"/>
      <c r="AH27" s="51">
        <v>8.3192517518619641E-2</v>
      </c>
      <c r="AI27" s="52">
        <v>9.0086201573034624E-2</v>
      </c>
      <c r="AJ27" s="52"/>
      <c r="AK27" s="28">
        <v>1.75</v>
      </c>
      <c r="AL27" s="28">
        <v>2.5</v>
      </c>
      <c r="AM27" s="28">
        <v>0.75</v>
      </c>
      <c r="AN27" s="28">
        <v>0</v>
      </c>
      <c r="AO27" s="28">
        <v>0.35</v>
      </c>
      <c r="AP27" s="28">
        <v>0.5</v>
      </c>
      <c r="AQ27" s="28">
        <v>0.15</v>
      </c>
      <c r="AR27" s="28">
        <v>0</v>
      </c>
      <c r="AS27" s="25">
        <v>0.82</v>
      </c>
      <c r="AT27" s="25">
        <v>3.44</v>
      </c>
      <c r="AU27" s="25">
        <v>2.62</v>
      </c>
      <c r="AV27" s="25">
        <v>2.6262500000000002</v>
      </c>
      <c r="AW27">
        <v>2.6262500000000002</v>
      </c>
      <c r="AX27">
        <v>5.9612134765624996</v>
      </c>
      <c r="AY27" s="75">
        <v>0.50467688585120674</v>
      </c>
      <c r="AZ27" s="75">
        <v>0.54649654829675798</v>
      </c>
      <c r="BA27" s="75"/>
      <c r="BC27">
        <v>4.159625875930982E-2</v>
      </c>
      <c r="BD27">
        <v>4.5043100786517312E-2</v>
      </c>
      <c r="BF27">
        <v>8.6639359545827133E-2</v>
      </c>
      <c r="BG27">
        <v>4.3319679772913573E-2</v>
      </c>
      <c r="BH27">
        <v>0.5255867170739823</v>
      </c>
      <c r="BI27" s="79" t="s">
        <v>1264</v>
      </c>
      <c r="BJ27" s="79">
        <f t="shared" si="5"/>
        <v>1473</v>
      </c>
      <c r="BK27" s="79">
        <v>48</v>
      </c>
      <c r="BM27" s="79" t="s">
        <v>464</v>
      </c>
      <c r="BN27" s="79" t="s">
        <v>464</v>
      </c>
      <c r="BO27" s="79">
        <v>0</v>
      </c>
      <c r="BQ27" s="79">
        <v>2.85</v>
      </c>
      <c r="BR27" s="79">
        <v>14.3</v>
      </c>
      <c r="BS27" s="79" t="s">
        <v>464</v>
      </c>
      <c r="BT27" s="79" t="s">
        <v>464</v>
      </c>
      <c r="BU27" s="79" t="s">
        <v>1266</v>
      </c>
      <c r="BV27" s="79">
        <v>450</v>
      </c>
      <c r="BZ27" s="81">
        <v>3100</v>
      </c>
      <c r="CA27">
        <f t="shared" si="2"/>
        <v>8.0391573904732372</v>
      </c>
    </row>
    <row r="28" spans="1:79" x14ac:dyDescent="0.3">
      <c r="A28" s="2" t="s">
        <v>63</v>
      </c>
      <c r="B28" s="13"/>
      <c r="C28" s="13"/>
      <c r="D28" s="2">
        <v>3.5</v>
      </c>
      <c r="E28" s="2" t="s">
        <v>454</v>
      </c>
      <c r="F28" s="9"/>
      <c r="I28" s="7"/>
      <c r="J28" s="25">
        <v>8</v>
      </c>
      <c r="K28">
        <v>8</v>
      </c>
      <c r="L28">
        <v>0</v>
      </c>
      <c r="M28" s="2">
        <v>7.7270000000000003</v>
      </c>
      <c r="N28" s="2">
        <v>7.7270000000000003</v>
      </c>
      <c r="O28" s="2">
        <v>30.175999999999998</v>
      </c>
      <c r="P28" s="2" t="s">
        <v>452</v>
      </c>
      <c r="Q28" s="2"/>
      <c r="R28" s="25">
        <v>7.8252249999999997</v>
      </c>
      <c r="S28" s="25">
        <v>7.8345229999999999</v>
      </c>
      <c r="T28" s="25">
        <v>31.031406</v>
      </c>
      <c r="U28">
        <v>30.184999999999999</v>
      </c>
      <c r="V28">
        <v>7.74</v>
      </c>
      <c r="W28">
        <v>7.7460000000000004</v>
      </c>
      <c r="X28">
        <v>0</v>
      </c>
      <c r="AA28" s="2">
        <v>3</v>
      </c>
      <c r="AB28">
        <v>20</v>
      </c>
      <c r="AC28" s="55">
        <f t="shared" si="6"/>
        <v>1801.704219104</v>
      </c>
      <c r="AD28" s="57">
        <v>1902.4394671889761</v>
      </c>
      <c r="AE28" s="55">
        <v>1809.7126974</v>
      </c>
      <c r="AF28" s="55">
        <v>0</v>
      </c>
      <c r="AG28" s="52"/>
      <c r="AH28" s="51">
        <v>8.4102544527429435E-2</v>
      </c>
      <c r="AI28" s="52">
        <v>8.8411823727529093E-2</v>
      </c>
      <c r="AJ28" s="52"/>
      <c r="AK28" s="28">
        <v>1.75</v>
      </c>
      <c r="AL28" s="28">
        <v>2.5</v>
      </c>
      <c r="AM28" s="28">
        <v>0.75</v>
      </c>
      <c r="AN28" s="28">
        <v>0</v>
      </c>
      <c r="AO28" s="28">
        <v>0.35</v>
      </c>
      <c r="AP28" s="28">
        <v>0.5</v>
      </c>
      <c r="AQ28" s="28">
        <v>0.15</v>
      </c>
      <c r="AR28" s="28">
        <v>0</v>
      </c>
      <c r="AS28" s="25">
        <v>0.79</v>
      </c>
      <c r="AT28" s="25">
        <v>3.44</v>
      </c>
      <c r="AU28" s="25">
        <v>2.65</v>
      </c>
      <c r="AV28" s="25">
        <v>2.6243750000000001</v>
      </c>
      <c r="AW28">
        <v>2.6243750000000001</v>
      </c>
      <c r="AX28">
        <v>5.9519163411696878</v>
      </c>
      <c r="AY28" s="75">
        <v>0.53407279423354193</v>
      </c>
      <c r="AZ28" s="75">
        <v>0.5614378257728565</v>
      </c>
      <c r="BA28" s="75"/>
      <c r="BC28">
        <v>4.2051272263714717E-2</v>
      </c>
      <c r="BD28">
        <v>4.4205911863764553E-2</v>
      </c>
      <c r="BF28">
        <v>8.6257184127479264E-2</v>
      </c>
      <c r="BG28">
        <v>4.3128592063739632E-2</v>
      </c>
      <c r="BH28">
        <v>0.54775531000319921</v>
      </c>
      <c r="BI28" s="79" t="s">
        <v>1264</v>
      </c>
      <c r="BJ28" s="79">
        <f t="shared" si="5"/>
        <v>1473</v>
      </c>
      <c r="BK28" s="79">
        <v>48</v>
      </c>
      <c r="BM28" s="79" t="s">
        <v>464</v>
      </c>
      <c r="BN28" s="79" t="s">
        <v>464</v>
      </c>
      <c r="BO28" s="79">
        <v>0</v>
      </c>
      <c r="BQ28" s="79">
        <v>2.85</v>
      </c>
      <c r="BR28" s="79">
        <v>14.3</v>
      </c>
      <c r="BS28" s="79" t="s">
        <v>464</v>
      </c>
      <c r="BT28" s="79" t="s">
        <v>464</v>
      </c>
      <c r="BU28" s="79" t="s">
        <v>1266</v>
      </c>
      <c r="BV28" s="79">
        <v>450</v>
      </c>
      <c r="BZ28" s="81">
        <v>970</v>
      </c>
      <c r="CA28">
        <f t="shared" si="2"/>
        <v>6.8772960714974287</v>
      </c>
    </row>
    <row r="29" spans="1:79" x14ac:dyDescent="0.3">
      <c r="A29" s="2" t="s">
        <v>151</v>
      </c>
      <c r="B29" s="13"/>
      <c r="C29" s="13"/>
      <c r="D29" s="2">
        <v>3.16</v>
      </c>
      <c r="E29" s="2" t="s">
        <v>454</v>
      </c>
      <c r="F29" s="9"/>
      <c r="I29" s="2">
        <v>4</v>
      </c>
      <c r="J29" s="25">
        <v>0</v>
      </c>
      <c r="K29">
        <v>0</v>
      </c>
      <c r="L29">
        <v>0</v>
      </c>
      <c r="M29" s="2">
        <v>7.8310000000000004</v>
      </c>
      <c r="N29" s="2">
        <v>7.8010000000000002</v>
      </c>
      <c r="O29" s="2">
        <v>15.05</v>
      </c>
      <c r="P29" s="2" t="s">
        <v>1141</v>
      </c>
      <c r="Q29" s="2">
        <v>15.05</v>
      </c>
      <c r="R29" s="25">
        <v>0</v>
      </c>
      <c r="S29" s="25"/>
      <c r="T29" s="25"/>
      <c r="U29">
        <v>0</v>
      </c>
      <c r="X29">
        <v>0</v>
      </c>
      <c r="AA29" s="2">
        <v>3</v>
      </c>
      <c r="AB29">
        <v>20</v>
      </c>
      <c r="AC29" s="55">
        <f t="shared" si="6"/>
        <v>919.39894655000012</v>
      </c>
      <c r="AD29" s="57">
        <f>M29*N29*O29*SIN(RADIANS(97.44))</f>
        <v>911.65853089860946</v>
      </c>
      <c r="AE29" s="55">
        <v>0</v>
      </c>
      <c r="AF29" s="55">
        <v>0</v>
      </c>
      <c r="AG29" s="52">
        <f>I29*AB29/AC29</f>
        <v>8.7013369223660861E-2</v>
      </c>
      <c r="AH29" s="51"/>
      <c r="AI29" s="52"/>
      <c r="AJ29" s="52"/>
      <c r="AK29" s="28">
        <v>1.75</v>
      </c>
      <c r="AL29" s="28">
        <v>2.5</v>
      </c>
      <c r="AM29" s="28">
        <v>0.75</v>
      </c>
      <c r="AN29" s="28">
        <v>0</v>
      </c>
      <c r="AO29" s="28">
        <v>0.35</v>
      </c>
      <c r="AP29" s="28">
        <v>0.5</v>
      </c>
      <c r="AQ29" s="28">
        <v>0.15</v>
      </c>
      <c r="AR29" s="28">
        <v>0</v>
      </c>
      <c r="AS29" s="25">
        <v>0.82</v>
      </c>
      <c r="AT29" s="25">
        <v>3.44</v>
      </c>
      <c r="AU29" s="25">
        <v>2.62</v>
      </c>
      <c r="AV29" s="25">
        <v>2.62</v>
      </c>
      <c r="AW29">
        <v>2.62</v>
      </c>
      <c r="AX29">
        <v>5.9423863675000002</v>
      </c>
      <c r="AY29" s="75"/>
      <c r="AZ29" s="75"/>
      <c r="BA29" s="75"/>
      <c r="BB29">
        <v>4.350668461183043E-2</v>
      </c>
      <c r="BC29">
        <v>0</v>
      </c>
      <c r="BF29">
        <v>8.7013369223660861E-2</v>
      </c>
      <c r="BG29">
        <v>2.1753342305915219E-2</v>
      </c>
      <c r="BH29">
        <v>0</v>
      </c>
      <c r="BI29" s="79" t="s">
        <v>1264</v>
      </c>
      <c r="BJ29" s="79">
        <f t="shared" si="5"/>
        <v>1473</v>
      </c>
      <c r="BK29" s="79">
        <v>48</v>
      </c>
      <c r="BM29" s="79" t="s">
        <v>464</v>
      </c>
      <c r="BN29" s="79" t="s">
        <v>464</v>
      </c>
      <c r="BO29" s="79">
        <v>0</v>
      </c>
      <c r="BQ29" s="79">
        <v>2.85</v>
      </c>
      <c r="BR29" s="79">
        <v>14.3</v>
      </c>
      <c r="BS29" s="79" t="s">
        <v>464</v>
      </c>
      <c r="BT29" s="79" t="s">
        <v>464</v>
      </c>
      <c r="BU29" s="79" t="s">
        <v>1266</v>
      </c>
      <c r="BV29" s="79">
        <v>450</v>
      </c>
      <c r="BZ29" s="81">
        <v>8900</v>
      </c>
      <c r="CA29">
        <f t="shared" si="2"/>
        <v>9.0938065557202314</v>
      </c>
    </row>
    <row r="30" spans="1:79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I30" s="2">
        <v>8</v>
      </c>
      <c r="J30" s="25">
        <v>0</v>
      </c>
      <c r="K30">
        <v>0</v>
      </c>
      <c r="L30">
        <v>0</v>
      </c>
      <c r="M30" s="2">
        <v>7.7489999999999997</v>
      </c>
      <c r="N30" s="2">
        <v>7.7359999999999998</v>
      </c>
      <c r="O30" s="2">
        <v>37.369999999999997</v>
      </c>
      <c r="P30" s="2" t="s">
        <v>1142</v>
      </c>
      <c r="Q30" s="2">
        <f>O30/2</f>
        <v>18.684999999999999</v>
      </c>
      <c r="R30" s="25">
        <v>0</v>
      </c>
      <c r="S30" s="25"/>
      <c r="T30" s="25"/>
      <c r="U30">
        <v>0</v>
      </c>
      <c r="X30">
        <v>0</v>
      </c>
      <c r="AA30" s="2">
        <v>4</v>
      </c>
      <c r="AB30">
        <v>26</v>
      </c>
      <c r="AC30" s="55">
        <f t="shared" si="6"/>
        <v>2240.1918856799994</v>
      </c>
      <c r="AD30" s="57">
        <v>2240</v>
      </c>
      <c r="AE30" s="55">
        <v>0</v>
      </c>
      <c r="AF30" s="55">
        <v>0</v>
      </c>
      <c r="AG30" s="52">
        <f>I30*AB30/AC30</f>
        <v>9.2849189093845236E-2</v>
      </c>
      <c r="AH30" s="51"/>
      <c r="AI30" s="52"/>
      <c r="AJ30" s="52"/>
      <c r="AK30" s="28">
        <v>1.714285714285714</v>
      </c>
      <c r="AL30" s="28">
        <v>2.4761904761904758</v>
      </c>
      <c r="AM30" s="28">
        <v>0.76190476190476186</v>
      </c>
      <c r="AN30" s="28">
        <v>0</v>
      </c>
      <c r="AO30" s="28">
        <v>0.34615384615384609</v>
      </c>
      <c r="AP30" s="28">
        <v>0.5</v>
      </c>
      <c r="AQ30" s="28">
        <v>0.1538461538461538</v>
      </c>
      <c r="AR30" s="28">
        <v>0</v>
      </c>
      <c r="AS30" s="25">
        <v>0.82</v>
      </c>
      <c r="AT30" s="25">
        <v>3.44</v>
      </c>
      <c r="AU30" s="25">
        <v>2.62</v>
      </c>
      <c r="AV30" s="25">
        <v>2.612857142857143</v>
      </c>
      <c r="AW30">
        <v>2.612857142857143</v>
      </c>
      <c r="AX30">
        <v>5.9413964502380949</v>
      </c>
      <c r="AY30" s="75"/>
      <c r="AZ30" s="75"/>
      <c r="BA30" s="75"/>
      <c r="BB30">
        <v>4.6424594546922618E-2</v>
      </c>
      <c r="BC30">
        <v>0</v>
      </c>
      <c r="BF30">
        <v>9.2849189093845236E-2</v>
      </c>
      <c r="BG30">
        <v>2.3212297273461309E-2</v>
      </c>
      <c r="BH30">
        <v>0</v>
      </c>
      <c r="BI30" s="79" t="s">
        <v>1264</v>
      </c>
      <c r="BJ30" s="79">
        <f t="shared" si="5"/>
        <v>1473</v>
      </c>
      <c r="BK30" s="79">
        <v>48</v>
      </c>
      <c r="BM30" s="79" t="s">
        <v>464</v>
      </c>
      <c r="BN30" s="79" t="s">
        <v>464</v>
      </c>
      <c r="BO30" s="79">
        <v>0</v>
      </c>
      <c r="BQ30" s="79">
        <v>2.85</v>
      </c>
      <c r="BR30" s="79">
        <v>14.3</v>
      </c>
      <c r="BS30" s="79" t="s">
        <v>464</v>
      </c>
      <c r="BT30" s="79" t="s">
        <v>464</v>
      </c>
      <c r="BU30" s="79" t="s">
        <v>1266</v>
      </c>
      <c r="BV30" s="79">
        <v>450</v>
      </c>
      <c r="BZ30" s="81">
        <v>790</v>
      </c>
      <c r="CA30">
        <f t="shared" si="2"/>
        <v>6.6720329454610674</v>
      </c>
    </row>
    <row r="31" spans="1:79" x14ac:dyDescent="0.3">
      <c r="A31" s="2" t="s">
        <v>304</v>
      </c>
      <c r="B31" s="13"/>
      <c r="C31" s="13"/>
      <c r="D31" s="2">
        <v>3.5</v>
      </c>
      <c r="E31" s="2" t="s">
        <v>454</v>
      </c>
      <c r="F31" s="9"/>
      <c r="I31" s="65">
        <v>4</v>
      </c>
      <c r="J31" s="25">
        <v>4</v>
      </c>
      <c r="K31">
        <v>4</v>
      </c>
      <c r="L31">
        <v>0</v>
      </c>
      <c r="M31" s="2"/>
      <c r="N31" s="2"/>
      <c r="O31" s="2"/>
      <c r="P31" s="2"/>
      <c r="Q31" s="2"/>
      <c r="R31" s="25">
        <v>6.6040679999999998</v>
      </c>
      <c r="S31" s="25">
        <v>7.9389519999999996</v>
      </c>
      <c r="T31" s="25">
        <v>33.703336</v>
      </c>
      <c r="U31">
        <v>7.83</v>
      </c>
      <c r="V31">
        <v>33.209989999999998</v>
      </c>
      <c r="W31">
        <v>6.46</v>
      </c>
      <c r="X31">
        <v>0</v>
      </c>
      <c r="AA31" s="2"/>
      <c r="AB31">
        <v>34</v>
      </c>
      <c r="AC31" s="55">
        <f>M31*N31*O31</f>
        <v>0</v>
      </c>
      <c r="AD31" s="57">
        <v>1767.0449718798691</v>
      </c>
      <c r="AE31" s="55">
        <v>1679.8210721820001</v>
      </c>
      <c r="AF31" s="55">
        <v>0</v>
      </c>
      <c r="AG31" s="52"/>
      <c r="AH31" s="51">
        <v>7.6964651247849417E-2</v>
      </c>
      <c r="AI31" s="52">
        <v>8.0961003676030277E-2</v>
      </c>
      <c r="AJ31" s="52"/>
      <c r="AK31" s="28">
        <v>1.62962962962963</v>
      </c>
      <c r="AL31" s="28">
        <v>2.518518518518519</v>
      </c>
      <c r="AM31" s="28">
        <v>0.88888888888888884</v>
      </c>
      <c r="AN31" s="28">
        <v>0</v>
      </c>
      <c r="AO31" s="28">
        <v>0.32352941176470579</v>
      </c>
      <c r="AP31" s="28">
        <v>0.5</v>
      </c>
      <c r="AQ31" s="28">
        <v>0.1764705882352941</v>
      </c>
      <c r="AR31" s="28">
        <v>0</v>
      </c>
      <c r="AS31" s="25">
        <v>0.82</v>
      </c>
      <c r="AT31" s="25">
        <v>3.44</v>
      </c>
      <c r="AU31" s="25">
        <v>2.62</v>
      </c>
      <c r="AV31" s="25">
        <v>2.642962962962963</v>
      </c>
      <c r="AW31">
        <v>2.642962962962963</v>
      </c>
      <c r="AX31">
        <v>5.9587362692592576</v>
      </c>
      <c r="AY31" s="75">
        <v>0.48264383878002159</v>
      </c>
      <c r="AZ31" s="75">
        <v>0.50770488753139842</v>
      </c>
      <c r="BA31" s="75"/>
      <c r="BB31" t="s">
        <v>459</v>
      </c>
      <c r="BC31">
        <v>3.8482325623924708E-2</v>
      </c>
      <c r="BD31">
        <v>4.0480501838015132E-2</v>
      </c>
      <c r="BF31">
        <v>7.8962827461939847E-2</v>
      </c>
      <c r="BG31" t="s">
        <v>459</v>
      </c>
      <c r="BH31">
        <v>0.49517436315571001</v>
      </c>
      <c r="BI31" s="79" t="s">
        <v>1264</v>
      </c>
      <c r="BJ31" s="79">
        <f t="shared" si="5"/>
        <v>1473</v>
      </c>
      <c r="BK31" s="79">
        <v>48</v>
      </c>
      <c r="BM31" s="79" t="s">
        <v>1268</v>
      </c>
      <c r="BN31" s="79" t="s">
        <v>863</v>
      </c>
      <c r="BO31" s="79">
        <v>0.1</v>
      </c>
      <c r="BQ31" s="79">
        <v>2.85</v>
      </c>
      <c r="BR31" s="79">
        <v>14.3</v>
      </c>
      <c r="BS31" s="79" t="s">
        <v>464</v>
      </c>
      <c r="BT31" s="79" t="s">
        <v>464</v>
      </c>
      <c r="BU31" s="79" t="s">
        <v>1266</v>
      </c>
      <c r="BV31" s="79">
        <v>450</v>
      </c>
      <c r="BZ31" s="81">
        <v>740</v>
      </c>
      <c r="CA31">
        <f t="shared" si="2"/>
        <v>6.6066501861982152</v>
      </c>
    </row>
    <row r="32" spans="1:79" x14ac:dyDescent="0.3">
      <c r="A32" s="2" t="s">
        <v>153</v>
      </c>
      <c r="B32" s="13"/>
      <c r="C32" s="13"/>
      <c r="D32" s="2">
        <v>3.2</v>
      </c>
      <c r="E32" s="2" t="s">
        <v>454</v>
      </c>
      <c r="F32" s="9"/>
      <c r="I32" s="2"/>
      <c r="J32" s="25">
        <v>1</v>
      </c>
      <c r="K32">
        <v>1</v>
      </c>
      <c r="L32">
        <v>0</v>
      </c>
      <c r="M32" s="2">
        <v>7.806</v>
      </c>
      <c r="N32" s="2">
        <v>7.6680000000000001</v>
      </c>
      <c r="O32" s="2">
        <v>21.54</v>
      </c>
      <c r="P32" s="1" t="s">
        <v>513</v>
      </c>
      <c r="Q32" s="1"/>
      <c r="R32" s="25">
        <v>3.9327019999999999</v>
      </c>
      <c r="S32" s="25">
        <v>3.9458000000000002</v>
      </c>
      <c r="T32" s="25">
        <v>11.356398779999999</v>
      </c>
      <c r="U32">
        <v>3.9060000000000001</v>
      </c>
      <c r="V32">
        <v>21.603000000000002</v>
      </c>
      <c r="W32">
        <v>3.8879000000000001</v>
      </c>
      <c r="X32">
        <v>0</v>
      </c>
      <c r="AA32" s="2">
        <v>2</v>
      </c>
      <c r="AB32">
        <v>14</v>
      </c>
      <c r="AC32" s="55">
        <f t="shared" ref="AC32:AC39" si="7">M32*N32*O32</f>
        <v>1289.30702832</v>
      </c>
      <c r="AD32" s="57">
        <v>173.54502164551991</v>
      </c>
      <c r="AE32" s="55">
        <v>328.06612625219998</v>
      </c>
      <c r="AF32" s="55">
        <v>0</v>
      </c>
      <c r="AG32" s="52"/>
      <c r="AH32" s="51">
        <v>8.0670709348241429E-2</v>
      </c>
      <c r="AI32" s="52">
        <v>4.2674323496713393E-2</v>
      </c>
      <c r="AJ32" s="52"/>
      <c r="AK32" s="28">
        <v>1.7272727272727271</v>
      </c>
      <c r="AL32" s="28">
        <v>2.545454545454545</v>
      </c>
      <c r="AM32" s="28">
        <v>0.81818181818181823</v>
      </c>
      <c r="AN32" s="28">
        <v>0</v>
      </c>
      <c r="AO32" s="28">
        <v>0.3392857142857143</v>
      </c>
      <c r="AP32" s="28">
        <v>0.5</v>
      </c>
      <c r="AQ32" s="28">
        <v>0.1607142857142857</v>
      </c>
      <c r="AR32" s="28">
        <v>0</v>
      </c>
      <c r="AS32" s="25">
        <v>0.82</v>
      </c>
      <c r="AT32" s="25">
        <v>3.44</v>
      </c>
      <c r="AU32" s="25">
        <v>2.62</v>
      </c>
      <c r="AV32" s="25">
        <v>2.6545454545454539</v>
      </c>
      <c r="AW32">
        <v>2.6545454545454539</v>
      </c>
      <c r="AX32">
        <v>5.9946911436363637</v>
      </c>
      <c r="AY32" s="75">
        <v>0.48450364842179561</v>
      </c>
      <c r="AZ32" s="75"/>
      <c r="BA32" s="75"/>
      <c r="BC32">
        <v>4.0335354674120701E-2</v>
      </c>
      <c r="BD32">
        <v>2.13371617483567E-2</v>
      </c>
      <c r="BF32">
        <v>6.1672516422477411E-2</v>
      </c>
      <c r="BG32">
        <v>3.0836258211238698E-2</v>
      </c>
      <c r="BH32">
        <v>0.48450364842179561</v>
      </c>
      <c r="BI32" s="79" t="s">
        <v>1264</v>
      </c>
      <c r="BJ32" s="79">
        <f t="shared" si="5"/>
        <v>1473</v>
      </c>
      <c r="BK32" s="79">
        <v>48</v>
      </c>
      <c r="BM32" s="79" t="s">
        <v>1268</v>
      </c>
      <c r="BN32" s="79" t="s">
        <v>863</v>
      </c>
      <c r="BO32" s="79">
        <v>0.1</v>
      </c>
      <c r="BQ32" s="79">
        <v>2.85</v>
      </c>
      <c r="BR32" s="79">
        <v>14.3</v>
      </c>
      <c r="BS32" s="79" t="s">
        <v>464</v>
      </c>
      <c r="BT32" s="79" t="s">
        <v>464</v>
      </c>
      <c r="BU32" s="79" t="s">
        <v>1266</v>
      </c>
      <c r="BV32" s="79">
        <v>450</v>
      </c>
      <c r="BZ32" s="81">
        <v>3800</v>
      </c>
      <c r="CA32">
        <f t="shared" si="2"/>
        <v>8.2427563457144775</v>
      </c>
    </row>
    <row r="33" spans="1:79" x14ac:dyDescent="0.3">
      <c r="A33" s="2" t="s">
        <v>153</v>
      </c>
      <c r="B33" s="13"/>
      <c r="C33" s="13"/>
      <c r="D33" s="2">
        <v>3.35</v>
      </c>
      <c r="E33" s="2" t="s">
        <v>454</v>
      </c>
      <c r="F33" s="9"/>
      <c r="I33" s="2"/>
      <c r="J33" s="25">
        <v>2</v>
      </c>
      <c r="K33">
        <v>0</v>
      </c>
      <c r="L33">
        <v>0</v>
      </c>
      <c r="M33" s="2">
        <v>3.8849999999999998</v>
      </c>
      <c r="N33" s="2">
        <v>3.8849999999999998</v>
      </c>
      <c r="O33" s="2">
        <v>10.989000000000001</v>
      </c>
      <c r="P33" s="1" t="s">
        <v>439</v>
      </c>
      <c r="Q33" s="1"/>
      <c r="R33" s="25">
        <v>11.92921406</v>
      </c>
      <c r="S33" s="25">
        <v>11.92921406</v>
      </c>
      <c r="T33" s="25">
        <v>11.92921406</v>
      </c>
      <c r="U33">
        <v>0</v>
      </c>
      <c r="X33">
        <v>0</v>
      </c>
      <c r="AA33" s="2">
        <v>2</v>
      </c>
      <c r="AB33">
        <v>14</v>
      </c>
      <c r="AC33" s="55">
        <f t="shared" si="7"/>
        <v>165.859449525</v>
      </c>
      <c r="AD33" s="57">
        <v>349.00875366799971</v>
      </c>
      <c r="AE33" s="55">
        <v>0</v>
      </c>
      <c r="AF33" s="55">
        <v>0</v>
      </c>
      <c r="AG33" s="52"/>
      <c r="AH33" s="51">
        <v>8.0227214090553903E-2</v>
      </c>
      <c r="AI33" s="52"/>
      <c r="AJ33" s="52"/>
      <c r="AK33" s="28">
        <v>1.7272727272727271</v>
      </c>
      <c r="AL33" s="28">
        <v>2.545454545454545</v>
      </c>
      <c r="AM33" s="28">
        <v>0.81818181818181823</v>
      </c>
      <c r="AN33" s="28">
        <v>0</v>
      </c>
      <c r="AO33" s="28">
        <v>0.3392857142857143</v>
      </c>
      <c r="AP33" s="28">
        <v>0.5</v>
      </c>
      <c r="AQ33" s="28">
        <v>0.1607142857142857</v>
      </c>
      <c r="AR33" s="28">
        <v>0</v>
      </c>
      <c r="AS33" s="25">
        <v>0.82</v>
      </c>
      <c r="AT33" s="25">
        <v>3.44</v>
      </c>
      <c r="AU33" s="25">
        <v>2.62</v>
      </c>
      <c r="AV33" s="25">
        <v>2.6545454545454539</v>
      </c>
      <c r="AW33">
        <v>2.6545454545454552</v>
      </c>
      <c r="AX33">
        <v>5.9865512095454543</v>
      </c>
      <c r="AY33" s="75">
        <v>0.50734392504100967</v>
      </c>
      <c r="AZ33" s="75"/>
      <c r="BA33" s="75"/>
      <c r="BC33">
        <v>4.0113607045276937E-2</v>
      </c>
      <c r="BF33">
        <v>8.0227214090553903E-2</v>
      </c>
      <c r="BG33">
        <v>4.0113607045276937E-2</v>
      </c>
      <c r="BH33">
        <v>0.50734392504100967</v>
      </c>
      <c r="BI33" s="79" t="s">
        <v>1264</v>
      </c>
      <c r="BJ33" s="79">
        <f t="shared" si="5"/>
        <v>1473</v>
      </c>
      <c r="BK33" s="79">
        <v>48</v>
      </c>
      <c r="BM33" s="79" t="s">
        <v>1268</v>
      </c>
      <c r="BN33" s="79" t="s">
        <v>863</v>
      </c>
      <c r="BO33" s="79">
        <v>0.1</v>
      </c>
      <c r="BQ33" s="79">
        <v>2.85</v>
      </c>
      <c r="BR33" s="79">
        <v>14.3</v>
      </c>
      <c r="BS33" s="79" t="s">
        <v>464</v>
      </c>
      <c r="BT33" s="79" t="s">
        <v>464</v>
      </c>
      <c r="BU33" s="79" t="s">
        <v>1266</v>
      </c>
      <c r="BV33" s="79">
        <v>450</v>
      </c>
      <c r="BZ33" s="81">
        <v>2600</v>
      </c>
      <c r="CA33">
        <f t="shared" si="2"/>
        <v>7.8632667240095735</v>
      </c>
    </row>
    <row r="34" spans="1:79" x14ac:dyDescent="0.3">
      <c r="A34" s="2" t="s">
        <v>153</v>
      </c>
      <c r="B34" s="13"/>
      <c r="C34" s="13"/>
      <c r="D34" s="2">
        <v>3.3</v>
      </c>
      <c r="E34" s="2" t="s">
        <v>454</v>
      </c>
      <c r="F34" s="9"/>
      <c r="I34" s="2"/>
      <c r="J34" s="25">
        <v>1</v>
      </c>
      <c r="K34">
        <v>1</v>
      </c>
      <c r="L34">
        <v>0</v>
      </c>
      <c r="M34" s="2">
        <v>3.9049999999999998</v>
      </c>
      <c r="N34" s="2">
        <v>3.9049999999999998</v>
      </c>
      <c r="O34" s="2">
        <v>11.185</v>
      </c>
      <c r="P34" s="1" t="s">
        <v>439</v>
      </c>
      <c r="Q34" s="1"/>
      <c r="R34" s="25">
        <v>3.952105</v>
      </c>
      <c r="S34" s="25">
        <v>3.952105</v>
      </c>
      <c r="T34" s="25">
        <v>11.503833</v>
      </c>
      <c r="U34">
        <v>3.9079999999999999</v>
      </c>
      <c r="V34">
        <v>3.9079999999999999</v>
      </c>
      <c r="W34">
        <v>11.16</v>
      </c>
      <c r="X34">
        <v>0</v>
      </c>
      <c r="AA34" s="2">
        <v>2</v>
      </c>
      <c r="AB34">
        <v>14</v>
      </c>
      <c r="AC34" s="55">
        <f t="shared" si="7"/>
        <v>170.56034462499997</v>
      </c>
      <c r="AD34" s="57">
        <v>179.6799083471451</v>
      </c>
      <c r="AE34" s="55">
        <v>170.44069823999999</v>
      </c>
      <c r="AF34" s="55">
        <v>0</v>
      </c>
      <c r="AG34" s="52"/>
      <c r="AH34" s="51">
        <v>7.7916335380980528E-2</v>
      </c>
      <c r="AI34" s="52">
        <v>8.2140006140355049E-2</v>
      </c>
      <c r="AJ34" s="52"/>
      <c r="AK34" s="28">
        <v>1.7272727272727271</v>
      </c>
      <c r="AL34" s="28">
        <v>2.545454545454545</v>
      </c>
      <c r="AM34" s="28">
        <v>0.81818181818181823</v>
      </c>
      <c r="AN34" s="28">
        <v>0</v>
      </c>
      <c r="AO34" s="28">
        <v>0.3392857142857143</v>
      </c>
      <c r="AP34" s="28">
        <v>0.5</v>
      </c>
      <c r="AQ34" s="28">
        <v>0.1607142857142857</v>
      </c>
      <c r="AR34" s="28">
        <v>0</v>
      </c>
      <c r="AS34" s="25">
        <v>0.79</v>
      </c>
      <c r="AT34" s="25">
        <v>3.44</v>
      </c>
      <c r="AU34" s="25">
        <v>2.65</v>
      </c>
      <c r="AV34" s="25">
        <v>2.6518181818181819</v>
      </c>
      <c r="AW34">
        <v>2.6518181818181819</v>
      </c>
      <c r="AX34">
        <v>5.9730281035195452</v>
      </c>
      <c r="AY34" s="75">
        <v>0.5243291310951993</v>
      </c>
      <c r="AZ34" s="75">
        <v>0.55275184384813547</v>
      </c>
      <c r="BA34" s="75"/>
      <c r="BC34">
        <v>3.8958167690490257E-2</v>
      </c>
      <c r="BD34">
        <v>4.1070003070177517E-2</v>
      </c>
      <c r="BF34">
        <v>8.0028170760667788E-2</v>
      </c>
      <c r="BG34">
        <v>4.0014085380333887E-2</v>
      </c>
      <c r="BH34">
        <v>0.53854048747166738</v>
      </c>
      <c r="BI34" s="79" t="s">
        <v>1264</v>
      </c>
      <c r="BJ34" s="79">
        <f t="shared" si="5"/>
        <v>1473</v>
      </c>
      <c r="BK34" s="79">
        <v>48</v>
      </c>
      <c r="BM34" s="79" t="s">
        <v>1268</v>
      </c>
      <c r="BN34" s="79" t="s">
        <v>863</v>
      </c>
      <c r="BO34" s="79">
        <v>0.1</v>
      </c>
      <c r="BQ34" s="79">
        <v>2.85</v>
      </c>
      <c r="BR34" s="79">
        <v>14.3</v>
      </c>
      <c r="BS34" s="79" t="s">
        <v>464</v>
      </c>
      <c r="BT34" s="79" t="s">
        <v>464</v>
      </c>
      <c r="BU34" s="79" t="s">
        <v>1266</v>
      </c>
      <c r="BV34" s="79">
        <v>450</v>
      </c>
      <c r="BZ34" s="81">
        <v>2200</v>
      </c>
      <c r="CA34">
        <f t="shared" si="2"/>
        <v>7.696212639346407</v>
      </c>
    </row>
    <row r="35" spans="1:79" x14ac:dyDescent="0.3">
      <c r="A35" s="2" t="s">
        <v>63</v>
      </c>
      <c r="B35" s="73"/>
      <c r="C35" s="13"/>
      <c r="D35" s="2">
        <v>3.35</v>
      </c>
      <c r="E35" s="2" t="s">
        <v>454</v>
      </c>
      <c r="F35" s="9"/>
      <c r="I35" s="7"/>
      <c r="J35" s="25">
        <v>4</v>
      </c>
      <c r="K35">
        <v>4</v>
      </c>
      <c r="L35">
        <v>0</v>
      </c>
      <c r="M35" s="2">
        <v>7.7270000000000003</v>
      </c>
      <c r="N35" s="2">
        <v>7.7270000000000003</v>
      </c>
      <c r="O35" s="2">
        <v>29.466000000000001</v>
      </c>
      <c r="P35" s="2" t="s">
        <v>452</v>
      </c>
      <c r="Q35" s="2"/>
      <c r="R35" s="25">
        <v>7.8084429999999996</v>
      </c>
      <c r="S35" s="25">
        <v>7.8548809999999998</v>
      </c>
      <c r="T35" s="25">
        <v>15.19056011</v>
      </c>
      <c r="U35">
        <v>3.8801999999999999</v>
      </c>
      <c r="V35">
        <v>29.507999999999999</v>
      </c>
      <c r="W35">
        <v>7.7140000000000004</v>
      </c>
      <c r="X35">
        <v>0</v>
      </c>
      <c r="AA35" s="2">
        <v>3</v>
      </c>
      <c r="AB35">
        <v>20</v>
      </c>
      <c r="AC35" s="55">
        <f t="shared" si="7"/>
        <v>1759.3125835140002</v>
      </c>
      <c r="AD35" s="57">
        <v>924.74694800021894</v>
      </c>
      <c r="AE35" s="55">
        <v>883.22940750240002</v>
      </c>
      <c r="AF35" s="55">
        <v>0</v>
      </c>
      <c r="AG35" s="52"/>
      <c r="AH35" s="51">
        <v>8.6510153045653584E-2</v>
      </c>
      <c r="AI35" s="52">
        <v>9.0576694254581439E-2</v>
      </c>
      <c r="AJ35" s="52"/>
      <c r="AK35" s="28">
        <v>1.75</v>
      </c>
      <c r="AL35" s="28">
        <v>2.5</v>
      </c>
      <c r="AM35" s="28">
        <v>0.75</v>
      </c>
      <c r="AN35" s="28">
        <v>0</v>
      </c>
      <c r="AO35" s="28">
        <v>0.35</v>
      </c>
      <c r="AP35" s="28">
        <v>0.5</v>
      </c>
      <c r="AQ35" s="28">
        <v>0.15</v>
      </c>
      <c r="AR35" s="28">
        <v>0</v>
      </c>
      <c r="AS35" s="25">
        <v>0.82</v>
      </c>
      <c r="AT35" s="25">
        <v>3.44</v>
      </c>
      <c r="AU35" s="25">
        <v>2.62</v>
      </c>
      <c r="AV35" s="25">
        <v>2.6262500000000002</v>
      </c>
      <c r="AW35">
        <v>2.6262500000000002</v>
      </c>
      <c r="AX35">
        <v>5.96680968125</v>
      </c>
      <c r="AY35" s="75">
        <v>0.50555206026575039</v>
      </c>
      <c r="AZ35" s="75">
        <v>0</v>
      </c>
      <c r="BA35" s="75"/>
      <c r="BC35">
        <v>4.3255076522826792E-2</v>
      </c>
      <c r="BD35">
        <v>4.5288347127290719E-2</v>
      </c>
      <c r="BF35">
        <v>8.8543423650117511E-2</v>
      </c>
      <c r="BG35">
        <v>4.4271711825058763E-2</v>
      </c>
      <c r="BH35">
        <v>0.2527760301328752</v>
      </c>
      <c r="BI35" s="79" t="s">
        <v>1264</v>
      </c>
      <c r="BJ35" s="79">
        <f t="shared" si="5"/>
        <v>1473</v>
      </c>
      <c r="BK35" s="79">
        <v>48</v>
      </c>
      <c r="BM35" s="79" t="s">
        <v>1268</v>
      </c>
      <c r="BN35" s="79" t="s">
        <v>863</v>
      </c>
      <c r="BO35" s="79">
        <v>0.1</v>
      </c>
      <c r="BQ35" s="79">
        <v>2.85</v>
      </c>
      <c r="BR35" s="79">
        <v>14.3</v>
      </c>
      <c r="BS35" s="79" t="s">
        <v>464</v>
      </c>
      <c r="BT35" s="79" t="s">
        <v>464</v>
      </c>
      <c r="BU35" s="79" t="s">
        <v>1266</v>
      </c>
      <c r="BV35" s="79">
        <v>450</v>
      </c>
      <c r="BZ35" s="81">
        <v>19000</v>
      </c>
      <c r="CA35">
        <f t="shared" si="2"/>
        <v>9.8521942581485771</v>
      </c>
    </row>
    <row r="36" spans="1:79" x14ac:dyDescent="0.3">
      <c r="A36" s="2" t="s">
        <v>63</v>
      </c>
      <c r="B36" s="13"/>
      <c r="C36" s="13"/>
      <c r="D36" s="2">
        <v>3.5</v>
      </c>
      <c r="E36" s="2" t="s">
        <v>454</v>
      </c>
      <c r="F36" s="9"/>
      <c r="I36" s="7"/>
      <c r="J36" s="25">
        <v>1</v>
      </c>
      <c r="K36">
        <v>1</v>
      </c>
      <c r="L36">
        <v>0</v>
      </c>
      <c r="M36" s="2">
        <v>7.7249999999999996</v>
      </c>
      <c r="N36" s="2">
        <v>7.7249999999999996</v>
      </c>
      <c r="O36" s="2">
        <v>14.909000000000001</v>
      </c>
      <c r="P36" s="2" t="s">
        <v>451</v>
      </c>
      <c r="Q36" s="2"/>
      <c r="R36" s="25">
        <v>3.9661010000000001</v>
      </c>
      <c r="S36" s="25">
        <v>3.9661010000000001</v>
      </c>
      <c r="T36" s="25">
        <v>15.283337</v>
      </c>
      <c r="U36">
        <v>3.8586499999999999</v>
      </c>
      <c r="V36">
        <v>3.8586499999999999</v>
      </c>
      <c r="W36">
        <v>14.9108</v>
      </c>
      <c r="X36">
        <v>0</v>
      </c>
      <c r="AA36" s="2">
        <v>3</v>
      </c>
      <c r="AB36">
        <v>20</v>
      </c>
      <c r="AC36" s="55">
        <f t="shared" si="7"/>
        <v>889.70389312500004</v>
      </c>
      <c r="AD36" s="57">
        <v>240.40623599981481</v>
      </c>
      <c r="AE36" s="55">
        <v>222.00958249733301</v>
      </c>
      <c r="AF36" s="55">
        <v>0</v>
      </c>
      <c r="AG36" s="52"/>
      <c r="AH36" s="51">
        <v>8.3192517518619641E-2</v>
      </c>
      <c r="AI36" s="52">
        <v>9.0086201573034624E-2</v>
      </c>
      <c r="AJ36" s="52"/>
      <c r="AK36" s="28">
        <v>1.75</v>
      </c>
      <c r="AL36" s="28">
        <v>2.5</v>
      </c>
      <c r="AM36" s="28">
        <v>0.75</v>
      </c>
      <c r="AN36" s="28">
        <v>0</v>
      </c>
      <c r="AO36" s="28">
        <v>0.35</v>
      </c>
      <c r="AP36" s="28">
        <v>0.5</v>
      </c>
      <c r="AQ36" s="28">
        <v>0.15</v>
      </c>
      <c r="AR36" s="28">
        <v>0</v>
      </c>
      <c r="AS36" s="25">
        <v>0.82</v>
      </c>
      <c r="AT36" s="25">
        <v>3.44</v>
      </c>
      <c r="AU36" s="25">
        <v>2.62</v>
      </c>
      <c r="AV36" s="25">
        <v>2.6262500000000002</v>
      </c>
      <c r="AW36">
        <v>2.6262500000000002</v>
      </c>
      <c r="AX36">
        <v>5.9612134765624996</v>
      </c>
      <c r="AY36" s="75">
        <v>0.50467688585120674</v>
      </c>
      <c r="AZ36" s="75">
        <v>0.54649654829675798</v>
      </c>
      <c r="BA36" s="75"/>
      <c r="BC36">
        <v>4.159625875930982E-2</v>
      </c>
      <c r="BD36">
        <v>4.5043100786517312E-2</v>
      </c>
      <c r="BF36">
        <v>8.6639359545827133E-2</v>
      </c>
      <c r="BG36">
        <v>4.3319679772913573E-2</v>
      </c>
      <c r="BH36">
        <v>0.5255867170739823</v>
      </c>
      <c r="BI36" s="79" t="s">
        <v>1264</v>
      </c>
      <c r="BJ36" s="79">
        <f t="shared" si="5"/>
        <v>1473</v>
      </c>
      <c r="BK36" s="79">
        <v>48</v>
      </c>
      <c r="BM36" s="79" t="s">
        <v>1268</v>
      </c>
      <c r="BN36" s="79" t="s">
        <v>863</v>
      </c>
      <c r="BO36" s="79">
        <v>0.1</v>
      </c>
      <c r="BQ36" s="79">
        <v>2.85</v>
      </c>
      <c r="BR36" s="79">
        <v>14.3</v>
      </c>
      <c r="BS36" s="79" t="s">
        <v>464</v>
      </c>
      <c r="BT36" s="79" t="s">
        <v>464</v>
      </c>
      <c r="BU36" s="79" t="s">
        <v>1266</v>
      </c>
      <c r="BV36" s="79">
        <v>450</v>
      </c>
      <c r="BZ36" s="81">
        <v>17000</v>
      </c>
      <c r="CA36">
        <f t="shared" si="2"/>
        <v>9.7409686230383539</v>
      </c>
    </row>
    <row r="37" spans="1:79" x14ac:dyDescent="0.3">
      <c r="A37" s="2" t="s">
        <v>63</v>
      </c>
      <c r="B37" s="13"/>
      <c r="C37" s="13"/>
      <c r="D37" s="2">
        <v>3.5</v>
      </c>
      <c r="E37" s="2" t="s">
        <v>454</v>
      </c>
      <c r="F37" s="9"/>
      <c r="I37" s="7"/>
      <c r="J37" s="25">
        <v>8</v>
      </c>
      <c r="K37">
        <v>8</v>
      </c>
      <c r="L37">
        <v>0</v>
      </c>
      <c r="M37" s="2">
        <v>7.7270000000000003</v>
      </c>
      <c r="N37" s="2">
        <v>7.7270000000000003</v>
      </c>
      <c r="O37" s="2">
        <v>30.175999999999998</v>
      </c>
      <c r="P37" s="2" t="s">
        <v>452</v>
      </c>
      <c r="Q37" s="2"/>
      <c r="R37" s="25">
        <v>7.8252249999999997</v>
      </c>
      <c r="S37" s="25">
        <v>7.8345229999999999</v>
      </c>
      <c r="T37" s="25">
        <v>31.031406</v>
      </c>
      <c r="U37">
        <v>30.184999999999999</v>
      </c>
      <c r="V37">
        <v>7.74</v>
      </c>
      <c r="W37">
        <v>7.7460000000000004</v>
      </c>
      <c r="X37">
        <v>0</v>
      </c>
      <c r="AA37" s="2">
        <v>3</v>
      </c>
      <c r="AB37">
        <v>20</v>
      </c>
      <c r="AC37" s="55">
        <f t="shared" si="7"/>
        <v>1801.704219104</v>
      </c>
      <c r="AD37" s="57">
        <v>1902.4394671889761</v>
      </c>
      <c r="AE37" s="55">
        <v>1809.7126974</v>
      </c>
      <c r="AF37" s="55">
        <v>0</v>
      </c>
      <c r="AG37" s="52"/>
      <c r="AH37" s="51">
        <v>8.4102544527429435E-2</v>
      </c>
      <c r="AI37" s="52">
        <v>8.8411823727529093E-2</v>
      </c>
      <c r="AJ37" s="52"/>
      <c r="AK37" s="28">
        <v>1.75</v>
      </c>
      <c r="AL37" s="28">
        <v>2.5</v>
      </c>
      <c r="AM37" s="28">
        <v>0.75</v>
      </c>
      <c r="AN37" s="28">
        <v>0</v>
      </c>
      <c r="AO37" s="28">
        <v>0.35</v>
      </c>
      <c r="AP37" s="28">
        <v>0.5</v>
      </c>
      <c r="AQ37" s="28">
        <v>0.15</v>
      </c>
      <c r="AR37" s="28">
        <v>0</v>
      </c>
      <c r="AS37" s="25">
        <v>0.79</v>
      </c>
      <c r="AT37" s="25">
        <v>3.44</v>
      </c>
      <c r="AU37" s="25">
        <v>2.65</v>
      </c>
      <c r="AV37" s="25">
        <v>2.6243750000000001</v>
      </c>
      <c r="AW37">
        <v>2.6243750000000001</v>
      </c>
      <c r="AX37">
        <v>5.9519163411696878</v>
      </c>
      <c r="AY37" s="75">
        <v>0.53407279423354193</v>
      </c>
      <c r="AZ37" s="75">
        <v>0.5614378257728565</v>
      </c>
      <c r="BA37" s="75"/>
      <c r="BC37">
        <v>4.2051272263714717E-2</v>
      </c>
      <c r="BD37">
        <v>4.4205911863764553E-2</v>
      </c>
      <c r="BF37">
        <v>8.6257184127479264E-2</v>
      </c>
      <c r="BG37">
        <v>4.3128592063739632E-2</v>
      </c>
      <c r="BH37">
        <v>0.54775531000319921</v>
      </c>
      <c r="BI37" s="79" t="s">
        <v>1264</v>
      </c>
      <c r="BJ37" s="79">
        <f t="shared" si="5"/>
        <v>1473</v>
      </c>
      <c r="BK37" s="79">
        <v>48</v>
      </c>
      <c r="BM37" s="79" t="s">
        <v>1268</v>
      </c>
      <c r="BN37" s="79" t="s">
        <v>863</v>
      </c>
      <c r="BO37" s="79">
        <v>0.1</v>
      </c>
      <c r="BQ37" s="79">
        <v>2.85</v>
      </c>
      <c r="BR37" s="79">
        <v>14.3</v>
      </c>
      <c r="BS37" s="79" t="s">
        <v>464</v>
      </c>
      <c r="BT37" s="79" t="s">
        <v>464</v>
      </c>
      <c r="BU37" s="79" t="s">
        <v>1266</v>
      </c>
      <c r="BV37" s="79">
        <v>450</v>
      </c>
      <c r="BZ37" s="81">
        <v>8300</v>
      </c>
      <c r="CA37">
        <f t="shared" si="2"/>
        <v>9.0240107937846901</v>
      </c>
    </row>
    <row r="38" spans="1:79" x14ac:dyDescent="0.3">
      <c r="A38" s="2" t="s">
        <v>151</v>
      </c>
      <c r="B38" s="13"/>
      <c r="C38" s="13"/>
      <c r="D38" s="2">
        <v>3.16</v>
      </c>
      <c r="E38" s="2" t="s">
        <v>454</v>
      </c>
      <c r="F38" s="9"/>
      <c r="I38" s="2">
        <v>4</v>
      </c>
      <c r="J38" s="25">
        <v>0</v>
      </c>
      <c r="K38">
        <v>0</v>
      </c>
      <c r="L38">
        <v>0</v>
      </c>
      <c r="M38" s="2">
        <v>7.8310000000000004</v>
      </c>
      <c r="N38" s="2">
        <v>7.8010000000000002</v>
      </c>
      <c r="O38" s="2">
        <v>15.05</v>
      </c>
      <c r="P38" s="2" t="s">
        <v>1141</v>
      </c>
      <c r="Q38" s="2">
        <v>15.05</v>
      </c>
      <c r="R38" s="25">
        <v>0</v>
      </c>
      <c r="S38" s="25"/>
      <c r="T38" s="25"/>
      <c r="U38">
        <v>0</v>
      </c>
      <c r="X38">
        <v>0</v>
      </c>
      <c r="AA38" s="2">
        <v>3</v>
      </c>
      <c r="AB38">
        <v>20</v>
      </c>
      <c r="AC38" s="55">
        <f t="shared" si="7"/>
        <v>919.39894655000012</v>
      </c>
      <c r="AD38" s="57">
        <f>M38*N38*O38*SIN(RADIANS(97.44))</f>
        <v>911.65853089860946</v>
      </c>
      <c r="AE38" s="55">
        <v>0</v>
      </c>
      <c r="AF38" s="55">
        <v>0</v>
      </c>
      <c r="AG38" s="52">
        <f>I38*AB38/AC38</f>
        <v>8.7013369223660861E-2</v>
      </c>
      <c r="AH38" s="51"/>
      <c r="AI38" s="52"/>
      <c r="AJ38" s="52"/>
      <c r="AK38" s="28">
        <v>1.75</v>
      </c>
      <c r="AL38" s="28">
        <v>2.5</v>
      </c>
      <c r="AM38" s="28">
        <v>0.75</v>
      </c>
      <c r="AN38" s="28">
        <v>0</v>
      </c>
      <c r="AO38" s="28">
        <v>0.35</v>
      </c>
      <c r="AP38" s="28">
        <v>0.5</v>
      </c>
      <c r="AQ38" s="28">
        <v>0.15</v>
      </c>
      <c r="AR38" s="28">
        <v>0</v>
      </c>
      <c r="AS38" s="25">
        <v>0.82</v>
      </c>
      <c r="AT38" s="25">
        <v>3.44</v>
      </c>
      <c r="AU38" s="25">
        <v>2.62</v>
      </c>
      <c r="AV38" s="25">
        <v>2.62</v>
      </c>
      <c r="AW38">
        <v>2.62</v>
      </c>
      <c r="AX38">
        <v>5.9423863675000002</v>
      </c>
      <c r="AY38" s="75"/>
      <c r="AZ38" s="75"/>
      <c r="BA38" s="75"/>
      <c r="BB38">
        <v>4.350668461183043E-2</v>
      </c>
      <c r="BC38">
        <v>0</v>
      </c>
      <c r="BF38">
        <v>8.7013369223660861E-2</v>
      </c>
      <c r="BG38">
        <v>2.1753342305915219E-2</v>
      </c>
      <c r="BH38">
        <v>0</v>
      </c>
      <c r="BI38" s="79" t="s">
        <v>1264</v>
      </c>
      <c r="BJ38" s="79">
        <f t="shared" si="5"/>
        <v>1473</v>
      </c>
      <c r="BK38" s="79">
        <v>48</v>
      </c>
      <c r="BM38" s="79" t="s">
        <v>1268</v>
      </c>
      <c r="BN38" s="79" t="s">
        <v>863</v>
      </c>
      <c r="BO38" s="79">
        <v>0.1</v>
      </c>
      <c r="BQ38" s="79">
        <v>2.85</v>
      </c>
      <c r="BR38" s="79">
        <v>14.3</v>
      </c>
      <c r="BS38" s="79" t="s">
        <v>464</v>
      </c>
      <c r="BT38" s="79" t="s">
        <v>464</v>
      </c>
      <c r="BU38" s="79" t="s">
        <v>1266</v>
      </c>
      <c r="BV38" s="79">
        <v>450</v>
      </c>
      <c r="BZ38" s="81">
        <v>43000</v>
      </c>
      <c r="CA38">
        <f t="shared" si="2"/>
        <v>10.668955394675699</v>
      </c>
    </row>
    <row r="39" spans="1:79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I39" s="2">
        <v>8</v>
      </c>
      <c r="J39" s="25">
        <v>0</v>
      </c>
      <c r="K39">
        <v>0</v>
      </c>
      <c r="L39">
        <v>0</v>
      </c>
      <c r="M39" s="2">
        <v>7.7489999999999997</v>
      </c>
      <c r="N39" s="2">
        <v>7.7359999999999998</v>
      </c>
      <c r="O39" s="2">
        <v>37.369999999999997</v>
      </c>
      <c r="P39" s="2" t="s">
        <v>1142</v>
      </c>
      <c r="Q39" s="2">
        <f>O39/2</f>
        <v>18.684999999999999</v>
      </c>
      <c r="R39" s="25">
        <v>0</v>
      </c>
      <c r="S39" s="25"/>
      <c r="T39" s="25"/>
      <c r="U39">
        <v>0</v>
      </c>
      <c r="X39">
        <v>0</v>
      </c>
      <c r="AA39" s="2">
        <v>4</v>
      </c>
      <c r="AB39">
        <v>26</v>
      </c>
      <c r="AC39" s="55">
        <f t="shared" si="7"/>
        <v>2240.1918856799994</v>
      </c>
      <c r="AD39" s="57">
        <v>2240</v>
      </c>
      <c r="AE39" s="55">
        <v>0</v>
      </c>
      <c r="AF39" s="55">
        <v>0</v>
      </c>
      <c r="AG39" s="52">
        <f>I39*AB39/AC39</f>
        <v>9.2849189093845236E-2</v>
      </c>
      <c r="AH39" s="51"/>
      <c r="AI39" s="52"/>
      <c r="AJ39" s="52"/>
      <c r="AK39" s="28">
        <v>1.714285714285714</v>
      </c>
      <c r="AL39" s="28">
        <v>2.4761904761904758</v>
      </c>
      <c r="AM39" s="28">
        <v>0.76190476190476186</v>
      </c>
      <c r="AN39" s="28">
        <v>0</v>
      </c>
      <c r="AO39" s="28">
        <v>0.34615384615384609</v>
      </c>
      <c r="AP39" s="28">
        <v>0.5</v>
      </c>
      <c r="AQ39" s="28">
        <v>0.1538461538461538</v>
      </c>
      <c r="AR39" s="28">
        <v>0</v>
      </c>
      <c r="AS39" s="25">
        <v>0.82</v>
      </c>
      <c r="AT39" s="25">
        <v>3.44</v>
      </c>
      <c r="AU39" s="25">
        <v>2.62</v>
      </c>
      <c r="AV39" s="25">
        <v>2.612857142857143</v>
      </c>
      <c r="AW39">
        <v>2.612857142857143</v>
      </c>
      <c r="AX39">
        <v>5.9413964502380949</v>
      </c>
      <c r="AY39" s="75"/>
      <c r="AZ39" s="75"/>
      <c r="BA39" s="75"/>
      <c r="BB39">
        <v>4.6424594546922618E-2</v>
      </c>
      <c r="BC39">
        <v>0</v>
      </c>
      <c r="BF39">
        <v>9.2849189093845236E-2</v>
      </c>
      <c r="BG39">
        <v>2.3212297273461309E-2</v>
      </c>
      <c r="BH39">
        <v>0</v>
      </c>
      <c r="BI39" s="79" t="s">
        <v>1264</v>
      </c>
      <c r="BJ39" s="79">
        <f t="shared" si="5"/>
        <v>1473</v>
      </c>
      <c r="BK39" s="79">
        <v>48</v>
      </c>
      <c r="BM39" s="79" t="s">
        <v>1268</v>
      </c>
      <c r="BN39" s="79" t="s">
        <v>863</v>
      </c>
      <c r="BO39" s="79">
        <v>0.1</v>
      </c>
      <c r="BQ39" s="79">
        <v>2.85</v>
      </c>
      <c r="BR39" s="79">
        <v>14.3</v>
      </c>
      <c r="BS39" s="79" t="s">
        <v>464</v>
      </c>
      <c r="BT39" s="79" t="s">
        <v>464</v>
      </c>
      <c r="BU39" s="79" t="s">
        <v>1266</v>
      </c>
      <c r="BV39" s="79">
        <v>450</v>
      </c>
      <c r="BZ39" s="81">
        <v>18000</v>
      </c>
      <c r="CA39">
        <f t="shared" si="2"/>
        <v>9.7981270368783022</v>
      </c>
    </row>
    <row r="40" spans="1:79" x14ac:dyDescent="0.3">
      <c r="A40" s="2" t="s">
        <v>0</v>
      </c>
      <c r="B40" s="13" t="s">
        <v>685</v>
      </c>
      <c r="C40" s="13"/>
      <c r="D40" s="2"/>
      <c r="E40" s="2" t="s">
        <v>1270</v>
      </c>
      <c r="F40" s="9" t="s">
        <v>523</v>
      </c>
      <c r="G40" t="s">
        <v>606</v>
      </c>
      <c r="I40" s="65">
        <v>4</v>
      </c>
      <c r="J40" s="25">
        <v>4</v>
      </c>
      <c r="K40">
        <v>4</v>
      </c>
      <c r="L40">
        <v>0</v>
      </c>
      <c r="M40" s="2"/>
      <c r="N40" s="2"/>
      <c r="O40" s="2"/>
      <c r="P40" s="2"/>
      <c r="Q40" s="2"/>
      <c r="R40" s="25"/>
      <c r="S40" s="25"/>
      <c r="T40" s="25"/>
      <c r="AA40" s="2"/>
      <c r="AC40" s="55"/>
      <c r="AD40" s="57"/>
      <c r="AE40" s="55"/>
      <c r="AF40" s="55"/>
      <c r="AG40" s="52"/>
      <c r="AH40" s="51"/>
      <c r="AI40" s="52"/>
      <c r="AJ40" s="52"/>
      <c r="AK40" s="28"/>
      <c r="AL40" s="28"/>
      <c r="AM40" s="28"/>
      <c r="AN40" s="28"/>
      <c r="AO40" s="28"/>
      <c r="AP40" s="28"/>
      <c r="AQ40" s="28"/>
      <c r="AR40" s="28"/>
      <c r="AS40" s="25"/>
      <c r="AT40" s="25"/>
      <c r="AU40" s="25"/>
      <c r="AV40" s="25"/>
      <c r="AY40" s="75"/>
      <c r="AZ40" s="75"/>
      <c r="BA40" s="75"/>
      <c r="BI40" s="79" t="s">
        <v>1264</v>
      </c>
      <c r="BJ40" s="79">
        <f t="shared" si="5"/>
        <v>1473</v>
      </c>
      <c r="BK40" s="79">
        <v>48</v>
      </c>
      <c r="BM40" s="79" t="s">
        <v>464</v>
      </c>
      <c r="BN40" s="79" t="s">
        <v>464</v>
      </c>
      <c r="BO40" s="79">
        <v>0</v>
      </c>
      <c r="BP40" s="79">
        <v>1</v>
      </c>
      <c r="BQ40" s="79">
        <v>0.8</v>
      </c>
      <c r="BR40" s="79">
        <v>20</v>
      </c>
      <c r="BS40" s="79" t="s">
        <v>464</v>
      </c>
      <c r="BT40" s="79" t="s">
        <v>464</v>
      </c>
      <c r="BU40" s="79" t="s">
        <v>1271</v>
      </c>
      <c r="BV40" s="79">
        <v>500</v>
      </c>
      <c r="BZ40" s="81">
        <v>66</v>
      </c>
      <c r="CA40">
        <f t="shared" si="2"/>
        <v>4.1896547420264252</v>
      </c>
    </row>
    <row r="41" spans="1:79" x14ac:dyDescent="0.3">
      <c r="A41" s="2" t="s">
        <v>1272</v>
      </c>
      <c r="B41" s="13"/>
      <c r="C41" s="13"/>
      <c r="D41" s="2"/>
      <c r="E41" s="2" t="s">
        <v>1270</v>
      </c>
      <c r="F41" s="9"/>
      <c r="I41" s="2"/>
      <c r="J41" s="25"/>
      <c r="M41" s="2"/>
      <c r="N41" s="2"/>
      <c r="O41" s="2"/>
      <c r="P41" s="2"/>
      <c r="Q41" s="2"/>
      <c r="R41" s="25"/>
      <c r="S41" s="25"/>
      <c r="T41" s="25"/>
      <c r="AA41" s="2"/>
      <c r="AC41" s="55"/>
      <c r="AD41" s="57"/>
      <c r="AE41" s="55"/>
      <c r="AF41" s="55"/>
      <c r="AG41" s="52"/>
      <c r="AH41" s="51"/>
      <c r="AI41" s="52"/>
      <c r="AJ41" s="52"/>
      <c r="AK41" s="28"/>
      <c r="AL41" s="28"/>
      <c r="AM41" s="28"/>
      <c r="AN41" s="28"/>
      <c r="AO41" s="28"/>
      <c r="AP41" s="28"/>
      <c r="AQ41" s="28"/>
      <c r="AR41" s="28"/>
      <c r="AS41" s="25"/>
      <c r="AT41" s="25"/>
      <c r="AU41" s="25"/>
      <c r="AV41" s="25"/>
      <c r="AY41" s="75"/>
      <c r="AZ41" s="75"/>
      <c r="BA41" s="75"/>
      <c r="BI41" s="79" t="s">
        <v>1264</v>
      </c>
      <c r="BJ41" s="79">
        <f t="shared" si="5"/>
        <v>1473</v>
      </c>
      <c r="BK41" s="79">
        <v>48</v>
      </c>
      <c r="BM41" s="79" t="s">
        <v>464</v>
      </c>
      <c r="BN41" s="79" t="s">
        <v>464</v>
      </c>
      <c r="BO41" s="79">
        <v>0</v>
      </c>
      <c r="BP41" s="79">
        <v>1</v>
      </c>
      <c r="BQ41" s="79">
        <v>0.8</v>
      </c>
      <c r="BR41" s="79">
        <v>20</v>
      </c>
      <c r="BS41" s="79" t="s">
        <v>464</v>
      </c>
      <c r="BT41" s="79" t="s">
        <v>464</v>
      </c>
      <c r="BU41" s="79" t="s">
        <v>1271</v>
      </c>
      <c r="BV41" s="79">
        <v>500</v>
      </c>
      <c r="BZ41" s="81">
        <v>35</v>
      </c>
      <c r="CA41">
        <f t="shared" si="2"/>
        <v>3.5553480614894135</v>
      </c>
    </row>
    <row r="42" spans="1:79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I42" s="2"/>
      <c r="J42" s="25"/>
      <c r="M42" s="2"/>
      <c r="N42" s="2"/>
      <c r="O42" s="2"/>
      <c r="P42" s="2"/>
      <c r="Q42" s="2"/>
      <c r="R42" s="25"/>
      <c r="S42" s="25"/>
      <c r="T42" s="25"/>
      <c r="AA42" s="2"/>
      <c r="AC42" s="55"/>
      <c r="AD42" s="57"/>
      <c r="AE42" s="55"/>
      <c r="AF42" s="55"/>
      <c r="AG42" s="52"/>
      <c r="AH42" s="51"/>
      <c r="AI42" s="52"/>
      <c r="AJ42" s="52"/>
      <c r="AK42" s="28"/>
      <c r="AL42" s="28"/>
      <c r="AM42" s="28"/>
      <c r="AN42" s="28"/>
      <c r="AO42" s="28"/>
      <c r="AP42" s="28"/>
      <c r="AQ42" s="28"/>
      <c r="AR42" s="28"/>
      <c r="AS42" s="25"/>
      <c r="AT42" s="25"/>
      <c r="AU42" s="25"/>
      <c r="AV42" s="25"/>
      <c r="AY42" s="75"/>
      <c r="AZ42" s="75"/>
      <c r="BA42" s="75"/>
      <c r="BI42" s="79" t="s">
        <v>1264</v>
      </c>
      <c r="BJ42" s="79">
        <f t="shared" si="5"/>
        <v>1473</v>
      </c>
      <c r="BK42" s="79">
        <v>48</v>
      </c>
      <c r="BM42" s="79" t="s">
        <v>464</v>
      </c>
      <c r="BN42" s="79" t="s">
        <v>464</v>
      </c>
      <c r="BO42" s="79">
        <v>0</v>
      </c>
      <c r="BP42" s="79">
        <v>1</v>
      </c>
      <c r="BQ42" s="79">
        <v>0.8</v>
      </c>
      <c r="BR42" s="79">
        <v>20</v>
      </c>
      <c r="BS42" s="79" t="s">
        <v>464</v>
      </c>
      <c r="BT42" s="79" t="s">
        <v>464</v>
      </c>
      <c r="BU42" s="79" t="s">
        <v>1271</v>
      </c>
      <c r="BV42" s="79">
        <v>500</v>
      </c>
      <c r="BZ42" s="81">
        <v>3.3</v>
      </c>
      <c r="CA42">
        <f t="shared" si="2"/>
        <v>1.1939224684724346</v>
      </c>
    </row>
    <row r="43" spans="1:79" x14ac:dyDescent="0.3">
      <c r="A43" s="2" t="s">
        <v>0</v>
      </c>
      <c r="B43" s="13" t="s">
        <v>685</v>
      </c>
      <c r="C43" s="13"/>
      <c r="D43" s="2"/>
      <c r="E43" t="s">
        <v>1276</v>
      </c>
      <c r="F43" s="9" t="s">
        <v>523</v>
      </c>
      <c r="G43" t="s">
        <v>606</v>
      </c>
      <c r="I43" s="2"/>
      <c r="J43" s="25"/>
      <c r="M43" s="2"/>
      <c r="N43" s="2"/>
      <c r="O43" s="2"/>
      <c r="P43" s="2"/>
      <c r="Q43" s="2"/>
      <c r="R43" s="25"/>
      <c r="S43" s="25"/>
      <c r="T43" s="25"/>
      <c r="AA43" s="2"/>
      <c r="AC43" s="55"/>
      <c r="AD43" s="57"/>
      <c r="AE43" s="55"/>
      <c r="AF43" s="55"/>
      <c r="AG43" s="52"/>
      <c r="AH43" s="51"/>
      <c r="AI43" s="52"/>
      <c r="AJ43" s="52"/>
      <c r="AK43" s="28"/>
      <c r="AL43" s="28"/>
      <c r="AM43" s="28"/>
      <c r="AN43" s="28"/>
      <c r="AO43" s="28"/>
      <c r="AP43" s="28"/>
      <c r="AQ43" s="28"/>
      <c r="AR43" s="28"/>
      <c r="AS43" s="25"/>
      <c r="AT43" s="25"/>
      <c r="AU43" s="25"/>
      <c r="AV43" s="25"/>
      <c r="AY43" s="75"/>
      <c r="AZ43" s="75"/>
      <c r="BA43" s="75"/>
      <c r="BI43" s="79" t="s">
        <v>1264</v>
      </c>
      <c r="BJ43" s="79">
        <f t="shared" si="5"/>
        <v>1473</v>
      </c>
      <c r="BK43" s="79">
        <v>48</v>
      </c>
      <c r="BM43" s="79" t="s">
        <v>464</v>
      </c>
      <c r="BN43" s="79" t="s">
        <v>464</v>
      </c>
      <c r="BO43" s="79">
        <v>0</v>
      </c>
      <c r="BP43" s="79">
        <v>1</v>
      </c>
      <c r="BQ43" s="79">
        <v>3.33</v>
      </c>
      <c r="BR43" s="79">
        <v>0</v>
      </c>
      <c r="BS43" s="79" t="s">
        <v>464</v>
      </c>
      <c r="BT43" s="79" t="s">
        <v>464</v>
      </c>
      <c r="BU43" s="79" t="s">
        <v>1266</v>
      </c>
      <c r="BV43" s="79">
        <v>450</v>
      </c>
      <c r="BZ43" s="81">
        <v>5</v>
      </c>
      <c r="CA43">
        <f t="shared" si="2"/>
        <v>1.6094379124341003</v>
      </c>
    </row>
    <row r="44" spans="1:79" x14ac:dyDescent="0.3">
      <c r="A44" s="2" t="s">
        <v>0</v>
      </c>
      <c r="B44" s="13" t="s">
        <v>685</v>
      </c>
      <c r="C44" s="13"/>
      <c r="D44" s="2"/>
      <c r="E44" t="s">
        <v>1276</v>
      </c>
      <c r="F44" s="9" t="s">
        <v>523</v>
      </c>
      <c r="G44" t="s">
        <v>606</v>
      </c>
      <c r="I44" s="2"/>
      <c r="J44" s="25"/>
      <c r="M44" s="2"/>
      <c r="N44" s="2"/>
      <c r="O44" s="2"/>
      <c r="P44" s="2"/>
      <c r="Q44" s="2"/>
      <c r="R44" s="25"/>
      <c r="S44" s="25"/>
      <c r="T44" s="25"/>
      <c r="AA44" s="2"/>
      <c r="AC44" s="55"/>
      <c r="AD44" s="57"/>
      <c r="AE44" s="55"/>
      <c r="AF44" s="55"/>
      <c r="AG44" s="52"/>
      <c r="AH44" s="51"/>
      <c r="AI44" s="52"/>
      <c r="AJ44" s="52"/>
      <c r="AK44" s="28"/>
      <c r="AL44" s="28"/>
      <c r="AM44" s="28"/>
      <c r="AN44" s="28"/>
      <c r="AO44" s="28"/>
      <c r="AP44" s="28"/>
      <c r="AQ44" s="28"/>
      <c r="AR44" s="28"/>
      <c r="AS44" s="25"/>
      <c r="AT44" s="25"/>
      <c r="AU44" s="25"/>
      <c r="AV44" s="25"/>
      <c r="AY44" s="75"/>
      <c r="AZ44" s="75"/>
      <c r="BA44" s="75"/>
      <c r="BI44" s="79" t="s">
        <v>1264</v>
      </c>
      <c r="BJ44" s="79">
        <f t="shared" si="5"/>
        <v>1473</v>
      </c>
      <c r="BK44" s="79">
        <v>48</v>
      </c>
      <c r="BM44" s="79" t="s">
        <v>464</v>
      </c>
      <c r="BN44" s="79" t="s">
        <v>464</v>
      </c>
      <c r="BO44" s="79">
        <v>0</v>
      </c>
      <c r="BP44" s="79">
        <v>1</v>
      </c>
      <c r="BQ44" s="79">
        <v>3.33</v>
      </c>
      <c r="BR44" s="79">
        <v>3</v>
      </c>
      <c r="BS44" s="79" t="s">
        <v>464</v>
      </c>
      <c r="BT44" s="79" t="s">
        <v>464</v>
      </c>
      <c r="BU44" s="79" t="s">
        <v>1266</v>
      </c>
      <c r="BV44" s="79">
        <v>450</v>
      </c>
      <c r="BZ44" s="81">
        <v>177</v>
      </c>
      <c r="CA44">
        <f t="shared" si="2"/>
        <v>5.1761497325738288</v>
      </c>
    </row>
    <row r="45" spans="1:79" x14ac:dyDescent="0.3">
      <c r="A45" s="2" t="s">
        <v>0</v>
      </c>
      <c r="B45" s="13" t="s">
        <v>685</v>
      </c>
      <c r="C45" s="13"/>
      <c r="D45" s="2"/>
      <c r="E45" t="s">
        <v>1276</v>
      </c>
      <c r="F45" s="9" t="s">
        <v>523</v>
      </c>
      <c r="G45" t="s">
        <v>606</v>
      </c>
      <c r="I45" s="2"/>
      <c r="J45" s="25"/>
      <c r="M45" s="2"/>
      <c r="N45" s="2"/>
      <c r="O45" s="2"/>
      <c r="P45" s="2"/>
      <c r="Q45" s="2"/>
      <c r="R45" s="25"/>
      <c r="S45" s="25"/>
      <c r="T45" s="25"/>
      <c r="AA45" s="2"/>
      <c r="AC45" s="55"/>
      <c r="AD45" s="57"/>
      <c r="AE45" s="55"/>
      <c r="AF45" s="55"/>
      <c r="AG45" s="52"/>
      <c r="AH45" s="51"/>
      <c r="AI45" s="52"/>
      <c r="AJ45" s="52"/>
      <c r="AK45" s="28"/>
      <c r="AL45" s="28"/>
      <c r="AM45" s="28"/>
      <c r="AN45" s="28"/>
      <c r="AO45" s="28"/>
      <c r="AP45" s="28"/>
      <c r="AQ45" s="28"/>
      <c r="AR45" s="28"/>
      <c r="AS45" s="25"/>
      <c r="AT45" s="25"/>
      <c r="AU45" s="25"/>
      <c r="AV45" s="25"/>
      <c r="AY45" s="75"/>
      <c r="AZ45" s="75"/>
      <c r="BA45" s="75"/>
      <c r="BI45" s="79" t="s">
        <v>1264</v>
      </c>
      <c r="BJ45" s="79">
        <f t="shared" si="5"/>
        <v>1473</v>
      </c>
      <c r="BK45" s="79">
        <v>48</v>
      </c>
      <c r="BM45" s="79" t="s">
        <v>1275</v>
      </c>
      <c r="BN45" s="79" t="s">
        <v>56</v>
      </c>
      <c r="BO45" s="79">
        <v>0.1</v>
      </c>
      <c r="BP45" s="79">
        <v>1</v>
      </c>
      <c r="BQ45" s="79">
        <v>3.33</v>
      </c>
      <c r="BR45" s="79">
        <v>0</v>
      </c>
      <c r="BS45" s="79" t="s">
        <v>464</v>
      </c>
      <c r="BT45" s="79" t="s">
        <v>464</v>
      </c>
      <c r="BU45" s="79" t="s">
        <v>1266</v>
      </c>
      <c r="BV45" s="79">
        <v>450</v>
      </c>
      <c r="BZ45" s="81">
        <v>4</v>
      </c>
      <c r="CA45">
        <f t="shared" si="2"/>
        <v>1.3862943611198906</v>
      </c>
    </row>
    <row r="46" spans="1:79" x14ac:dyDescent="0.3">
      <c r="A46" s="2" t="s">
        <v>0</v>
      </c>
      <c r="B46" s="13" t="s">
        <v>685</v>
      </c>
      <c r="C46" s="13"/>
      <c r="D46" s="2"/>
      <c r="E46" t="s">
        <v>1276</v>
      </c>
      <c r="F46" s="9" t="s">
        <v>523</v>
      </c>
      <c r="G46" t="s">
        <v>606</v>
      </c>
      <c r="I46" s="2"/>
      <c r="J46" s="25"/>
      <c r="M46" s="2"/>
      <c r="N46" s="2"/>
      <c r="O46" s="2"/>
      <c r="P46" s="2"/>
      <c r="Q46" s="2"/>
      <c r="R46" s="25"/>
      <c r="S46" s="25"/>
      <c r="T46" s="25"/>
      <c r="AA46" s="2"/>
      <c r="AC46" s="55"/>
      <c r="AD46" s="57"/>
      <c r="AE46" s="55"/>
      <c r="AF46" s="55"/>
      <c r="AG46" s="52"/>
      <c r="AH46" s="51"/>
      <c r="AI46" s="52"/>
      <c r="AJ46" s="52"/>
      <c r="AK46" s="28"/>
      <c r="AL46" s="28"/>
      <c r="AM46" s="28"/>
      <c r="AN46" s="28"/>
      <c r="AO46" s="28"/>
      <c r="AP46" s="28"/>
      <c r="AQ46" s="28"/>
      <c r="AR46" s="28"/>
      <c r="AS46" s="25"/>
      <c r="AT46" s="25"/>
      <c r="AU46" s="25"/>
      <c r="AV46" s="25"/>
      <c r="AY46" s="75"/>
      <c r="AZ46" s="75"/>
      <c r="BA46" s="75"/>
      <c r="BI46" s="79" t="s">
        <v>1264</v>
      </c>
      <c r="BJ46" s="79">
        <f t="shared" si="5"/>
        <v>1473</v>
      </c>
      <c r="BK46" s="79">
        <v>48</v>
      </c>
      <c r="BM46" s="79" t="s">
        <v>1275</v>
      </c>
      <c r="BN46" s="79" t="s">
        <v>56</v>
      </c>
      <c r="BO46" s="79">
        <v>0.1</v>
      </c>
      <c r="BP46" s="79">
        <v>1</v>
      </c>
      <c r="BQ46" s="79">
        <v>3.33</v>
      </c>
      <c r="BR46" s="79">
        <v>3</v>
      </c>
      <c r="BS46" s="79" t="s">
        <v>464</v>
      </c>
      <c r="BT46" s="79" t="s">
        <v>464</v>
      </c>
      <c r="BU46" s="79" t="s">
        <v>1266</v>
      </c>
      <c r="BV46" s="79">
        <v>450</v>
      </c>
      <c r="BZ46" s="81">
        <v>667</v>
      </c>
      <c r="CA46">
        <f t="shared" si="2"/>
        <v>6.5027900459156234</v>
      </c>
    </row>
    <row r="47" spans="1:79" x14ac:dyDescent="0.3">
      <c r="A47" s="2" t="s">
        <v>0</v>
      </c>
      <c r="B47" s="13" t="s">
        <v>685</v>
      </c>
      <c r="C47" s="13"/>
      <c r="D47" s="2"/>
      <c r="E47" t="s">
        <v>1276</v>
      </c>
      <c r="F47" s="9" t="s">
        <v>523</v>
      </c>
      <c r="G47" t="s">
        <v>606</v>
      </c>
      <c r="I47" s="2"/>
      <c r="J47" s="25"/>
      <c r="M47" s="2"/>
      <c r="N47" s="2"/>
      <c r="O47" s="2"/>
      <c r="P47" s="2"/>
      <c r="Q47" s="2"/>
      <c r="R47" s="25"/>
      <c r="S47" s="25"/>
      <c r="T47" s="25"/>
      <c r="AA47" s="2"/>
      <c r="AC47" s="55"/>
      <c r="AD47" s="57"/>
      <c r="AE47" s="55"/>
      <c r="AF47" s="55"/>
      <c r="AG47" s="52"/>
      <c r="AH47" s="51"/>
      <c r="AI47" s="52"/>
      <c r="AJ47" s="52"/>
      <c r="AK47" s="28"/>
      <c r="AL47" s="28"/>
      <c r="AM47" s="28"/>
      <c r="AN47" s="28"/>
      <c r="AO47" s="28"/>
      <c r="AP47" s="28"/>
      <c r="AQ47" s="28"/>
      <c r="AR47" s="28"/>
      <c r="AS47" s="25"/>
      <c r="AT47" s="25"/>
      <c r="AU47" s="25"/>
      <c r="AV47" s="25"/>
      <c r="AY47" s="75"/>
      <c r="AZ47" s="75"/>
      <c r="BA47" s="75"/>
      <c r="BI47" s="79" t="s">
        <v>1264</v>
      </c>
      <c r="BJ47" s="79">
        <f t="shared" si="5"/>
        <v>1473</v>
      </c>
      <c r="BK47" s="79">
        <v>48</v>
      </c>
      <c r="BM47" s="79" t="s">
        <v>1275</v>
      </c>
      <c r="BN47" s="79" t="s">
        <v>56</v>
      </c>
      <c r="BO47" s="79">
        <v>1</v>
      </c>
      <c r="BP47" s="79">
        <v>1</v>
      </c>
      <c r="BQ47" s="79">
        <v>3.33</v>
      </c>
      <c r="BR47" s="79">
        <v>0</v>
      </c>
      <c r="BS47" s="79" t="s">
        <v>464</v>
      </c>
      <c r="BT47" s="79" t="s">
        <v>464</v>
      </c>
      <c r="BU47" s="79" t="s">
        <v>1266</v>
      </c>
      <c r="BV47" s="79">
        <v>450</v>
      </c>
      <c r="BZ47" s="81">
        <v>3</v>
      </c>
      <c r="CA47">
        <f t="shared" si="2"/>
        <v>1.0986122886681098</v>
      </c>
    </row>
    <row r="48" spans="1:79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I48" s="2"/>
      <c r="J48" s="25">
        <v>1</v>
      </c>
      <c r="K48">
        <v>0</v>
      </c>
      <c r="L48">
        <v>0</v>
      </c>
      <c r="M48" s="2">
        <v>3.8849999999999998</v>
      </c>
      <c r="N48" s="2">
        <v>3.8849999999999998</v>
      </c>
      <c r="O48" s="2">
        <v>11.12</v>
      </c>
      <c r="P48" s="2" t="s">
        <v>439</v>
      </c>
      <c r="Q48" s="2"/>
      <c r="R48" s="25">
        <v>3.9103940000000001</v>
      </c>
      <c r="S48" s="25">
        <v>3.9103940000000001</v>
      </c>
      <c r="T48" s="25">
        <v>11.314458</v>
      </c>
      <c r="U48">
        <v>0</v>
      </c>
      <c r="X48">
        <v>0</v>
      </c>
      <c r="AA48" s="2">
        <v>2</v>
      </c>
      <c r="AB48">
        <v>14</v>
      </c>
      <c r="AC48" s="55">
        <f t="shared" si="1"/>
        <v>167.83666199999996</v>
      </c>
      <c r="AD48" s="57">
        <v>173.0114278564659</v>
      </c>
      <c r="AE48" s="55">
        <v>0</v>
      </c>
      <c r="AF48" s="55">
        <v>0</v>
      </c>
      <c r="AG48" s="52"/>
      <c r="AH48" s="51">
        <v>8.0919510193365449E-2</v>
      </c>
      <c r="AI48" s="52"/>
      <c r="AJ48" s="52"/>
      <c r="AK48" s="28">
        <v>1.9090909090909089</v>
      </c>
      <c r="AL48" s="28">
        <v>2.545454545454545</v>
      </c>
      <c r="AM48" s="28">
        <v>0.63636363636363635</v>
      </c>
      <c r="AN48" s="28">
        <v>2.545454545454545</v>
      </c>
      <c r="AO48" s="28">
        <v>0.25</v>
      </c>
      <c r="AP48" s="28">
        <v>0.33333333333333331</v>
      </c>
      <c r="AQ48" s="28">
        <v>8.3333333333333329E-2</v>
      </c>
      <c r="AR48" s="28">
        <v>0.33333333333333331</v>
      </c>
      <c r="AS48" s="25">
        <v>0.82</v>
      </c>
      <c r="AT48" s="25">
        <v>3.44</v>
      </c>
      <c r="AU48" s="25">
        <v>2.62</v>
      </c>
      <c r="AV48" s="25">
        <v>2.6363636363636358</v>
      </c>
      <c r="AW48">
        <v>2.6363636363636371</v>
      </c>
      <c r="AX48">
        <v>6.0044088459090901</v>
      </c>
      <c r="AY48" s="75">
        <v>0.5117218936152963</v>
      </c>
      <c r="AZ48" s="75"/>
      <c r="BA48" s="75"/>
      <c r="BC48">
        <v>4.0459755096682717E-2</v>
      </c>
      <c r="BF48">
        <v>8.0919510193365449E-2</v>
      </c>
      <c r="BG48">
        <v>4.0459755096682717E-2</v>
      </c>
      <c r="BH48">
        <v>0.5117218936152963</v>
      </c>
      <c r="BI48" s="79" t="s">
        <v>1264</v>
      </c>
      <c r="BJ48" s="79">
        <v>1373</v>
      </c>
      <c r="BK48" s="79">
        <v>10</v>
      </c>
      <c r="BM48" s="79" t="s">
        <v>464</v>
      </c>
      <c r="BN48" s="79" t="s">
        <v>464</v>
      </c>
      <c r="BO48" s="79">
        <v>0</v>
      </c>
      <c r="BQ48" s="79">
        <v>1</v>
      </c>
      <c r="BR48" s="79">
        <v>0</v>
      </c>
      <c r="BS48" s="79" t="s">
        <v>464</v>
      </c>
      <c r="BT48" s="79" t="s">
        <v>464</v>
      </c>
      <c r="BU48" s="79" t="s">
        <v>1266</v>
      </c>
      <c r="BV48" s="79">
        <v>400</v>
      </c>
      <c r="BW48" s="79">
        <v>254</v>
      </c>
      <c r="BZ48" s="81">
        <v>6</v>
      </c>
      <c r="CA48">
        <f t="shared" si="2"/>
        <v>1.791759469228055</v>
      </c>
    </row>
    <row r="49" spans="1:79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58" t="s">
        <v>1144</v>
      </c>
      <c r="I49" s="2"/>
      <c r="J49" s="25">
        <v>0</v>
      </c>
      <c r="K49">
        <v>0</v>
      </c>
      <c r="L49">
        <v>1</v>
      </c>
      <c r="M49" s="2"/>
      <c r="N49" s="2"/>
      <c r="O49" s="2"/>
      <c r="P49" s="2"/>
      <c r="Q49" s="2"/>
      <c r="R49" s="25">
        <v>0</v>
      </c>
      <c r="S49" s="25"/>
      <c r="T49" s="25"/>
      <c r="U49">
        <v>0</v>
      </c>
      <c r="X49">
        <v>3.8653</v>
      </c>
      <c r="Y49">
        <v>3.8653</v>
      </c>
      <c r="Z49">
        <v>11.0131</v>
      </c>
      <c r="AA49" s="2">
        <v>2</v>
      </c>
      <c r="AB49">
        <v>14</v>
      </c>
      <c r="AC49" s="55">
        <f t="shared" si="1"/>
        <v>0</v>
      </c>
      <c r="AD49" s="57">
        <v>0</v>
      </c>
      <c r="AE49" s="55">
        <v>0</v>
      </c>
      <c r="AF49" s="55">
        <v>164.541706117579</v>
      </c>
      <c r="AG49" s="52"/>
      <c r="AH49" s="51"/>
      <c r="AI49" s="52"/>
      <c r="AJ49" s="52">
        <v>8.5084811202795069E-2</v>
      </c>
      <c r="AK49" s="28">
        <v>1.9090909090909089</v>
      </c>
      <c r="AL49" s="28">
        <v>2.545454545454545</v>
      </c>
      <c r="AM49" s="28">
        <v>0.54545454545454541</v>
      </c>
      <c r="AN49" s="28">
        <v>2.8181818181818179</v>
      </c>
      <c r="AO49" s="28">
        <v>0.2441860465116279</v>
      </c>
      <c r="AP49" s="28">
        <v>0.32558139534883718</v>
      </c>
      <c r="AQ49" s="28">
        <v>6.9767441860465115E-2</v>
      </c>
      <c r="AR49" s="28">
        <v>0.3604651162790698</v>
      </c>
      <c r="AS49" s="25">
        <v>0.82</v>
      </c>
      <c r="AT49" s="25">
        <v>3.44</v>
      </c>
      <c r="AU49" s="25">
        <v>2.62</v>
      </c>
      <c r="AV49" s="25">
        <v>2.6390909090909092</v>
      </c>
      <c r="AW49">
        <v>2.6390909090909092</v>
      </c>
      <c r="AX49">
        <v>5.9791810459090904</v>
      </c>
      <c r="AY49" s="75"/>
      <c r="AZ49" s="75"/>
      <c r="BA49" s="75">
        <v>0.53381265134868672</v>
      </c>
      <c r="BE49">
        <v>4.2542405601397527E-2</v>
      </c>
      <c r="BF49">
        <v>8.5084811202795069E-2</v>
      </c>
      <c r="BG49">
        <v>4.2542405601397527E-2</v>
      </c>
      <c r="BH49">
        <v>0.53381265134868672</v>
      </c>
      <c r="BI49" s="79" t="s">
        <v>1264</v>
      </c>
      <c r="BJ49" s="79">
        <v>1373</v>
      </c>
      <c r="BK49" s="79">
        <v>10</v>
      </c>
      <c r="BM49" s="79" t="s">
        <v>464</v>
      </c>
      <c r="BN49" s="79" t="s">
        <v>464</v>
      </c>
      <c r="BO49" s="79">
        <v>0</v>
      </c>
      <c r="BQ49" s="79">
        <v>1</v>
      </c>
      <c r="BR49" s="79">
        <v>0</v>
      </c>
      <c r="BS49" s="79" t="s">
        <v>464</v>
      </c>
      <c r="BT49" s="79" t="s">
        <v>464</v>
      </c>
      <c r="BU49" s="79" t="s">
        <v>1266</v>
      </c>
      <c r="BV49" s="79">
        <v>400</v>
      </c>
      <c r="BW49" s="79">
        <v>254</v>
      </c>
      <c r="BZ49" s="81">
        <v>4.5</v>
      </c>
      <c r="CA49">
        <f t="shared" si="2"/>
        <v>1.5040773967762742</v>
      </c>
    </row>
    <row r="50" spans="1:79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9" t="s">
        <v>1145</v>
      </c>
      <c r="I50" s="2"/>
      <c r="J50" s="25">
        <v>0</v>
      </c>
      <c r="K50">
        <v>0</v>
      </c>
      <c r="L50">
        <v>1</v>
      </c>
      <c r="M50" s="2"/>
      <c r="N50" s="2"/>
      <c r="O50" s="2"/>
      <c r="P50" s="2"/>
      <c r="Q50" s="2"/>
      <c r="R50" s="25">
        <v>0</v>
      </c>
      <c r="S50" s="25"/>
      <c r="T50" s="25"/>
      <c r="U50">
        <v>0</v>
      </c>
      <c r="X50">
        <v>3.8445</v>
      </c>
      <c r="Y50">
        <v>3.8445</v>
      </c>
      <c r="Z50">
        <v>11.03</v>
      </c>
      <c r="AA50" s="2">
        <v>2</v>
      </c>
      <c r="AB50">
        <v>14</v>
      </c>
      <c r="AC50" s="55">
        <f t="shared" si="1"/>
        <v>0</v>
      </c>
      <c r="AD50" s="57">
        <v>0</v>
      </c>
      <c r="AE50" s="55">
        <v>0</v>
      </c>
      <c r="AF50" s="55">
        <v>163.0253881575</v>
      </c>
      <c r="AG50" s="52"/>
      <c r="AH50" s="51"/>
      <c r="AI50" s="52"/>
      <c r="AJ50" s="52">
        <v>8.5876194856683907E-2</v>
      </c>
      <c r="AK50" s="28">
        <v>1.9090909090909089</v>
      </c>
      <c r="AL50" s="28">
        <v>2.545454545454545</v>
      </c>
      <c r="AM50" s="28">
        <v>0.54545454545454541</v>
      </c>
      <c r="AN50" s="28">
        <v>2.9090909090909092</v>
      </c>
      <c r="AO50" s="28">
        <v>0.2413793103448276</v>
      </c>
      <c r="AP50" s="28">
        <v>0.32183908045977011</v>
      </c>
      <c r="AQ50" s="28">
        <v>6.8965517241379309E-2</v>
      </c>
      <c r="AR50" s="28">
        <v>0.36781609195402298</v>
      </c>
      <c r="AS50" s="25">
        <v>0.82</v>
      </c>
      <c r="AT50" s="25">
        <v>3.44</v>
      </c>
      <c r="AU50" s="25">
        <v>2.62</v>
      </c>
      <c r="AV50" s="25">
        <v>2.64</v>
      </c>
      <c r="AW50">
        <v>2.64</v>
      </c>
      <c r="AX50">
        <v>5.9811382595454541</v>
      </c>
      <c r="AY50" s="75"/>
      <c r="AZ50" s="75"/>
      <c r="BA50" s="75">
        <v>0.53809297903977493</v>
      </c>
      <c r="BE50">
        <v>4.2938097428341947E-2</v>
      </c>
      <c r="BF50">
        <v>8.5876194856683907E-2</v>
      </c>
      <c r="BG50">
        <v>4.2938097428341947E-2</v>
      </c>
      <c r="BH50">
        <v>0.53809297903977493</v>
      </c>
      <c r="BI50" s="79" t="s">
        <v>1264</v>
      </c>
      <c r="BJ50" s="79">
        <v>1373</v>
      </c>
      <c r="BK50" s="79">
        <v>10</v>
      </c>
      <c r="BM50" s="79" t="s">
        <v>464</v>
      </c>
      <c r="BN50" s="79" t="s">
        <v>464</v>
      </c>
      <c r="BO50" s="79">
        <v>0</v>
      </c>
      <c r="BQ50" s="79">
        <v>1</v>
      </c>
      <c r="BR50" s="79">
        <v>0</v>
      </c>
      <c r="BS50" s="79" t="s">
        <v>464</v>
      </c>
      <c r="BT50" s="79" t="s">
        <v>464</v>
      </c>
      <c r="BU50" s="79" t="s">
        <v>1266</v>
      </c>
      <c r="BV50" s="79">
        <v>400</v>
      </c>
      <c r="BW50" s="79">
        <v>254</v>
      </c>
      <c r="BZ50" s="81">
        <v>235</v>
      </c>
      <c r="CA50">
        <f t="shared" si="2"/>
        <v>5.4595855141441589</v>
      </c>
    </row>
    <row r="51" spans="1:79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t="s">
        <v>1147</v>
      </c>
      <c r="I51" s="2"/>
      <c r="J51" s="25">
        <v>0</v>
      </c>
      <c r="K51">
        <v>0</v>
      </c>
      <c r="L51">
        <v>1</v>
      </c>
      <c r="M51" s="2"/>
      <c r="O51" s="2"/>
      <c r="P51" s="2"/>
      <c r="Q51" s="2"/>
      <c r="R51" s="25">
        <v>0</v>
      </c>
      <c r="S51" s="25"/>
      <c r="T51" s="25"/>
      <c r="U51">
        <v>0</v>
      </c>
      <c r="X51">
        <v>3.8252000000000002</v>
      </c>
      <c r="Y51">
        <v>3.8252000000000002</v>
      </c>
      <c r="Z51">
        <v>11.013500000000001</v>
      </c>
      <c r="AA51" s="2">
        <v>2</v>
      </c>
      <c r="AB51">
        <v>14</v>
      </c>
      <c r="AC51" s="55">
        <f t="shared" si="1"/>
        <v>0</v>
      </c>
      <c r="AD51" s="57">
        <v>0</v>
      </c>
      <c r="AE51" s="55">
        <v>0</v>
      </c>
      <c r="AF51" s="55">
        <v>161.15123953304001</v>
      </c>
      <c r="AG51" s="52"/>
      <c r="AH51" s="51"/>
      <c r="AI51" s="52"/>
      <c r="AJ51" s="52">
        <v>8.6874913531953646E-2</v>
      </c>
      <c r="AK51" s="28">
        <v>1.9090909090909089</v>
      </c>
      <c r="AL51" s="28">
        <v>2.545454545454545</v>
      </c>
      <c r="AM51" s="28">
        <v>0.54545454545454541</v>
      </c>
      <c r="AN51" s="28">
        <v>3.0909090909090908</v>
      </c>
      <c r="AO51" s="28">
        <v>0.2359550561797753</v>
      </c>
      <c r="AP51" s="28">
        <v>0.3146067415730337</v>
      </c>
      <c r="AQ51" s="28">
        <v>6.7415730337078636E-2</v>
      </c>
      <c r="AR51" s="28">
        <v>0.38202247191011229</v>
      </c>
      <c r="AS51" s="25">
        <v>0.82</v>
      </c>
      <c r="AT51" s="25">
        <v>3.44</v>
      </c>
      <c r="AU51" s="25">
        <v>2.62</v>
      </c>
      <c r="AV51" s="25">
        <v>2.642727272727273</v>
      </c>
      <c r="AW51">
        <v>2.642727272727273</v>
      </c>
      <c r="AX51">
        <v>5.9894662913636356</v>
      </c>
      <c r="AY51" s="75"/>
      <c r="AZ51" s="75"/>
      <c r="BA51" s="75">
        <v>0.54194665977883461</v>
      </c>
      <c r="BE51">
        <v>4.3437456765976823E-2</v>
      </c>
      <c r="BF51">
        <v>8.6874913531953646E-2</v>
      </c>
      <c r="BG51">
        <v>4.3437456765976823E-2</v>
      </c>
      <c r="BH51">
        <v>0.54194665977883461</v>
      </c>
      <c r="BI51" s="79" t="s">
        <v>1264</v>
      </c>
      <c r="BJ51" s="79">
        <v>1373</v>
      </c>
      <c r="BK51" s="79">
        <v>10</v>
      </c>
      <c r="BM51" s="79" t="s">
        <v>464</v>
      </c>
      <c r="BN51" s="79" t="s">
        <v>464</v>
      </c>
      <c r="BO51" s="79">
        <v>0</v>
      </c>
      <c r="BQ51" s="79">
        <v>1</v>
      </c>
      <c r="BR51" s="79">
        <v>0</v>
      </c>
      <c r="BS51" s="79" t="s">
        <v>464</v>
      </c>
      <c r="BT51" s="79" t="s">
        <v>464</v>
      </c>
      <c r="BU51" s="79" t="s">
        <v>1266</v>
      </c>
      <c r="BV51" s="79">
        <v>400</v>
      </c>
      <c r="BW51" s="79">
        <v>254</v>
      </c>
      <c r="BZ51" s="81">
        <v>53</v>
      </c>
      <c r="CA51">
        <f t="shared" si="2"/>
        <v>3.970291913552122</v>
      </c>
    </row>
    <row r="52" spans="1:79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I52" s="2"/>
      <c r="J52" s="25">
        <v>1</v>
      </c>
      <c r="K52">
        <v>0</v>
      </c>
      <c r="L52">
        <v>0</v>
      </c>
      <c r="M52" s="2">
        <v>3.8849999999999998</v>
      </c>
      <c r="N52" s="2">
        <v>3.8849999999999998</v>
      </c>
      <c r="O52" s="2">
        <v>11.12</v>
      </c>
      <c r="P52" s="2" t="s">
        <v>439</v>
      </c>
      <c r="Q52" s="2"/>
      <c r="R52" s="25">
        <v>3.9103940000000001</v>
      </c>
      <c r="S52" s="25">
        <v>3.9103940000000001</v>
      </c>
      <c r="T52" s="25">
        <v>11.314458</v>
      </c>
      <c r="U52">
        <v>0</v>
      </c>
      <c r="X52">
        <v>0</v>
      </c>
      <c r="AA52" s="2">
        <v>2</v>
      </c>
      <c r="AB52">
        <v>14</v>
      </c>
      <c r="AC52" s="55">
        <f t="shared" ref="AC52:AC55" si="8">M52*N52*O52</f>
        <v>167.83666199999996</v>
      </c>
      <c r="AD52" s="57">
        <v>173.0114278564659</v>
      </c>
      <c r="AE52" s="55">
        <v>0</v>
      </c>
      <c r="AF52" s="55">
        <v>0</v>
      </c>
      <c r="AG52" s="52"/>
      <c r="AH52" s="51">
        <v>8.0919510193365449E-2</v>
      </c>
      <c r="AI52" s="52"/>
      <c r="AJ52" s="52"/>
      <c r="AK52" s="28">
        <v>1.9090909090909089</v>
      </c>
      <c r="AL52" s="28">
        <v>2.545454545454545</v>
      </c>
      <c r="AM52" s="28">
        <v>0.63636363636363635</v>
      </c>
      <c r="AN52" s="28">
        <v>2.545454545454545</v>
      </c>
      <c r="AO52" s="28">
        <v>0.25</v>
      </c>
      <c r="AP52" s="28">
        <v>0.33333333333333331</v>
      </c>
      <c r="AQ52" s="28">
        <v>8.3333333333333329E-2</v>
      </c>
      <c r="AR52" s="28">
        <v>0.33333333333333331</v>
      </c>
      <c r="AS52" s="25">
        <v>0.82</v>
      </c>
      <c r="AT52" s="25">
        <v>3.44</v>
      </c>
      <c r="AU52" s="25">
        <v>2.62</v>
      </c>
      <c r="AV52" s="25">
        <v>2.6363636363636358</v>
      </c>
      <c r="AW52">
        <v>2.6363636363636371</v>
      </c>
      <c r="AX52">
        <v>6.0044088459090901</v>
      </c>
      <c r="AY52" s="75">
        <v>0.5117218936152963</v>
      </c>
      <c r="AZ52" s="75"/>
      <c r="BA52" s="75"/>
      <c r="BC52">
        <v>4.0459755096682717E-2</v>
      </c>
      <c r="BF52">
        <v>8.0919510193365449E-2</v>
      </c>
      <c r="BG52">
        <v>4.0459755096682717E-2</v>
      </c>
      <c r="BH52">
        <v>0.5117218936152963</v>
      </c>
      <c r="BI52" s="79" t="s">
        <v>1264</v>
      </c>
      <c r="BJ52" s="79">
        <v>1373</v>
      </c>
      <c r="BK52" s="79">
        <v>10</v>
      </c>
      <c r="BM52" s="79" t="s">
        <v>464</v>
      </c>
      <c r="BN52" s="79" t="s">
        <v>464</v>
      </c>
      <c r="BO52" s="79">
        <v>0</v>
      </c>
      <c r="BQ52" s="79">
        <v>1</v>
      </c>
      <c r="BR52" s="79">
        <v>16</v>
      </c>
      <c r="BS52" s="79" t="s">
        <v>464</v>
      </c>
      <c r="BT52" s="79" t="s">
        <v>464</v>
      </c>
      <c r="BU52" s="79" t="s">
        <v>1266</v>
      </c>
      <c r="BV52" s="79">
        <v>400</v>
      </c>
      <c r="BW52" s="79">
        <v>280</v>
      </c>
      <c r="BZ52" s="81">
        <v>15.5</v>
      </c>
      <c r="CA52">
        <f t="shared" si="2"/>
        <v>2.7408400239252009</v>
      </c>
    </row>
    <row r="53" spans="1:79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58" t="s">
        <v>1144</v>
      </c>
      <c r="I53" s="2"/>
      <c r="J53" s="25">
        <v>0</v>
      </c>
      <c r="K53">
        <v>0</v>
      </c>
      <c r="L53">
        <v>1</v>
      </c>
      <c r="M53" s="2"/>
      <c r="N53" s="2"/>
      <c r="O53" s="2"/>
      <c r="P53" s="2"/>
      <c r="Q53" s="2"/>
      <c r="R53" s="25">
        <v>0</v>
      </c>
      <c r="S53" s="25"/>
      <c r="T53" s="25"/>
      <c r="U53">
        <v>0</v>
      </c>
      <c r="X53">
        <v>3.8653</v>
      </c>
      <c r="Y53">
        <v>3.8653</v>
      </c>
      <c r="Z53">
        <v>11.0131</v>
      </c>
      <c r="AA53" s="2">
        <v>2</v>
      </c>
      <c r="AB53">
        <v>14</v>
      </c>
      <c r="AC53" s="55">
        <f t="shared" si="8"/>
        <v>0</v>
      </c>
      <c r="AD53" s="57">
        <v>0</v>
      </c>
      <c r="AE53" s="55">
        <v>0</v>
      </c>
      <c r="AF53" s="55">
        <v>164.541706117579</v>
      </c>
      <c r="AG53" s="52"/>
      <c r="AH53" s="51"/>
      <c r="AI53" s="52"/>
      <c r="AJ53" s="52">
        <v>8.5084811202795069E-2</v>
      </c>
      <c r="AK53" s="28">
        <v>1.9090909090909089</v>
      </c>
      <c r="AL53" s="28">
        <v>2.545454545454545</v>
      </c>
      <c r="AM53" s="28">
        <v>0.54545454545454541</v>
      </c>
      <c r="AN53" s="28">
        <v>2.8181818181818179</v>
      </c>
      <c r="AO53" s="28">
        <v>0.2441860465116279</v>
      </c>
      <c r="AP53" s="28">
        <v>0.32558139534883718</v>
      </c>
      <c r="AQ53" s="28">
        <v>6.9767441860465115E-2</v>
      </c>
      <c r="AR53" s="28">
        <v>0.3604651162790698</v>
      </c>
      <c r="AS53" s="25">
        <v>0.82</v>
      </c>
      <c r="AT53" s="25">
        <v>3.44</v>
      </c>
      <c r="AU53" s="25">
        <v>2.62</v>
      </c>
      <c r="AV53" s="25">
        <v>2.6390909090909092</v>
      </c>
      <c r="AW53">
        <v>2.6390909090909092</v>
      </c>
      <c r="AX53">
        <v>5.9791810459090904</v>
      </c>
      <c r="AY53" s="75"/>
      <c r="AZ53" s="75"/>
      <c r="BA53" s="75">
        <v>0.53381265134868672</v>
      </c>
      <c r="BE53">
        <v>4.2542405601397527E-2</v>
      </c>
      <c r="BF53">
        <v>8.5084811202795069E-2</v>
      </c>
      <c r="BG53">
        <v>4.2542405601397527E-2</v>
      </c>
      <c r="BH53">
        <v>0.53381265134868672</v>
      </c>
      <c r="BI53" s="79" t="s">
        <v>1264</v>
      </c>
      <c r="BJ53" s="79">
        <v>1373</v>
      </c>
      <c r="BK53" s="79">
        <v>10</v>
      </c>
      <c r="BM53" s="79" t="s">
        <v>464</v>
      </c>
      <c r="BN53" s="79" t="s">
        <v>464</v>
      </c>
      <c r="BO53" s="79">
        <v>0</v>
      </c>
      <c r="BQ53" s="79">
        <v>1</v>
      </c>
      <c r="BR53" s="79">
        <v>16</v>
      </c>
      <c r="BS53" s="79" t="s">
        <v>464</v>
      </c>
      <c r="BT53" s="79" t="s">
        <v>464</v>
      </c>
      <c r="BU53" s="79" t="s">
        <v>1266</v>
      </c>
      <c r="BV53" s="79">
        <v>400</v>
      </c>
      <c r="BW53" s="79">
        <v>280</v>
      </c>
      <c r="BZ53" s="81">
        <v>0.25</v>
      </c>
      <c r="CA53">
        <f t="shared" si="2"/>
        <v>-1.3862943611198906</v>
      </c>
    </row>
    <row r="54" spans="1:79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9" t="s">
        <v>1145</v>
      </c>
      <c r="I54" s="2"/>
      <c r="J54" s="25">
        <v>0</v>
      </c>
      <c r="K54">
        <v>0</v>
      </c>
      <c r="L54">
        <v>1</v>
      </c>
      <c r="M54" s="2"/>
      <c r="N54" s="2"/>
      <c r="O54" s="2"/>
      <c r="P54" s="2"/>
      <c r="Q54" s="2"/>
      <c r="R54" s="25">
        <v>0</v>
      </c>
      <c r="S54" s="25"/>
      <c r="T54" s="25"/>
      <c r="U54">
        <v>0</v>
      </c>
      <c r="X54">
        <v>3.8445</v>
      </c>
      <c r="Y54">
        <v>3.8445</v>
      </c>
      <c r="Z54">
        <v>11.03</v>
      </c>
      <c r="AA54" s="2">
        <v>2</v>
      </c>
      <c r="AB54">
        <v>14</v>
      </c>
      <c r="AC54" s="55">
        <f t="shared" si="8"/>
        <v>0</v>
      </c>
      <c r="AD54" s="57">
        <v>0</v>
      </c>
      <c r="AE54" s="55">
        <v>0</v>
      </c>
      <c r="AF54" s="55">
        <v>163.0253881575</v>
      </c>
      <c r="AG54" s="52"/>
      <c r="AH54" s="51"/>
      <c r="AI54" s="52"/>
      <c r="AJ54" s="52">
        <v>8.5876194856683907E-2</v>
      </c>
      <c r="AK54" s="28">
        <v>1.9090909090909089</v>
      </c>
      <c r="AL54" s="28">
        <v>2.545454545454545</v>
      </c>
      <c r="AM54" s="28">
        <v>0.54545454545454541</v>
      </c>
      <c r="AN54" s="28">
        <v>2.9090909090909092</v>
      </c>
      <c r="AO54" s="28">
        <v>0.2413793103448276</v>
      </c>
      <c r="AP54" s="28">
        <v>0.32183908045977011</v>
      </c>
      <c r="AQ54" s="28">
        <v>6.8965517241379309E-2</v>
      </c>
      <c r="AR54" s="28">
        <v>0.36781609195402298</v>
      </c>
      <c r="AS54" s="25">
        <v>0.82</v>
      </c>
      <c r="AT54" s="25">
        <v>3.44</v>
      </c>
      <c r="AU54" s="25">
        <v>2.62</v>
      </c>
      <c r="AV54" s="25">
        <v>2.64</v>
      </c>
      <c r="AW54">
        <v>2.64</v>
      </c>
      <c r="AX54">
        <v>5.9811382595454541</v>
      </c>
      <c r="AY54" s="75"/>
      <c r="AZ54" s="75"/>
      <c r="BA54" s="75">
        <v>0.53809297903977493</v>
      </c>
      <c r="BE54">
        <v>4.2938097428341947E-2</v>
      </c>
      <c r="BF54">
        <v>8.5876194856683907E-2</v>
      </c>
      <c r="BG54">
        <v>4.2938097428341947E-2</v>
      </c>
      <c r="BH54">
        <v>0.53809297903977493</v>
      </c>
      <c r="BI54" s="79" t="s">
        <v>1264</v>
      </c>
      <c r="BJ54" s="79">
        <v>1373</v>
      </c>
      <c r="BK54" s="79">
        <v>10</v>
      </c>
      <c r="BM54" s="79" t="s">
        <v>464</v>
      </c>
      <c r="BN54" s="79" t="s">
        <v>464</v>
      </c>
      <c r="BO54" s="79">
        <v>0</v>
      </c>
      <c r="BQ54" s="79">
        <v>1</v>
      </c>
      <c r="BR54" s="79">
        <v>16</v>
      </c>
      <c r="BS54" s="79" t="s">
        <v>464</v>
      </c>
      <c r="BT54" s="79" t="s">
        <v>464</v>
      </c>
      <c r="BU54" s="79" t="s">
        <v>1266</v>
      </c>
      <c r="BV54" s="79">
        <v>400</v>
      </c>
      <c r="BW54" s="79">
        <v>280</v>
      </c>
      <c r="BZ54" s="81">
        <v>1.8499999999999999</v>
      </c>
      <c r="CA54">
        <f t="shared" si="2"/>
        <v>0.61518563909023338</v>
      </c>
    </row>
    <row r="55" spans="1:79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t="s">
        <v>1147</v>
      </c>
      <c r="I55" s="2"/>
      <c r="J55" s="25">
        <v>0</v>
      </c>
      <c r="K55">
        <v>0</v>
      </c>
      <c r="L55">
        <v>1</v>
      </c>
      <c r="M55" s="2"/>
      <c r="O55" s="2"/>
      <c r="P55" s="2"/>
      <c r="Q55" s="2"/>
      <c r="R55" s="25">
        <v>0</v>
      </c>
      <c r="S55" s="25"/>
      <c r="T55" s="25"/>
      <c r="U55">
        <v>0</v>
      </c>
      <c r="X55">
        <v>3.8252000000000002</v>
      </c>
      <c r="Y55">
        <v>3.8252000000000002</v>
      </c>
      <c r="Z55">
        <v>11.013500000000001</v>
      </c>
      <c r="AA55" s="2">
        <v>2</v>
      </c>
      <c r="AB55">
        <v>14</v>
      </c>
      <c r="AC55" s="55">
        <f t="shared" si="8"/>
        <v>0</v>
      </c>
      <c r="AD55" s="57">
        <v>0</v>
      </c>
      <c r="AE55" s="55">
        <v>0</v>
      </c>
      <c r="AF55" s="55">
        <v>161.15123953304001</v>
      </c>
      <c r="AG55" s="52"/>
      <c r="AH55" s="51"/>
      <c r="AI55" s="52"/>
      <c r="AJ55" s="52">
        <v>8.6874913531953646E-2</v>
      </c>
      <c r="AK55" s="28">
        <v>1.9090909090909089</v>
      </c>
      <c r="AL55" s="28">
        <v>2.545454545454545</v>
      </c>
      <c r="AM55" s="28">
        <v>0.54545454545454541</v>
      </c>
      <c r="AN55" s="28">
        <v>3.0909090909090908</v>
      </c>
      <c r="AO55" s="28">
        <v>0.2359550561797753</v>
      </c>
      <c r="AP55" s="28">
        <v>0.3146067415730337</v>
      </c>
      <c r="AQ55" s="28">
        <v>6.7415730337078636E-2</v>
      </c>
      <c r="AR55" s="28">
        <v>0.38202247191011229</v>
      </c>
      <c r="AS55" s="25">
        <v>0.82</v>
      </c>
      <c r="AT55" s="25">
        <v>3.44</v>
      </c>
      <c r="AU55" s="25">
        <v>2.62</v>
      </c>
      <c r="AV55" s="25">
        <v>2.642727272727273</v>
      </c>
      <c r="AW55">
        <v>2.642727272727273</v>
      </c>
      <c r="AX55">
        <v>5.9894662913636356</v>
      </c>
      <c r="AY55" s="75"/>
      <c r="AZ55" s="75"/>
      <c r="BA55" s="75">
        <v>0.54194665977883461</v>
      </c>
      <c r="BE55">
        <v>4.3437456765976823E-2</v>
      </c>
      <c r="BF55">
        <v>8.6874913531953646E-2</v>
      </c>
      <c r="BG55">
        <v>4.3437456765976823E-2</v>
      </c>
      <c r="BH55">
        <v>0.54194665977883461</v>
      </c>
      <c r="BI55" s="79" t="s">
        <v>1264</v>
      </c>
      <c r="BJ55" s="79">
        <v>1373</v>
      </c>
      <c r="BK55" s="79">
        <v>10</v>
      </c>
      <c r="BM55" s="79" t="s">
        <v>464</v>
      </c>
      <c r="BN55" s="79" t="s">
        <v>464</v>
      </c>
      <c r="BO55" s="79">
        <v>0</v>
      </c>
      <c r="BQ55" s="79">
        <v>1</v>
      </c>
      <c r="BR55" s="79">
        <v>16</v>
      </c>
      <c r="BS55" s="79" t="s">
        <v>464</v>
      </c>
      <c r="BT55" s="79" t="s">
        <v>464</v>
      </c>
      <c r="BU55" s="79" t="s">
        <v>1266</v>
      </c>
      <c r="BV55" s="79">
        <v>400</v>
      </c>
      <c r="BW55" s="79">
        <v>280</v>
      </c>
      <c r="BZ55" s="81">
        <v>1.8499999999999999</v>
      </c>
      <c r="CA55">
        <f t="shared" si="2"/>
        <v>0.61518563909023338</v>
      </c>
    </row>
    <row r="56" spans="1:79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I56" s="2"/>
      <c r="J56" s="25"/>
      <c r="M56" s="2"/>
      <c r="N56" s="2"/>
      <c r="O56" s="2"/>
      <c r="P56" s="2"/>
      <c r="Q56" s="2"/>
      <c r="R56" s="25"/>
      <c r="S56" s="25"/>
      <c r="T56" s="25"/>
      <c r="AA56" s="2"/>
      <c r="AC56" s="55"/>
      <c r="AD56" s="57"/>
      <c r="AE56" s="55"/>
      <c r="AF56" s="55"/>
      <c r="AG56" s="52"/>
      <c r="AH56" s="51"/>
      <c r="AI56" s="52"/>
      <c r="AJ56" s="52"/>
      <c r="AK56" s="28"/>
      <c r="AL56" s="28"/>
      <c r="AM56" s="28"/>
      <c r="AN56" s="28"/>
      <c r="AO56" s="28"/>
      <c r="AP56" s="28"/>
      <c r="AQ56" s="28"/>
      <c r="AR56" s="28"/>
      <c r="AS56" s="25"/>
      <c r="AT56" s="25"/>
      <c r="AU56" s="25"/>
      <c r="AV56" s="25"/>
      <c r="AY56" s="75"/>
      <c r="AZ56" s="75"/>
      <c r="BA56" s="75"/>
      <c r="BM56" s="79" t="s">
        <v>1268</v>
      </c>
      <c r="BN56" s="79" t="s">
        <v>863</v>
      </c>
      <c r="BO56" s="79">
        <v>0.1</v>
      </c>
      <c r="BP56" s="79">
        <v>42.7</v>
      </c>
      <c r="BQ56" s="79">
        <v>1</v>
      </c>
      <c r="BR56" s="79">
        <v>0</v>
      </c>
      <c r="BS56" s="79" t="s">
        <v>464</v>
      </c>
      <c r="BT56" s="79" t="s">
        <v>464</v>
      </c>
      <c r="BU56" s="79" t="s">
        <v>1266</v>
      </c>
      <c r="BV56" s="79">
        <v>400</v>
      </c>
      <c r="BW56" s="79">
        <v>254</v>
      </c>
      <c r="BZ56" s="81">
        <v>0.3</v>
      </c>
      <c r="CA56">
        <f t="shared" si="2"/>
        <v>-1.2039728043259361</v>
      </c>
    </row>
    <row r="57" spans="1:79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89" t="s">
        <v>532</v>
      </c>
      <c r="G57" s="5" t="s">
        <v>613</v>
      </c>
      <c r="H57" s="5"/>
      <c r="I57" s="5"/>
      <c r="J57" s="41">
        <v>4</v>
      </c>
      <c r="K57" s="5">
        <v>4</v>
      </c>
      <c r="L57" s="5">
        <v>0</v>
      </c>
      <c r="M57" s="5"/>
      <c r="N57" s="5"/>
      <c r="O57" s="5"/>
      <c r="P57" s="5"/>
      <c r="Q57" s="5"/>
      <c r="R57" s="41">
        <v>7.8568680000000004</v>
      </c>
      <c r="S57" s="41">
        <v>7.8568680000000004</v>
      </c>
      <c r="T57" s="41">
        <v>7.8568680000000004</v>
      </c>
      <c r="U57" s="5">
        <v>7.78</v>
      </c>
      <c r="V57" s="5">
        <v>7.78</v>
      </c>
      <c r="W57" s="5">
        <v>7.78</v>
      </c>
      <c r="X57" s="5">
        <v>0</v>
      </c>
      <c r="Y57" s="5"/>
      <c r="Z57" s="5"/>
      <c r="AA57" s="5"/>
      <c r="AB57" s="5">
        <v>12</v>
      </c>
      <c r="AC57" s="5">
        <f t="shared" si="1"/>
        <v>0</v>
      </c>
      <c r="AD57" s="41">
        <v>485.00740615389492</v>
      </c>
      <c r="AE57" s="5">
        <v>470.91095200000012</v>
      </c>
      <c r="AF57" s="5">
        <v>0</v>
      </c>
      <c r="AG57" s="5"/>
      <c r="AH57" s="41">
        <v>9.896756088868755E-2</v>
      </c>
      <c r="AI57" s="5">
        <v>0.1019300990901566</v>
      </c>
      <c r="AJ57" s="5"/>
      <c r="AK57" s="5">
        <v>2</v>
      </c>
      <c r="AL57" s="5">
        <v>2.666666666666667</v>
      </c>
      <c r="AM57" s="5">
        <v>0.66666666666666663</v>
      </c>
      <c r="AN57" s="5">
        <v>3.1111111111111112</v>
      </c>
      <c r="AO57" s="5">
        <v>0.23684210526315791</v>
      </c>
      <c r="AP57" s="5">
        <v>0.31578947368421051</v>
      </c>
      <c r="AQ57" s="5">
        <v>7.8947368421052627E-2</v>
      </c>
      <c r="AR57" s="5">
        <v>0.36842105263157893</v>
      </c>
      <c r="AS57" s="41">
        <v>1</v>
      </c>
      <c r="AT57" s="41">
        <v>3.44</v>
      </c>
      <c r="AU57" s="41">
        <v>2.44</v>
      </c>
      <c r="AV57" s="41">
        <v>2.7377777777777781</v>
      </c>
      <c r="AW57" s="5">
        <v>2.7377777777777781</v>
      </c>
      <c r="AX57" s="5">
        <v>6.2421139038888889</v>
      </c>
      <c r="AY57" s="5">
        <v>0.49860192759728061</v>
      </c>
      <c r="AZ57" s="5">
        <v>0.51352729551146459</v>
      </c>
      <c r="BA57" s="5"/>
      <c r="BB57" s="5"/>
      <c r="BC57" s="5">
        <v>4.9483780444343768E-2</v>
      </c>
      <c r="BD57" s="5">
        <v>5.0965049545078307E-2</v>
      </c>
      <c r="BE57" s="5"/>
      <c r="BF57" s="5">
        <v>0.1004488299894221</v>
      </c>
      <c r="BG57" s="5">
        <v>5.0224414994711038E-2</v>
      </c>
      <c r="BH57" s="5">
        <v>0.50606461155437255</v>
      </c>
      <c r="BI57" s="84"/>
      <c r="BJ57" s="84"/>
      <c r="BK57" s="84"/>
      <c r="BL57" s="84"/>
      <c r="BM57" s="84"/>
      <c r="BN57" s="84"/>
      <c r="BO57" s="84"/>
      <c r="BP57" s="84"/>
      <c r="BQ57" s="84"/>
      <c r="BR57" s="84"/>
      <c r="BS57" s="84" t="s">
        <v>464</v>
      </c>
      <c r="BT57" s="84" t="s">
        <v>464</v>
      </c>
      <c r="BU57" s="84"/>
      <c r="BV57" s="84"/>
      <c r="BW57" s="84"/>
      <c r="BX57" s="84"/>
      <c r="BY57" s="84"/>
      <c r="BZ57" s="84"/>
      <c r="CA57" t="e">
        <f t="shared" si="2"/>
        <v>#NUM!</v>
      </c>
    </row>
    <row r="58" spans="1:79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41">
        <v>4</v>
      </c>
      <c r="K58" s="5">
        <v>4</v>
      </c>
      <c r="L58" s="5">
        <v>0</v>
      </c>
      <c r="M58" s="5"/>
      <c r="N58" s="5"/>
      <c r="O58" s="5"/>
      <c r="P58" s="5"/>
      <c r="Q58" s="5"/>
      <c r="R58" s="41">
        <v>5.63450966</v>
      </c>
      <c r="S58" s="41">
        <v>7.6422105</v>
      </c>
      <c r="T58" s="41">
        <v>11.066420430000001</v>
      </c>
      <c r="U58" s="5">
        <v>11.013</v>
      </c>
      <c r="V58" s="5">
        <v>7.6319999999999997</v>
      </c>
      <c r="W58" s="5">
        <v>5.6210000000000004</v>
      </c>
      <c r="X58" s="5">
        <v>0</v>
      </c>
      <c r="Y58" s="5"/>
      <c r="Z58" s="5"/>
      <c r="AA58" s="5"/>
      <c r="AB58" s="5">
        <v>12</v>
      </c>
      <c r="AC58" s="5">
        <f t="shared" si="1"/>
        <v>0</v>
      </c>
      <c r="AD58" s="41">
        <v>476.5212686940929</v>
      </c>
      <c r="AE58" s="5">
        <v>472.45188513599999</v>
      </c>
      <c r="AF58" s="5">
        <v>0</v>
      </c>
      <c r="AG58" s="5"/>
      <c r="AH58" s="41">
        <v>0.1007300264509579</v>
      </c>
      <c r="AI58" s="5">
        <v>0.1015976473163669</v>
      </c>
      <c r="AJ58" s="5"/>
      <c r="AK58" s="5">
        <v>2</v>
      </c>
      <c r="AL58" s="5">
        <v>2.666666666666667</v>
      </c>
      <c r="AM58" s="5">
        <v>0.66666666666666663</v>
      </c>
      <c r="AN58" s="5">
        <v>3.1111111111111112</v>
      </c>
      <c r="AO58" s="5">
        <v>0.23684210526315791</v>
      </c>
      <c r="AP58" s="5">
        <v>0.31578947368421051</v>
      </c>
      <c r="AQ58" s="5">
        <v>7.8947368421052627E-2</v>
      </c>
      <c r="AR58" s="5">
        <v>0.36842105263157893</v>
      </c>
      <c r="AS58" s="41">
        <v>0.95</v>
      </c>
      <c r="AT58" s="41">
        <v>3.44</v>
      </c>
      <c r="AU58" s="41">
        <v>2.4900000000000002</v>
      </c>
      <c r="AV58" s="41">
        <v>2.7322222222222221</v>
      </c>
      <c r="AW58" s="5">
        <v>2.7322222222222221</v>
      </c>
      <c r="AX58" s="5">
        <v>6.2204042916666662</v>
      </c>
      <c r="AY58" s="5">
        <v>0.5362582325986015</v>
      </c>
      <c r="AZ58" s="5">
        <v>0.54087720122437066</v>
      </c>
      <c r="BA58" s="5"/>
      <c r="BB58" s="5"/>
      <c r="BC58" s="5">
        <v>5.0365013225478962E-2</v>
      </c>
      <c r="BD58" s="5">
        <v>5.0798823658183438E-2</v>
      </c>
      <c r="BE58" s="5"/>
      <c r="BF58" s="5">
        <v>0.1011638368836624</v>
      </c>
      <c r="BG58" s="5">
        <v>5.05819184418312E-2</v>
      </c>
      <c r="BH58" s="5">
        <v>0.53856771691148608</v>
      </c>
      <c r="BI58" s="84"/>
      <c r="BJ58" s="84"/>
      <c r="BK58" s="84"/>
      <c r="BL58" s="84"/>
      <c r="BM58" s="84"/>
      <c r="BN58" s="84"/>
      <c r="BO58" s="84"/>
      <c r="BP58" s="84"/>
      <c r="BQ58" s="84"/>
      <c r="BR58" s="84"/>
      <c r="BS58" s="84" t="s">
        <v>464</v>
      </c>
      <c r="BT58" s="84" t="s">
        <v>464</v>
      </c>
      <c r="BU58" s="84"/>
      <c r="BV58" s="84"/>
      <c r="BW58" s="84"/>
      <c r="BX58" s="84"/>
      <c r="BY58" s="84"/>
      <c r="BZ58" s="84"/>
      <c r="CA58" t="e">
        <f t="shared" si="2"/>
        <v>#NUM!</v>
      </c>
    </row>
    <row r="59" spans="1:79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41">
        <v>6</v>
      </c>
      <c r="K59" s="5">
        <v>12</v>
      </c>
      <c r="L59" s="5">
        <v>0</v>
      </c>
      <c r="M59" s="5"/>
      <c r="N59" s="5"/>
      <c r="O59" s="5"/>
      <c r="P59" s="5"/>
      <c r="Q59" s="5"/>
      <c r="R59" s="41">
        <v>9.2906580000000005</v>
      </c>
      <c r="S59" s="41">
        <v>9.8537374799999977</v>
      </c>
      <c r="T59" s="41">
        <v>14.19785074</v>
      </c>
      <c r="U59" s="5">
        <v>21.14</v>
      </c>
      <c r="V59" s="5">
        <v>21.14</v>
      </c>
      <c r="W59" s="5">
        <v>3.9169999999999998</v>
      </c>
      <c r="X59" s="5">
        <v>0</v>
      </c>
      <c r="Y59" s="5"/>
      <c r="Z59" s="5"/>
      <c r="AA59" s="5"/>
      <c r="AB59" s="5">
        <v>12</v>
      </c>
      <c r="AC59" s="5">
        <f t="shared" si="1"/>
        <v>0</v>
      </c>
      <c r="AD59" s="41">
        <v>1160.7096237378021</v>
      </c>
      <c r="AE59" s="5">
        <v>1515.9824344215051</v>
      </c>
      <c r="AF59" s="5">
        <v>0</v>
      </c>
      <c r="AG59" s="5"/>
      <c r="AH59" s="41">
        <v>6.2031018376620617E-2</v>
      </c>
      <c r="AI59" s="5">
        <v>9.4987907993109438E-2</v>
      </c>
      <c r="AJ59" s="5"/>
      <c r="AK59" s="5">
        <v>2</v>
      </c>
      <c r="AL59" s="5">
        <v>2.666666666666667</v>
      </c>
      <c r="AM59" s="5">
        <v>0.66666666666666663</v>
      </c>
      <c r="AN59" s="5">
        <v>3.1111111111111112</v>
      </c>
      <c r="AO59" s="5">
        <v>0.23684210526315791</v>
      </c>
      <c r="AP59" s="5">
        <v>0.31578947368421051</v>
      </c>
      <c r="AQ59" s="5">
        <v>7.8947368421052627E-2</v>
      </c>
      <c r="AR59" s="5">
        <v>0.36842105263157893</v>
      </c>
      <c r="AS59" s="41">
        <v>0.89</v>
      </c>
      <c r="AT59" s="41">
        <v>3.44</v>
      </c>
      <c r="AU59" s="41">
        <v>2.5499999999999998</v>
      </c>
      <c r="AV59" s="41">
        <v>2.7255555555555562</v>
      </c>
      <c r="AW59" s="5">
        <v>2.7255555555555548</v>
      </c>
      <c r="AX59" s="5">
        <v>6.1987019111111108</v>
      </c>
      <c r="AY59" s="5">
        <v>0.35206135737794247</v>
      </c>
      <c r="AZ59" s="5">
        <v>0.53911047565759851</v>
      </c>
      <c r="BA59" s="5"/>
      <c r="BB59" s="5"/>
      <c r="BC59" s="5">
        <v>3.1015509188310308E-2</v>
      </c>
      <c r="BD59" s="5">
        <v>4.7493953996554719E-2</v>
      </c>
      <c r="BE59" s="5"/>
      <c r="BF59" s="5">
        <v>7.8509463184865028E-2</v>
      </c>
      <c r="BG59" s="5">
        <v>3.9254731592432507E-2</v>
      </c>
      <c r="BH59" s="5">
        <v>0.44558591651777052</v>
      </c>
      <c r="BI59" s="84"/>
      <c r="BJ59" s="84"/>
      <c r="BK59" s="84"/>
      <c r="BL59" s="84"/>
      <c r="BM59" s="84"/>
      <c r="BN59" s="84"/>
      <c r="BO59" s="84"/>
      <c r="BP59" s="84"/>
      <c r="BQ59" s="84"/>
      <c r="BR59" s="84"/>
      <c r="BS59" s="84" t="s">
        <v>464</v>
      </c>
      <c r="BT59" s="84" t="s">
        <v>464</v>
      </c>
      <c r="BU59" s="84"/>
      <c r="BV59" s="84"/>
      <c r="BW59" s="84"/>
      <c r="BX59" s="84"/>
      <c r="BY59" s="84"/>
      <c r="BZ59" s="84"/>
      <c r="CA59" t="e">
        <f t="shared" si="2"/>
        <v>#NUM!</v>
      </c>
    </row>
    <row r="60" spans="1:79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I60" s="2"/>
      <c r="J60" s="25">
        <v>1</v>
      </c>
      <c r="K60">
        <v>4</v>
      </c>
      <c r="L60">
        <v>0</v>
      </c>
      <c r="M60" s="2">
        <v>5.4669999999999996</v>
      </c>
      <c r="N60" s="2">
        <v>5.4269999999999996</v>
      </c>
      <c r="O60" s="2">
        <v>24.931000000000001</v>
      </c>
      <c r="P60" s="2" t="s">
        <v>450</v>
      </c>
      <c r="Q60" s="2"/>
      <c r="R60" s="25">
        <v>13.46934785</v>
      </c>
      <c r="S60" s="25">
        <v>13.46934785</v>
      </c>
      <c r="T60" s="25">
        <v>13.46934785</v>
      </c>
      <c r="U60">
        <v>5.4659000000000004</v>
      </c>
      <c r="V60">
        <v>5.4318</v>
      </c>
      <c r="W60">
        <v>24.9619</v>
      </c>
      <c r="X60">
        <v>0</v>
      </c>
      <c r="AA60" s="2">
        <v>2</v>
      </c>
      <c r="AB60">
        <v>18</v>
      </c>
      <c r="AC60" s="55">
        <f t="shared" si="1"/>
        <v>739.68803577899985</v>
      </c>
      <c r="AD60" s="57">
        <v>189.22149105491849</v>
      </c>
      <c r="AE60" s="55">
        <v>741.11071385887806</v>
      </c>
      <c r="AF60" s="55">
        <v>0</v>
      </c>
      <c r="AG60" s="52"/>
      <c r="AH60" s="51">
        <v>9.5126615373598261E-2</v>
      </c>
      <c r="AI60" s="52">
        <v>9.7151476363233638E-2</v>
      </c>
      <c r="AJ60" s="52"/>
      <c r="AK60" s="28">
        <v>2</v>
      </c>
      <c r="AL60" s="28">
        <v>3</v>
      </c>
      <c r="AM60" s="28">
        <v>1.857142857142857</v>
      </c>
      <c r="AN60" s="28">
        <v>4</v>
      </c>
      <c r="AO60" s="28">
        <v>0.18421052631578949</v>
      </c>
      <c r="AP60" s="28">
        <v>0.27631578947368418</v>
      </c>
      <c r="AQ60" s="28">
        <v>0.1710526315789474</v>
      </c>
      <c r="AR60" s="28">
        <v>0.36842105263157893</v>
      </c>
      <c r="AS60" s="25">
        <v>1</v>
      </c>
      <c r="AT60" s="25">
        <v>3.44</v>
      </c>
      <c r="AU60" s="25">
        <v>2.44</v>
      </c>
      <c r="AV60" s="25">
        <v>2.785714285714286</v>
      </c>
      <c r="AW60">
        <v>2.785714285714286</v>
      </c>
      <c r="AX60">
        <v>6.216117408214286</v>
      </c>
      <c r="AY60" s="75">
        <v>0.52325723799350143</v>
      </c>
      <c r="AZ60" s="75"/>
      <c r="BA60" s="75"/>
      <c r="BC60">
        <v>4.7563307686799138E-2</v>
      </c>
      <c r="BD60">
        <v>4.8575738181616819E-2</v>
      </c>
      <c r="BF60">
        <v>9.6139045868415957E-2</v>
      </c>
      <c r="BG60">
        <v>4.8069522934207978E-2</v>
      </c>
      <c r="BH60">
        <v>0.52325723799350143</v>
      </c>
      <c r="BI60" s="79" t="s">
        <v>1264</v>
      </c>
      <c r="BJ60" s="79">
        <v>1334</v>
      </c>
      <c r="BK60" s="79">
        <v>54</v>
      </c>
      <c r="BM60" s="79" t="s">
        <v>464</v>
      </c>
      <c r="BN60" s="79" t="s">
        <v>464</v>
      </c>
      <c r="BO60" s="79">
        <v>0</v>
      </c>
      <c r="BP60" s="79">
        <v>1.96</v>
      </c>
      <c r="BQ60" s="79">
        <v>0.5</v>
      </c>
      <c r="BR60" s="79">
        <v>12.5</v>
      </c>
      <c r="BS60" s="79" t="s">
        <v>464</v>
      </c>
      <c r="BT60" s="79" t="s">
        <v>464</v>
      </c>
      <c r="BU60" s="79" t="s">
        <v>1266</v>
      </c>
      <c r="BV60" s="79">
        <v>350</v>
      </c>
      <c r="BX60" s="79" t="s">
        <v>1287</v>
      </c>
      <c r="BZ60" s="81">
        <v>1500</v>
      </c>
      <c r="CA60">
        <f t="shared" si="2"/>
        <v>7.3132203870903014</v>
      </c>
    </row>
    <row r="61" spans="1:79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I61" s="2"/>
      <c r="J61" s="25">
        <v>1</v>
      </c>
      <c r="K61">
        <v>4</v>
      </c>
      <c r="L61">
        <v>0</v>
      </c>
      <c r="M61" s="2">
        <v>5.4729999999999999</v>
      </c>
      <c r="N61" s="2">
        <v>5.5269999999999992</v>
      </c>
      <c r="O61" s="2">
        <v>25.030999999999999</v>
      </c>
      <c r="P61" s="2" t="s">
        <v>450</v>
      </c>
      <c r="Q61" s="2"/>
      <c r="R61" s="25">
        <v>12.88926011</v>
      </c>
      <c r="S61" s="25">
        <v>12.88926011</v>
      </c>
      <c r="T61" s="25">
        <v>12.88926011</v>
      </c>
      <c r="U61">
        <v>5.5223699999999996</v>
      </c>
      <c r="V61">
        <v>5.5240799999999997</v>
      </c>
      <c r="W61">
        <v>25.026399999999999</v>
      </c>
      <c r="X61">
        <v>0</v>
      </c>
      <c r="AA61" s="2">
        <v>2</v>
      </c>
      <c r="AB61">
        <v>18</v>
      </c>
      <c r="AC61" s="55">
        <f t="shared" si="1"/>
        <v>757.16950240099993</v>
      </c>
      <c r="AD61" s="57">
        <v>195.03203980213701</v>
      </c>
      <c r="AE61" s="55">
        <v>763.45570050087724</v>
      </c>
      <c r="AF61" s="55">
        <v>0</v>
      </c>
      <c r="AG61" s="52"/>
      <c r="AH61" s="51">
        <v>9.2292528029042184E-2</v>
      </c>
      <c r="AI61" s="52">
        <v>9.4308025930991482E-2</v>
      </c>
      <c r="AJ61" s="52"/>
      <c r="AK61" s="28">
        <v>2</v>
      </c>
      <c r="AL61" s="28">
        <v>3</v>
      </c>
      <c r="AM61" s="28">
        <v>1.857142857142857</v>
      </c>
      <c r="AN61" s="28">
        <v>4</v>
      </c>
      <c r="AO61" s="28">
        <v>0.18421052631578949</v>
      </c>
      <c r="AP61" s="28">
        <v>0.27631578947368418</v>
      </c>
      <c r="AQ61" s="28">
        <v>0.1710526315789474</v>
      </c>
      <c r="AR61" s="28">
        <v>0.36842105263157893</v>
      </c>
      <c r="AS61" s="25">
        <v>0.95</v>
      </c>
      <c r="AT61" s="25">
        <v>3.44</v>
      </c>
      <c r="AU61" s="25">
        <v>2.4900000000000002</v>
      </c>
      <c r="AV61" s="25">
        <v>2.782142857142857</v>
      </c>
      <c r="AW61">
        <v>2.7821428571428579</v>
      </c>
      <c r="AX61">
        <v>6.2021612289285706</v>
      </c>
      <c r="AY61" s="75">
        <v>0.52524560229640982</v>
      </c>
      <c r="AZ61" s="75">
        <v>0.53671599358424449</v>
      </c>
      <c r="BA61" s="75"/>
      <c r="BC61">
        <v>4.6146264014521092E-2</v>
      </c>
      <c r="BD61">
        <v>4.7154012965495741E-2</v>
      </c>
      <c r="BF61">
        <v>9.3300276980016833E-2</v>
      </c>
      <c r="BG61">
        <v>4.6650138490008423E-2</v>
      </c>
      <c r="BH61">
        <v>0.53098079794032715</v>
      </c>
      <c r="BI61" s="79" t="s">
        <v>1264</v>
      </c>
      <c r="BJ61" s="79">
        <v>1334</v>
      </c>
      <c r="BK61" s="79">
        <v>54</v>
      </c>
      <c r="BM61" s="79" t="s">
        <v>464</v>
      </c>
      <c r="BN61" s="79" t="s">
        <v>464</v>
      </c>
      <c r="BO61" s="79">
        <v>0</v>
      </c>
      <c r="BP61" s="79">
        <v>2.36</v>
      </c>
      <c r="BQ61" s="79">
        <v>0.5</v>
      </c>
      <c r="BR61" s="79">
        <v>12.5</v>
      </c>
      <c r="BS61" s="79" t="s">
        <v>464</v>
      </c>
      <c r="BT61" s="79" t="s">
        <v>464</v>
      </c>
      <c r="BU61" s="79" t="s">
        <v>1266</v>
      </c>
      <c r="BV61" s="79">
        <v>350</v>
      </c>
      <c r="BX61" s="79" t="s">
        <v>1287</v>
      </c>
      <c r="BZ61" s="81">
        <v>11299.999999999998</v>
      </c>
      <c r="CA61">
        <f t="shared" si="2"/>
        <v>9.3325580047004326</v>
      </c>
    </row>
    <row r="62" spans="1:79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I62" s="2"/>
      <c r="J62" s="25">
        <v>1</v>
      </c>
      <c r="K62">
        <v>1</v>
      </c>
      <c r="L62">
        <v>0</v>
      </c>
      <c r="M62" s="2">
        <v>3.9539999999999997</v>
      </c>
      <c r="N62" s="2">
        <v>3.9539999999999997</v>
      </c>
      <c r="O62" s="2">
        <v>25.487000000000002</v>
      </c>
      <c r="P62" s="2" t="s">
        <v>440</v>
      </c>
      <c r="Q62" s="2"/>
      <c r="R62" s="25">
        <v>12.939761450000001</v>
      </c>
      <c r="S62" s="25">
        <v>12.939761450000001</v>
      </c>
      <c r="T62" s="25">
        <v>12.939761450000001</v>
      </c>
      <c r="U62">
        <v>3.9355000000000002</v>
      </c>
      <c r="V62">
        <v>3.9355000000000002</v>
      </c>
      <c r="W62">
        <v>25.5686</v>
      </c>
      <c r="X62">
        <v>0</v>
      </c>
      <c r="AA62" s="2">
        <v>2</v>
      </c>
      <c r="AB62">
        <v>18</v>
      </c>
      <c r="AC62" s="55">
        <f t="shared" si="1"/>
        <v>398.46671449199999</v>
      </c>
      <c r="AD62" s="57">
        <v>198.96095988642259</v>
      </c>
      <c r="AE62" s="55">
        <v>396.01057416815007</v>
      </c>
      <c r="AF62" s="55">
        <v>0</v>
      </c>
      <c r="AG62" s="52"/>
      <c r="AH62" s="51">
        <v>9.047000984653146E-2</v>
      </c>
      <c r="AI62" s="52">
        <v>4.5453331739462637E-2</v>
      </c>
      <c r="AJ62" s="52"/>
      <c r="AK62" s="28">
        <v>2</v>
      </c>
      <c r="AL62" s="28">
        <v>3</v>
      </c>
      <c r="AM62" s="28">
        <v>1.857142857142857</v>
      </c>
      <c r="AN62" s="28">
        <v>4</v>
      </c>
      <c r="AO62" s="28">
        <v>0.18421052631578949</v>
      </c>
      <c r="AP62" s="28">
        <v>0.27631578947368418</v>
      </c>
      <c r="AQ62" s="28">
        <v>0.1710526315789474</v>
      </c>
      <c r="AR62" s="28">
        <v>0.36842105263157893</v>
      </c>
      <c r="AS62" s="25">
        <v>0.89</v>
      </c>
      <c r="AT62" s="25">
        <v>3.44</v>
      </c>
      <c r="AU62" s="25">
        <v>2.5499999999999998</v>
      </c>
      <c r="AV62" s="25">
        <v>2.777857142857143</v>
      </c>
      <c r="AW62">
        <v>2.777857142857143</v>
      </c>
      <c r="AX62">
        <v>6.1882096985714297</v>
      </c>
      <c r="AY62" s="75">
        <v>0.53609483093200738</v>
      </c>
      <c r="AZ62" s="75"/>
      <c r="BA62" s="75"/>
      <c r="BC62">
        <v>4.5235004923265723E-2</v>
      </c>
      <c r="BD62">
        <v>2.2726665869731318E-2</v>
      </c>
      <c r="BF62">
        <v>6.7961670792997045E-2</v>
      </c>
      <c r="BG62">
        <v>3.3980835396498522E-2</v>
      </c>
      <c r="BH62">
        <v>0.53609483093200738</v>
      </c>
      <c r="BI62" s="79" t="s">
        <v>1264</v>
      </c>
      <c r="BJ62" s="79">
        <v>1273</v>
      </c>
      <c r="BK62" s="79">
        <v>72</v>
      </c>
      <c r="BM62" s="79" t="s">
        <v>464</v>
      </c>
      <c r="BN62" s="79" t="s">
        <v>464</v>
      </c>
      <c r="BO62" s="79">
        <v>0</v>
      </c>
      <c r="BP62" s="79">
        <v>2.1800000000000002</v>
      </c>
      <c r="BQ62" s="79">
        <v>0.5</v>
      </c>
      <c r="BR62" s="79">
        <v>12.5</v>
      </c>
      <c r="BS62" s="79" t="s">
        <v>464</v>
      </c>
      <c r="BT62" s="79" t="s">
        <v>464</v>
      </c>
      <c r="BU62" s="79" t="s">
        <v>1266</v>
      </c>
      <c r="BV62" s="79">
        <v>350</v>
      </c>
      <c r="BX62" s="79" t="s">
        <v>1287</v>
      </c>
      <c r="BZ62" s="81">
        <v>550</v>
      </c>
      <c r="CA62">
        <f t="shared" si="2"/>
        <v>6.3099182782265162</v>
      </c>
    </row>
    <row r="63" spans="1:79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I63" s="2"/>
      <c r="J63" s="25">
        <v>1</v>
      </c>
      <c r="K63">
        <v>0</v>
      </c>
      <c r="L63">
        <v>0</v>
      </c>
      <c r="M63" s="2" t="s">
        <v>464</v>
      </c>
      <c r="N63" s="2" t="s">
        <v>464</v>
      </c>
      <c r="O63" s="2" t="s">
        <v>464</v>
      </c>
      <c r="P63" s="2" t="s">
        <v>450</v>
      </c>
      <c r="Q63" s="2"/>
      <c r="R63" s="25">
        <v>13.83861243</v>
      </c>
      <c r="S63" s="25">
        <v>13.83861243</v>
      </c>
      <c r="T63" s="25">
        <v>13.83861243</v>
      </c>
      <c r="U63">
        <v>0</v>
      </c>
      <c r="X63">
        <v>0</v>
      </c>
      <c r="AA63" s="2">
        <v>2</v>
      </c>
      <c r="AB63">
        <v>18</v>
      </c>
      <c r="AC63" s="55" t="e">
        <f t="shared" si="1"/>
        <v>#VALUE!</v>
      </c>
      <c r="AD63" s="57">
        <v>208.2630581553295</v>
      </c>
      <c r="AE63" s="55">
        <v>0</v>
      </c>
      <c r="AF63" s="55">
        <v>0</v>
      </c>
      <c r="AG63" s="52"/>
      <c r="AH63" s="51">
        <v>8.6429154356194082E-2</v>
      </c>
      <c r="AI63" s="52"/>
      <c r="AJ63" s="52"/>
      <c r="AK63" s="28">
        <v>1.857142857142857</v>
      </c>
      <c r="AL63" s="28">
        <v>3</v>
      </c>
      <c r="AM63" s="28">
        <v>2</v>
      </c>
      <c r="AN63" s="28">
        <v>2</v>
      </c>
      <c r="AO63" s="28">
        <v>0.20967741935483869</v>
      </c>
      <c r="AP63" s="28">
        <v>0.33870967741935482</v>
      </c>
      <c r="AQ63" s="28">
        <v>0.22580645161290319</v>
      </c>
      <c r="AR63" s="28">
        <v>0.22580645161290319</v>
      </c>
      <c r="AS63" s="25">
        <v>1</v>
      </c>
      <c r="AT63" s="25">
        <v>3.44</v>
      </c>
      <c r="AU63" s="25">
        <v>2.44</v>
      </c>
      <c r="AV63" s="25">
        <v>2.8</v>
      </c>
      <c r="AW63">
        <v>2.8</v>
      </c>
      <c r="AX63">
        <v>6.2020864082142868</v>
      </c>
      <c r="AY63" s="75">
        <v>0.47541563854575991</v>
      </c>
      <c r="AZ63" s="75"/>
      <c r="BA63" s="75"/>
      <c r="BC63">
        <v>4.3214577178097048E-2</v>
      </c>
      <c r="BF63">
        <v>8.6429154356194082E-2</v>
      </c>
      <c r="BG63">
        <v>4.3214577178097048E-2</v>
      </c>
      <c r="BH63">
        <v>0.47541563854575991</v>
      </c>
      <c r="BI63" s="79" t="s">
        <v>1264</v>
      </c>
      <c r="BJ63" s="79">
        <v>1334</v>
      </c>
      <c r="BK63" s="79">
        <v>54</v>
      </c>
      <c r="BM63" s="79" t="s">
        <v>464</v>
      </c>
      <c r="BN63" s="79" t="s">
        <v>464</v>
      </c>
      <c r="BO63" s="79">
        <v>0</v>
      </c>
      <c r="BQ63" s="79">
        <v>0.5</v>
      </c>
      <c r="BR63" s="79">
        <v>12.5</v>
      </c>
      <c r="BS63" s="79" t="s">
        <v>464</v>
      </c>
      <c r="BT63" s="79" t="s">
        <v>464</v>
      </c>
      <c r="BU63" s="79" t="s">
        <v>1266</v>
      </c>
      <c r="BV63" s="79">
        <v>350</v>
      </c>
      <c r="BX63" s="79" t="s">
        <v>1287</v>
      </c>
      <c r="BZ63" s="81">
        <v>580</v>
      </c>
      <c r="CA63">
        <f t="shared" si="2"/>
        <v>6.363028103540465</v>
      </c>
    </row>
    <row r="64" spans="1:79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I64" s="2"/>
      <c r="J64" s="25">
        <v>2</v>
      </c>
      <c r="K64">
        <v>4</v>
      </c>
      <c r="L64">
        <v>0</v>
      </c>
      <c r="M64" s="2" t="s">
        <v>464</v>
      </c>
      <c r="N64" s="2" t="s">
        <v>464</v>
      </c>
      <c r="O64" s="2" t="s">
        <v>464</v>
      </c>
      <c r="P64" s="2" t="s">
        <v>450</v>
      </c>
      <c r="Q64" s="2"/>
      <c r="R64" s="25">
        <v>13.01244535</v>
      </c>
      <c r="S64" s="25">
        <v>13.01244535</v>
      </c>
      <c r="T64" s="25">
        <v>5.6884839999999999</v>
      </c>
      <c r="U64">
        <v>5.5060000000000002</v>
      </c>
      <c r="V64">
        <v>5.5060000000000002</v>
      </c>
      <c r="W64">
        <v>25</v>
      </c>
      <c r="X64">
        <v>0</v>
      </c>
      <c r="AA64" s="2">
        <v>2</v>
      </c>
      <c r="AB64">
        <v>18</v>
      </c>
      <c r="AC64" s="55" t="e">
        <f t="shared" si="1"/>
        <v>#VALUE!</v>
      </c>
      <c r="AD64" s="57">
        <v>408.08048566890238</v>
      </c>
      <c r="AE64" s="55">
        <v>757.90090000000009</v>
      </c>
      <c r="AF64" s="55">
        <v>0</v>
      </c>
      <c r="AG64" s="52"/>
      <c r="AH64" s="51">
        <v>8.8217891480379992E-2</v>
      </c>
      <c r="AI64" s="52">
        <v>9.4999227471559922E-2</v>
      </c>
      <c r="AJ64" s="52"/>
      <c r="AK64" s="28">
        <v>1.857142857142857</v>
      </c>
      <c r="AL64" s="28">
        <v>3</v>
      </c>
      <c r="AM64" s="28">
        <v>2</v>
      </c>
      <c r="AN64" s="28">
        <v>2</v>
      </c>
      <c r="AO64" s="28">
        <v>0.20967741935483869</v>
      </c>
      <c r="AP64" s="28">
        <v>0.33870967741935482</v>
      </c>
      <c r="AQ64" s="28">
        <v>0.22580645161290319</v>
      </c>
      <c r="AR64" s="28">
        <v>0.22580645161290319</v>
      </c>
      <c r="AS64" s="25">
        <v>0.95</v>
      </c>
      <c r="AT64" s="25">
        <v>3.44</v>
      </c>
      <c r="AU64" s="25">
        <v>2.4900000000000002</v>
      </c>
      <c r="AV64" s="25">
        <v>2.7964285714285722</v>
      </c>
      <c r="AW64">
        <v>2.7964285714285722</v>
      </c>
      <c r="AX64">
        <v>6.1881302289285713</v>
      </c>
      <c r="AY64" s="75">
        <v>0.50205645606923555</v>
      </c>
      <c r="AZ64" s="75">
        <v>0.54064968764634491</v>
      </c>
      <c r="BA64" s="75"/>
      <c r="BC64">
        <v>4.4108945740190003E-2</v>
      </c>
      <c r="BD64">
        <v>4.7499613735779961E-2</v>
      </c>
      <c r="BF64">
        <v>9.1608559475969964E-2</v>
      </c>
      <c r="BG64">
        <v>4.5804279737984982E-2</v>
      </c>
      <c r="BH64">
        <v>0.52135307185779023</v>
      </c>
      <c r="BI64" s="79" t="s">
        <v>1264</v>
      </c>
      <c r="BJ64" s="79">
        <v>1334</v>
      </c>
      <c r="BK64" s="79">
        <v>54</v>
      </c>
      <c r="BM64" s="79" t="s">
        <v>464</v>
      </c>
      <c r="BN64" s="79" t="s">
        <v>464</v>
      </c>
      <c r="BO64" s="79">
        <v>0</v>
      </c>
      <c r="BQ64" s="79">
        <v>0.5</v>
      </c>
      <c r="BR64" s="79">
        <v>12.5</v>
      </c>
      <c r="BS64" s="79" t="s">
        <v>464</v>
      </c>
      <c r="BT64" s="79" t="s">
        <v>464</v>
      </c>
      <c r="BU64" s="79" t="s">
        <v>1266</v>
      </c>
      <c r="BV64" s="79">
        <v>350</v>
      </c>
      <c r="BX64" s="79" t="s">
        <v>1287</v>
      </c>
      <c r="BZ64" s="81">
        <v>3660</v>
      </c>
      <c r="CA64">
        <f t="shared" si="2"/>
        <v>8.2052184263954118</v>
      </c>
    </row>
    <row r="65" spans="1:79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I65" s="2"/>
      <c r="J65" s="25">
        <v>2</v>
      </c>
      <c r="K65">
        <v>2</v>
      </c>
      <c r="L65">
        <v>0</v>
      </c>
      <c r="M65" s="2" t="s">
        <v>464</v>
      </c>
      <c r="N65" s="2" t="s">
        <v>464</v>
      </c>
      <c r="O65" s="2" t="s">
        <v>464</v>
      </c>
      <c r="P65" s="2" t="s">
        <v>440</v>
      </c>
      <c r="Q65" s="2"/>
      <c r="R65" s="25">
        <v>13.052871550000001</v>
      </c>
      <c r="S65" s="25">
        <v>13.052871550000001</v>
      </c>
      <c r="T65" s="25">
        <v>5.7602650000000004</v>
      </c>
      <c r="U65">
        <v>3.9390000000000001</v>
      </c>
      <c r="V65">
        <v>3.9390000000000001</v>
      </c>
      <c r="W65">
        <v>25.636399999999998</v>
      </c>
      <c r="X65">
        <v>0</v>
      </c>
      <c r="AA65" s="2">
        <v>2</v>
      </c>
      <c r="AB65">
        <v>18</v>
      </c>
      <c r="AC65" s="55" t="e">
        <f t="shared" si="1"/>
        <v>#VALUE!</v>
      </c>
      <c r="AD65" s="57">
        <v>419.87909289623292</v>
      </c>
      <c r="AE65" s="55">
        <v>397.76722984439999</v>
      </c>
      <c r="AF65" s="55">
        <v>0</v>
      </c>
      <c r="AG65" s="52"/>
      <c r="AH65" s="51">
        <v>8.5738967738736363E-2</v>
      </c>
      <c r="AI65" s="52">
        <v>9.0505193235960166E-2</v>
      </c>
      <c r="AJ65" s="52"/>
      <c r="AK65" s="28">
        <v>1.857142857142857</v>
      </c>
      <c r="AL65" s="28">
        <v>3</v>
      </c>
      <c r="AM65" s="28">
        <v>2</v>
      </c>
      <c r="AN65" s="28">
        <v>2</v>
      </c>
      <c r="AO65" s="28">
        <v>0.20967741935483869</v>
      </c>
      <c r="AP65" s="28">
        <v>0.33870967741935482</v>
      </c>
      <c r="AQ65" s="28">
        <v>0.22580645161290319</v>
      </c>
      <c r="AR65" s="28">
        <v>0.22580645161290319</v>
      </c>
      <c r="AS65" s="25">
        <v>0.89</v>
      </c>
      <c r="AT65" s="25">
        <v>3.44</v>
      </c>
      <c r="AU65" s="25">
        <v>2.5499999999999998</v>
      </c>
      <c r="AV65" s="25">
        <v>2.7921428571428568</v>
      </c>
      <c r="AW65">
        <v>2.7921428571428568</v>
      </c>
      <c r="AX65">
        <v>6.1741786985714304</v>
      </c>
      <c r="AY65" s="75">
        <v>0.50806026761966716</v>
      </c>
      <c r="AZ65" s="75">
        <v>0</v>
      </c>
      <c r="BA65" s="75"/>
      <c r="BC65">
        <v>4.2869483869368182E-2</v>
      </c>
      <c r="BD65">
        <v>4.5252596617980083E-2</v>
      </c>
      <c r="BF65">
        <v>8.8122080487348264E-2</v>
      </c>
      <c r="BG65">
        <v>4.4061040243674132E-2</v>
      </c>
      <c r="BH65">
        <v>0.25403013380983358</v>
      </c>
      <c r="BI65" s="79" t="s">
        <v>1264</v>
      </c>
      <c r="BJ65" s="79">
        <v>1334</v>
      </c>
      <c r="BK65" s="79">
        <v>54</v>
      </c>
      <c r="BM65" s="79" t="s">
        <v>464</v>
      </c>
      <c r="BN65" s="79" t="s">
        <v>464</v>
      </c>
      <c r="BO65" s="79">
        <v>0</v>
      </c>
      <c r="BQ65" s="79">
        <v>0.5</v>
      </c>
      <c r="BR65" s="79">
        <v>12.5</v>
      </c>
      <c r="BS65" s="79" t="s">
        <v>464</v>
      </c>
      <c r="BT65" s="79" t="s">
        <v>464</v>
      </c>
      <c r="BU65" s="79" t="s">
        <v>1266</v>
      </c>
      <c r="BV65" s="79">
        <v>350</v>
      </c>
      <c r="BX65" s="79" t="s">
        <v>1287</v>
      </c>
      <c r="BZ65" s="81">
        <v>1130</v>
      </c>
      <c r="CA65">
        <f t="shared" si="2"/>
        <v>7.0299729117063858</v>
      </c>
    </row>
    <row r="66" spans="1:79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s="2"/>
      <c r="J66" s="25">
        <v>0</v>
      </c>
      <c r="K66">
        <v>4</v>
      </c>
      <c r="L66">
        <v>0</v>
      </c>
      <c r="M66" s="2"/>
      <c r="N66" s="2"/>
      <c r="O66" s="2"/>
      <c r="P66" s="2"/>
      <c r="Q66" s="2"/>
      <c r="R66" s="25">
        <v>0</v>
      </c>
      <c r="S66" s="25"/>
      <c r="T66" s="25"/>
      <c r="U66">
        <v>5.5453000000000001</v>
      </c>
      <c r="V66">
        <v>5.5453000000000001</v>
      </c>
      <c r="W66">
        <v>25.686699999999998</v>
      </c>
      <c r="X66">
        <v>0</v>
      </c>
      <c r="AA66" s="2" t="s">
        <v>464</v>
      </c>
      <c r="AB66">
        <v>18</v>
      </c>
      <c r="AC66" s="55">
        <f t="shared" si="1"/>
        <v>0</v>
      </c>
      <c r="AD66" s="57">
        <v>0</v>
      </c>
      <c r="AE66" s="55">
        <v>789.87506903020289</v>
      </c>
      <c r="AF66" s="55">
        <v>0</v>
      </c>
      <c r="AG66" s="52"/>
      <c r="AH66" s="51"/>
      <c r="AI66" s="52">
        <v>9.1153655588092616E-2</v>
      </c>
      <c r="AJ66" s="52"/>
      <c r="AK66" s="28">
        <v>1.871428571428571</v>
      </c>
      <c r="AL66" s="28">
        <v>3.1428571428571428</v>
      </c>
      <c r="AM66" s="28">
        <v>2.714285714285714</v>
      </c>
      <c r="AN66" s="28">
        <v>3.2</v>
      </c>
      <c r="AO66" s="28">
        <v>0.17124183006535951</v>
      </c>
      <c r="AP66" s="28">
        <v>0.28758169934640521</v>
      </c>
      <c r="AQ66" s="28">
        <v>0.2483660130718954</v>
      </c>
      <c r="AR66" s="28">
        <v>0.29281045751633977</v>
      </c>
      <c r="AS66" s="25">
        <v>1.6</v>
      </c>
      <c r="AT66" s="25">
        <v>3.44</v>
      </c>
      <c r="AU66" s="25">
        <v>1.84</v>
      </c>
      <c r="AV66" s="25">
        <v>2.9058571428571431</v>
      </c>
      <c r="AW66">
        <v>2.9058571428571431</v>
      </c>
      <c r="AX66">
        <v>6.2676757950000006</v>
      </c>
      <c r="AY66" s="75">
        <v>0.51995616258071919</v>
      </c>
      <c r="AZ66" s="75">
        <v>0.51988140722208986</v>
      </c>
      <c r="BA66" s="75"/>
      <c r="BD66">
        <v>4.5576827794046308E-2</v>
      </c>
      <c r="BF66">
        <v>9.1153655588092616E-2</v>
      </c>
      <c r="BG66">
        <v>4.5576827794046308E-2</v>
      </c>
      <c r="BH66">
        <v>0.51991878490140453</v>
      </c>
      <c r="BI66" s="79" t="s">
        <v>1264</v>
      </c>
      <c r="BJ66" s="79">
        <v>1323</v>
      </c>
      <c r="BK66" s="79">
        <v>24</v>
      </c>
      <c r="BM66" s="79" t="s">
        <v>1268</v>
      </c>
      <c r="BN66" s="79" t="s">
        <v>863</v>
      </c>
      <c r="BO66" s="79">
        <v>0.1</v>
      </c>
      <c r="BQ66" s="79">
        <v>1.5</v>
      </c>
      <c r="BR66" s="79">
        <v>15</v>
      </c>
      <c r="BS66" s="79" t="s">
        <v>464</v>
      </c>
      <c r="BT66" s="79" t="s">
        <v>464</v>
      </c>
      <c r="BU66" s="79" t="s">
        <v>1271</v>
      </c>
      <c r="BV66" s="79">
        <v>450</v>
      </c>
      <c r="BW66" s="79">
        <v>420</v>
      </c>
      <c r="BZ66" s="81">
        <v>11.7</v>
      </c>
      <c r="CA66">
        <f t="shared" si="2"/>
        <v>2.4595888418037104</v>
      </c>
    </row>
    <row r="67" spans="1:79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s="2"/>
      <c r="J67" s="25">
        <v>0</v>
      </c>
      <c r="K67">
        <v>4</v>
      </c>
      <c r="L67">
        <v>0</v>
      </c>
      <c r="M67" s="2"/>
      <c r="N67" s="2"/>
      <c r="O67" s="2"/>
      <c r="P67" s="2"/>
      <c r="Q67" s="2"/>
      <c r="R67" s="25">
        <v>0</v>
      </c>
      <c r="S67" s="25"/>
      <c r="T67" s="25"/>
      <c r="U67">
        <v>5.5453000000000001</v>
      </c>
      <c r="V67">
        <v>5.5453000000000001</v>
      </c>
      <c r="W67">
        <v>25.686699999999998</v>
      </c>
      <c r="X67">
        <v>0</v>
      </c>
      <c r="AA67" s="2" t="s">
        <v>464</v>
      </c>
      <c r="AB67">
        <v>18</v>
      </c>
      <c r="AC67" s="55">
        <f t="shared" si="1"/>
        <v>0</v>
      </c>
      <c r="AD67" s="57">
        <v>0</v>
      </c>
      <c r="AE67" s="55">
        <v>789.87506903020289</v>
      </c>
      <c r="AF67" s="55">
        <v>0</v>
      </c>
      <c r="AG67" s="52"/>
      <c r="AH67" s="51"/>
      <c r="AI67" s="52">
        <v>9.1153655588092616E-2</v>
      </c>
      <c r="AJ67" s="52"/>
      <c r="AK67" s="28">
        <v>1.8678571428571431</v>
      </c>
      <c r="AL67" s="28">
        <v>3.1428571428571428</v>
      </c>
      <c r="AM67" s="28">
        <v>2.714285714285714</v>
      </c>
      <c r="AN67" s="28">
        <v>3.15</v>
      </c>
      <c r="AO67" s="28">
        <v>0.1717569786535304</v>
      </c>
      <c r="AP67" s="28">
        <v>0.28899835796387519</v>
      </c>
      <c r="AQ67" s="28">
        <v>0.24958949096880129</v>
      </c>
      <c r="AR67" s="28">
        <v>0.28965517241379313</v>
      </c>
      <c r="AS67" s="25">
        <v>1.6</v>
      </c>
      <c r="AT67" s="25">
        <v>3.44</v>
      </c>
      <c r="AU67" s="25">
        <v>1.84</v>
      </c>
      <c r="AV67" s="25">
        <v>2.903142857142857</v>
      </c>
      <c r="AW67">
        <v>2.903142857142857</v>
      </c>
      <c r="AX67">
        <v>6.2658828646428582</v>
      </c>
      <c r="AY67" s="75">
        <v>0.51995616258071919</v>
      </c>
      <c r="AZ67" s="75">
        <v>0.51988140722208986</v>
      </c>
      <c r="BA67" s="75"/>
      <c r="BD67">
        <v>4.5576827794046308E-2</v>
      </c>
      <c r="BF67">
        <v>9.1153655588092616E-2</v>
      </c>
      <c r="BG67">
        <v>4.5576827794046308E-2</v>
      </c>
      <c r="BH67">
        <v>0.51991878490140453</v>
      </c>
      <c r="BI67" s="79" t="s">
        <v>1264</v>
      </c>
      <c r="BJ67" s="79">
        <v>1323</v>
      </c>
      <c r="BK67" s="79">
        <v>24</v>
      </c>
      <c r="BM67" s="79" t="s">
        <v>1268</v>
      </c>
      <c r="BN67" s="79" t="s">
        <v>863</v>
      </c>
      <c r="BO67" s="79">
        <v>0.1</v>
      </c>
      <c r="BQ67" s="79">
        <v>1.5</v>
      </c>
      <c r="BR67" s="79">
        <v>15</v>
      </c>
      <c r="BS67" s="79" t="s">
        <v>464</v>
      </c>
      <c r="BT67" s="79" t="s">
        <v>464</v>
      </c>
      <c r="BU67" s="79" t="s">
        <v>1271</v>
      </c>
      <c r="BV67" s="79">
        <v>450</v>
      </c>
      <c r="BW67" s="79">
        <v>420</v>
      </c>
      <c r="BZ67" s="81">
        <v>15.3</v>
      </c>
      <c r="CA67">
        <f t="shared" ref="CA67:CA130" si="9">LN(BZ67)</f>
        <v>2.7278528283983898</v>
      </c>
    </row>
    <row r="68" spans="1:79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s="2"/>
      <c r="J68" s="25">
        <v>0</v>
      </c>
      <c r="K68">
        <v>4</v>
      </c>
      <c r="L68">
        <v>0</v>
      </c>
      <c r="M68" s="2"/>
      <c r="N68" s="2"/>
      <c r="O68" s="2"/>
      <c r="P68" s="2"/>
      <c r="Q68" s="2"/>
      <c r="R68" s="25">
        <v>0</v>
      </c>
      <c r="S68" s="25"/>
      <c r="T68" s="25"/>
      <c r="U68">
        <v>5.5453000000000001</v>
      </c>
      <c r="V68">
        <v>5.5453000000000001</v>
      </c>
      <c r="W68">
        <v>25.686699999999998</v>
      </c>
      <c r="X68">
        <v>0</v>
      </c>
      <c r="AA68" s="2" t="s">
        <v>464</v>
      </c>
      <c r="AB68">
        <v>18</v>
      </c>
      <c r="AC68" s="55">
        <f t="shared" si="1"/>
        <v>0</v>
      </c>
      <c r="AD68" s="57">
        <v>0</v>
      </c>
      <c r="AE68" s="55">
        <v>789.87506903020289</v>
      </c>
      <c r="AF68" s="55">
        <v>0</v>
      </c>
      <c r="AG68" s="52"/>
      <c r="AH68" s="51"/>
      <c r="AI68" s="52">
        <v>9.1153655588092616E-2</v>
      </c>
      <c r="AJ68" s="52"/>
      <c r="AK68" s="28">
        <v>1.8642857142857141</v>
      </c>
      <c r="AL68" s="28">
        <v>3.1428571428571428</v>
      </c>
      <c r="AM68" s="28">
        <v>2.714285714285714</v>
      </c>
      <c r="AN68" s="28">
        <v>3.1</v>
      </c>
      <c r="AO68" s="28">
        <v>0.17227722772277229</v>
      </c>
      <c r="AP68" s="28">
        <v>0.29042904290429039</v>
      </c>
      <c r="AQ68" s="28">
        <v>0.25082508250825092</v>
      </c>
      <c r="AR68" s="28">
        <v>0.28646864686468648</v>
      </c>
      <c r="AS68" s="25">
        <v>1.6</v>
      </c>
      <c r="AT68" s="25">
        <v>3.44</v>
      </c>
      <c r="AU68" s="25">
        <v>1.84</v>
      </c>
      <c r="AV68" s="25">
        <v>2.9004285714285709</v>
      </c>
      <c r="AW68">
        <v>2.9004285714285718</v>
      </c>
      <c r="AX68">
        <v>6.2640899342857157</v>
      </c>
      <c r="AY68" s="75">
        <v>0.51995616258071919</v>
      </c>
      <c r="AZ68" s="75">
        <v>0.51988140722208986</v>
      </c>
      <c r="BA68" s="75"/>
      <c r="BD68">
        <v>4.5576827794046308E-2</v>
      </c>
      <c r="BF68">
        <v>9.1153655588092616E-2</v>
      </c>
      <c r="BG68">
        <v>4.5576827794046308E-2</v>
      </c>
      <c r="BH68">
        <v>0.51991878490140453</v>
      </c>
      <c r="BI68" s="79" t="s">
        <v>1264</v>
      </c>
      <c r="BJ68" s="79">
        <v>1323</v>
      </c>
      <c r="BK68" s="79">
        <v>24</v>
      </c>
      <c r="BM68" s="79" t="s">
        <v>1268</v>
      </c>
      <c r="BN68" s="79" t="s">
        <v>863</v>
      </c>
      <c r="BO68" s="79">
        <v>0.1</v>
      </c>
      <c r="BQ68" s="79">
        <v>1.5</v>
      </c>
      <c r="BR68" s="79">
        <v>15</v>
      </c>
      <c r="BS68" s="79" t="s">
        <v>464</v>
      </c>
      <c r="BT68" s="79" t="s">
        <v>464</v>
      </c>
      <c r="BU68" s="79" t="s">
        <v>1271</v>
      </c>
      <c r="BV68" s="79">
        <v>450</v>
      </c>
      <c r="BW68" s="79">
        <v>420</v>
      </c>
      <c r="BZ68" s="81">
        <v>9.1</v>
      </c>
      <c r="CA68">
        <f t="shared" si="9"/>
        <v>2.2082744135228043</v>
      </c>
    </row>
    <row r="69" spans="1:79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I69" s="2"/>
      <c r="J69" s="25">
        <v>1</v>
      </c>
      <c r="K69">
        <v>4</v>
      </c>
      <c r="L69">
        <v>0</v>
      </c>
      <c r="M69" s="2">
        <v>5.4960000000000004</v>
      </c>
      <c r="N69" s="2">
        <v>5.4960000000000004</v>
      </c>
      <c r="O69" s="2">
        <v>25.55</v>
      </c>
      <c r="P69" s="2" t="s">
        <v>450</v>
      </c>
      <c r="Q69" s="2"/>
      <c r="R69" s="25">
        <v>12.868820120000001</v>
      </c>
      <c r="S69" s="25">
        <v>12.868820120000001</v>
      </c>
      <c r="T69" s="25">
        <v>12.868820120000001</v>
      </c>
      <c r="U69">
        <v>5.5453000000000001</v>
      </c>
      <c r="V69">
        <v>5.5453000000000001</v>
      </c>
      <c r="W69">
        <v>25.686699999999998</v>
      </c>
      <c r="X69">
        <v>0</v>
      </c>
      <c r="AA69" s="2">
        <v>4</v>
      </c>
      <c r="AB69">
        <v>18</v>
      </c>
      <c r="AC69" s="55">
        <f t="shared" si="1"/>
        <v>771.76370880000013</v>
      </c>
      <c r="AD69" s="57">
        <v>197.4403766939285</v>
      </c>
      <c r="AE69" s="55">
        <v>789.87506903020289</v>
      </c>
      <c r="AF69" s="55">
        <v>0</v>
      </c>
      <c r="AG69" s="52"/>
      <c r="AH69" s="51">
        <v>9.1166762854710051E-2</v>
      </c>
      <c r="AI69" s="52">
        <v>9.1153655588092616E-2</v>
      </c>
      <c r="AJ69" s="52"/>
      <c r="AK69" s="28">
        <v>1.857142857142857</v>
      </c>
      <c r="AL69" s="28">
        <v>3.1428571428571428</v>
      </c>
      <c r="AM69" s="28">
        <v>2.714285714285714</v>
      </c>
      <c r="AN69" s="28">
        <v>3</v>
      </c>
      <c r="AO69" s="28">
        <v>0.17333333333333331</v>
      </c>
      <c r="AP69" s="28">
        <v>0.29333333333333328</v>
      </c>
      <c r="AQ69" s="28">
        <v>0.25333333333333341</v>
      </c>
      <c r="AR69" s="28">
        <v>0.28000000000000003</v>
      </c>
      <c r="AS69" s="25">
        <v>1.6</v>
      </c>
      <c r="AT69" s="25">
        <v>3.44</v>
      </c>
      <c r="AU69" s="25">
        <v>1.84</v>
      </c>
      <c r="AV69" s="25">
        <v>2.895</v>
      </c>
      <c r="AW69">
        <v>2.895</v>
      </c>
      <c r="AX69">
        <v>6.260504073571429</v>
      </c>
      <c r="AY69" s="75">
        <v>0.51995616258071919</v>
      </c>
      <c r="AZ69" s="75">
        <v>0.51988140722208986</v>
      </c>
      <c r="BA69" s="75"/>
      <c r="BC69">
        <v>4.5583381427355033E-2</v>
      </c>
      <c r="BD69">
        <v>4.5576827794046308E-2</v>
      </c>
      <c r="BF69">
        <v>9.1160209221401334E-2</v>
      </c>
      <c r="BG69">
        <v>4.5580104610700667E-2</v>
      </c>
      <c r="BH69">
        <v>0.51991878490140453</v>
      </c>
      <c r="BI69" s="79" t="s">
        <v>1264</v>
      </c>
      <c r="BJ69" s="79">
        <v>1323</v>
      </c>
      <c r="BK69" s="79">
        <v>24</v>
      </c>
      <c r="BM69" s="79" t="s">
        <v>1268</v>
      </c>
      <c r="BN69" s="79" t="s">
        <v>863</v>
      </c>
      <c r="BO69" s="79">
        <v>0.1</v>
      </c>
      <c r="BQ69" s="79">
        <v>1.5</v>
      </c>
      <c r="BR69" s="79">
        <v>15</v>
      </c>
      <c r="BS69" s="79" t="s">
        <v>464</v>
      </c>
      <c r="BT69" s="79" t="s">
        <v>464</v>
      </c>
      <c r="BU69" s="79" t="s">
        <v>1271</v>
      </c>
      <c r="BV69" s="79">
        <v>450</v>
      </c>
      <c r="BW69" s="79">
        <v>420</v>
      </c>
      <c r="BZ69" s="81">
        <v>7.6</v>
      </c>
      <c r="CA69">
        <f t="shared" si="9"/>
        <v>2.0281482472922852</v>
      </c>
    </row>
    <row r="70" spans="1:79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s="2"/>
      <c r="J70" s="25">
        <v>0</v>
      </c>
      <c r="K70">
        <v>4</v>
      </c>
      <c r="L70">
        <v>0</v>
      </c>
      <c r="M70" s="2"/>
      <c r="N70" s="2"/>
      <c r="O70" s="2"/>
      <c r="P70" s="2"/>
      <c r="Q70" s="2"/>
      <c r="R70" s="25">
        <v>0</v>
      </c>
      <c r="S70" s="25"/>
      <c r="T70" s="25"/>
      <c r="U70">
        <v>5.5453000000000001</v>
      </c>
      <c r="V70">
        <v>5.5453000000000001</v>
      </c>
      <c r="W70">
        <v>25.686699999999998</v>
      </c>
      <c r="X70">
        <v>0</v>
      </c>
      <c r="AA70" s="2" t="s">
        <v>464</v>
      </c>
      <c r="AB70">
        <v>18</v>
      </c>
      <c r="AC70" s="55">
        <f t="shared" si="1"/>
        <v>0</v>
      </c>
      <c r="AD70" s="57">
        <v>0</v>
      </c>
      <c r="AE70" s="55">
        <v>789.87506903020289</v>
      </c>
      <c r="AF70" s="55">
        <v>0</v>
      </c>
      <c r="AG70" s="52"/>
      <c r="AH70" s="51"/>
      <c r="AI70" s="52">
        <v>9.1153655588092616E-2</v>
      </c>
      <c r="AJ70" s="52"/>
      <c r="AK70" s="28">
        <v>1.8642857142857141</v>
      </c>
      <c r="AL70" s="28">
        <v>3.1428571428571428</v>
      </c>
      <c r="AM70" s="28">
        <v>2.7</v>
      </c>
      <c r="AN70" s="28">
        <v>3</v>
      </c>
      <c r="AO70" s="28">
        <v>0.1741160773849233</v>
      </c>
      <c r="AP70" s="28">
        <v>0.29352901934623082</v>
      </c>
      <c r="AQ70" s="28">
        <v>0.25216811207471651</v>
      </c>
      <c r="AR70" s="28">
        <v>0.28018679119412943</v>
      </c>
      <c r="AS70" s="25">
        <v>1.54</v>
      </c>
      <c r="AT70" s="25">
        <v>3.44</v>
      </c>
      <c r="AU70" s="25">
        <v>1.9</v>
      </c>
      <c r="AV70" s="25">
        <v>2.894571428571429</v>
      </c>
      <c r="AW70">
        <v>2.894571428571429</v>
      </c>
      <c r="AX70">
        <v>6.2577448164285716</v>
      </c>
      <c r="AY70" s="75">
        <v>0.51995616258071919</v>
      </c>
      <c r="AZ70" s="75">
        <v>0.51988140722208986</v>
      </c>
      <c r="BA70" s="75"/>
      <c r="BD70">
        <v>4.5576827794046308E-2</v>
      </c>
      <c r="BF70">
        <v>9.1153655588092616E-2</v>
      </c>
      <c r="BG70">
        <v>4.5576827794046308E-2</v>
      </c>
      <c r="BH70">
        <v>0.51991878490140453</v>
      </c>
      <c r="BI70" s="79" t="s">
        <v>1264</v>
      </c>
      <c r="BJ70" s="79">
        <v>1323</v>
      </c>
      <c r="BK70" s="79">
        <v>24</v>
      </c>
      <c r="BM70" s="79" t="s">
        <v>1268</v>
      </c>
      <c r="BN70" s="79" t="s">
        <v>863</v>
      </c>
      <c r="BO70" s="79">
        <v>0.1</v>
      </c>
      <c r="BQ70" s="79">
        <v>1.5</v>
      </c>
      <c r="BR70" s="79">
        <v>15</v>
      </c>
      <c r="BS70" s="79" t="s">
        <v>464</v>
      </c>
      <c r="BT70" s="79" t="s">
        <v>464</v>
      </c>
      <c r="BU70" s="79" t="s">
        <v>1271</v>
      </c>
      <c r="BV70" s="79">
        <v>450</v>
      </c>
      <c r="BW70" s="79">
        <v>420</v>
      </c>
      <c r="BZ70" s="81">
        <v>2.8</v>
      </c>
      <c r="CA70">
        <f t="shared" si="9"/>
        <v>1.0296194171811581</v>
      </c>
    </row>
    <row r="71" spans="1:79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I71" s="2"/>
      <c r="J71" s="25">
        <v>1</v>
      </c>
      <c r="K71">
        <v>0</v>
      </c>
      <c r="L71">
        <v>0</v>
      </c>
      <c r="M71" s="2">
        <v>3.8849999999999998</v>
      </c>
      <c r="N71" s="2">
        <v>3.8849999999999998</v>
      </c>
      <c r="O71" s="2">
        <v>11.12</v>
      </c>
      <c r="P71" s="2" t="s">
        <v>439</v>
      </c>
      <c r="Q71" s="2"/>
      <c r="R71" s="25">
        <v>3.9103940000000001</v>
      </c>
      <c r="S71" s="25">
        <v>3.9103940000000001</v>
      </c>
      <c r="T71" s="25">
        <v>11.314458</v>
      </c>
      <c r="U71">
        <v>0</v>
      </c>
      <c r="X71">
        <v>0</v>
      </c>
      <c r="AA71" s="2">
        <v>2</v>
      </c>
      <c r="AB71">
        <v>14</v>
      </c>
      <c r="AC71" s="55">
        <f t="shared" si="1"/>
        <v>167.83666199999996</v>
      </c>
      <c r="AD71" s="57">
        <v>173.0114278564659</v>
      </c>
      <c r="AE71" s="55">
        <v>0</v>
      </c>
      <c r="AF71" s="55">
        <v>0</v>
      </c>
      <c r="AG71" s="52"/>
      <c r="AH71" s="51">
        <v>8.0919510193365449E-2</v>
      </c>
      <c r="AI71" s="52"/>
      <c r="AJ71" s="52"/>
      <c r="AK71" s="28">
        <v>1.9090909090909089</v>
      </c>
      <c r="AL71" s="28">
        <v>2.545454545454545</v>
      </c>
      <c r="AM71" s="28">
        <v>0.63636363636363635</v>
      </c>
      <c r="AN71" s="28">
        <v>2.545454545454545</v>
      </c>
      <c r="AO71" s="28">
        <v>0.25</v>
      </c>
      <c r="AP71" s="28">
        <v>0.33333333333333331</v>
      </c>
      <c r="AQ71" s="28">
        <v>8.3333333333333329E-2</v>
      </c>
      <c r="AR71" s="28">
        <v>0.33333333333333331</v>
      </c>
      <c r="AS71" s="25">
        <v>0.82</v>
      </c>
      <c r="AT71" s="25">
        <v>3.44</v>
      </c>
      <c r="AU71" s="25">
        <v>2.62</v>
      </c>
      <c r="AV71" s="25">
        <v>2.6363636363636358</v>
      </c>
      <c r="AW71">
        <v>2.6363636363636371</v>
      </c>
      <c r="AX71">
        <v>6.0044088459090901</v>
      </c>
      <c r="AY71" s="75">
        <v>0.5117218936152963</v>
      </c>
      <c r="AZ71" s="75"/>
      <c r="BA71" s="75"/>
      <c r="BC71">
        <v>4.0459755096682717E-2</v>
      </c>
      <c r="BF71">
        <v>8.0919510193365449E-2</v>
      </c>
      <c r="BG71">
        <v>4.0459755096682717E-2</v>
      </c>
      <c r="BH71">
        <v>0.5117218936152963</v>
      </c>
      <c r="BI71" s="79" t="s">
        <v>1264</v>
      </c>
      <c r="BJ71" s="79">
        <v>1373</v>
      </c>
      <c r="BK71" s="79">
        <v>10</v>
      </c>
      <c r="BM71" s="79" t="s">
        <v>464</v>
      </c>
      <c r="BN71" s="79" t="s">
        <v>464</v>
      </c>
      <c r="BO71" s="79">
        <v>0</v>
      </c>
      <c r="BP71" s="79" t="s">
        <v>464</v>
      </c>
      <c r="BQ71" s="79">
        <v>1</v>
      </c>
      <c r="BS71" s="79" t="s">
        <v>464</v>
      </c>
      <c r="BT71" s="79" t="s">
        <v>464</v>
      </c>
      <c r="BU71" s="79" t="s">
        <v>1266</v>
      </c>
      <c r="BV71" s="79">
        <v>400</v>
      </c>
      <c r="BX71" s="79" t="s">
        <v>1287</v>
      </c>
      <c r="BZ71" s="81">
        <v>6</v>
      </c>
      <c r="CA71">
        <f t="shared" si="9"/>
        <v>1.791759469228055</v>
      </c>
    </row>
    <row r="72" spans="1:79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2"/>
      <c r="J72" s="25">
        <v>0</v>
      </c>
      <c r="K72">
        <v>0</v>
      </c>
      <c r="L72">
        <v>1</v>
      </c>
      <c r="M72" s="2">
        <v>3.8839999999999999</v>
      </c>
      <c r="N72" s="2">
        <v>3.8839999999999999</v>
      </c>
      <c r="O72" s="2">
        <v>11.12</v>
      </c>
      <c r="P72" s="2" t="s">
        <v>439</v>
      </c>
      <c r="Q72" s="2"/>
      <c r="R72" s="25">
        <v>0</v>
      </c>
      <c r="S72" s="25"/>
      <c r="T72" s="25"/>
      <c r="U72">
        <v>0</v>
      </c>
      <c r="X72">
        <v>3.8653</v>
      </c>
      <c r="Y72">
        <v>3.8653</v>
      </c>
      <c r="Z72">
        <v>11.0131</v>
      </c>
      <c r="AA72" s="2">
        <v>2</v>
      </c>
      <c r="AB72">
        <v>14</v>
      </c>
      <c r="AC72" s="55">
        <f t="shared" si="1"/>
        <v>167.75027071999997</v>
      </c>
      <c r="AD72" s="57">
        <v>0</v>
      </c>
      <c r="AE72" s="55">
        <v>0</v>
      </c>
      <c r="AF72" s="55">
        <v>164.541706117579</v>
      </c>
      <c r="AG72" s="52"/>
      <c r="AH72" s="51"/>
      <c r="AI72" s="52"/>
      <c r="AJ72" s="52">
        <v>8.5084811202795069E-2</v>
      </c>
      <c r="AK72" s="28">
        <v>1.9090909090909089</v>
      </c>
      <c r="AL72" s="28">
        <v>2.545454545454545</v>
      </c>
      <c r="AM72" s="28">
        <v>0.54545454545454541</v>
      </c>
      <c r="AN72" s="28">
        <v>2.8181818181818179</v>
      </c>
      <c r="AO72" s="28">
        <v>0.2441860465116279</v>
      </c>
      <c r="AP72" s="28">
        <v>0.32558139534883718</v>
      </c>
      <c r="AQ72" s="28">
        <v>6.9767441860465115E-2</v>
      </c>
      <c r="AR72" s="28">
        <v>0.3604651162790698</v>
      </c>
      <c r="AS72" s="25">
        <v>0.82</v>
      </c>
      <c r="AT72" s="25">
        <v>3.44</v>
      </c>
      <c r="AU72" s="25">
        <v>2.62</v>
      </c>
      <c r="AV72" s="25">
        <v>2.6390909090909092</v>
      </c>
      <c r="AW72">
        <v>2.6390909090909092</v>
      </c>
      <c r="AX72">
        <v>5.9791810459090904</v>
      </c>
      <c r="AY72" s="75"/>
      <c r="AZ72" s="75"/>
      <c r="BA72" s="75">
        <v>0.53381265134868672</v>
      </c>
      <c r="BE72">
        <v>4.2542405601397527E-2</v>
      </c>
      <c r="BF72">
        <v>8.5084811202795069E-2</v>
      </c>
      <c r="BG72">
        <v>4.2542405601397527E-2</v>
      </c>
      <c r="BH72">
        <v>0.53381265134868672</v>
      </c>
      <c r="BI72" s="79" t="s">
        <v>1264</v>
      </c>
      <c r="BJ72" s="79">
        <v>1373</v>
      </c>
      <c r="BK72" s="79">
        <v>10</v>
      </c>
      <c r="BM72" s="79" t="s">
        <v>464</v>
      </c>
      <c r="BN72" s="79" t="s">
        <v>464</v>
      </c>
      <c r="BO72" s="79">
        <v>0</v>
      </c>
      <c r="BP72" s="79" t="s">
        <v>464</v>
      </c>
      <c r="BQ72" s="79">
        <v>1</v>
      </c>
      <c r="BS72" s="79" t="s">
        <v>464</v>
      </c>
      <c r="BT72" s="79" t="s">
        <v>464</v>
      </c>
      <c r="BU72" s="79" t="s">
        <v>1266</v>
      </c>
      <c r="BV72" s="79">
        <v>400</v>
      </c>
      <c r="BX72" s="79" t="s">
        <v>1287</v>
      </c>
      <c r="BZ72" s="81">
        <v>4.5</v>
      </c>
      <c r="CA72">
        <f t="shared" si="9"/>
        <v>1.5040773967762742</v>
      </c>
    </row>
    <row r="73" spans="1:79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9" t="s">
        <v>1145</v>
      </c>
      <c r="I73" s="2"/>
      <c r="J73" s="25">
        <v>0</v>
      </c>
      <c r="K73">
        <v>0</v>
      </c>
      <c r="L73">
        <v>1</v>
      </c>
      <c r="M73" s="2">
        <v>3.8460000000000001</v>
      </c>
      <c r="N73" s="2">
        <v>3.8460000000000001</v>
      </c>
      <c r="O73" s="2">
        <v>11.1</v>
      </c>
      <c r="P73" s="2" t="s">
        <v>439</v>
      </c>
      <c r="Q73" s="2"/>
      <c r="R73" s="25">
        <v>0</v>
      </c>
      <c r="S73" s="25"/>
      <c r="T73" s="25"/>
      <c r="U73">
        <v>0</v>
      </c>
      <c r="X73">
        <v>3.8445</v>
      </c>
      <c r="Y73">
        <v>3.8445</v>
      </c>
      <c r="Z73">
        <v>11.03</v>
      </c>
      <c r="AA73" s="2">
        <v>2</v>
      </c>
      <c r="AB73">
        <v>14</v>
      </c>
      <c r="AC73" s="55">
        <f t="shared" si="1"/>
        <v>164.1880476</v>
      </c>
      <c r="AD73" s="57">
        <v>0</v>
      </c>
      <c r="AE73" s="55">
        <v>0</v>
      </c>
      <c r="AF73" s="55">
        <v>163.0253881575</v>
      </c>
      <c r="AG73" s="52"/>
      <c r="AH73" s="51"/>
      <c r="AI73" s="52"/>
      <c r="AJ73" s="52">
        <v>8.5876194856683907E-2</v>
      </c>
      <c r="AK73" s="28">
        <v>1.9090909090909089</v>
      </c>
      <c r="AL73" s="28">
        <v>2.545454545454545</v>
      </c>
      <c r="AM73" s="28">
        <v>0.54545454545454541</v>
      </c>
      <c r="AN73" s="28">
        <v>2.9090909090909092</v>
      </c>
      <c r="AO73" s="28">
        <v>0.2413793103448276</v>
      </c>
      <c r="AP73" s="28">
        <v>0.32183908045977011</v>
      </c>
      <c r="AQ73" s="28">
        <v>6.8965517241379309E-2</v>
      </c>
      <c r="AR73" s="28">
        <v>0.36781609195402298</v>
      </c>
      <c r="AS73" s="25">
        <v>0.82</v>
      </c>
      <c r="AT73" s="25">
        <v>3.44</v>
      </c>
      <c r="AU73" s="25">
        <v>2.62</v>
      </c>
      <c r="AV73" s="25">
        <v>2.64</v>
      </c>
      <c r="AW73">
        <v>2.64</v>
      </c>
      <c r="AX73">
        <v>5.9811382595454541</v>
      </c>
      <c r="AY73" s="75"/>
      <c r="AZ73" s="75"/>
      <c r="BA73" s="75">
        <v>0.53809297903977493</v>
      </c>
      <c r="BE73">
        <v>4.2938097428341947E-2</v>
      </c>
      <c r="BF73">
        <v>8.5876194856683907E-2</v>
      </c>
      <c r="BG73">
        <v>4.2938097428341947E-2</v>
      </c>
      <c r="BH73">
        <v>0.53809297903977493</v>
      </c>
      <c r="BI73" s="79" t="s">
        <v>1264</v>
      </c>
      <c r="BJ73" s="79">
        <v>1373</v>
      </c>
      <c r="BK73" s="79">
        <v>10</v>
      </c>
      <c r="BM73" s="79" t="s">
        <v>464</v>
      </c>
      <c r="BN73" s="79" t="s">
        <v>464</v>
      </c>
      <c r="BO73" s="79">
        <v>0</v>
      </c>
      <c r="BP73" s="79" t="s">
        <v>464</v>
      </c>
      <c r="BQ73" s="79">
        <v>1</v>
      </c>
      <c r="BS73" s="79" t="s">
        <v>464</v>
      </c>
      <c r="BT73" s="79" t="s">
        <v>464</v>
      </c>
      <c r="BU73" s="79" t="s">
        <v>1266</v>
      </c>
      <c r="BV73" s="79">
        <v>400</v>
      </c>
      <c r="BX73" s="79" t="s">
        <v>1287</v>
      </c>
      <c r="BZ73" s="81">
        <v>235</v>
      </c>
      <c r="CA73">
        <f t="shared" si="9"/>
        <v>5.4595855141441589</v>
      </c>
    </row>
    <row r="74" spans="1:79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t="s">
        <v>1147</v>
      </c>
      <c r="I74" s="2"/>
      <c r="J74" s="25">
        <v>0</v>
      </c>
      <c r="K74">
        <v>0</v>
      </c>
      <c r="L74">
        <v>1</v>
      </c>
      <c r="M74" s="2">
        <v>3.8420000000000001</v>
      </c>
      <c r="N74" s="2">
        <v>3.8420000000000001</v>
      </c>
      <c r="O74" s="2">
        <v>11.11</v>
      </c>
      <c r="P74" s="2" t="s">
        <v>439</v>
      </c>
      <c r="Q74" s="2"/>
      <c r="R74" s="25">
        <v>0</v>
      </c>
      <c r="S74" s="25"/>
      <c r="T74" s="25"/>
      <c r="U74">
        <v>0</v>
      </c>
      <c r="X74">
        <v>3.8252000000000002</v>
      </c>
      <c r="Y74">
        <v>3.8252000000000002</v>
      </c>
      <c r="Z74">
        <v>11.013500000000001</v>
      </c>
      <c r="AA74" s="2">
        <v>2</v>
      </c>
      <c r="AB74">
        <v>14</v>
      </c>
      <c r="AC74" s="55">
        <f t="shared" si="1"/>
        <v>163.99431004000002</v>
      </c>
      <c r="AD74" s="57">
        <v>0</v>
      </c>
      <c r="AE74" s="55">
        <v>0</v>
      </c>
      <c r="AF74" s="55">
        <v>161.15123953304001</v>
      </c>
      <c r="AG74" s="52"/>
      <c r="AH74" s="51"/>
      <c r="AI74" s="52"/>
      <c r="AJ74" s="52">
        <v>8.6874913531953646E-2</v>
      </c>
      <c r="AK74" s="28">
        <v>1.9090909090909089</v>
      </c>
      <c r="AL74" s="28">
        <v>2.545454545454545</v>
      </c>
      <c r="AM74" s="28">
        <v>0.54545454545454541</v>
      </c>
      <c r="AN74" s="28">
        <v>3.0909090909090908</v>
      </c>
      <c r="AO74" s="28">
        <v>0.2359550561797753</v>
      </c>
      <c r="AP74" s="28">
        <v>0.3146067415730337</v>
      </c>
      <c r="AQ74" s="28">
        <v>6.7415730337078636E-2</v>
      </c>
      <c r="AR74" s="28">
        <v>0.38202247191011229</v>
      </c>
      <c r="AS74" s="25">
        <v>0.82</v>
      </c>
      <c r="AT74" s="25">
        <v>3.44</v>
      </c>
      <c r="AU74" s="25">
        <v>2.62</v>
      </c>
      <c r="AV74" s="25">
        <v>2.642727272727273</v>
      </c>
      <c r="AW74">
        <v>2.642727272727273</v>
      </c>
      <c r="AX74">
        <v>5.9894662913636356</v>
      </c>
      <c r="AY74" s="75"/>
      <c r="AZ74" s="75"/>
      <c r="BA74" s="75">
        <v>0.54194665977883461</v>
      </c>
      <c r="BE74">
        <v>4.3437456765976823E-2</v>
      </c>
      <c r="BF74">
        <v>8.6874913531953646E-2</v>
      </c>
      <c r="BG74">
        <v>4.3437456765976823E-2</v>
      </c>
      <c r="BH74">
        <v>0.54194665977883461</v>
      </c>
      <c r="BI74" s="79" t="s">
        <v>1264</v>
      </c>
      <c r="BJ74" s="79">
        <v>1373</v>
      </c>
      <c r="BK74" s="79">
        <v>10</v>
      </c>
      <c r="BM74" s="79" t="s">
        <v>464</v>
      </c>
      <c r="BN74" s="79" t="s">
        <v>464</v>
      </c>
      <c r="BO74" s="79">
        <v>0</v>
      </c>
      <c r="BP74" s="79" t="s">
        <v>464</v>
      </c>
      <c r="BQ74" s="79">
        <v>1</v>
      </c>
      <c r="BS74" s="79" t="s">
        <v>464</v>
      </c>
      <c r="BT74" s="79" t="s">
        <v>464</v>
      </c>
      <c r="BU74" s="79" t="s">
        <v>1266</v>
      </c>
      <c r="BV74" s="79">
        <v>400</v>
      </c>
      <c r="BX74" s="79" t="s">
        <v>1287</v>
      </c>
      <c r="BZ74" s="81">
        <f>10.6*5</f>
        <v>53</v>
      </c>
      <c r="CA74">
        <f t="shared" si="9"/>
        <v>3.970291913552122</v>
      </c>
    </row>
    <row r="75" spans="1:79" x14ac:dyDescent="0.3">
      <c r="A75" s="2" t="s">
        <v>1288</v>
      </c>
      <c r="B75" s="13"/>
      <c r="C75" s="13"/>
      <c r="D75" s="2"/>
      <c r="E75" s="2" t="s">
        <v>134</v>
      </c>
      <c r="F75" s="9">
        <v>-1</v>
      </c>
      <c r="G75">
        <v>-1</v>
      </c>
      <c r="H75" t="s">
        <v>1291</v>
      </c>
      <c r="I75" s="2"/>
      <c r="J75" s="25"/>
      <c r="M75" s="2"/>
      <c r="N75" s="2"/>
      <c r="O75" s="2"/>
      <c r="P75" s="2"/>
      <c r="Q75" s="2"/>
      <c r="R75" s="25"/>
      <c r="S75" s="25"/>
      <c r="T75" s="25"/>
      <c r="AA75" s="2"/>
      <c r="AC75" s="55"/>
      <c r="AD75" s="57"/>
      <c r="AE75" s="55"/>
      <c r="AF75" s="55"/>
      <c r="AG75" s="52"/>
      <c r="AH75" s="51"/>
      <c r="AI75" s="52"/>
      <c r="AJ75" s="52"/>
      <c r="AK75" s="28"/>
      <c r="AL75" s="28"/>
      <c r="AM75" s="28"/>
      <c r="AN75" s="28"/>
      <c r="AO75" s="28"/>
      <c r="AP75" s="28"/>
      <c r="AQ75" s="28"/>
      <c r="AR75" s="28"/>
      <c r="AS75" s="25"/>
      <c r="AT75" s="25"/>
      <c r="AU75" s="25"/>
      <c r="AV75" s="25"/>
      <c r="AY75" s="75"/>
      <c r="AZ75" s="75"/>
      <c r="BA75" s="75"/>
      <c r="BI75" s="79" t="s">
        <v>1290</v>
      </c>
      <c r="BM75" s="79" t="s">
        <v>464</v>
      </c>
      <c r="BN75" s="79" t="s">
        <v>464</v>
      </c>
      <c r="BO75" s="79">
        <v>0</v>
      </c>
      <c r="BP75" s="79" t="s">
        <v>464</v>
      </c>
      <c r="BQ75" s="79">
        <v>1</v>
      </c>
      <c r="BS75" s="79" t="s">
        <v>464</v>
      </c>
      <c r="BT75" s="79" t="s">
        <v>464</v>
      </c>
      <c r="BU75" s="79" t="s">
        <v>1266</v>
      </c>
      <c r="BV75" s="79">
        <v>400</v>
      </c>
      <c r="BX75" s="79" t="s">
        <v>1287</v>
      </c>
      <c r="BZ75" s="81">
        <f>0.7*5</f>
        <v>3.5</v>
      </c>
      <c r="CA75">
        <f t="shared" si="9"/>
        <v>1.2527629684953681</v>
      </c>
    </row>
    <row r="76" spans="1:79" x14ac:dyDescent="0.3">
      <c r="A76" s="2" t="s">
        <v>1289</v>
      </c>
      <c r="B76" s="13"/>
      <c r="C76" s="13"/>
      <c r="D76" s="2"/>
      <c r="E76" s="2" t="s">
        <v>134</v>
      </c>
      <c r="F76" s="9">
        <v>-1</v>
      </c>
      <c r="G76">
        <v>-1</v>
      </c>
      <c r="H76" t="s">
        <v>1292</v>
      </c>
      <c r="I76" s="2"/>
      <c r="J76" s="25"/>
      <c r="M76" s="2"/>
      <c r="N76" s="2"/>
      <c r="O76" s="2"/>
      <c r="P76" s="2"/>
      <c r="Q76" s="2"/>
      <c r="R76" s="25"/>
      <c r="S76" s="25"/>
      <c r="T76" s="25"/>
      <c r="AA76" s="2"/>
      <c r="AC76" s="55"/>
      <c r="AD76" s="57"/>
      <c r="AE76" s="55"/>
      <c r="AF76" s="55"/>
      <c r="AG76" s="52"/>
      <c r="AH76" s="51"/>
      <c r="AI76" s="52"/>
      <c r="AJ76" s="52"/>
      <c r="AK76" s="28"/>
      <c r="AL76" s="28"/>
      <c r="AM76" s="28"/>
      <c r="AN76" s="28"/>
      <c r="AO76" s="28"/>
      <c r="AP76" s="28"/>
      <c r="AQ76" s="28"/>
      <c r="AR76" s="28"/>
      <c r="AS76" s="25"/>
      <c r="AT76" s="25"/>
      <c r="AU76" s="25"/>
      <c r="AV76" s="25"/>
      <c r="AY76" s="75"/>
      <c r="AZ76" s="75"/>
      <c r="BA76" s="75"/>
      <c r="BI76" s="79" t="s">
        <v>1290</v>
      </c>
      <c r="BM76" s="79" t="s">
        <v>464</v>
      </c>
      <c r="BN76" s="79" t="s">
        <v>464</v>
      </c>
      <c r="BO76" s="79">
        <v>0</v>
      </c>
      <c r="BP76" s="79" t="s">
        <v>464</v>
      </c>
      <c r="BQ76" s="79">
        <v>1</v>
      </c>
      <c r="BS76" s="79" t="s">
        <v>464</v>
      </c>
      <c r="BT76" s="79" t="s">
        <v>464</v>
      </c>
      <c r="BU76" s="79" t="s">
        <v>1266</v>
      </c>
      <c r="BV76" s="79">
        <v>400</v>
      </c>
      <c r="BX76" s="79" t="s">
        <v>1287</v>
      </c>
      <c r="BZ76" s="81">
        <f>0.4*5</f>
        <v>2</v>
      </c>
      <c r="CA76">
        <f t="shared" si="9"/>
        <v>0.69314718055994529</v>
      </c>
    </row>
    <row r="77" spans="1:79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I77" s="2"/>
      <c r="J77" s="25">
        <v>0</v>
      </c>
      <c r="K77">
        <v>4</v>
      </c>
      <c r="L77">
        <v>0</v>
      </c>
      <c r="M77" s="2">
        <v>5.4324000000000003</v>
      </c>
      <c r="N77" s="2">
        <v>5.4151999999999996</v>
      </c>
      <c r="O77" s="2">
        <v>40.78</v>
      </c>
      <c r="P77" s="2"/>
      <c r="Q77" s="2"/>
      <c r="R77" s="25">
        <v>0</v>
      </c>
      <c r="S77" s="25"/>
      <c r="T77" s="25"/>
      <c r="U77">
        <v>5.4234</v>
      </c>
      <c r="V77">
        <v>5.4020999999999999</v>
      </c>
      <c r="W77">
        <v>40.593499999999999</v>
      </c>
      <c r="X77">
        <v>0</v>
      </c>
      <c r="AA77" s="2" t="s">
        <v>464</v>
      </c>
      <c r="AB77">
        <v>30</v>
      </c>
      <c r="AC77" s="55">
        <f t="shared" si="1"/>
        <v>1199.6469745344</v>
      </c>
      <c r="AD77" s="57">
        <v>0</v>
      </c>
      <c r="AE77" s="55">
        <v>1189.2981797145901</v>
      </c>
      <c r="AF77" s="55">
        <v>0</v>
      </c>
      <c r="AG77" s="52"/>
      <c r="AH77" s="51"/>
      <c r="AI77" s="52">
        <v>0.1008998433250758</v>
      </c>
      <c r="AJ77" s="52"/>
      <c r="AK77" s="28">
        <v>2</v>
      </c>
      <c r="AL77" s="28">
        <v>3</v>
      </c>
      <c r="AM77" s="28">
        <v>2</v>
      </c>
      <c r="AN77" s="28">
        <v>2.333333333333333</v>
      </c>
      <c r="AO77" s="28">
        <v>0.2142857142857143</v>
      </c>
      <c r="AP77" s="28">
        <v>0.3214285714285714</v>
      </c>
      <c r="AQ77" s="28">
        <v>0.2142857142857143</v>
      </c>
      <c r="AR77" s="28">
        <v>0.25</v>
      </c>
      <c r="AS77" s="25">
        <v>1</v>
      </c>
      <c r="AT77" s="25">
        <v>3.44</v>
      </c>
      <c r="AU77" s="25">
        <v>2.44</v>
      </c>
      <c r="AV77" s="25">
        <v>2.7850000000000001</v>
      </c>
      <c r="AW77">
        <v>2.7850000000000001</v>
      </c>
      <c r="AX77">
        <v>6.1010684060416667</v>
      </c>
      <c r="AY77" s="75"/>
      <c r="AZ77" s="75"/>
      <c r="BA77" s="75"/>
      <c r="BD77">
        <v>5.0449921662537908E-2</v>
      </c>
      <c r="BF77">
        <v>0.1008998433250758</v>
      </c>
      <c r="BG77">
        <v>5.0449921662537908E-2</v>
      </c>
      <c r="BH77">
        <v>0</v>
      </c>
      <c r="BI77" s="79" t="s">
        <v>1264</v>
      </c>
      <c r="BJ77" s="79">
        <v>1373</v>
      </c>
      <c r="BK77" s="79">
        <v>48</v>
      </c>
      <c r="BM77" s="79" t="s">
        <v>1275</v>
      </c>
      <c r="BN77" s="79" t="s">
        <v>863</v>
      </c>
      <c r="BO77" s="79">
        <v>0.1</v>
      </c>
      <c r="BQ77" s="79">
        <v>1.5</v>
      </c>
      <c r="BR77" s="79">
        <v>15</v>
      </c>
      <c r="BS77" s="79" t="s">
        <v>464</v>
      </c>
      <c r="BT77" s="79" t="s">
        <v>464</v>
      </c>
      <c r="BU77" s="79" t="s">
        <v>1271</v>
      </c>
      <c r="BV77" s="79">
        <v>450</v>
      </c>
      <c r="BW77" s="79">
        <v>400</v>
      </c>
      <c r="BZ77" s="81">
        <v>0</v>
      </c>
      <c r="CA77" t="e">
        <f t="shared" si="9"/>
        <v>#NUM!</v>
      </c>
    </row>
    <row r="78" spans="1:79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I78" s="2"/>
      <c r="J78" s="25">
        <v>0</v>
      </c>
      <c r="K78">
        <v>0</v>
      </c>
      <c r="L78">
        <v>4</v>
      </c>
      <c r="M78" s="2" t="s">
        <v>464</v>
      </c>
      <c r="N78" s="2" t="s">
        <v>464</v>
      </c>
      <c r="O78" s="2" t="s">
        <v>464</v>
      </c>
      <c r="P78" s="2"/>
      <c r="Q78" s="2"/>
      <c r="R78" s="25">
        <v>0</v>
      </c>
      <c r="S78" s="25"/>
      <c r="T78" s="25"/>
      <c r="U78">
        <v>0</v>
      </c>
      <c r="X78">
        <v>41.36</v>
      </c>
      <c r="Y78">
        <v>5.4370000000000003</v>
      </c>
      <c r="Z78">
        <v>5.55</v>
      </c>
      <c r="AA78" s="2" t="s">
        <v>464</v>
      </c>
      <c r="AB78">
        <v>30</v>
      </c>
      <c r="AC78" s="55" t="e">
        <f t="shared" si="1"/>
        <v>#VALUE!</v>
      </c>
      <c r="AD78" s="57">
        <v>0</v>
      </c>
      <c r="AE78" s="55">
        <v>0</v>
      </c>
      <c r="AF78" s="55">
        <v>1248.0524760000001</v>
      </c>
      <c r="AG78" s="52"/>
      <c r="AH78" s="51"/>
      <c r="AI78" s="52"/>
      <c r="AJ78" s="52">
        <v>9.6149803239523393E-2</v>
      </c>
      <c r="AK78" s="28">
        <v>2</v>
      </c>
      <c r="AL78" s="28">
        <v>3.083333333333333</v>
      </c>
      <c r="AM78" s="28">
        <v>2.416666666666667</v>
      </c>
      <c r="AN78" s="28">
        <v>2.916666666666667</v>
      </c>
      <c r="AO78" s="28">
        <v>0.192</v>
      </c>
      <c r="AP78" s="28">
        <v>0.29599999999999999</v>
      </c>
      <c r="AQ78" s="28">
        <v>0.23200000000000001</v>
      </c>
      <c r="AR78" s="28">
        <v>0.28000000000000003</v>
      </c>
      <c r="AS78" s="25">
        <v>1.54</v>
      </c>
      <c r="AT78" s="25">
        <v>3.44</v>
      </c>
      <c r="AU78" s="25">
        <v>1.9</v>
      </c>
      <c r="AV78" s="25">
        <v>2.840416666666667</v>
      </c>
      <c r="AW78">
        <v>2.840416666666667</v>
      </c>
      <c r="AX78">
        <v>6.1351453775000007</v>
      </c>
      <c r="AY78" s="75"/>
      <c r="AZ78" s="75"/>
      <c r="BA78" s="75"/>
      <c r="BE78">
        <v>4.8074901619761697E-2</v>
      </c>
      <c r="BF78">
        <v>9.6149803239523393E-2</v>
      </c>
      <c r="BG78">
        <v>4.8074901619761697E-2</v>
      </c>
      <c r="BH78">
        <v>0</v>
      </c>
      <c r="BI78" s="79" t="s">
        <v>1264</v>
      </c>
      <c r="BJ78" s="79">
        <v>1373</v>
      </c>
      <c r="BK78" s="79">
        <v>48</v>
      </c>
      <c r="BM78" s="79" t="s">
        <v>1275</v>
      </c>
      <c r="BN78" s="79" t="s">
        <v>863</v>
      </c>
      <c r="BO78" s="79">
        <v>0.1</v>
      </c>
      <c r="BQ78" s="79">
        <v>1.5</v>
      </c>
      <c r="BR78" s="79">
        <v>15</v>
      </c>
      <c r="BS78" s="79" t="s">
        <v>464</v>
      </c>
      <c r="BT78" s="79" t="s">
        <v>464</v>
      </c>
      <c r="BU78" s="79" t="s">
        <v>1271</v>
      </c>
      <c r="BV78" s="79">
        <v>450</v>
      </c>
      <c r="BW78" s="79">
        <v>400</v>
      </c>
      <c r="BZ78" s="81">
        <v>37.33</v>
      </c>
      <c r="CA78">
        <f t="shared" si="9"/>
        <v>3.6197972929264925</v>
      </c>
    </row>
    <row r="79" spans="1:79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I79" s="2"/>
      <c r="J79" s="25">
        <v>1</v>
      </c>
      <c r="K79">
        <v>4</v>
      </c>
      <c r="L79">
        <v>0</v>
      </c>
      <c r="M79" s="2" t="s">
        <v>464</v>
      </c>
      <c r="N79" s="2" t="s">
        <v>464</v>
      </c>
      <c r="O79" s="2" t="s">
        <v>464</v>
      </c>
      <c r="P79" s="2"/>
      <c r="Q79" s="2"/>
      <c r="R79" s="25">
        <v>12.868820120000001</v>
      </c>
      <c r="S79" s="25">
        <v>12.868820120000001</v>
      </c>
      <c r="T79" s="25">
        <v>12.868820120000001</v>
      </c>
      <c r="U79">
        <v>5.5453000000000001</v>
      </c>
      <c r="V79">
        <v>5.5453000000000001</v>
      </c>
      <c r="W79">
        <v>25.686699999999998</v>
      </c>
      <c r="X79">
        <v>0</v>
      </c>
      <c r="AA79" s="2">
        <v>2</v>
      </c>
      <c r="AB79">
        <v>18</v>
      </c>
      <c r="AC79" s="55" t="e">
        <f t="shared" si="1"/>
        <v>#VALUE!</v>
      </c>
      <c r="AD79" s="57">
        <v>197.4403766939285</v>
      </c>
      <c r="AE79" s="55">
        <v>789.87506903020289</v>
      </c>
      <c r="AF79" s="55">
        <v>0</v>
      </c>
      <c r="AG79" s="52"/>
      <c r="AH79" s="51">
        <v>9.1166762854710051E-2</v>
      </c>
      <c r="AI79" s="52">
        <v>9.1153655588092616E-2</v>
      </c>
      <c r="AJ79" s="52"/>
      <c r="AK79" s="28">
        <v>1.857142857142857</v>
      </c>
      <c r="AL79" s="28">
        <v>3.1428571428571428</v>
      </c>
      <c r="AM79" s="28">
        <v>2.714285714285714</v>
      </c>
      <c r="AN79" s="28">
        <v>3</v>
      </c>
      <c r="AO79" s="28">
        <v>0.17333333333333331</v>
      </c>
      <c r="AP79" s="28">
        <v>0.29333333333333328</v>
      </c>
      <c r="AQ79" s="28">
        <v>0.25333333333333341</v>
      </c>
      <c r="AR79" s="28">
        <v>0.28000000000000003</v>
      </c>
      <c r="AS79" s="25">
        <v>1.6</v>
      </c>
      <c r="AT79" s="25">
        <v>3.44</v>
      </c>
      <c r="AU79" s="25">
        <v>1.84</v>
      </c>
      <c r="AV79" s="25">
        <v>2.895</v>
      </c>
      <c r="AW79">
        <v>2.895</v>
      </c>
      <c r="AX79">
        <v>6.260504073571429</v>
      </c>
      <c r="AY79" s="75">
        <v>0.51995616258071919</v>
      </c>
      <c r="AZ79" s="75">
        <v>0.51988140722208986</v>
      </c>
      <c r="BA79" s="75"/>
      <c r="BC79">
        <v>4.5583381427355033E-2</v>
      </c>
      <c r="BD79">
        <v>4.5576827794046308E-2</v>
      </c>
      <c r="BF79">
        <v>9.1160209221401334E-2</v>
      </c>
      <c r="BG79">
        <v>4.5580104610700667E-2</v>
      </c>
      <c r="BH79">
        <v>0.51991878490140453</v>
      </c>
      <c r="BI79" s="79" t="s">
        <v>1264</v>
      </c>
      <c r="BJ79" s="79">
        <v>1373</v>
      </c>
      <c r="BK79" s="79">
        <v>48</v>
      </c>
      <c r="BM79" s="79" t="s">
        <v>1275</v>
      </c>
      <c r="BN79" s="79" t="s">
        <v>863</v>
      </c>
      <c r="BO79" s="79">
        <v>0.1</v>
      </c>
      <c r="BQ79" s="79">
        <v>1.5</v>
      </c>
      <c r="BR79" s="79">
        <v>15</v>
      </c>
      <c r="BS79" s="79" t="s">
        <v>464</v>
      </c>
      <c r="BT79" s="79" t="s">
        <v>464</v>
      </c>
      <c r="BU79" s="79" t="s">
        <v>1271</v>
      </c>
      <c r="BV79" s="79">
        <v>450</v>
      </c>
      <c r="BW79" s="79">
        <v>420</v>
      </c>
      <c r="BZ79" s="81">
        <v>10.67</v>
      </c>
      <c r="CA79">
        <f t="shared" si="9"/>
        <v>2.3674360653136621</v>
      </c>
    </row>
    <row r="80" spans="1:79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 t="s">
        <v>1149</v>
      </c>
      <c r="I80" s="2"/>
      <c r="J80" s="25">
        <v>0</v>
      </c>
      <c r="K80">
        <v>0</v>
      </c>
      <c r="L80">
        <v>2</v>
      </c>
      <c r="M80" s="2">
        <v>3.9</v>
      </c>
      <c r="N80" s="2">
        <v>3.9</v>
      </c>
      <c r="O80" s="2">
        <v>29.65</v>
      </c>
      <c r="P80" s="2" t="s">
        <v>472</v>
      </c>
      <c r="Q80" s="2"/>
      <c r="R80" s="25">
        <v>0</v>
      </c>
      <c r="S80" s="25"/>
      <c r="T80" s="25"/>
      <c r="U80">
        <v>0</v>
      </c>
      <c r="AA80" s="2" t="s">
        <v>464</v>
      </c>
      <c r="AB80">
        <v>20</v>
      </c>
      <c r="AC80" s="55">
        <f t="shared" si="1"/>
        <v>450.97649999999993</v>
      </c>
      <c r="AD80" s="57">
        <v>0</v>
      </c>
      <c r="AE80" s="55">
        <v>0</v>
      </c>
      <c r="AF80" s="55">
        <v>451.2</v>
      </c>
      <c r="AG80" s="52"/>
      <c r="AH80" s="51"/>
      <c r="AI80" s="52"/>
      <c r="AJ80" s="67">
        <f>L80*AB80/AF80</f>
        <v>8.8652482269503549E-2</v>
      </c>
      <c r="AK80" s="28">
        <v>1.774193548387097</v>
      </c>
      <c r="AL80" s="28">
        <v>2.580645161290323</v>
      </c>
      <c r="AM80" s="28">
        <v>0.80645161290322576</v>
      </c>
      <c r="AN80" s="28">
        <v>0</v>
      </c>
      <c r="AO80" s="28">
        <v>0.34375</v>
      </c>
      <c r="AP80" s="28">
        <v>0.5</v>
      </c>
      <c r="AQ80" s="28">
        <v>0.15625</v>
      </c>
      <c r="AR80" s="28">
        <v>0</v>
      </c>
      <c r="AS80" s="25">
        <v>0.82</v>
      </c>
      <c r="AT80" s="25">
        <v>3.44</v>
      </c>
      <c r="AU80" s="25">
        <v>2.62</v>
      </c>
      <c r="AV80" s="25">
        <v>2.6877419354838712</v>
      </c>
      <c r="AW80">
        <v>2.6877419354838712</v>
      </c>
      <c r="AX80">
        <v>6.0811360720967738</v>
      </c>
      <c r="AY80" s="75"/>
      <c r="AZ80" s="75"/>
      <c r="BA80" s="75">
        <v>0</v>
      </c>
      <c r="BE80">
        <v>4.4326241134751768E-2</v>
      </c>
      <c r="BF80">
        <v>8.8652482269503549E-2</v>
      </c>
      <c r="BG80">
        <v>4.4326241134751768E-2</v>
      </c>
      <c r="BH80">
        <v>0</v>
      </c>
      <c r="BI80" s="79" t="s">
        <v>1264</v>
      </c>
      <c r="BJ80" s="79">
        <v>1373</v>
      </c>
      <c r="BK80" s="79">
        <v>48</v>
      </c>
      <c r="BM80" s="79" t="s">
        <v>1275</v>
      </c>
      <c r="BN80" s="79" t="s">
        <v>863</v>
      </c>
      <c r="BO80" s="79">
        <v>0.1</v>
      </c>
      <c r="BQ80" s="79">
        <v>1.5</v>
      </c>
      <c r="BR80" s="79">
        <v>15</v>
      </c>
      <c r="BS80" s="79" t="s">
        <v>464</v>
      </c>
      <c r="BT80" s="79" t="s">
        <v>464</v>
      </c>
      <c r="BU80" s="79" t="s">
        <v>1271</v>
      </c>
      <c r="BV80" s="79">
        <v>450</v>
      </c>
      <c r="BW80" s="79">
        <v>400</v>
      </c>
      <c r="BZ80" s="81">
        <v>0</v>
      </c>
      <c r="CA80" t="e">
        <f t="shared" si="9"/>
        <v>#NUM!</v>
      </c>
    </row>
    <row r="81" spans="1:80" x14ac:dyDescent="0.3">
      <c r="A81" s="5" t="s">
        <v>974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41">
        <v>0</v>
      </c>
      <c r="K81">
        <v>0</v>
      </c>
      <c r="L81">
        <v>0</v>
      </c>
      <c r="M81" s="5" t="s">
        <v>464</v>
      </c>
      <c r="N81" s="5" t="s">
        <v>464</v>
      </c>
      <c r="O81" s="5" t="s">
        <v>464</v>
      </c>
      <c r="P81" s="5"/>
      <c r="Q81" s="5"/>
      <c r="R81" s="41">
        <v>0</v>
      </c>
      <c r="S81" s="41"/>
      <c r="T81" s="41"/>
      <c r="U81">
        <v>0</v>
      </c>
      <c r="X81">
        <v>0</v>
      </c>
      <c r="AA81" s="5" t="s">
        <v>464</v>
      </c>
      <c r="AB81" s="5">
        <v>20</v>
      </c>
      <c r="AC81" s="55" t="e">
        <f t="shared" si="1"/>
        <v>#VALUE!</v>
      </c>
      <c r="AD81" s="57">
        <v>0</v>
      </c>
      <c r="AE81" s="55">
        <v>0</v>
      </c>
      <c r="AF81" s="55">
        <v>0</v>
      </c>
      <c r="AG81" s="52"/>
      <c r="AH81" s="51"/>
      <c r="AI81" s="52"/>
      <c r="AJ81" s="52"/>
      <c r="AK81" s="5">
        <v>1.774193548387097</v>
      </c>
      <c r="AL81" s="5">
        <v>2.67741935483871</v>
      </c>
      <c r="AM81" s="5">
        <v>1.290322580645161</v>
      </c>
      <c r="AN81" s="5">
        <v>0.67741935483870963</v>
      </c>
      <c r="AO81" s="5">
        <v>0.27638190954773872</v>
      </c>
      <c r="AP81" s="5">
        <v>0.41708542713567842</v>
      </c>
      <c r="AQ81" s="5">
        <v>0.20100502512562821</v>
      </c>
      <c r="AR81" s="5">
        <v>0.1055276381909548</v>
      </c>
      <c r="AS81" s="41">
        <v>0.82</v>
      </c>
      <c r="AT81" s="41">
        <v>3.44</v>
      </c>
      <c r="AU81" s="41">
        <v>2.62</v>
      </c>
      <c r="AV81" s="41">
        <v>2.7520967741935478</v>
      </c>
      <c r="AW81" s="5">
        <v>2.7520967741935478</v>
      </c>
      <c r="AX81" s="5">
        <v>6.1207093292741934</v>
      </c>
      <c r="AY81" s="75"/>
      <c r="AZ81" s="75"/>
      <c r="BA81" s="75"/>
      <c r="BF81">
        <v>0</v>
      </c>
      <c r="BG81">
        <v>0</v>
      </c>
      <c r="BH81">
        <v>0</v>
      </c>
      <c r="BI81" s="79" t="s">
        <v>1264</v>
      </c>
      <c r="BJ81" s="79">
        <v>1373</v>
      </c>
      <c r="BK81" s="79">
        <v>48</v>
      </c>
      <c r="BM81" s="79" t="s">
        <v>1275</v>
      </c>
      <c r="BN81" s="79" t="s">
        <v>863</v>
      </c>
      <c r="BO81" s="79">
        <v>0.1</v>
      </c>
      <c r="BQ81" s="79">
        <v>1.5</v>
      </c>
      <c r="BR81" s="79">
        <v>15</v>
      </c>
      <c r="BS81" s="79" t="s">
        <v>464</v>
      </c>
      <c r="BT81" s="79" t="s">
        <v>464</v>
      </c>
      <c r="BU81" s="79" t="s">
        <v>1271</v>
      </c>
      <c r="BV81" s="79">
        <v>450</v>
      </c>
      <c r="BW81" s="79">
        <v>400</v>
      </c>
      <c r="BZ81" s="81">
        <v>0</v>
      </c>
      <c r="CA81" t="e">
        <f t="shared" si="9"/>
        <v>#NUM!</v>
      </c>
    </row>
    <row r="82" spans="1:8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41">
        <v>0</v>
      </c>
      <c r="K82">
        <v>0</v>
      </c>
      <c r="L82">
        <v>0</v>
      </c>
      <c r="M82" s="5" t="s">
        <v>464</v>
      </c>
      <c r="N82" s="5" t="s">
        <v>464</v>
      </c>
      <c r="O82" s="5" t="s">
        <v>464</v>
      </c>
      <c r="P82" s="5"/>
      <c r="Q82" s="5"/>
      <c r="R82" s="41">
        <v>0</v>
      </c>
      <c r="S82" s="41"/>
      <c r="T82" s="41"/>
      <c r="U82">
        <v>0</v>
      </c>
      <c r="X82">
        <v>0</v>
      </c>
      <c r="AA82" s="5" t="s">
        <v>464</v>
      </c>
      <c r="AB82" s="5">
        <v>20</v>
      </c>
      <c r="AC82" s="55" t="e">
        <f t="shared" si="1"/>
        <v>#VALUE!</v>
      </c>
      <c r="AD82" s="57">
        <v>0</v>
      </c>
      <c r="AE82" s="55">
        <v>0</v>
      </c>
      <c r="AF82" s="55">
        <v>0</v>
      </c>
      <c r="AG82" s="52"/>
      <c r="AH82" s="51"/>
      <c r="AI82" s="52"/>
      <c r="AJ82" s="52"/>
      <c r="AK82" s="5">
        <v>1.774193548387097</v>
      </c>
      <c r="AL82" s="5">
        <v>2.725806451612903</v>
      </c>
      <c r="AM82" s="5">
        <v>1.435483870967742</v>
      </c>
      <c r="AN82" s="5">
        <v>0.90322580645161288</v>
      </c>
      <c r="AO82" s="5">
        <v>0.25943396226415089</v>
      </c>
      <c r="AP82" s="5">
        <v>0.3985849056603773</v>
      </c>
      <c r="AQ82" s="5">
        <v>0.2099056603773585</v>
      </c>
      <c r="AR82" s="5">
        <v>0.13207547169811321</v>
      </c>
      <c r="AS82" s="41">
        <v>0.82</v>
      </c>
      <c r="AT82" s="41">
        <v>3.44</v>
      </c>
      <c r="AU82" s="41">
        <v>2.62</v>
      </c>
      <c r="AV82" s="41">
        <v>2.7669354838709679</v>
      </c>
      <c r="AW82" s="5">
        <v>2.7669354838709679</v>
      </c>
      <c r="AX82" s="5">
        <v>6.1375918448387097</v>
      </c>
      <c r="AY82" s="75"/>
      <c r="AZ82" s="75"/>
      <c r="BA82" s="75"/>
      <c r="BF82">
        <v>0</v>
      </c>
      <c r="BG82">
        <v>0</v>
      </c>
      <c r="BH82">
        <v>0</v>
      </c>
      <c r="BI82" s="79" t="s">
        <v>1264</v>
      </c>
      <c r="BJ82" s="79">
        <v>1373</v>
      </c>
      <c r="BK82" s="79">
        <v>48</v>
      </c>
      <c r="BM82" s="79" t="s">
        <v>1275</v>
      </c>
      <c r="BN82" s="79" t="s">
        <v>863</v>
      </c>
      <c r="BO82" s="79">
        <v>0.1</v>
      </c>
      <c r="BQ82" s="79">
        <v>1.5</v>
      </c>
      <c r="BR82" s="79">
        <v>15</v>
      </c>
      <c r="BS82" s="79" t="s">
        <v>464</v>
      </c>
      <c r="BT82" s="79" t="s">
        <v>464</v>
      </c>
      <c r="BU82" s="79" t="s">
        <v>1271</v>
      </c>
      <c r="BV82" s="79">
        <v>450</v>
      </c>
      <c r="BW82" s="79">
        <v>400</v>
      </c>
      <c r="BZ82" s="81">
        <v>0</v>
      </c>
      <c r="CA82" t="e">
        <f t="shared" si="9"/>
        <v>#NUM!</v>
      </c>
    </row>
    <row r="83" spans="1:8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I83" s="2"/>
      <c r="J83" s="25">
        <v>1</v>
      </c>
      <c r="K83">
        <v>2</v>
      </c>
      <c r="L83">
        <v>0</v>
      </c>
      <c r="M83" s="2">
        <v>3.9</v>
      </c>
      <c r="N83" s="2">
        <v>3.9</v>
      </c>
      <c r="O83" s="2">
        <v>29.65</v>
      </c>
      <c r="P83" s="2" t="s">
        <v>440</v>
      </c>
      <c r="Q83" s="2"/>
      <c r="R83" s="25">
        <v>3.9086759899999999</v>
      </c>
      <c r="S83" s="25">
        <v>3.908676100000001</v>
      </c>
      <c r="T83" s="25">
        <v>10.552604730000001</v>
      </c>
      <c r="U83">
        <v>3.899</v>
      </c>
      <c r="V83">
        <v>3.899</v>
      </c>
      <c r="W83">
        <v>20.399989999999999</v>
      </c>
      <c r="X83">
        <v>0</v>
      </c>
      <c r="AA83" s="2" t="s">
        <v>464</v>
      </c>
      <c r="AB83">
        <v>14</v>
      </c>
      <c r="AC83" s="55">
        <f t="shared" si="1"/>
        <v>450.97649999999993</v>
      </c>
      <c r="AD83" s="57">
        <v>155.59136328639269</v>
      </c>
      <c r="AE83" s="55">
        <v>310.12474837798999</v>
      </c>
      <c r="AF83" s="55">
        <v>0</v>
      </c>
      <c r="AG83" s="52"/>
      <c r="AH83" s="51">
        <v>8.9979287437893268E-2</v>
      </c>
      <c r="AI83" s="52">
        <v>9.0286248183820222E-2</v>
      </c>
      <c r="AJ83" s="52"/>
      <c r="AK83" s="28">
        <v>2</v>
      </c>
      <c r="AL83" s="28">
        <v>2.333333333333333</v>
      </c>
      <c r="AM83" s="28">
        <v>0.33333333333333331</v>
      </c>
      <c r="AN83" s="28">
        <v>0</v>
      </c>
      <c r="AO83" s="28">
        <v>0.42857142857142849</v>
      </c>
      <c r="AP83" s="28">
        <v>0.5</v>
      </c>
      <c r="AQ83" s="28">
        <v>7.1428571428571425E-2</v>
      </c>
      <c r="AR83" s="28">
        <v>0</v>
      </c>
      <c r="AS83" s="25">
        <v>0.95</v>
      </c>
      <c r="AT83" s="25">
        <v>3.44</v>
      </c>
      <c r="AU83" s="25">
        <v>2.4900000000000002</v>
      </c>
      <c r="AV83" s="25">
        <v>2.500833333333333</v>
      </c>
      <c r="AW83">
        <v>2.500833333333333</v>
      </c>
      <c r="AX83">
        <v>5.6917605187500007</v>
      </c>
      <c r="AY83" s="75">
        <v>0.58499657192886345</v>
      </c>
      <c r="AZ83" s="75">
        <v>0.58699226437317098</v>
      </c>
      <c r="BA83" s="75"/>
      <c r="BC83">
        <v>4.4989643718946627E-2</v>
      </c>
      <c r="BD83">
        <v>4.5143124091910111E-2</v>
      </c>
      <c r="BF83">
        <v>9.0132767810856745E-2</v>
      </c>
      <c r="BG83">
        <v>4.5066383905428373E-2</v>
      </c>
      <c r="BH83">
        <v>0.58599441815101727</v>
      </c>
      <c r="BI83" s="79" t="s">
        <v>1264</v>
      </c>
      <c r="BJ83" s="79">
        <v>1373</v>
      </c>
      <c r="BK83" s="79">
        <v>48</v>
      </c>
      <c r="BM83" s="79" t="s">
        <v>1275</v>
      </c>
      <c r="BN83" s="79" t="s">
        <v>863</v>
      </c>
      <c r="BO83" s="79">
        <v>0.1</v>
      </c>
      <c r="BQ83" s="79">
        <v>1.5</v>
      </c>
      <c r="BR83" s="79">
        <v>15</v>
      </c>
      <c r="BS83" s="79" t="s">
        <v>464</v>
      </c>
      <c r="BT83" s="79" t="s">
        <v>464</v>
      </c>
      <c r="BU83" s="79" t="s">
        <v>1271</v>
      </c>
      <c r="BV83" s="79">
        <v>450</v>
      </c>
      <c r="BW83" s="79">
        <v>400</v>
      </c>
      <c r="BZ83" s="81">
        <v>0</v>
      </c>
      <c r="CA83" t="e">
        <f t="shared" si="9"/>
        <v>#NUM!</v>
      </c>
    </row>
    <row r="84" spans="1:8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I84" s="2"/>
      <c r="J84" s="25">
        <v>1</v>
      </c>
      <c r="K84">
        <v>1</v>
      </c>
      <c r="L84">
        <v>0</v>
      </c>
      <c r="M84" s="2" t="s">
        <v>464</v>
      </c>
      <c r="N84" s="2" t="s">
        <v>464</v>
      </c>
      <c r="O84" s="2" t="s">
        <v>464</v>
      </c>
      <c r="P84" s="2" t="s">
        <v>440</v>
      </c>
      <c r="Q84" s="2"/>
      <c r="R84" s="25">
        <v>3.969049</v>
      </c>
      <c r="S84" s="25">
        <v>3.969049</v>
      </c>
      <c r="T84" s="25">
        <v>3.969049</v>
      </c>
      <c r="U84">
        <v>4</v>
      </c>
      <c r="V84">
        <v>4.2110000000000003</v>
      </c>
      <c r="W84">
        <v>3.875</v>
      </c>
      <c r="X84">
        <v>0</v>
      </c>
      <c r="AA84" s="2" t="s">
        <v>464</v>
      </c>
      <c r="AB84">
        <v>6</v>
      </c>
      <c r="AC84" s="55" t="e">
        <f t="shared" si="1"/>
        <v>#VALUE!</v>
      </c>
      <c r="AD84" s="57">
        <v>62.525817922855822</v>
      </c>
      <c r="AE84" s="55">
        <v>65.270499999999998</v>
      </c>
      <c r="AF84" s="55">
        <v>0</v>
      </c>
      <c r="AG84" s="52"/>
      <c r="AH84" s="51">
        <v>9.5960360045234158E-2</v>
      </c>
      <c r="AI84" s="52">
        <v>9.1925142292459849E-2</v>
      </c>
      <c r="AJ84" s="52"/>
      <c r="AK84" s="28">
        <v>2</v>
      </c>
      <c r="AL84" s="28">
        <v>2.8</v>
      </c>
      <c r="AM84" s="28">
        <v>2.4</v>
      </c>
      <c r="AN84" s="28">
        <v>2.8</v>
      </c>
      <c r="AO84" s="28">
        <v>0.2</v>
      </c>
      <c r="AP84" s="28">
        <v>0.28000000000000003</v>
      </c>
      <c r="AQ84" s="28">
        <v>0.24</v>
      </c>
      <c r="AR84" s="28">
        <v>0.28000000000000003</v>
      </c>
      <c r="AS84" s="25">
        <v>1.54</v>
      </c>
      <c r="AT84" s="25">
        <v>3.44</v>
      </c>
      <c r="AU84" s="25">
        <v>1.9</v>
      </c>
      <c r="AV84" s="25">
        <v>2.8380000000000001</v>
      </c>
      <c r="AW84">
        <v>2.8380000000000001</v>
      </c>
      <c r="AX84">
        <v>5.9914547000000002</v>
      </c>
      <c r="AY84" s="75">
        <v>0.58734468850194366</v>
      </c>
      <c r="AZ84" s="75">
        <v>0.56264632646033053</v>
      </c>
      <c r="BA84" s="75"/>
      <c r="BC84">
        <v>4.7980180022617079E-2</v>
      </c>
      <c r="BD84">
        <v>4.5962571146229918E-2</v>
      </c>
      <c r="BF84">
        <v>9.3942751168847011E-2</v>
      </c>
      <c r="BG84">
        <v>4.6971375584423498E-2</v>
      </c>
      <c r="BH84">
        <v>0.57499550748113704</v>
      </c>
      <c r="BI84" s="79" t="s">
        <v>1264</v>
      </c>
      <c r="BJ84" s="79">
        <v>1373</v>
      </c>
      <c r="BK84" s="79">
        <v>48</v>
      </c>
      <c r="BM84" s="79" t="s">
        <v>1275</v>
      </c>
      <c r="BN84" s="79" t="s">
        <v>863</v>
      </c>
      <c r="BO84" s="79">
        <v>0.1</v>
      </c>
      <c r="BQ84" s="79">
        <v>1.5</v>
      </c>
      <c r="BR84" s="79">
        <v>15</v>
      </c>
      <c r="BS84" s="79" t="s">
        <v>464</v>
      </c>
      <c r="BT84" s="79" t="s">
        <v>464</v>
      </c>
      <c r="BU84" s="79" t="s">
        <v>1271</v>
      </c>
      <c r="BV84" s="79">
        <v>450</v>
      </c>
      <c r="BW84" s="79">
        <v>400</v>
      </c>
      <c r="BZ84" s="81">
        <v>45.3</v>
      </c>
      <c r="CA84">
        <f t="shared" si="9"/>
        <v>3.8133070324889884</v>
      </c>
    </row>
    <row r="85" spans="1:8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I85" s="2"/>
      <c r="J85" s="25">
        <v>1</v>
      </c>
      <c r="K85">
        <v>3</v>
      </c>
      <c r="L85">
        <v>0</v>
      </c>
      <c r="M85" s="2"/>
      <c r="N85" s="2"/>
      <c r="O85" s="2"/>
      <c r="P85" s="2"/>
      <c r="Q85" s="2"/>
      <c r="R85" s="25">
        <v>9.3662349099999993</v>
      </c>
      <c r="S85" s="25">
        <v>9.3662349099999993</v>
      </c>
      <c r="T85" s="25">
        <v>9.3662351000000008</v>
      </c>
      <c r="U85">
        <v>5.5609999999999999</v>
      </c>
      <c r="V85">
        <v>5.5609999999999999</v>
      </c>
      <c r="W85">
        <v>26.24</v>
      </c>
      <c r="X85">
        <v>0</v>
      </c>
      <c r="AA85" s="2" t="s">
        <v>464</v>
      </c>
      <c r="AB85">
        <v>24</v>
      </c>
      <c r="AC85" s="55">
        <f t="shared" si="1"/>
        <v>0</v>
      </c>
      <c r="AD85" s="57">
        <v>238.908881754341</v>
      </c>
      <c r="AE85" s="55">
        <v>702.74902632242595</v>
      </c>
      <c r="AF85" s="55">
        <v>0</v>
      </c>
      <c r="AG85" s="52"/>
      <c r="AH85" s="51">
        <v>0.10045670895014321</v>
      </c>
      <c r="AI85" s="52">
        <v>0.1024547844296349</v>
      </c>
      <c r="AJ85" s="52"/>
      <c r="AK85" s="28">
        <v>2</v>
      </c>
      <c r="AL85" s="28">
        <v>2.5263157894736841</v>
      </c>
      <c r="AM85" s="28">
        <v>0.52631578947368418</v>
      </c>
      <c r="AN85" s="28">
        <v>0</v>
      </c>
      <c r="AO85" s="28">
        <v>0.39583333333333343</v>
      </c>
      <c r="AP85" s="28">
        <v>0.5</v>
      </c>
      <c r="AQ85" s="28">
        <v>0.1041666666666667</v>
      </c>
      <c r="AR85" s="28">
        <v>0</v>
      </c>
      <c r="AS85" s="25">
        <v>1.1000000000000001</v>
      </c>
      <c r="AT85" s="25">
        <v>3.44</v>
      </c>
      <c r="AU85" s="25">
        <v>2.34</v>
      </c>
      <c r="AV85" s="25">
        <v>2.647368421052632</v>
      </c>
      <c r="AW85">
        <v>2.6473684210526311</v>
      </c>
      <c r="AX85">
        <v>5.9525974578947363</v>
      </c>
      <c r="AY85" s="75">
        <v>0.55552189395192297</v>
      </c>
      <c r="AZ85" s="75">
        <v>0.56657117763069742</v>
      </c>
      <c r="BA85" s="75"/>
      <c r="BC85">
        <v>5.0228354475071582E-2</v>
      </c>
      <c r="BD85">
        <v>5.1227392214817473E-2</v>
      </c>
      <c r="BF85">
        <v>0.10145574668988901</v>
      </c>
      <c r="BG85">
        <v>5.0727873344944517E-2</v>
      </c>
      <c r="BH85">
        <v>0.56104653579131014</v>
      </c>
      <c r="BI85" s="79" t="s">
        <v>1293</v>
      </c>
      <c r="BJ85" s="79">
        <v>1473</v>
      </c>
      <c r="BK85" s="79">
        <v>10</v>
      </c>
      <c r="BM85" s="79" t="s">
        <v>464</v>
      </c>
      <c r="BN85" s="79" t="s">
        <v>464</v>
      </c>
      <c r="BO85" s="79">
        <v>0</v>
      </c>
      <c r="BP85" s="79">
        <v>3.4</v>
      </c>
      <c r="BQ85" s="79">
        <v>1.32</v>
      </c>
      <c r="BR85" s="79">
        <v>0</v>
      </c>
      <c r="BS85" s="79" t="s">
        <v>464</v>
      </c>
      <c r="BT85" s="79" t="s">
        <v>464</v>
      </c>
      <c r="BU85" s="79" t="s">
        <v>1266</v>
      </c>
      <c r="BV85" s="79">
        <v>300</v>
      </c>
      <c r="BX85" s="79" t="s">
        <v>1287</v>
      </c>
      <c r="BZ85" s="81">
        <v>18</v>
      </c>
      <c r="CA85">
        <f t="shared" si="9"/>
        <v>2.8903717578961645</v>
      </c>
      <c r="CB85" s="13"/>
    </row>
    <row r="86" spans="1:8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I86" s="2"/>
      <c r="J86" s="25">
        <v>0</v>
      </c>
      <c r="K86">
        <v>0</v>
      </c>
      <c r="L86">
        <v>1</v>
      </c>
      <c r="M86" s="2"/>
      <c r="N86" s="2"/>
      <c r="O86" s="2"/>
      <c r="P86" s="2"/>
      <c r="Q86" s="2"/>
      <c r="R86" s="25">
        <v>0</v>
      </c>
      <c r="S86" s="25"/>
      <c r="T86" s="25"/>
      <c r="U86">
        <v>0</v>
      </c>
      <c r="X86">
        <v>5.532</v>
      </c>
      <c r="Y86">
        <v>5.532</v>
      </c>
      <c r="Z86">
        <v>11.016</v>
      </c>
      <c r="AA86" s="2" t="s">
        <v>464</v>
      </c>
      <c r="AB86">
        <v>30</v>
      </c>
      <c r="AC86" s="55">
        <f t="shared" si="1"/>
        <v>0</v>
      </c>
      <c r="AD86" s="57">
        <v>0</v>
      </c>
      <c r="AE86" s="55">
        <v>0</v>
      </c>
      <c r="AF86" s="55">
        <v>291.95700632233962</v>
      </c>
      <c r="AG86" s="52"/>
      <c r="AH86" s="51"/>
      <c r="AI86" s="52"/>
      <c r="AJ86" s="52">
        <v>0.1027548555107393</v>
      </c>
      <c r="AK86" s="28">
        <v>2</v>
      </c>
      <c r="AL86" s="28">
        <v>2.5</v>
      </c>
      <c r="AM86" s="28">
        <v>0.5</v>
      </c>
      <c r="AN86" s="28">
        <v>0</v>
      </c>
      <c r="AO86" s="28">
        <v>0.4</v>
      </c>
      <c r="AP86" s="28">
        <v>0.5</v>
      </c>
      <c r="AQ86" s="28">
        <v>0.1</v>
      </c>
      <c r="AR86" s="28">
        <v>0</v>
      </c>
      <c r="AS86" s="25">
        <v>1</v>
      </c>
      <c r="AT86" s="25">
        <v>3.44</v>
      </c>
      <c r="AU86" s="25">
        <v>2.44</v>
      </c>
      <c r="AV86" s="25">
        <v>2.6316666666666659</v>
      </c>
      <c r="AW86">
        <v>2.6316666666666668</v>
      </c>
      <c r="AX86">
        <v>5.9266157452083332</v>
      </c>
      <c r="AY86" s="75"/>
      <c r="AZ86" s="75"/>
      <c r="BA86" s="75">
        <v>0</v>
      </c>
      <c r="BE86">
        <v>5.1377427755369638E-2</v>
      </c>
      <c r="BF86">
        <v>0.1027548555107393</v>
      </c>
      <c r="BG86">
        <v>5.1377427755369638E-2</v>
      </c>
      <c r="BH86">
        <v>0</v>
      </c>
      <c r="BI86" s="79" t="s">
        <v>1293</v>
      </c>
      <c r="BJ86" s="79">
        <v>1373</v>
      </c>
      <c r="BK86" s="79">
        <v>10</v>
      </c>
      <c r="BM86" s="79" t="s">
        <v>464</v>
      </c>
      <c r="BN86" s="79" t="s">
        <v>464</v>
      </c>
      <c r="BO86" s="79">
        <v>0</v>
      </c>
      <c r="BP86" s="79">
        <v>6.2</v>
      </c>
      <c r="BQ86" s="79">
        <v>1.32</v>
      </c>
      <c r="BR86" s="79">
        <v>0</v>
      </c>
      <c r="BS86" s="79" t="s">
        <v>464</v>
      </c>
      <c r="BT86" s="79" t="s">
        <v>464</v>
      </c>
      <c r="BU86" s="79" t="s">
        <v>1266</v>
      </c>
      <c r="BV86" s="79">
        <v>300</v>
      </c>
      <c r="BX86" s="79" t="s">
        <v>1287</v>
      </c>
      <c r="BZ86" s="81">
        <v>6</v>
      </c>
      <c r="CA86">
        <f t="shared" si="9"/>
        <v>1.791759469228055</v>
      </c>
      <c r="CB86" s="13"/>
    </row>
    <row r="87" spans="1:8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I87" s="2"/>
      <c r="J87" s="25">
        <v>0</v>
      </c>
      <c r="K87">
        <v>0</v>
      </c>
      <c r="L87">
        <v>1</v>
      </c>
      <c r="M87" s="2"/>
      <c r="N87" s="2"/>
      <c r="O87" s="2"/>
      <c r="P87" s="2"/>
      <c r="Q87" s="2"/>
      <c r="R87" s="25">
        <v>0</v>
      </c>
      <c r="S87" s="25"/>
      <c r="T87" s="25"/>
      <c r="U87">
        <v>0</v>
      </c>
      <c r="X87">
        <v>5.55</v>
      </c>
      <c r="Y87">
        <v>5.55</v>
      </c>
      <c r="Z87">
        <v>11.066000000000001</v>
      </c>
      <c r="AA87" s="2" t="s">
        <v>464</v>
      </c>
      <c r="AB87">
        <v>30</v>
      </c>
      <c r="AC87" s="55">
        <f t="shared" si="1"/>
        <v>0</v>
      </c>
      <c r="AD87" s="57">
        <v>0</v>
      </c>
      <c r="AE87" s="55">
        <v>0</v>
      </c>
      <c r="AF87" s="55">
        <v>295.19382183577648</v>
      </c>
      <c r="AG87" s="52"/>
      <c r="AH87" s="51"/>
      <c r="AI87" s="52"/>
      <c r="AJ87" s="52">
        <v>0.1016281432092089</v>
      </c>
      <c r="AK87" s="28">
        <v>2</v>
      </c>
      <c r="AL87" s="28">
        <v>2.5</v>
      </c>
      <c r="AM87" s="28">
        <v>0.5</v>
      </c>
      <c r="AN87" s="28">
        <v>0</v>
      </c>
      <c r="AO87" s="28">
        <v>0.4</v>
      </c>
      <c r="AP87" s="28">
        <v>0.5</v>
      </c>
      <c r="AQ87" s="28">
        <v>0.1</v>
      </c>
      <c r="AR87" s="28">
        <v>0</v>
      </c>
      <c r="AS87" s="25">
        <v>0.95</v>
      </c>
      <c r="AT87" s="25">
        <v>3.44</v>
      </c>
      <c r="AU87" s="25">
        <v>2.4900000000000002</v>
      </c>
      <c r="AV87" s="25">
        <v>2.6295833333333332</v>
      </c>
      <c r="AW87">
        <v>2.6295833333333332</v>
      </c>
      <c r="AX87">
        <v>5.9184746406250008</v>
      </c>
      <c r="AY87" s="75"/>
      <c r="AZ87" s="75"/>
      <c r="BA87" s="75">
        <v>0</v>
      </c>
      <c r="BE87">
        <v>5.0814071604604473E-2</v>
      </c>
      <c r="BF87">
        <v>0.1016281432092089</v>
      </c>
      <c r="BG87">
        <v>5.0814071604604473E-2</v>
      </c>
      <c r="BH87">
        <v>0</v>
      </c>
      <c r="BI87" s="79" t="s">
        <v>1293</v>
      </c>
      <c r="BJ87" s="79">
        <v>1373</v>
      </c>
      <c r="BK87" s="79">
        <v>10</v>
      </c>
      <c r="BM87" s="79" t="s">
        <v>464</v>
      </c>
      <c r="BN87" s="79" t="s">
        <v>464</v>
      </c>
      <c r="BO87" s="79">
        <v>0</v>
      </c>
      <c r="BP87" s="79">
        <v>6.2</v>
      </c>
      <c r="BQ87" s="79">
        <v>1.32</v>
      </c>
      <c r="BR87" s="79">
        <v>0</v>
      </c>
      <c r="BS87" s="79" t="s">
        <v>464</v>
      </c>
      <c r="BT87" s="79" t="s">
        <v>464</v>
      </c>
      <c r="BU87" s="79" t="s">
        <v>1266</v>
      </c>
      <c r="BV87" s="79">
        <v>300</v>
      </c>
      <c r="BX87" s="79" t="s">
        <v>1287</v>
      </c>
      <c r="BZ87" s="81">
        <v>4</v>
      </c>
      <c r="CA87">
        <f t="shared" si="9"/>
        <v>1.3862943611198906</v>
      </c>
      <c r="CB87" s="13"/>
    </row>
    <row r="88" spans="1:8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I88" s="2"/>
      <c r="J88" s="25">
        <v>2</v>
      </c>
      <c r="K88">
        <v>2</v>
      </c>
      <c r="L88">
        <v>0</v>
      </c>
      <c r="M88" s="2"/>
      <c r="N88" s="2"/>
      <c r="O88" s="2"/>
      <c r="P88" s="2"/>
      <c r="Q88" s="2"/>
      <c r="R88" s="25">
        <v>5.6269875200000001</v>
      </c>
      <c r="S88" s="25">
        <v>5.6269875200000001</v>
      </c>
      <c r="T88" s="25">
        <v>22.749475</v>
      </c>
      <c r="U88">
        <v>5.5670999999999999</v>
      </c>
      <c r="V88">
        <v>5.5670999999999999</v>
      </c>
      <c r="W88">
        <v>22.4603</v>
      </c>
      <c r="X88">
        <v>0</v>
      </c>
      <c r="AA88" s="2" t="s">
        <v>464</v>
      </c>
      <c r="AB88">
        <v>30</v>
      </c>
      <c r="AC88" s="55">
        <f t="shared" si="1"/>
        <v>0</v>
      </c>
      <c r="AD88" s="57">
        <v>623.81230762201892</v>
      </c>
      <c r="AE88" s="55">
        <v>602.84300974379039</v>
      </c>
      <c r="AF88" s="55">
        <v>0</v>
      </c>
      <c r="AG88" s="52"/>
      <c r="AH88" s="51">
        <v>9.6182776881592519E-2</v>
      </c>
      <c r="AI88" s="52">
        <v>9.9528399650018556E-2</v>
      </c>
      <c r="AJ88" s="52"/>
      <c r="AK88" s="28">
        <v>2</v>
      </c>
      <c r="AL88" s="28">
        <v>2.5</v>
      </c>
      <c r="AM88" s="28">
        <v>0.5</v>
      </c>
      <c r="AN88" s="28">
        <v>0</v>
      </c>
      <c r="AO88" s="28">
        <v>0.4</v>
      </c>
      <c r="AP88" s="28">
        <v>0.5</v>
      </c>
      <c r="AQ88" s="28">
        <v>0.1</v>
      </c>
      <c r="AR88" s="28">
        <v>0</v>
      </c>
      <c r="AS88" s="25">
        <v>0.89</v>
      </c>
      <c r="AT88" s="25">
        <v>3.44</v>
      </c>
      <c r="AU88" s="25">
        <v>2.5499999999999998</v>
      </c>
      <c r="AV88" s="25">
        <v>2.6270833333333332</v>
      </c>
      <c r="AW88">
        <v>2.6270833333333332</v>
      </c>
      <c r="AX88">
        <v>5.9103362479166668</v>
      </c>
      <c r="AY88" s="75">
        <v>0.55608047790729209</v>
      </c>
      <c r="AZ88" s="75">
        <v>0</v>
      </c>
      <c r="BA88" s="75"/>
      <c r="BC88">
        <v>4.8091388440796259E-2</v>
      </c>
      <c r="BD88">
        <v>4.9764199825009278E-2</v>
      </c>
      <c r="BF88">
        <v>9.7855588265805538E-2</v>
      </c>
      <c r="BG88">
        <v>4.8927794132902769E-2</v>
      </c>
      <c r="BH88">
        <v>0.27804023895364599</v>
      </c>
      <c r="BI88" s="79" t="s">
        <v>1293</v>
      </c>
      <c r="BJ88" s="79">
        <v>1373</v>
      </c>
      <c r="BK88" s="79">
        <v>10</v>
      </c>
      <c r="BM88" s="79" t="s">
        <v>464</v>
      </c>
      <c r="BN88" s="79" t="s">
        <v>464</v>
      </c>
      <c r="BO88" s="79">
        <v>0</v>
      </c>
      <c r="BP88" s="79">
        <v>6.1</v>
      </c>
      <c r="BQ88" s="79">
        <v>1.32</v>
      </c>
      <c r="BR88" s="79">
        <v>0</v>
      </c>
      <c r="BS88" s="79" t="s">
        <v>464</v>
      </c>
      <c r="BT88" s="79" t="s">
        <v>464</v>
      </c>
      <c r="BU88" s="79" t="s">
        <v>1266</v>
      </c>
      <c r="BV88" s="79">
        <v>300</v>
      </c>
      <c r="BX88" s="79" t="s">
        <v>1287</v>
      </c>
      <c r="BZ88" s="81">
        <v>10</v>
      </c>
      <c r="CA88">
        <f t="shared" si="9"/>
        <v>2.3025850929940459</v>
      </c>
      <c r="CB88" s="13"/>
    </row>
    <row r="89" spans="1:8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I89" s="2"/>
      <c r="J89" s="25">
        <v>1</v>
      </c>
      <c r="K89">
        <v>0</v>
      </c>
      <c r="L89">
        <v>0</v>
      </c>
      <c r="M89" s="2"/>
      <c r="N89" s="2"/>
      <c r="O89" s="2"/>
      <c r="P89" s="2"/>
      <c r="Q89" s="2"/>
      <c r="R89" s="25">
        <v>9.9321903099999993</v>
      </c>
      <c r="S89" s="25">
        <v>9.9321903099999993</v>
      </c>
      <c r="T89" s="25">
        <v>9.9321899499999997</v>
      </c>
      <c r="U89">
        <v>0</v>
      </c>
      <c r="X89">
        <v>0</v>
      </c>
      <c r="AA89" s="2" t="s">
        <v>464</v>
      </c>
      <c r="AB89">
        <v>24</v>
      </c>
      <c r="AC89" s="55">
        <f t="shared" si="1"/>
        <v>0</v>
      </c>
      <c r="AD89" s="57">
        <v>275.17611786249188</v>
      </c>
      <c r="AE89" s="55">
        <v>0</v>
      </c>
      <c r="AF89" s="55">
        <v>0</v>
      </c>
      <c r="AG89" s="52"/>
      <c r="AH89" s="51">
        <v>8.7216871094871057E-2</v>
      </c>
      <c r="AI89" s="52"/>
      <c r="AJ89" s="52"/>
      <c r="AK89" s="28">
        <v>1.8421052631578949</v>
      </c>
      <c r="AL89" s="28">
        <v>2.5263157894736841</v>
      </c>
      <c r="AM89" s="28">
        <v>0.68421052631578949</v>
      </c>
      <c r="AN89" s="28">
        <v>0</v>
      </c>
      <c r="AO89" s="28">
        <v>0.36458333333333343</v>
      </c>
      <c r="AP89" s="28">
        <v>0.5</v>
      </c>
      <c r="AQ89" s="28">
        <v>0.13541666666666671</v>
      </c>
      <c r="AR89" s="28">
        <v>0</v>
      </c>
      <c r="AS89" s="25">
        <v>0.89</v>
      </c>
      <c r="AT89" s="25">
        <v>3.44</v>
      </c>
      <c r="AU89" s="25">
        <v>2.5499999999999998</v>
      </c>
      <c r="AV89" s="25">
        <v>2.6236842105263158</v>
      </c>
      <c r="AW89">
        <v>2.623684210526315</v>
      </c>
      <c r="AX89">
        <v>5.9521582263157891</v>
      </c>
      <c r="AY89" s="75">
        <v>0.56264133404440497</v>
      </c>
      <c r="AZ89" s="75"/>
      <c r="BA89" s="75"/>
      <c r="BC89">
        <v>4.3608435547435528E-2</v>
      </c>
      <c r="BF89">
        <v>8.7216871094871057E-2</v>
      </c>
      <c r="BG89">
        <v>4.3608435547435528E-2</v>
      </c>
      <c r="BH89">
        <v>0.56264133404440497</v>
      </c>
      <c r="BI89" s="79" t="s">
        <v>1293</v>
      </c>
      <c r="BJ89" s="79">
        <v>1073</v>
      </c>
      <c r="BK89" s="79">
        <v>10</v>
      </c>
      <c r="BM89" s="79" t="s">
        <v>464</v>
      </c>
      <c r="BN89" s="79" t="s">
        <v>464</v>
      </c>
      <c r="BO89" s="79">
        <v>0</v>
      </c>
      <c r="BP89" s="79">
        <v>5.8</v>
      </c>
      <c r="BQ89" s="79">
        <v>1.32</v>
      </c>
      <c r="BR89" s="79">
        <v>0</v>
      </c>
      <c r="BS89" s="79" t="s">
        <v>464</v>
      </c>
      <c r="BT89" s="79" t="s">
        <v>464</v>
      </c>
      <c r="BU89" s="79" t="s">
        <v>1266</v>
      </c>
      <c r="BV89" s="79">
        <v>300</v>
      </c>
      <c r="BX89" s="79" t="s">
        <v>1287</v>
      </c>
      <c r="BZ89" s="81">
        <v>4</v>
      </c>
      <c r="CA89">
        <f t="shared" si="9"/>
        <v>1.3862943611198906</v>
      </c>
      <c r="CB89" s="13"/>
    </row>
    <row r="90" spans="1:8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I90" s="2"/>
      <c r="J90" s="25">
        <v>1</v>
      </c>
      <c r="K90">
        <v>2</v>
      </c>
      <c r="L90">
        <v>0</v>
      </c>
      <c r="M90" s="2"/>
      <c r="N90" s="2"/>
      <c r="O90" s="2"/>
      <c r="P90" s="2"/>
      <c r="Q90" s="2"/>
      <c r="R90" s="25">
        <v>5.7458564399999998</v>
      </c>
      <c r="S90" s="25">
        <v>5.7458564399999998</v>
      </c>
      <c r="T90" s="25">
        <v>11.67169612</v>
      </c>
      <c r="U90">
        <v>5.6660000000000004</v>
      </c>
      <c r="V90">
        <v>5.6659999999999986</v>
      </c>
      <c r="W90">
        <v>22.968</v>
      </c>
      <c r="X90">
        <v>0</v>
      </c>
      <c r="AA90" s="2" t="s">
        <v>464</v>
      </c>
      <c r="AB90">
        <v>30</v>
      </c>
      <c r="AC90" s="55">
        <f t="shared" si="1"/>
        <v>0</v>
      </c>
      <c r="AD90" s="57">
        <v>333.30247418302179</v>
      </c>
      <c r="AE90" s="55">
        <v>638.56770625824583</v>
      </c>
      <c r="AF90" s="55">
        <v>0</v>
      </c>
      <c r="AG90" s="52"/>
      <c r="AH90" s="51">
        <v>9.0008332742008132E-2</v>
      </c>
      <c r="AI90" s="52">
        <v>9.3960279249911127E-2</v>
      </c>
      <c r="AJ90" s="52"/>
      <c r="AK90" s="28">
        <v>1.833333333333333</v>
      </c>
      <c r="AL90" s="28">
        <v>2.5</v>
      </c>
      <c r="AM90" s="28">
        <v>0.66666666666666663</v>
      </c>
      <c r="AN90" s="28">
        <v>0</v>
      </c>
      <c r="AO90" s="28">
        <v>0.36666666666666659</v>
      </c>
      <c r="AP90" s="28">
        <v>0.5</v>
      </c>
      <c r="AQ90" s="28">
        <v>0.1333333333333333</v>
      </c>
      <c r="AR90" s="28">
        <v>0</v>
      </c>
      <c r="AS90" s="25">
        <v>0.95</v>
      </c>
      <c r="AT90" s="25">
        <v>3.44</v>
      </c>
      <c r="AU90" s="25">
        <v>2.4900000000000002</v>
      </c>
      <c r="AV90" s="25">
        <v>2.614583333333333</v>
      </c>
      <c r="AW90">
        <v>2.614583333333333</v>
      </c>
      <c r="AX90">
        <v>5.9505645781250003</v>
      </c>
      <c r="AY90" s="75">
        <v>0.54547732833861384</v>
      </c>
      <c r="AZ90" s="75">
        <v>0.56942730227099381</v>
      </c>
      <c r="BA90" s="75"/>
      <c r="BC90">
        <v>4.5004166371004073E-2</v>
      </c>
      <c r="BD90">
        <v>4.6980139624955557E-2</v>
      </c>
      <c r="BF90">
        <v>9.1984305995959637E-2</v>
      </c>
      <c r="BG90">
        <v>4.5992152997979818E-2</v>
      </c>
      <c r="BH90">
        <v>0.55745231530480388</v>
      </c>
      <c r="BI90" s="79" t="s">
        <v>1293</v>
      </c>
      <c r="BJ90" s="79">
        <v>1073</v>
      </c>
      <c r="BK90" s="79">
        <v>10</v>
      </c>
      <c r="BM90" s="79" t="s">
        <v>464</v>
      </c>
      <c r="BN90" s="79" t="s">
        <v>464</v>
      </c>
      <c r="BO90" s="79">
        <v>0</v>
      </c>
      <c r="BP90" s="79">
        <v>7.9</v>
      </c>
      <c r="BQ90" s="79">
        <v>1.32</v>
      </c>
      <c r="BR90" s="79">
        <v>0</v>
      </c>
      <c r="BS90" s="79" t="s">
        <v>464</v>
      </c>
      <c r="BT90" s="79" t="s">
        <v>464</v>
      </c>
      <c r="BU90" s="79" t="s">
        <v>1266</v>
      </c>
      <c r="BV90" s="79">
        <v>300</v>
      </c>
      <c r="BX90" s="79" t="s">
        <v>1287</v>
      </c>
      <c r="BZ90" s="81">
        <v>6</v>
      </c>
      <c r="CA90">
        <f t="shared" si="9"/>
        <v>1.791759469228055</v>
      </c>
      <c r="CB90" s="13"/>
    </row>
    <row r="91" spans="1:8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I91" s="2"/>
      <c r="J91" s="25">
        <v>1</v>
      </c>
      <c r="K91">
        <v>1</v>
      </c>
      <c r="L91">
        <v>0</v>
      </c>
      <c r="M91" s="2"/>
      <c r="N91" s="2"/>
      <c r="O91" s="2"/>
      <c r="P91" s="2"/>
      <c r="Q91" s="2"/>
      <c r="R91" s="25">
        <v>5.8532381300000003</v>
      </c>
      <c r="S91" s="25">
        <v>5.8532371599999999</v>
      </c>
      <c r="T91" s="25">
        <v>11.912811489999999</v>
      </c>
      <c r="U91">
        <v>5.7946</v>
      </c>
      <c r="V91">
        <v>5.7946</v>
      </c>
      <c r="W91">
        <v>11.787599999999999</v>
      </c>
      <c r="X91">
        <v>0</v>
      </c>
      <c r="AA91" s="2" t="s">
        <v>464</v>
      </c>
      <c r="AB91">
        <v>30</v>
      </c>
      <c r="AC91" s="55">
        <f t="shared" si="1"/>
        <v>0</v>
      </c>
      <c r="AD91" s="57">
        <v>353.45760058531442</v>
      </c>
      <c r="AE91" s="55">
        <v>342.77011164986573</v>
      </c>
      <c r="AF91" s="55">
        <v>0</v>
      </c>
      <c r="AG91" s="52"/>
      <c r="AH91" s="51">
        <v>8.487580957467307E-2</v>
      </c>
      <c r="AI91" s="52">
        <v>8.752221672887435E-2</v>
      </c>
      <c r="AJ91" s="52"/>
      <c r="AK91" s="28">
        <v>1.833333333333333</v>
      </c>
      <c r="AL91" s="28">
        <v>2.5</v>
      </c>
      <c r="AM91" s="28">
        <v>0.66666666666666663</v>
      </c>
      <c r="AN91" s="28">
        <v>0</v>
      </c>
      <c r="AO91" s="28">
        <v>0.36666666666666659</v>
      </c>
      <c r="AP91" s="28">
        <v>0.5</v>
      </c>
      <c r="AQ91" s="28">
        <v>0.1333333333333333</v>
      </c>
      <c r="AR91" s="28">
        <v>0</v>
      </c>
      <c r="AS91" s="25">
        <v>0.89</v>
      </c>
      <c r="AT91" s="25">
        <v>3.44</v>
      </c>
      <c r="AU91" s="25">
        <v>2.5499999999999998</v>
      </c>
      <c r="AV91" s="25">
        <v>2.6020833333333329</v>
      </c>
      <c r="AW91">
        <v>2.6020833333333329</v>
      </c>
      <c r="AX91">
        <v>5.9098726145833336</v>
      </c>
      <c r="AY91" s="75">
        <v>0.57410011132036598</v>
      </c>
      <c r="AZ91" s="75">
        <v>0.59200041353179045</v>
      </c>
      <c r="BA91" s="75"/>
      <c r="BC91">
        <v>4.2437904787336528E-2</v>
      </c>
      <c r="BD91">
        <v>4.3761108364437168E-2</v>
      </c>
      <c r="BF91">
        <v>8.619901315177371E-2</v>
      </c>
      <c r="BG91">
        <v>4.3099506575886848E-2</v>
      </c>
      <c r="BH91">
        <v>0.58305026242607827</v>
      </c>
      <c r="BI91" s="79" t="s">
        <v>1293</v>
      </c>
      <c r="BJ91" s="79">
        <v>1073</v>
      </c>
      <c r="BK91" s="79">
        <v>10</v>
      </c>
      <c r="BM91" s="79" t="s">
        <v>464</v>
      </c>
      <c r="BN91" s="79" t="s">
        <v>464</v>
      </c>
      <c r="BO91" s="79">
        <v>0</v>
      </c>
      <c r="BP91" s="79">
        <v>1.9</v>
      </c>
      <c r="BQ91" s="79">
        <v>1.32</v>
      </c>
      <c r="BR91" s="79">
        <v>0</v>
      </c>
      <c r="BS91" s="79" t="s">
        <v>464</v>
      </c>
      <c r="BT91" s="79" t="s">
        <v>464</v>
      </c>
      <c r="BU91" s="79" t="s">
        <v>1266</v>
      </c>
      <c r="BV91" s="79">
        <v>300</v>
      </c>
      <c r="BX91" s="79" t="s">
        <v>1287</v>
      </c>
      <c r="BZ91" s="81">
        <v>6</v>
      </c>
      <c r="CA91">
        <f t="shared" si="9"/>
        <v>1.791759469228055</v>
      </c>
      <c r="CB91" s="13"/>
    </row>
    <row r="92" spans="1:8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I92" s="2"/>
      <c r="J92" s="25">
        <v>1</v>
      </c>
      <c r="K92">
        <v>3</v>
      </c>
      <c r="L92">
        <v>0</v>
      </c>
      <c r="M92" s="2"/>
      <c r="N92" s="2"/>
      <c r="O92" s="2"/>
      <c r="P92" s="2"/>
      <c r="Q92" s="2"/>
      <c r="R92" s="25">
        <v>9.3662349099999993</v>
      </c>
      <c r="S92" s="25">
        <v>9.3662349099999993</v>
      </c>
      <c r="T92" s="25">
        <v>9.3662351000000008</v>
      </c>
      <c r="U92">
        <v>5.5609999999999999</v>
      </c>
      <c r="V92">
        <v>5.5609999999999999</v>
      </c>
      <c r="W92">
        <v>26.24</v>
      </c>
      <c r="X92">
        <v>0</v>
      </c>
      <c r="AA92" s="2" t="s">
        <v>464</v>
      </c>
      <c r="AB92">
        <v>24</v>
      </c>
      <c r="AC92" s="55">
        <f t="shared" ref="AC92:AC95" si="10">M92*N92*O92</f>
        <v>0</v>
      </c>
      <c r="AD92" s="57">
        <v>238.908881754341</v>
      </c>
      <c r="AE92" s="55">
        <v>702.74902632242595</v>
      </c>
      <c r="AF92" s="55">
        <v>0</v>
      </c>
      <c r="AG92" s="52"/>
      <c r="AH92" s="51">
        <v>0.10045670895014321</v>
      </c>
      <c r="AI92" s="52">
        <v>0.1024547844296349</v>
      </c>
      <c r="AJ92" s="52"/>
      <c r="AK92" s="28">
        <v>2</v>
      </c>
      <c r="AL92" s="28">
        <v>2.5263157894736841</v>
      </c>
      <c r="AM92" s="28">
        <v>0.52631578947368418</v>
      </c>
      <c r="AN92" s="28">
        <v>0</v>
      </c>
      <c r="AO92" s="28">
        <v>0.39583333333333343</v>
      </c>
      <c r="AP92" s="28">
        <v>0.5</v>
      </c>
      <c r="AQ92" s="28">
        <v>0.1041666666666667</v>
      </c>
      <c r="AR92" s="28">
        <v>0</v>
      </c>
      <c r="AS92" s="25">
        <v>1.1000000000000001</v>
      </c>
      <c r="AT92" s="25">
        <v>3.44</v>
      </c>
      <c r="AU92" s="25">
        <v>2.34</v>
      </c>
      <c r="AV92" s="25">
        <v>2.647368421052632</v>
      </c>
      <c r="AW92">
        <v>2.6473684210526311</v>
      </c>
      <c r="AX92">
        <v>5.9525974578947363</v>
      </c>
      <c r="AY92" s="75">
        <v>0.55552189395192297</v>
      </c>
      <c r="AZ92" s="75">
        <v>0.56657117763069742</v>
      </c>
      <c r="BA92" s="75"/>
      <c r="BC92">
        <v>5.0228354475071582E-2</v>
      </c>
      <c r="BD92">
        <v>5.1227392214817473E-2</v>
      </c>
      <c r="BF92">
        <v>0.10145574668988901</v>
      </c>
      <c r="BG92">
        <v>5.0727873344944517E-2</v>
      </c>
      <c r="BH92">
        <v>0.56104653579131014</v>
      </c>
      <c r="BI92" s="79" t="s">
        <v>1293</v>
      </c>
      <c r="BJ92" s="79">
        <v>1473</v>
      </c>
      <c r="BK92" s="79">
        <v>10</v>
      </c>
      <c r="BM92" s="79" t="s">
        <v>1275</v>
      </c>
      <c r="BN92" s="79" t="s">
        <v>56</v>
      </c>
      <c r="BO92" s="79">
        <v>0.6</v>
      </c>
      <c r="BP92" s="79">
        <v>3.4</v>
      </c>
      <c r="BQ92" s="79">
        <v>1.32</v>
      </c>
      <c r="BR92" s="79">
        <v>0</v>
      </c>
      <c r="BS92" s="79" t="s">
        <v>464</v>
      </c>
      <c r="BT92" s="79" t="s">
        <v>464</v>
      </c>
      <c r="BU92" s="79" t="s">
        <v>1266</v>
      </c>
      <c r="BV92" s="79">
        <v>300</v>
      </c>
      <c r="BX92" s="79" t="s">
        <v>1287</v>
      </c>
      <c r="BZ92" s="81">
        <f>357*2</f>
        <v>714</v>
      </c>
      <c r="CA92">
        <f t="shared" si="9"/>
        <v>6.5708829623395841</v>
      </c>
      <c r="CB92" s="13"/>
    </row>
    <row r="93" spans="1:8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I93" s="2"/>
      <c r="J93" s="25">
        <v>0</v>
      </c>
      <c r="K93">
        <v>0</v>
      </c>
      <c r="L93">
        <v>1</v>
      </c>
      <c r="M93" s="2"/>
      <c r="N93" s="2"/>
      <c r="O93" s="2"/>
      <c r="P93" s="2"/>
      <c r="Q93" s="2"/>
      <c r="R93" s="25">
        <v>0</v>
      </c>
      <c r="S93" s="25"/>
      <c r="T93" s="25"/>
      <c r="U93">
        <v>0</v>
      </c>
      <c r="X93">
        <v>5.532</v>
      </c>
      <c r="Y93">
        <v>5.532</v>
      </c>
      <c r="Z93">
        <v>11.016</v>
      </c>
      <c r="AA93" s="2" t="s">
        <v>464</v>
      </c>
      <c r="AB93">
        <v>30</v>
      </c>
      <c r="AC93" s="55">
        <f t="shared" si="10"/>
        <v>0</v>
      </c>
      <c r="AD93" s="57">
        <v>0</v>
      </c>
      <c r="AE93" s="55">
        <v>0</v>
      </c>
      <c r="AF93" s="55">
        <v>291.95700632233962</v>
      </c>
      <c r="AG93" s="52"/>
      <c r="AH93" s="51"/>
      <c r="AI93" s="52"/>
      <c r="AJ93" s="52">
        <v>0.1027548555107393</v>
      </c>
      <c r="AK93" s="28">
        <v>2</v>
      </c>
      <c r="AL93" s="28">
        <v>2.5</v>
      </c>
      <c r="AM93" s="28">
        <v>0.5</v>
      </c>
      <c r="AN93" s="28">
        <v>0</v>
      </c>
      <c r="AO93" s="28">
        <v>0.4</v>
      </c>
      <c r="AP93" s="28">
        <v>0.5</v>
      </c>
      <c r="AQ93" s="28">
        <v>0.1</v>
      </c>
      <c r="AR93" s="28">
        <v>0</v>
      </c>
      <c r="AS93" s="25">
        <v>1</v>
      </c>
      <c r="AT93" s="25">
        <v>3.44</v>
      </c>
      <c r="AU93" s="25">
        <v>2.44</v>
      </c>
      <c r="AV93" s="25">
        <v>2.6316666666666659</v>
      </c>
      <c r="AW93">
        <v>2.6316666666666668</v>
      </c>
      <c r="AX93">
        <v>5.9266157452083332</v>
      </c>
      <c r="AY93" s="75"/>
      <c r="AZ93" s="75"/>
      <c r="BA93" s="75">
        <v>0</v>
      </c>
      <c r="BE93">
        <v>5.1377427755369638E-2</v>
      </c>
      <c r="BF93">
        <v>0.1027548555107393</v>
      </c>
      <c r="BG93">
        <v>5.1377427755369638E-2</v>
      </c>
      <c r="BH93">
        <v>0</v>
      </c>
      <c r="BI93" s="79" t="s">
        <v>1293</v>
      </c>
      <c r="BJ93" s="79">
        <v>1373</v>
      </c>
      <c r="BK93" s="79">
        <v>10</v>
      </c>
      <c r="BM93" s="79" t="s">
        <v>1275</v>
      </c>
      <c r="BN93" s="79" t="s">
        <v>56</v>
      </c>
      <c r="BO93" s="79">
        <v>0.2</v>
      </c>
      <c r="BP93" s="79">
        <v>6.2</v>
      </c>
      <c r="BQ93" s="79">
        <v>1.32</v>
      </c>
      <c r="BR93" s="79">
        <v>0</v>
      </c>
      <c r="BS93" s="79" t="s">
        <v>464</v>
      </c>
      <c r="BT93" s="79" t="s">
        <v>464</v>
      </c>
      <c r="BU93" s="79" t="s">
        <v>1266</v>
      </c>
      <c r="BV93" s="79">
        <v>300</v>
      </c>
      <c r="BX93" s="79" t="s">
        <v>1287</v>
      </c>
      <c r="BZ93" s="81">
        <f>11*2</f>
        <v>22</v>
      </c>
      <c r="CA93">
        <f t="shared" si="9"/>
        <v>3.0910424533583161</v>
      </c>
      <c r="CB93" s="13"/>
    </row>
    <row r="94" spans="1:8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I94" s="2"/>
      <c r="J94" s="25">
        <v>0</v>
      </c>
      <c r="K94">
        <v>0</v>
      </c>
      <c r="L94">
        <v>1</v>
      </c>
      <c r="M94" s="2"/>
      <c r="N94" s="2"/>
      <c r="O94" s="2"/>
      <c r="P94" s="2"/>
      <c r="Q94" s="2"/>
      <c r="R94" s="25">
        <v>0</v>
      </c>
      <c r="S94" s="25"/>
      <c r="T94" s="25"/>
      <c r="U94">
        <v>0</v>
      </c>
      <c r="X94">
        <v>5.55</v>
      </c>
      <c r="Y94">
        <v>5.55</v>
      </c>
      <c r="Z94">
        <v>11.066000000000001</v>
      </c>
      <c r="AA94" s="2" t="s">
        <v>464</v>
      </c>
      <c r="AB94">
        <v>30</v>
      </c>
      <c r="AC94" s="55">
        <f t="shared" si="10"/>
        <v>0</v>
      </c>
      <c r="AD94" s="57">
        <v>0</v>
      </c>
      <c r="AE94" s="55">
        <v>0</v>
      </c>
      <c r="AF94" s="55">
        <v>295.19382183577648</v>
      </c>
      <c r="AG94" s="52"/>
      <c r="AH94" s="51"/>
      <c r="AI94" s="52"/>
      <c r="AJ94" s="52">
        <v>0.1016281432092089</v>
      </c>
      <c r="AK94" s="28">
        <v>2</v>
      </c>
      <c r="AL94" s="28">
        <v>2.5</v>
      </c>
      <c r="AM94" s="28">
        <v>0.5</v>
      </c>
      <c r="AN94" s="28">
        <v>0</v>
      </c>
      <c r="AO94" s="28">
        <v>0.4</v>
      </c>
      <c r="AP94" s="28">
        <v>0.5</v>
      </c>
      <c r="AQ94" s="28">
        <v>0.1</v>
      </c>
      <c r="AR94" s="28">
        <v>0</v>
      </c>
      <c r="AS94" s="25">
        <v>0.95</v>
      </c>
      <c r="AT94" s="25">
        <v>3.44</v>
      </c>
      <c r="AU94" s="25">
        <v>2.4900000000000002</v>
      </c>
      <c r="AV94" s="25">
        <v>2.6295833333333332</v>
      </c>
      <c r="AW94">
        <v>2.6295833333333332</v>
      </c>
      <c r="AX94">
        <v>5.9184746406250008</v>
      </c>
      <c r="AY94" s="75"/>
      <c r="AZ94" s="75"/>
      <c r="BA94" s="75">
        <v>0</v>
      </c>
      <c r="BE94">
        <v>5.0814071604604473E-2</v>
      </c>
      <c r="BF94">
        <v>0.1016281432092089</v>
      </c>
      <c r="BG94">
        <v>5.0814071604604473E-2</v>
      </c>
      <c r="BH94">
        <v>0</v>
      </c>
      <c r="BI94" s="79" t="s">
        <v>1293</v>
      </c>
      <c r="BJ94" s="79">
        <v>1373</v>
      </c>
      <c r="BK94" s="79">
        <v>10</v>
      </c>
      <c r="BM94" s="79" t="s">
        <v>1275</v>
      </c>
      <c r="BN94" s="79" t="s">
        <v>56</v>
      </c>
      <c r="BO94" s="79">
        <v>0.7</v>
      </c>
      <c r="BP94" s="79">
        <v>6.2</v>
      </c>
      <c r="BQ94" s="79">
        <v>1.32</v>
      </c>
      <c r="BR94" s="79">
        <v>0</v>
      </c>
      <c r="BS94" s="79" t="s">
        <v>464</v>
      </c>
      <c r="BT94" s="79" t="s">
        <v>464</v>
      </c>
      <c r="BU94" s="79" t="s">
        <v>1266</v>
      </c>
      <c r="BV94" s="79">
        <v>300</v>
      </c>
      <c r="BX94" s="79" t="s">
        <v>1287</v>
      </c>
      <c r="BZ94" s="81">
        <f>23*2</f>
        <v>46</v>
      </c>
      <c r="CA94">
        <f t="shared" si="9"/>
        <v>3.8286413964890951</v>
      </c>
      <c r="CB94" s="13"/>
    </row>
    <row r="95" spans="1:8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I95" s="2"/>
      <c r="J95" s="25">
        <v>2</v>
      </c>
      <c r="K95">
        <v>2</v>
      </c>
      <c r="L95">
        <v>0</v>
      </c>
      <c r="M95" s="2"/>
      <c r="N95" s="2"/>
      <c r="O95" s="2"/>
      <c r="P95" s="2"/>
      <c r="Q95" s="2"/>
      <c r="R95" s="25">
        <v>5.6269875200000001</v>
      </c>
      <c r="S95" s="25">
        <v>5.6269875200000001</v>
      </c>
      <c r="T95" s="25">
        <v>22.749475</v>
      </c>
      <c r="U95">
        <v>5.5670999999999999</v>
      </c>
      <c r="V95">
        <v>5.5670999999999999</v>
      </c>
      <c r="W95">
        <v>22.4603</v>
      </c>
      <c r="X95">
        <v>0</v>
      </c>
      <c r="AA95" s="2" t="s">
        <v>464</v>
      </c>
      <c r="AB95">
        <v>30</v>
      </c>
      <c r="AC95" s="55">
        <f t="shared" si="10"/>
        <v>0</v>
      </c>
      <c r="AD95" s="57">
        <v>623.81230762201892</v>
      </c>
      <c r="AE95" s="55">
        <v>602.84300974379039</v>
      </c>
      <c r="AF95" s="55">
        <v>0</v>
      </c>
      <c r="AG95" s="52"/>
      <c r="AH95" s="51">
        <v>9.6182776881592519E-2</v>
      </c>
      <c r="AI95" s="52">
        <v>9.9528399650018556E-2</v>
      </c>
      <c r="AJ95" s="52"/>
      <c r="AK95" s="28">
        <v>2</v>
      </c>
      <c r="AL95" s="28">
        <v>2.5</v>
      </c>
      <c r="AM95" s="28">
        <v>0.5</v>
      </c>
      <c r="AN95" s="28">
        <v>0</v>
      </c>
      <c r="AO95" s="28">
        <v>0.4</v>
      </c>
      <c r="AP95" s="28">
        <v>0.5</v>
      </c>
      <c r="AQ95" s="28">
        <v>0.1</v>
      </c>
      <c r="AR95" s="28">
        <v>0</v>
      </c>
      <c r="AS95" s="25">
        <v>0.89</v>
      </c>
      <c r="AT95" s="25">
        <v>3.44</v>
      </c>
      <c r="AU95" s="25">
        <v>2.5499999999999998</v>
      </c>
      <c r="AV95" s="25">
        <v>2.6270833333333332</v>
      </c>
      <c r="AW95">
        <v>2.6270833333333332</v>
      </c>
      <c r="AX95">
        <v>5.9103362479166668</v>
      </c>
      <c r="AY95" s="75">
        <v>0.55608047790729209</v>
      </c>
      <c r="AZ95" s="75">
        <v>0</v>
      </c>
      <c r="BA95" s="75"/>
      <c r="BC95">
        <v>4.8091388440796259E-2</v>
      </c>
      <c r="BD95">
        <v>4.9764199825009278E-2</v>
      </c>
      <c r="BF95">
        <v>9.7855588265805538E-2</v>
      </c>
      <c r="BG95">
        <v>4.8927794132902769E-2</v>
      </c>
      <c r="BH95">
        <v>0.27804023895364599</v>
      </c>
      <c r="BI95" s="79" t="s">
        <v>1293</v>
      </c>
      <c r="BJ95" s="79">
        <v>1373</v>
      </c>
      <c r="BK95" s="79">
        <v>10</v>
      </c>
      <c r="BM95" s="79" t="s">
        <v>1275</v>
      </c>
      <c r="BN95" s="79" t="s">
        <v>56</v>
      </c>
      <c r="BO95" s="79">
        <v>0.5</v>
      </c>
      <c r="BP95" s="79">
        <v>6.1</v>
      </c>
      <c r="BQ95" s="79">
        <v>1.32</v>
      </c>
      <c r="BR95" s="79">
        <v>0</v>
      </c>
      <c r="BS95" s="79" t="s">
        <v>464</v>
      </c>
      <c r="BT95" s="79" t="s">
        <v>464</v>
      </c>
      <c r="BU95" s="79" t="s">
        <v>1266</v>
      </c>
      <c r="BV95" s="79">
        <v>300</v>
      </c>
      <c r="BX95" s="79" t="s">
        <v>1287</v>
      </c>
      <c r="BZ95" s="81">
        <f>118*2</f>
        <v>236</v>
      </c>
      <c r="CA95">
        <f t="shared" si="9"/>
        <v>5.4638318050256105</v>
      </c>
      <c r="CB95" s="13"/>
    </row>
    <row r="96" spans="1:8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I96" s="2"/>
      <c r="J96" s="25">
        <v>2</v>
      </c>
      <c r="K96">
        <v>4</v>
      </c>
      <c r="L96">
        <v>0</v>
      </c>
      <c r="M96" s="2"/>
      <c r="N96" s="2"/>
      <c r="O96" s="2"/>
      <c r="P96" s="2"/>
      <c r="Q96" s="2"/>
      <c r="R96" s="25">
        <v>13.81974189</v>
      </c>
      <c r="S96" s="25">
        <v>13.81974189</v>
      </c>
      <c r="T96" s="25">
        <v>5.7110870199999999</v>
      </c>
      <c r="U96">
        <v>3.94</v>
      </c>
      <c r="V96">
        <v>27.15</v>
      </c>
      <c r="W96">
        <v>5.6920000000000002</v>
      </c>
      <c r="X96">
        <v>0</v>
      </c>
      <c r="AA96" s="2"/>
      <c r="AB96">
        <v>14</v>
      </c>
      <c r="AC96" s="55">
        <f t="shared" ref="AC96:AC211" si="11">M96*N96*O96</f>
        <v>0</v>
      </c>
      <c r="AD96" s="57">
        <v>309.44138863753989</v>
      </c>
      <c r="AE96" s="55">
        <v>608.87893199999996</v>
      </c>
      <c r="AF96" s="55">
        <v>0</v>
      </c>
      <c r="AG96" s="52"/>
      <c r="AH96" s="51">
        <v>9.0485633235046756E-2</v>
      </c>
      <c r="AI96" s="52">
        <v>9.1972306901891634E-2</v>
      </c>
      <c r="AJ96" s="52"/>
      <c r="AK96" s="28">
        <v>2</v>
      </c>
      <c r="AL96" s="28">
        <v>2.545454545454545</v>
      </c>
      <c r="AM96" s="28">
        <v>0.54545454545454541</v>
      </c>
      <c r="AN96" s="28">
        <v>2.545454545454545</v>
      </c>
      <c r="AO96" s="28">
        <v>0.26190476190476192</v>
      </c>
      <c r="AP96" s="28">
        <v>0.33333333333333331</v>
      </c>
      <c r="AQ96" s="28">
        <v>7.1428571428571425E-2</v>
      </c>
      <c r="AR96" s="28">
        <v>0.33333333333333331</v>
      </c>
      <c r="AS96" s="25">
        <v>0.95</v>
      </c>
      <c r="AT96" s="25">
        <v>3.44</v>
      </c>
      <c r="AU96" s="25">
        <v>2.4900000000000002</v>
      </c>
      <c r="AV96" s="25">
        <v>2.6345454545454539</v>
      </c>
      <c r="AW96">
        <v>2.6345454545454552</v>
      </c>
      <c r="AX96">
        <v>6.036062318181818</v>
      </c>
      <c r="AY96" s="75">
        <v>0.52932707238284982</v>
      </c>
      <c r="AZ96" s="75">
        <v>0.53802388525275069</v>
      </c>
      <c r="BA96" s="75"/>
      <c r="BC96">
        <v>4.5242816617523378E-2</v>
      </c>
      <c r="BD96">
        <v>4.5986153450945817E-2</v>
      </c>
      <c r="BF96">
        <v>9.1228970068469195E-2</v>
      </c>
      <c r="BG96">
        <v>4.5614485034234598E-2</v>
      </c>
      <c r="BH96">
        <v>0.5336754788178002</v>
      </c>
      <c r="BI96" s="79" t="s">
        <v>1264</v>
      </c>
      <c r="BJ96" s="79">
        <v>1450</v>
      </c>
      <c r="BK96" s="79">
        <v>200</v>
      </c>
      <c r="BM96" s="79" t="s">
        <v>464</v>
      </c>
      <c r="BN96" s="79" t="s">
        <v>464</v>
      </c>
      <c r="BO96" s="79">
        <v>0</v>
      </c>
      <c r="BP96" s="79">
        <v>0.9</v>
      </c>
      <c r="BQ96" s="79">
        <v>2.63</v>
      </c>
      <c r="BR96" s="79">
        <v>0</v>
      </c>
      <c r="BS96" s="79" t="s">
        <v>464</v>
      </c>
      <c r="BT96" s="79" t="s">
        <v>464</v>
      </c>
      <c r="BU96" s="79" t="s">
        <v>1271</v>
      </c>
      <c r="BV96" s="79">
        <v>300</v>
      </c>
      <c r="BX96" s="79" t="s">
        <v>1287</v>
      </c>
      <c r="BZ96" s="81">
        <v>52</v>
      </c>
      <c r="CA96">
        <f t="shared" si="9"/>
        <v>3.9512437185814275</v>
      </c>
    </row>
    <row r="97" spans="1:79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I97" s="2"/>
      <c r="J97" s="25">
        <v>8</v>
      </c>
      <c r="K97">
        <v>8</v>
      </c>
      <c r="L97">
        <v>0</v>
      </c>
      <c r="M97" s="2"/>
      <c r="N97" s="2"/>
      <c r="O97" s="2"/>
      <c r="P97" s="2"/>
      <c r="Q97" s="2"/>
      <c r="R97" s="25">
        <v>5.8017180100000001</v>
      </c>
      <c r="S97" s="25">
        <v>7.9756520899999996</v>
      </c>
      <c r="T97" s="25">
        <v>27.352093400000001</v>
      </c>
      <c r="U97">
        <v>26.646989999999999</v>
      </c>
      <c r="V97">
        <v>7.9359999999999999</v>
      </c>
      <c r="W97">
        <v>5.7050000000000001</v>
      </c>
      <c r="X97">
        <v>0</v>
      </c>
      <c r="AA97" s="2"/>
      <c r="AB97">
        <v>14</v>
      </c>
      <c r="AC97" s="55">
        <f t="shared" si="11"/>
        <v>0</v>
      </c>
      <c r="AD97" s="57">
        <v>1265.6493143942739</v>
      </c>
      <c r="AE97" s="55">
        <v>1206.4392746112001</v>
      </c>
      <c r="AF97" s="55">
        <v>0</v>
      </c>
      <c r="AG97" s="52"/>
      <c r="AH97" s="51">
        <v>8.8492127105210025E-2</v>
      </c>
      <c r="AI97" s="52">
        <v>9.2835174017436004E-2</v>
      </c>
      <c r="AJ97" s="52"/>
      <c r="AK97" s="28">
        <v>1.8181818181818179</v>
      </c>
      <c r="AL97" s="28">
        <v>2.545454545454545</v>
      </c>
      <c r="AM97" s="28">
        <v>0.72727272727272729</v>
      </c>
      <c r="AN97" s="28">
        <v>0</v>
      </c>
      <c r="AO97" s="28">
        <v>0.35714285714285721</v>
      </c>
      <c r="AP97" s="28">
        <v>0.5</v>
      </c>
      <c r="AQ97" s="28">
        <v>0.1428571428571429</v>
      </c>
      <c r="AR97" s="28">
        <v>0</v>
      </c>
      <c r="AS97" s="25">
        <v>0.95</v>
      </c>
      <c r="AT97" s="25">
        <v>3.44</v>
      </c>
      <c r="AU97" s="25">
        <v>2.4900000000000002</v>
      </c>
      <c r="AV97" s="25">
        <v>2.6527272727272719</v>
      </c>
      <c r="AW97">
        <v>2.6527272727272728</v>
      </c>
      <c r="AX97">
        <v>6.0182046818181814</v>
      </c>
      <c r="AY97" s="75">
        <v>0.5176653673612065</v>
      </c>
      <c r="AZ97" s="75">
        <v>0.54307152550012683</v>
      </c>
      <c r="BA97" s="75"/>
      <c r="BC97">
        <v>4.4246063552605013E-2</v>
      </c>
      <c r="BD97">
        <v>4.6417587008717988E-2</v>
      </c>
      <c r="BF97">
        <v>9.0663650561323014E-2</v>
      </c>
      <c r="BG97">
        <v>4.53318252806615E-2</v>
      </c>
      <c r="BH97">
        <v>0.53036844643066661</v>
      </c>
      <c r="BI97" s="79" t="s">
        <v>1264</v>
      </c>
      <c r="BJ97" s="79">
        <v>1370</v>
      </c>
      <c r="BK97" s="79">
        <v>150</v>
      </c>
      <c r="BM97" s="79" t="s">
        <v>464</v>
      </c>
      <c r="BN97" s="79" t="s">
        <v>464</v>
      </c>
      <c r="BO97" s="79">
        <v>0</v>
      </c>
      <c r="BP97" s="79">
        <v>0.7</v>
      </c>
      <c r="BQ97" s="79">
        <v>2.63</v>
      </c>
      <c r="BR97" s="79">
        <v>0</v>
      </c>
      <c r="BS97" s="79" t="s">
        <v>464</v>
      </c>
      <c r="BT97" s="79" t="s">
        <v>464</v>
      </c>
      <c r="BU97" s="79" t="s">
        <v>1271</v>
      </c>
      <c r="BV97" s="79">
        <v>300</v>
      </c>
      <c r="BX97" s="79" t="s">
        <v>1287</v>
      </c>
      <c r="BZ97" s="81">
        <v>5.9</v>
      </c>
      <c r="CA97">
        <f t="shared" si="9"/>
        <v>1.7749523509116738</v>
      </c>
    </row>
    <row r="98" spans="1:79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I98" s="2"/>
      <c r="J98" s="25">
        <v>2</v>
      </c>
      <c r="K98">
        <v>4</v>
      </c>
      <c r="L98">
        <v>0</v>
      </c>
      <c r="M98" s="2"/>
      <c r="N98" s="2"/>
      <c r="O98" s="2"/>
      <c r="P98" s="2"/>
      <c r="Q98" s="2"/>
      <c r="R98" s="25">
        <v>13.81974189</v>
      </c>
      <c r="S98" s="25">
        <v>13.81974189</v>
      </c>
      <c r="T98" s="25">
        <v>5.7110870199999999</v>
      </c>
      <c r="U98">
        <v>3.94</v>
      </c>
      <c r="V98">
        <v>27.15</v>
      </c>
      <c r="W98">
        <v>5.6920000000000002</v>
      </c>
      <c r="X98">
        <v>0</v>
      </c>
      <c r="AA98" s="2"/>
      <c r="AB98">
        <v>14</v>
      </c>
      <c r="AC98" s="55">
        <f t="shared" ref="AC98:AC100" si="12">M98*N98*O98</f>
        <v>0</v>
      </c>
      <c r="AD98" s="57">
        <v>309.44138863753989</v>
      </c>
      <c r="AE98" s="55">
        <v>608.87893199999996</v>
      </c>
      <c r="AF98" s="55">
        <v>0</v>
      </c>
      <c r="AG98" s="52"/>
      <c r="AH98" s="51">
        <v>9.0485633235046756E-2</v>
      </c>
      <c r="AI98" s="52">
        <v>9.1972306901891634E-2</v>
      </c>
      <c r="AJ98" s="52"/>
      <c r="AK98" s="28">
        <v>2</v>
      </c>
      <c r="AL98" s="28">
        <v>2.545454545454545</v>
      </c>
      <c r="AM98" s="28">
        <v>0.54545454545454541</v>
      </c>
      <c r="AN98" s="28">
        <v>2.545454545454545</v>
      </c>
      <c r="AO98" s="28">
        <v>0.26190476190476192</v>
      </c>
      <c r="AP98" s="28">
        <v>0.33333333333333331</v>
      </c>
      <c r="AQ98" s="28">
        <v>7.1428571428571425E-2</v>
      </c>
      <c r="AR98" s="28">
        <v>0.33333333333333331</v>
      </c>
      <c r="AS98" s="25">
        <v>0.95</v>
      </c>
      <c r="AT98" s="25">
        <v>3.44</v>
      </c>
      <c r="AU98" s="25">
        <v>2.4900000000000002</v>
      </c>
      <c r="AV98" s="25">
        <v>2.6345454545454539</v>
      </c>
      <c r="AW98">
        <v>2.6345454545454552</v>
      </c>
      <c r="AX98">
        <v>6.036062318181818</v>
      </c>
      <c r="AY98" s="75">
        <v>0.52932707238284982</v>
      </c>
      <c r="AZ98" s="75">
        <v>0.53802388525275069</v>
      </c>
      <c r="BA98" s="75"/>
      <c r="BC98">
        <v>4.5242816617523378E-2</v>
      </c>
      <c r="BD98">
        <v>4.5986153450945817E-2</v>
      </c>
      <c r="BF98">
        <v>9.1228970068469195E-2</v>
      </c>
      <c r="BG98">
        <v>4.5614485034234598E-2</v>
      </c>
      <c r="BH98">
        <v>0.5336754788178002</v>
      </c>
      <c r="BI98" s="79" t="s">
        <v>1264</v>
      </c>
      <c r="BJ98" s="79">
        <v>1450</v>
      </c>
      <c r="BK98" s="79">
        <v>200</v>
      </c>
      <c r="BM98" s="79" t="s">
        <v>1275</v>
      </c>
      <c r="BN98" s="79" t="s">
        <v>56</v>
      </c>
      <c r="BO98" s="79">
        <v>0.15</v>
      </c>
      <c r="BP98" s="79">
        <v>0.9</v>
      </c>
      <c r="BQ98" s="79">
        <v>2.63</v>
      </c>
      <c r="BR98" s="79">
        <v>0</v>
      </c>
      <c r="BS98" s="79" t="s">
        <v>464</v>
      </c>
      <c r="BT98" s="79" t="s">
        <v>464</v>
      </c>
      <c r="BU98" s="79" t="s">
        <v>1271</v>
      </c>
      <c r="BV98" s="79">
        <v>300</v>
      </c>
      <c r="BX98" s="79" t="s">
        <v>1287</v>
      </c>
      <c r="BZ98" s="81">
        <v>1000</v>
      </c>
      <c r="CA98">
        <f t="shared" si="9"/>
        <v>6.9077552789821368</v>
      </c>
    </row>
    <row r="99" spans="1:79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I99" s="2"/>
      <c r="J99" s="25">
        <v>8</v>
      </c>
      <c r="K99">
        <v>8</v>
      </c>
      <c r="L99">
        <v>0</v>
      </c>
      <c r="M99" s="2"/>
      <c r="N99" s="2"/>
      <c r="O99" s="2"/>
      <c r="P99" s="2"/>
      <c r="Q99" s="2"/>
      <c r="R99" s="25">
        <v>5.8017180100000001</v>
      </c>
      <c r="S99" s="25">
        <v>7.9756520899999996</v>
      </c>
      <c r="T99" s="25">
        <v>27.352093400000001</v>
      </c>
      <c r="U99">
        <v>26.646989999999999</v>
      </c>
      <c r="V99">
        <v>7.9359999999999999</v>
      </c>
      <c r="W99">
        <v>5.7050000000000001</v>
      </c>
      <c r="X99">
        <v>0</v>
      </c>
      <c r="AA99" s="2"/>
      <c r="AB99">
        <v>14</v>
      </c>
      <c r="AC99" s="55">
        <f t="shared" si="12"/>
        <v>0</v>
      </c>
      <c r="AD99" s="57">
        <v>1265.6493143942739</v>
      </c>
      <c r="AE99" s="55">
        <v>1206.4392746112001</v>
      </c>
      <c r="AF99" s="55">
        <v>0</v>
      </c>
      <c r="AG99" s="52"/>
      <c r="AH99" s="51">
        <v>8.8492127105210025E-2</v>
      </c>
      <c r="AI99" s="52">
        <v>9.2835174017436004E-2</v>
      </c>
      <c r="AJ99" s="52"/>
      <c r="AK99" s="28">
        <v>1.8181818181818179</v>
      </c>
      <c r="AL99" s="28">
        <v>2.545454545454545</v>
      </c>
      <c r="AM99" s="28">
        <v>0.72727272727272729</v>
      </c>
      <c r="AN99" s="28">
        <v>0</v>
      </c>
      <c r="AO99" s="28">
        <v>0.35714285714285721</v>
      </c>
      <c r="AP99" s="28">
        <v>0.5</v>
      </c>
      <c r="AQ99" s="28">
        <v>0.1428571428571429</v>
      </c>
      <c r="AR99" s="28">
        <v>0</v>
      </c>
      <c r="AS99" s="25">
        <v>0.95</v>
      </c>
      <c r="AT99" s="25">
        <v>3.44</v>
      </c>
      <c r="AU99" s="25">
        <v>2.4900000000000002</v>
      </c>
      <c r="AV99" s="25">
        <v>2.6527272727272719</v>
      </c>
      <c r="AW99">
        <v>2.6527272727272728</v>
      </c>
      <c r="AX99">
        <v>6.0182046818181814</v>
      </c>
      <c r="AY99" s="75">
        <v>0.5176653673612065</v>
      </c>
      <c r="AZ99" s="75">
        <v>0.54307152550012683</v>
      </c>
      <c r="BA99" s="75"/>
      <c r="BC99">
        <v>4.4246063552605013E-2</v>
      </c>
      <c r="BD99">
        <v>4.6417587008717988E-2</v>
      </c>
      <c r="BF99">
        <v>9.0663650561323014E-2</v>
      </c>
      <c r="BG99">
        <v>4.53318252806615E-2</v>
      </c>
      <c r="BH99">
        <v>0.53036844643066661</v>
      </c>
      <c r="BI99" s="79" t="s">
        <v>1264</v>
      </c>
      <c r="BJ99" s="79">
        <v>1370</v>
      </c>
      <c r="BK99" s="79">
        <v>150</v>
      </c>
      <c r="BM99" s="79" t="s">
        <v>1275</v>
      </c>
      <c r="BN99" s="79" t="s">
        <v>56</v>
      </c>
      <c r="BO99" s="79">
        <v>0.5</v>
      </c>
      <c r="BP99" s="79">
        <v>0.7</v>
      </c>
      <c r="BQ99" s="79">
        <v>2.63</v>
      </c>
      <c r="BR99" s="79">
        <v>0</v>
      </c>
      <c r="BS99" s="79" t="s">
        <v>464</v>
      </c>
      <c r="BT99" s="79" t="s">
        <v>464</v>
      </c>
      <c r="BU99" s="79" t="s">
        <v>1271</v>
      </c>
      <c r="BV99" s="79">
        <v>300</v>
      </c>
      <c r="BX99" s="79" t="s">
        <v>1287</v>
      </c>
      <c r="BZ99" s="81">
        <v>10</v>
      </c>
      <c r="CA99">
        <f t="shared" si="9"/>
        <v>2.3025850929940459</v>
      </c>
    </row>
    <row r="100" spans="1:79" x14ac:dyDescent="0.3">
      <c r="A100" s="2" t="s">
        <v>0</v>
      </c>
      <c r="B100" s="13"/>
      <c r="C100" s="13"/>
      <c r="D100" s="2"/>
      <c r="E100" s="2" t="s">
        <v>1294</v>
      </c>
      <c r="F100" s="9">
        <v>-1</v>
      </c>
      <c r="G100">
        <v>-1</v>
      </c>
      <c r="H100" t="s">
        <v>1153</v>
      </c>
      <c r="I100" s="2"/>
      <c r="J100" s="25">
        <v>0</v>
      </c>
      <c r="K100">
        <v>0</v>
      </c>
      <c r="L100">
        <v>4</v>
      </c>
      <c r="M100" s="2"/>
      <c r="N100" s="2"/>
      <c r="O100" s="2"/>
      <c r="P100" s="2"/>
      <c r="Q100" s="2"/>
      <c r="R100" s="25">
        <v>0</v>
      </c>
      <c r="S100" s="25"/>
      <c r="T100" s="25"/>
      <c r="U100">
        <v>0</v>
      </c>
      <c r="X100">
        <v>34.1</v>
      </c>
      <c r="Y100">
        <v>7.85</v>
      </c>
      <c r="Z100">
        <v>6.52</v>
      </c>
      <c r="AA100" s="2"/>
      <c r="AB100">
        <v>34</v>
      </c>
      <c r="AC100" s="55">
        <f t="shared" si="12"/>
        <v>0</v>
      </c>
      <c r="AD100" s="57">
        <v>0</v>
      </c>
      <c r="AE100" s="55">
        <v>0</v>
      </c>
      <c r="AF100" s="55">
        <v>1745.3062</v>
      </c>
      <c r="AG100" s="52"/>
      <c r="AH100" s="51"/>
      <c r="AI100" s="52"/>
      <c r="AJ100" s="52">
        <v>7.7923289334559179E-2</v>
      </c>
      <c r="AK100" s="28">
        <v>1.62962962962963</v>
      </c>
      <c r="AL100" s="28">
        <v>2.518518518518519</v>
      </c>
      <c r="AM100" s="28">
        <v>0.88888888888888884</v>
      </c>
      <c r="AN100" s="28">
        <v>0</v>
      </c>
      <c r="AO100" s="28">
        <v>0.32352941176470579</v>
      </c>
      <c r="AP100" s="28">
        <v>0.5</v>
      </c>
      <c r="AQ100" s="28">
        <v>0.1764705882352941</v>
      </c>
      <c r="AR100" s="28">
        <v>0</v>
      </c>
      <c r="AS100" s="25">
        <v>0.82</v>
      </c>
      <c r="AT100" s="25">
        <v>3.44</v>
      </c>
      <c r="AU100" s="25">
        <v>2.62</v>
      </c>
      <c r="AV100" s="25">
        <v>2.642962962962963</v>
      </c>
      <c r="AW100">
        <v>2.642962962962963</v>
      </c>
      <c r="AX100">
        <v>5.9454711914814808</v>
      </c>
      <c r="AY100" s="75"/>
      <c r="AZ100" s="75"/>
      <c r="BA100" s="75">
        <v>0.52945551775309363</v>
      </c>
      <c r="BE100">
        <v>3.8961644667279589E-2</v>
      </c>
      <c r="BF100">
        <v>7.7923289334559179E-2</v>
      </c>
      <c r="BG100">
        <v>3.8961644667279589E-2</v>
      </c>
      <c r="BH100">
        <v>0.52945551775309363</v>
      </c>
      <c r="BI100" s="79" t="s">
        <v>1264</v>
      </c>
      <c r="BJ100" s="79">
        <v>1673</v>
      </c>
      <c r="BK100" s="79">
        <v>0.25</v>
      </c>
      <c r="BM100" s="79" t="s">
        <v>1275</v>
      </c>
      <c r="BN100" s="79" t="s">
        <v>56</v>
      </c>
      <c r="BO100" s="79">
        <v>0.1</v>
      </c>
      <c r="BQ100" s="79">
        <v>2.85</v>
      </c>
      <c r="BR100" s="79">
        <v>0</v>
      </c>
      <c r="BS100" s="79" t="s">
        <v>464</v>
      </c>
      <c r="BT100" s="79" t="s">
        <v>464</v>
      </c>
      <c r="BU100" s="79" t="s">
        <v>1266</v>
      </c>
      <c r="BV100" s="79">
        <v>400</v>
      </c>
      <c r="BX100" s="79" t="s">
        <v>1287</v>
      </c>
      <c r="BY100" s="79">
        <v>293</v>
      </c>
      <c r="BZ100" s="81">
        <v>403</v>
      </c>
      <c r="CA100">
        <f t="shared" si="9"/>
        <v>5.9989365619466826</v>
      </c>
    </row>
    <row r="101" spans="1:79" x14ac:dyDescent="0.3">
      <c r="A101" s="2" t="s">
        <v>1299</v>
      </c>
      <c r="B101" s="13"/>
      <c r="C101" s="13"/>
      <c r="D101" s="2"/>
      <c r="E101" s="2" t="s">
        <v>1294</v>
      </c>
      <c r="F101" s="9"/>
      <c r="H101" s="1" t="s">
        <v>1153</v>
      </c>
      <c r="I101" s="2"/>
      <c r="J101" s="25"/>
      <c r="M101" s="2"/>
      <c r="N101" s="2"/>
      <c r="O101" s="2"/>
      <c r="P101" s="2"/>
      <c r="Q101" s="2"/>
      <c r="R101" s="25"/>
      <c r="S101" s="25"/>
      <c r="T101" s="25"/>
      <c r="AA101" s="2"/>
      <c r="AC101" s="55"/>
      <c r="AD101" s="57"/>
      <c r="AE101" s="55"/>
      <c r="AF101" s="55"/>
      <c r="AG101" s="52"/>
      <c r="AH101" s="51"/>
      <c r="AI101" s="52"/>
      <c r="AJ101" s="52"/>
      <c r="AK101" s="28"/>
      <c r="AL101" s="28"/>
      <c r="AM101" s="28"/>
      <c r="AN101" s="28"/>
      <c r="AO101" s="28"/>
      <c r="AP101" s="28"/>
      <c r="AQ101" s="28"/>
      <c r="AR101" s="28"/>
      <c r="AS101" s="25"/>
      <c r="AT101" s="25"/>
      <c r="AU101" s="25"/>
      <c r="AV101" s="25"/>
      <c r="AY101" s="75"/>
      <c r="AZ101" s="75"/>
      <c r="BA101" s="75"/>
      <c r="BI101" s="79" t="s">
        <v>1264</v>
      </c>
      <c r="BJ101" s="79">
        <v>1673</v>
      </c>
      <c r="BK101" s="79">
        <v>0.25</v>
      </c>
      <c r="BM101" s="79" t="s">
        <v>1275</v>
      </c>
      <c r="BN101" s="79" t="s">
        <v>56</v>
      </c>
      <c r="BO101" s="79">
        <v>0.1</v>
      </c>
      <c r="BQ101" s="79">
        <v>2.85</v>
      </c>
      <c r="BR101" s="79">
        <v>0</v>
      </c>
      <c r="BS101" s="79" t="s">
        <v>464</v>
      </c>
      <c r="BT101" s="79" t="s">
        <v>464</v>
      </c>
      <c r="BU101" s="79" t="s">
        <v>1266</v>
      </c>
      <c r="BV101" s="79">
        <v>400</v>
      </c>
      <c r="BX101" s="79" t="s">
        <v>1287</v>
      </c>
      <c r="BY101" s="79">
        <v>293</v>
      </c>
      <c r="BZ101" s="81">
        <v>409</v>
      </c>
      <c r="CA101">
        <f t="shared" si="9"/>
        <v>6.0137151560428022</v>
      </c>
    </row>
    <row r="102" spans="1:79" x14ac:dyDescent="0.3">
      <c r="A102" s="2" t="s">
        <v>1300</v>
      </c>
      <c r="B102" s="13"/>
      <c r="C102" s="13"/>
      <c r="D102" s="2"/>
      <c r="E102" s="2" t="s">
        <v>1294</v>
      </c>
      <c r="F102" s="9"/>
      <c r="H102" s="1" t="s">
        <v>1153</v>
      </c>
      <c r="I102" s="2"/>
      <c r="J102" s="25"/>
      <c r="M102" s="2"/>
      <c r="N102" s="2"/>
      <c r="O102" s="2"/>
      <c r="P102" s="2"/>
      <c r="Q102" s="2"/>
      <c r="R102" s="25"/>
      <c r="S102" s="25"/>
      <c r="T102" s="25"/>
      <c r="AA102" s="2"/>
      <c r="AC102" s="55"/>
      <c r="AD102" s="57"/>
      <c r="AE102" s="55"/>
      <c r="AF102" s="55"/>
      <c r="AG102" s="52"/>
      <c r="AH102" s="51"/>
      <c r="AI102" s="52"/>
      <c r="AJ102" s="52"/>
      <c r="AK102" s="28"/>
      <c r="AL102" s="28"/>
      <c r="AM102" s="28"/>
      <c r="AN102" s="28"/>
      <c r="AO102" s="28"/>
      <c r="AP102" s="28"/>
      <c r="AQ102" s="28"/>
      <c r="AR102" s="28"/>
      <c r="AS102" s="25"/>
      <c r="AT102" s="25"/>
      <c r="AU102" s="25"/>
      <c r="AV102" s="25"/>
      <c r="AY102" s="75"/>
      <c r="AZ102" s="75"/>
      <c r="BA102" s="75"/>
      <c r="BI102" s="79" t="s">
        <v>1264</v>
      </c>
      <c r="BJ102" s="79">
        <v>1673</v>
      </c>
      <c r="BK102" s="79">
        <v>0.25</v>
      </c>
      <c r="BM102" s="79" t="s">
        <v>1275</v>
      </c>
      <c r="BN102" s="79" t="s">
        <v>56</v>
      </c>
      <c r="BO102" s="79">
        <v>0.1</v>
      </c>
      <c r="BQ102" s="79">
        <v>2.85</v>
      </c>
      <c r="BR102" s="79">
        <v>0</v>
      </c>
      <c r="BS102" s="79" t="s">
        <v>464</v>
      </c>
      <c r="BT102" s="79" t="s">
        <v>464</v>
      </c>
      <c r="BU102" s="79" t="s">
        <v>1266</v>
      </c>
      <c r="BV102" s="79">
        <v>400</v>
      </c>
      <c r="BX102" s="79" t="s">
        <v>1287</v>
      </c>
      <c r="BY102" s="79">
        <v>293</v>
      </c>
      <c r="BZ102" s="81">
        <v>233</v>
      </c>
      <c r="CA102">
        <f t="shared" si="9"/>
        <v>5.4510384535657002</v>
      </c>
    </row>
    <row r="103" spans="1:79" x14ac:dyDescent="0.3">
      <c r="A103" s="2" t="s">
        <v>1301</v>
      </c>
      <c r="B103" s="13"/>
      <c r="C103" s="13"/>
      <c r="D103" s="2"/>
      <c r="E103" s="2" t="s">
        <v>1294</v>
      </c>
      <c r="F103" s="9"/>
      <c r="H103" s="1" t="s">
        <v>1153</v>
      </c>
      <c r="I103" s="2"/>
      <c r="J103" s="25"/>
      <c r="M103" s="2"/>
      <c r="N103" s="2"/>
      <c r="O103" s="2"/>
      <c r="P103" s="2"/>
      <c r="Q103" s="2"/>
      <c r="R103" s="25"/>
      <c r="S103" s="25"/>
      <c r="T103" s="25"/>
      <c r="AA103" s="2"/>
      <c r="AC103" s="55"/>
      <c r="AD103" s="57"/>
      <c r="AE103" s="55"/>
      <c r="AF103" s="55"/>
      <c r="AG103" s="52"/>
      <c r="AH103" s="51"/>
      <c r="AI103" s="52"/>
      <c r="AJ103" s="52"/>
      <c r="AK103" s="28"/>
      <c r="AL103" s="28"/>
      <c r="AM103" s="28"/>
      <c r="AN103" s="28"/>
      <c r="AO103" s="28"/>
      <c r="AP103" s="28"/>
      <c r="AQ103" s="28"/>
      <c r="AR103" s="28"/>
      <c r="AS103" s="25"/>
      <c r="AT103" s="25"/>
      <c r="AU103" s="25"/>
      <c r="AV103" s="25"/>
      <c r="AY103" s="75"/>
      <c r="AZ103" s="75"/>
      <c r="BA103" s="75"/>
      <c r="BI103" s="79" t="s">
        <v>1264</v>
      </c>
      <c r="BJ103" s="79">
        <v>1673</v>
      </c>
      <c r="BK103" s="79">
        <v>0.25</v>
      </c>
      <c r="BM103" s="79" t="s">
        <v>1275</v>
      </c>
      <c r="BN103" s="79" t="s">
        <v>56</v>
      </c>
      <c r="BO103" s="79">
        <v>0.1</v>
      </c>
      <c r="BQ103" s="79">
        <v>2.85</v>
      </c>
      <c r="BR103" s="79">
        <v>0</v>
      </c>
      <c r="BS103" s="79" t="s">
        <v>464</v>
      </c>
      <c r="BT103" s="79" t="s">
        <v>464</v>
      </c>
      <c r="BU103" s="79" t="s">
        <v>1266</v>
      </c>
      <c r="BV103" s="79">
        <v>400</v>
      </c>
      <c r="BX103" s="79" t="s">
        <v>1287</v>
      </c>
      <c r="BY103" s="79">
        <v>293</v>
      </c>
      <c r="BZ103" s="81">
        <v>31</v>
      </c>
      <c r="CA103">
        <f t="shared" si="9"/>
        <v>3.4339872044851463</v>
      </c>
    </row>
    <row r="104" spans="1:79" x14ac:dyDescent="0.3">
      <c r="A104" s="2" t="s">
        <v>1302</v>
      </c>
      <c r="B104" s="13"/>
      <c r="C104" s="13"/>
      <c r="D104" s="2"/>
      <c r="E104" s="2" t="s">
        <v>1294</v>
      </c>
      <c r="F104" s="9"/>
      <c r="H104" s="1" t="s">
        <v>1153</v>
      </c>
      <c r="I104" s="2"/>
      <c r="J104" s="25"/>
      <c r="M104" s="2"/>
      <c r="N104" s="2"/>
      <c r="O104" s="2"/>
      <c r="P104" s="2"/>
      <c r="Q104" s="2"/>
      <c r="R104" s="25"/>
      <c r="S104" s="25"/>
      <c r="T104" s="25"/>
      <c r="AA104" s="2"/>
      <c r="AC104" s="55"/>
      <c r="AD104" s="57"/>
      <c r="AE104" s="55"/>
      <c r="AF104" s="55"/>
      <c r="AG104" s="52"/>
      <c r="AH104" s="51"/>
      <c r="AI104" s="52"/>
      <c r="AJ104" s="52"/>
      <c r="AK104" s="28"/>
      <c r="AL104" s="28"/>
      <c r="AM104" s="28"/>
      <c r="AN104" s="28"/>
      <c r="AO104" s="28"/>
      <c r="AP104" s="28"/>
      <c r="AQ104" s="28"/>
      <c r="AR104" s="28"/>
      <c r="AS104" s="25"/>
      <c r="AT104" s="25"/>
      <c r="AU104" s="25"/>
      <c r="AV104" s="25"/>
      <c r="AY104" s="75"/>
      <c r="AZ104" s="75"/>
      <c r="BA104" s="75"/>
      <c r="BI104" s="79" t="s">
        <v>1264</v>
      </c>
      <c r="BJ104" s="79">
        <v>1673</v>
      </c>
      <c r="BK104" s="79">
        <v>0.25</v>
      </c>
      <c r="BM104" s="79" t="s">
        <v>1275</v>
      </c>
      <c r="BN104" s="79" t="s">
        <v>56</v>
      </c>
      <c r="BO104" s="79">
        <v>0.1</v>
      </c>
      <c r="BQ104" s="79">
        <v>2.85</v>
      </c>
      <c r="BR104" s="79">
        <v>0</v>
      </c>
      <c r="BS104" s="79" t="s">
        <v>464</v>
      </c>
      <c r="BT104" s="79" t="s">
        <v>464</v>
      </c>
      <c r="BU104" s="79" t="s">
        <v>1266</v>
      </c>
      <c r="BV104" s="79">
        <v>400</v>
      </c>
      <c r="BX104" s="79" t="s">
        <v>1287</v>
      </c>
      <c r="BY104" s="79">
        <v>293</v>
      </c>
      <c r="BZ104" s="81">
        <v>11</v>
      </c>
      <c r="CA104">
        <f t="shared" si="9"/>
        <v>2.3978952727983707</v>
      </c>
    </row>
    <row r="105" spans="1:79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>
        <v>-1</v>
      </c>
      <c r="G105">
        <v>-1</v>
      </c>
      <c r="H105" s="1" t="s">
        <v>1153</v>
      </c>
      <c r="I105" s="2"/>
      <c r="J105" s="25">
        <v>0</v>
      </c>
      <c r="K105">
        <v>0</v>
      </c>
      <c r="L105">
        <v>4</v>
      </c>
      <c r="M105" s="2"/>
      <c r="N105" s="2"/>
      <c r="O105" s="2"/>
      <c r="P105" s="2"/>
      <c r="Q105" s="2"/>
      <c r="R105" s="25">
        <v>0</v>
      </c>
      <c r="S105" s="25"/>
      <c r="T105" s="25"/>
      <c r="U105">
        <v>0</v>
      </c>
      <c r="X105">
        <v>34.1</v>
      </c>
      <c r="Y105">
        <v>7.85</v>
      </c>
      <c r="Z105">
        <v>6.52</v>
      </c>
      <c r="AA105" s="2"/>
      <c r="AB105">
        <v>34</v>
      </c>
      <c r="AC105" s="55">
        <f t="shared" ref="AC105" si="13">M105*N105*O105</f>
        <v>0</v>
      </c>
      <c r="AD105" s="57">
        <v>0</v>
      </c>
      <c r="AE105" s="55">
        <v>0</v>
      </c>
      <c r="AF105" s="55">
        <v>1745.3062</v>
      </c>
      <c r="AG105" s="52"/>
      <c r="AH105" s="51"/>
      <c r="AI105" s="52"/>
      <c r="AJ105" s="52">
        <v>7.7923289334559179E-2</v>
      </c>
      <c r="AK105" s="28">
        <v>1.62962962962963</v>
      </c>
      <c r="AL105" s="28">
        <v>2.518518518518519</v>
      </c>
      <c r="AM105" s="28">
        <v>0.88888888888888884</v>
      </c>
      <c r="AN105" s="28">
        <v>0</v>
      </c>
      <c r="AO105" s="28">
        <v>0.32352941176470579</v>
      </c>
      <c r="AP105" s="28">
        <v>0.5</v>
      </c>
      <c r="AQ105" s="28">
        <v>0.1764705882352941</v>
      </c>
      <c r="AR105" s="28">
        <v>0</v>
      </c>
      <c r="AS105" s="25">
        <v>0.82</v>
      </c>
      <c r="AT105" s="25">
        <v>3.44</v>
      </c>
      <c r="AU105" s="25">
        <v>2.62</v>
      </c>
      <c r="AV105" s="25">
        <v>2.642962962962963</v>
      </c>
      <c r="AW105">
        <v>2.642962962962963</v>
      </c>
      <c r="AX105">
        <v>5.9454711914814808</v>
      </c>
      <c r="AY105" s="75"/>
      <c r="AZ105" s="75"/>
      <c r="BA105" s="75">
        <v>0.52945551775309363</v>
      </c>
      <c r="BE105">
        <v>3.8961644667279589E-2</v>
      </c>
      <c r="BF105">
        <v>7.7923289334559179E-2</v>
      </c>
      <c r="BG105">
        <v>3.8961644667279589E-2</v>
      </c>
      <c r="BH105">
        <v>0.52945551775309363</v>
      </c>
      <c r="BI105" s="79" t="s">
        <v>1264</v>
      </c>
      <c r="BJ105" s="79">
        <v>1300</v>
      </c>
      <c r="BK105" s="79">
        <v>40</v>
      </c>
      <c r="BM105" s="79" t="s">
        <v>1275</v>
      </c>
      <c r="BN105" s="79" t="s">
        <v>56</v>
      </c>
      <c r="BO105" s="79">
        <v>0.1</v>
      </c>
      <c r="BQ105" s="79">
        <v>2.85</v>
      </c>
      <c r="BR105" s="79">
        <v>0</v>
      </c>
      <c r="BS105" s="79" t="s">
        <v>464</v>
      </c>
      <c r="BT105" s="79" t="s">
        <v>464</v>
      </c>
      <c r="BU105" s="79" t="s">
        <v>1266</v>
      </c>
      <c r="BV105" s="79">
        <v>400</v>
      </c>
      <c r="BX105" s="79" t="s">
        <v>1287</v>
      </c>
      <c r="BY105" s="79">
        <v>293</v>
      </c>
      <c r="BZ105" s="81">
        <v>936</v>
      </c>
      <c r="CA105">
        <f t="shared" si="9"/>
        <v>6.8416154764775916</v>
      </c>
    </row>
    <row r="106" spans="1:79" x14ac:dyDescent="0.3">
      <c r="A106" s="2" t="s">
        <v>1296</v>
      </c>
      <c r="B106" s="13"/>
      <c r="C106" s="13"/>
      <c r="D106" s="2"/>
      <c r="E106" s="2" t="s">
        <v>1294</v>
      </c>
      <c r="F106" s="9"/>
      <c r="H106" s="1" t="s">
        <v>1153</v>
      </c>
      <c r="I106" s="2"/>
      <c r="J106" s="25"/>
      <c r="M106" s="2"/>
      <c r="N106" s="2"/>
      <c r="O106" s="2"/>
      <c r="P106" s="2"/>
      <c r="Q106" s="2"/>
      <c r="R106" s="25"/>
      <c r="S106" s="25"/>
      <c r="T106" s="25"/>
      <c r="AA106" s="2"/>
      <c r="AC106" s="55"/>
      <c r="AD106" s="57"/>
      <c r="AE106" s="55"/>
      <c r="AF106" s="55"/>
      <c r="AG106" s="52"/>
      <c r="AH106" s="51"/>
      <c r="AI106" s="52"/>
      <c r="AJ106" s="52"/>
      <c r="AK106" s="28"/>
      <c r="AL106" s="28"/>
      <c r="AM106" s="28"/>
      <c r="AN106" s="28"/>
      <c r="AO106" s="28"/>
      <c r="AP106" s="28"/>
      <c r="AQ106" s="28"/>
      <c r="AR106" s="28"/>
      <c r="AS106" s="25"/>
      <c r="AT106" s="25"/>
      <c r="AU106" s="25"/>
      <c r="AV106" s="25"/>
      <c r="AY106" s="75"/>
      <c r="AZ106" s="75"/>
      <c r="BA106" s="75"/>
      <c r="BI106" s="79" t="s">
        <v>1264</v>
      </c>
      <c r="BJ106" s="79">
        <v>1300</v>
      </c>
      <c r="BK106" s="79">
        <v>40</v>
      </c>
      <c r="BM106" s="79" t="s">
        <v>1275</v>
      </c>
      <c r="BN106" s="79" t="s">
        <v>56</v>
      </c>
      <c r="BO106" s="79">
        <v>0.1</v>
      </c>
      <c r="BQ106" s="79">
        <v>2.85</v>
      </c>
      <c r="BR106" s="79">
        <v>0</v>
      </c>
      <c r="BS106" s="79" t="s">
        <v>464</v>
      </c>
      <c r="BT106" s="79" t="s">
        <v>464</v>
      </c>
      <c r="BU106" s="79" t="s">
        <v>1266</v>
      </c>
      <c r="BV106" s="79">
        <v>400</v>
      </c>
      <c r="BX106" s="79" t="s">
        <v>1287</v>
      </c>
      <c r="BY106" s="79">
        <v>293</v>
      </c>
      <c r="BZ106" s="81">
        <v>362</v>
      </c>
      <c r="CA106">
        <f t="shared" si="9"/>
        <v>5.8916442118257715</v>
      </c>
    </row>
    <row r="107" spans="1:79" x14ac:dyDescent="0.3">
      <c r="A107" s="2" t="s">
        <v>1297</v>
      </c>
      <c r="B107" s="13"/>
      <c r="C107" s="13"/>
      <c r="D107" s="2"/>
      <c r="E107" s="2" t="s">
        <v>1294</v>
      </c>
      <c r="F107" s="9"/>
      <c r="H107" s="1" t="s">
        <v>1153</v>
      </c>
      <c r="I107" s="2"/>
      <c r="J107" s="25"/>
      <c r="M107" s="2"/>
      <c r="N107" s="2"/>
      <c r="O107" s="2"/>
      <c r="P107" s="2"/>
      <c r="Q107" s="2"/>
      <c r="R107" s="25"/>
      <c r="S107" s="25"/>
      <c r="T107" s="25"/>
      <c r="AA107" s="2"/>
      <c r="AC107" s="55"/>
      <c r="AD107" s="57"/>
      <c r="AE107" s="55"/>
      <c r="AF107" s="55"/>
      <c r="AG107" s="52"/>
      <c r="AH107" s="51"/>
      <c r="AI107" s="52"/>
      <c r="AJ107" s="52"/>
      <c r="AK107" s="28"/>
      <c r="AL107" s="28"/>
      <c r="AM107" s="28"/>
      <c r="AN107" s="28"/>
      <c r="AO107" s="28"/>
      <c r="AP107" s="28"/>
      <c r="AQ107" s="28"/>
      <c r="AR107" s="28"/>
      <c r="AS107" s="25"/>
      <c r="AT107" s="25"/>
      <c r="AU107" s="25"/>
      <c r="AV107" s="25"/>
      <c r="AY107" s="75"/>
      <c r="AZ107" s="75"/>
      <c r="BA107" s="75"/>
      <c r="BI107" s="79" t="s">
        <v>1264</v>
      </c>
      <c r="BJ107" s="79">
        <v>1300</v>
      </c>
      <c r="BK107" s="79">
        <v>40</v>
      </c>
      <c r="BM107" s="79" t="s">
        <v>1275</v>
      </c>
      <c r="BN107" s="79" t="s">
        <v>56</v>
      </c>
      <c r="BO107" s="79">
        <v>0.1</v>
      </c>
      <c r="BQ107" s="79">
        <v>2.85</v>
      </c>
      <c r="BR107" s="79">
        <v>0</v>
      </c>
      <c r="BS107" s="79" t="s">
        <v>464</v>
      </c>
      <c r="BT107" s="79" t="s">
        <v>464</v>
      </c>
      <c r="BU107" s="79" t="s">
        <v>1266</v>
      </c>
      <c r="BV107" s="79">
        <v>400</v>
      </c>
      <c r="BX107" s="79" t="s">
        <v>1287</v>
      </c>
      <c r="BY107" s="79">
        <v>293</v>
      </c>
      <c r="BZ107" s="81">
        <v>126</v>
      </c>
      <c r="CA107">
        <f t="shared" si="9"/>
        <v>4.836281906951478</v>
      </c>
    </row>
    <row r="108" spans="1:79" x14ac:dyDescent="0.3">
      <c r="A108" s="2" t="s">
        <v>1298</v>
      </c>
      <c r="B108" s="13"/>
      <c r="C108" s="13"/>
      <c r="D108" s="2"/>
      <c r="E108" s="2" t="s">
        <v>1294</v>
      </c>
      <c r="F108" s="9"/>
      <c r="H108" s="1" t="s">
        <v>1153</v>
      </c>
      <c r="I108" s="2"/>
      <c r="J108" s="25"/>
      <c r="M108" s="2"/>
      <c r="N108" s="2"/>
      <c r="O108" s="2"/>
      <c r="P108" s="2"/>
      <c r="Q108" s="2"/>
      <c r="R108" s="25"/>
      <c r="S108" s="25"/>
      <c r="T108" s="25"/>
      <c r="AA108" s="2"/>
      <c r="AC108" s="55"/>
      <c r="AD108" s="57"/>
      <c r="AE108" s="55"/>
      <c r="AF108" s="55"/>
      <c r="AG108" s="52"/>
      <c r="AH108" s="51"/>
      <c r="AI108" s="52"/>
      <c r="AJ108" s="52"/>
      <c r="AK108" s="28"/>
      <c r="AL108" s="28"/>
      <c r="AM108" s="28"/>
      <c r="AN108" s="28"/>
      <c r="AO108" s="28"/>
      <c r="AP108" s="28"/>
      <c r="AQ108" s="28"/>
      <c r="AR108" s="28"/>
      <c r="AS108" s="25"/>
      <c r="AT108" s="25"/>
      <c r="AU108" s="25"/>
      <c r="AV108" s="25"/>
      <c r="AY108" s="75"/>
      <c r="AZ108" s="75"/>
      <c r="BA108" s="75"/>
      <c r="BI108" s="79" t="s">
        <v>1264</v>
      </c>
      <c r="BJ108" s="79">
        <v>1300</v>
      </c>
      <c r="BK108" s="79">
        <v>40</v>
      </c>
      <c r="BM108" s="79" t="s">
        <v>1275</v>
      </c>
      <c r="BN108" s="79" t="s">
        <v>56</v>
      </c>
      <c r="BO108" s="79">
        <v>0.1</v>
      </c>
      <c r="BQ108" s="79">
        <v>2.85</v>
      </c>
      <c r="BR108" s="79">
        <v>0</v>
      </c>
      <c r="BS108" s="79" t="s">
        <v>464</v>
      </c>
      <c r="BT108" s="79" t="s">
        <v>464</v>
      </c>
      <c r="BU108" s="79" t="s">
        <v>1266</v>
      </c>
      <c r="BV108" s="79">
        <v>400</v>
      </c>
      <c r="BX108" s="79" t="s">
        <v>1287</v>
      </c>
      <c r="BY108" s="79">
        <v>293</v>
      </c>
      <c r="BZ108" s="81">
        <v>101</v>
      </c>
      <c r="CA108">
        <f t="shared" si="9"/>
        <v>4.6151205168412597</v>
      </c>
    </row>
    <row r="109" spans="1:79" x14ac:dyDescent="0.3">
      <c r="A109" s="2" t="s">
        <v>58</v>
      </c>
      <c r="B109" s="13"/>
      <c r="C109" s="13"/>
      <c r="D109" s="2"/>
      <c r="E109" s="2" t="s">
        <v>1294</v>
      </c>
      <c r="F109" s="9"/>
      <c r="H109" s="1" t="s">
        <v>1153</v>
      </c>
      <c r="I109" s="2"/>
      <c r="J109" s="25"/>
      <c r="M109" s="2"/>
      <c r="N109" s="2"/>
      <c r="O109" s="2"/>
      <c r="P109" s="2"/>
      <c r="Q109" s="2"/>
      <c r="R109" s="25"/>
      <c r="S109" s="25"/>
      <c r="T109" s="25"/>
      <c r="AA109" s="2"/>
      <c r="AC109" s="55"/>
      <c r="AD109" s="57"/>
      <c r="AE109" s="55"/>
      <c r="AF109" s="55"/>
      <c r="AG109" s="52"/>
      <c r="AH109" s="51"/>
      <c r="AI109" s="52"/>
      <c r="AJ109" s="52"/>
      <c r="AK109" s="28"/>
      <c r="AL109" s="28"/>
      <c r="AM109" s="28"/>
      <c r="AN109" s="28"/>
      <c r="AO109" s="28"/>
      <c r="AP109" s="28"/>
      <c r="AQ109" s="28"/>
      <c r="AR109" s="28"/>
      <c r="AS109" s="25"/>
      <c r="AT109" s="25"/>
      <c r="AU109" s="25"/>
      <c r="AV109" s="25"/>
      <c r="AY109" s="75"/>
      <c r="AZ109" s="75"/>
      <c r="BA109" s="75"/>
      <c r="BI109" s="79" t="s">
        <v>1264</v>
      </c>
      <c r="BJ109" s="79">
        <v>1300</v>
      </c>
      <c r="BK109" s="79">
        <v>40</v>
      </c>
      <c r="BM109" s="79" t="s">
        <v>1275</v>
      </c>
      <c r="BN109" s="79" t="s">
        <v>56</v>
      </c>
      <c r="BO109" s="79">
        <v>0.1</v>
      </c>
      <c r="BQ109" s="79">
        <v>2.85</v>
      </c>
      <c r="BR109" s="79">
        <v>0</v>
      </c>
      <c r="BS109" s="79" t="s">
        <v>464</v>
      </c>
      <c r="BT109" s="79" t="s">
        <v>464</v>
      </c>
      <c r="BU109" s="79" t="s">
        <v>1266</v>
      </c>
      <c r="BV109" s="79">
        <v>400</v>
      </c>
      <c r="BX109" s="79" t="s">
        <v>1287</v>
      </c>
      <c r="BY109" s="79">
        <v>293</v>
      </c>
      <c r="BZ109" s="81">
        <v>92</v>
      </c>
      <c r="CA109">
        <f t="shared" si="9"/>
        <v>4.5217885770490405</v>
      </c>
    </row>
    <row r="110" spans="1:79" x14ac:dyDescent="0.3">
      <c r="A110" s="2" t="s">
        <v>1289</v>
      </c>
      <c r="B110" s="13"/>
      <c r="C110" s="13"/>
      <c r="D110" s="2"/>
      <c r="E110" s="2" t="s">
        <v>1294</v>
      </c>
      <c r="F110" s="9"/>
      <c r="H110" t="s">
        <v>1292</v>
      </c>
      <c r="I110" s="2"/>
      <c r="J110" s="25"/>
      <c r="M110" s="2"/>
      <c r="N110" s="2"/>
      <c r="O110" s="2"/>
      <c r="P110" s="2"/>
      <c r="Q110" s="2"/>
      <c r="R110" s="25"/>
      <c r="S110" s="25"/>
      <c r="T110" s="25"/>
      <c r="AA110" s="2"/>
      <c r="AC110" s="55"/>
      <c r="AD110" s="57"/>
      <c r="AE110" s="55"/>
      <c r="AF110" s="55"/>
      <c r="AG110" s="52"/>
      <c r="AH110" s="51"/>
      <c r="AI110" s="52"/>
      <c r="AJ110" s="52"/>
      <c r="AK110" s="28"/>
      <c r="AL110" s="28"/>
      <c r="AM110" s="28"/>
      <c r="AN110" s="28"/>
      <c r="AO110" s="28"/>
      <c r="AP110" s="28"/>
      <c r="AQ110" s="28"/>
      <c r="AR110" s="28"/>
      <c r="AS110" s="25"/>
      <c r="AT110" s="25"/>
      <c r="AU110" s="25"/>
      <c r="AV110" s="25"/>
      <c r="AY110" s="75"/>
      <c r="AZ110" s="75"/>
      <c r="BA110" s="75"/>
      <c r="BI110" s="79" t="s">
        <v>1290</v>
      </c>
      <c r="BM110" s="79" t="s">
        <v>1275</v>
      </c>
      <c r="BN110" s="79" t="s">
        <v>56</v>
      </c>
      <c r="BO110" s="79">
        <v>0.1</v>
      </c>
      <c r="BQ110" s="79">
        <v>2.85</v>
      </c>
      <c r="BR110" s="79">
        <v>0</v>
      </c>
      <c r="BS110" s="79" t="s">
        <v>464</v>
      </c>
      <c r="BT110" s="79" t="s">
        <v>464</v>
      </c>
      <c r="BU110" s="79" t="s">
        <v>1266</v>
      </c>
      <c r="BV110" s="79">
        <v>400</v>
      </c>
      <c r="BX110" s="79" t="s">
        <v>1287</v>
      </c>
      <c r="BY110" s="79">
        <v>293</v>
      </c>
      <c r="BZ110" s="81">
        <v>1</v>
      </c>
      <c r="CA110">
        <f t="shared" si="9"/>
        <v>0</v>
      </c>
    </row>
    <row r="111" spans="1:79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I111" s="2"/>
      <c r="J111" s="25"/>
      <c r="M111" s="2"/>
      <c r="N111" s="2"/>
      <c r="O111" s="2"/>
      <c r="P111" s="2"/>
      <c r="Q111" s="2"/>
      <c r="R111" s="25"/>
      <c r="S111" s="25"/>
      <c r="T111" s="25"/>
      <c r="AA111" s="2"/>
      <c r="AC111" s="55"/>
      <c r="AD111" s="57"/>
      <c r="AE111" s="55"/>
      <c r="AF111" s="55"/>
      <c r="AG111" s="52"/>
      <c r="AH111" s="51"/>
      <c r="AI111" s="52"/>
      <c r="AJ111" s="52"/>
      <c r="AK111" s="28"/>
      <c r="AL111" s="28"/>
      <c r="AM111" s="28"/>
      <c r="AN111" s="28"/>
      <c r="AO111" s="28"/>
      <c r="AP111" s="28"/>
      <c r="AQ111" s="28"/>
      <c r="AR111" s="28"/>
      <c r="AS111" s="25"/>
      <c r="AT111" s="25"/>
      <c r="AU111" s="25"/>
      <c r="AV111" s="25"/>
      <c r="AY111" s="75"/>
      <c r="AZ111" s="75"/>
      <c r="BA111" s="75"/>
      <c r="BI111" s="79" t="s">
        <v>1264</v>
      </c>
      <c r="BJ111" s="79">
        <v>1673</v>
      </c>
      <c r="BK111" s="79">
        <v>0.25</v>
      </c>
      <c r="BM111" s="79" t="s">
        <v>1275</v>
      </c>
      <c r="BN111" s="79" t="s">
        <v>56</v>
      </c>
      <c r="BO111" s="79">
        <v>0.1</v>
      </c>
      <c r="BQ111" s="79">
        <v>2.85</v>
      </c>
      <c r="BR111" s="79">
        <v>0</v>
      </c>
      <c r="BS111" s="79" t="s">
        <v>464</v>
      </c>
      <c r="BT111" s="79" t="s">
        <v>464</v>
      </c>
      <c r="BU111" s="79" t="s">
        <v>1266</v>
      </c>
      <c r="BV111" s="79">
        <v>400</v>
      </c>
      <c r="BX111" s="79" t="s">
        <v>1287</v>
      </c>
      <c r="BY111" s="79">
        <v>293</v>
      </c>
      <c r="BZ111" s="81">
        <v>1</v>
      </c>
      <c r="CA111">
        <f t="shared" si="9"/>
        <v>0</v>
      </c>
    </row>
    <row r="112" spans="1:79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5"/>
      <c r="M112" s="2"/>
      <c r="N112" s="2"/>
      <c r="O112" s="2"/>
      <c r="P112" s="2"/>
      <c r="Q112" s="2"/>
      <c r="R112" s="25"/>
      <c r="S112" s="25"/>
      <c r="T112" s="25"/>
      <c r="AA112" s="2"/>
      <c r="AC112" s="55"/>
      <c r="AD112" s="57"/>
      <c r="AE112" s="55"/>
      <c r="AF112" s="55"/>
      <c r="AG112" s="52"/>
      <c r="AH112" s="51"/>
      <c r="AI112" s="52"/>
      <c r="AJ112" s="52"/>
      <c r="AK112" s="28"/>
      <c r="AL112" s="28"/>
      <c r="AM112" s="28"/>
      <c r="AN112" s="28"/>
      <c r="AO112" s="28"/>
      <c r="AP112" s="28"/>
      <c r="AQ112" s="28"/>
      <c r="AR112" s="28"/>
      <c r="AS112" s="25"/>
      <c r="AT112" s="25"/>
      <c r="AU112" s="25"/>
      <c r="AV112" s="25"/>
      <c r="AY112" s="75"/>
      <c r="AZ112" s="75"/>
      <c r="BA112" s="75"/>
      <c r="BI112" s="79" t="s">
        <v>1264</v>
      </c>
      <c r="BJ112" s="79">
        <v>1673</v>
      </c>
      <c r="BK112" s="79">
        <v>0.25</v>
      </c>
      <c r="BM112" s="79" t="s">
        <v>1275</v>
      </c>
      <c r="BN112" s="79" t="s">
        <v>56</v>
      </c>
      <c r="BO112" s="79">
        <v>0.1</v>
      </c>
      <c r="BQ112" s="79">
        <v>2.85</v>
      </c>
      <c r="BR112" s="79">
        <v>0</v>
      </c>
      <c r="BS112" s="79" t="s">
        <v>464</v>
      </c>
      <c r="BT112" s="79" t="s">
        <v>464</v>
      </c>
      <c r="BU112" s="79" t="s">
        <v>1266</v>
      </c>
      <c r="BV112" s="79">
        <v>400</v>
      </c>
      <c r="BX112" s="79" t="s">
        <v>1287</v>
      </c>
      <c r="BY112" s="79">
        <v>293</v>
      </c>
      <c r="BZ112" s="81">
        <v>1</v>
      </c>
      <c r="CA112">
        <f t="shared" si="9"/>
        <v>0</v>
      </c>
    </row>
    <row r="113" spans="1:79" x14ac:dyDescent="0.3">
      <c r="A113" s="2" t="s">
        <v>1288</v>
      </c>
      <c r="B113" s="13"/>
      <c r="C113" s="13"/>
      <c r="D113" s="2"/>
      <c r="E113" s="2" t="s">
        <v>1294</v>
      </c>
      <c r="F113" s="9"/>
      <c r="H113" t="s">
        <v>1291</v>
      </c>
      <c r="I113" s="2"/>
      <c r="J113" s="25"/>
      <c r="M113" s="2"/>
      <c r="N113" s="2"/>
      <c r="O113" s="2"/>
      <c r="P113" s="2"/>
      <c r="Q113" s="2"/>
      <c r="R113" s="25"/>
      <c r="S113" s="25"/>
      <c r="T113" s="25"/>
      <c r="AA113" s="2"/>
      <c r="AC113" s="55"/>
      <c r="AD113" s="57"/>
      <c r="AE113" s="55"/>
      <c r="AF113" s="55"/>
      <c r="AG113" s="52"/>
      <c r="AH113" s="51"/>
      <c r="AI113" s="52"/>
      <c r="AJ113" s="52"/>
      <c r="AK113" s="28"/>
      <c r="AL113" s="28"/>
      <c r="AM113" s="28"/>
      <c r="AN113" s="28"/>
      <c r="AO113" s="28"/>
      <c r="AP113" s="28"/>
      <c r="AQ113" s="28"/>
      <c r="AR113" s="28"/>
      <c r="AS113" s="25"/>
      <c r="AT113" s="25"/>
      <c r="AU113" s="25"/>
      <c r="AV113" s="25"/>
      <c r="AY113" s="75"/>
      <c r="AZ113" s="75"/>
      <c r="BA113" s="75"/>
      <c r="BI113" s="79" t="s">
        <v>1290</v>
      </c>
      <c r="BK113" s="79">
        <v>0.25</v>
      </c>
      <c r="BM113" s="79" t="s">
        <v>1275</v>
      </c>
      <c r="BN113" s="79" t="s">
        <v>56</v>
      </c>
      <c r="BO113" s="79">
        <v>0.1</v>
      </c>
      <c r="BQ113" s="79">
        <v>2.85</v>
      </c>
      <c r="BR113" s="79">
        <v>0</v>
      </c>
      <c r="BS113" s="79" t="s">
        <v>464</v>
      </c>
      <c r="BT113" s="79" t="s">
        <v>464</v>
      </c>
      <c r="BU113" s="79" t="s">
        <v>1266</v>
      </c>
      <c r="BV113" s="79">
        <v>400</v>
      </c>
      <c r="BX113" s="79" t="s">
        <v>1287</v>
      </c>
      <c r="BY113" s="79">
        <v>293</v>
      </c>
      <c r="BZ113" s="81">
        <v>4</v>
      </c>
      <c r="CA113">
        <f t="shared" si="9"/>
        <v>1.3862943611198906</v>
      </c>
    </row>
    <row r="114" spans="1:7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5"/>
      <c r="M114" s="2"/>
      <c r="N114" s="2"/>
      <c r="O114" s="2"/>
      <c r="P114" s="2"/>
      <c r="Q114" s="2"/>
      <c r="R114" s="25"/>
      <c r="S114" s="25"/>
      <c r="T114" s="25"/>
      <c r="AA114" s="2"/>
      <c r="AC114" s="55"/>
      <c r="AD114" s="57"/>
      <c r="AE114" s="55"/>
      <c r="AF114" s="55"/>
      <c r="AG114" s="52"/>
      <c r="AH114" s="51"/>
      <c r="AI114" s="52"/>
      <c r="AJ114" s="52"/>
      <c r="AK114" s="28"/>
      <c r="AL114" s="28"/>
      <c r="AM114" s="28"/>
      <c r="AN114" s="28"/>
      <c r="AO114" s="28"/>
      <c r="AP114" s="28"/>
      <c r="AQ114" s="28"/>
      <c r="AR114" s="28"/>
      <c r="AS114" s="25"/>
      <c r="AT114" s="25"/>
      <c r="AU114" s="25"/>
      <c r="AV114" s="25"/>
      <c r="AY114" s="75"/>
      <c r="AZ114" s="75"/>
      <c r="BA114" s="75"/>
      <c r="BI114" s="79" t="s">
        <v>1264</v>
      </c>
      <c r="BJ114" s="79">
        <v>1673</v>
      </c>
      <c r="BK114" s="79">
        <v>0.25</v>
      </c>
      <c r="BM114" s="79" t="s">
        <v>1275</v>
      </c>
      <c r="BN114" s="79" t="s">
        <v>56</v>
      </c>
      <c r="BO114" s="79">
        <v>0.1</v>
      </c>
      <c r="BQ114" s="79">
        <v>2.85</v>
      </c>
      <c r="BR114" s="79">
        <v>0</v>
      </c>
      <c r="BS114" s="79" t="s">
        <v>464</v>
      </c>
      <c r="BT114" s="79" t="s">
        <v>464</v>
      </c>
      <c r="BU114" s="79" t="s">
        <v>1266</v>
      </c>
      <c r="BV114" s="79">
        <v>400</v>
      </c>
      <c r="BX114" s="79" t="s">
        <v>1287</v>
      </c>
      <c r="BY114" s="79">
        <v>293</v>
      </c>
      <c r="BZ114" s="81">
        <v>6</v>
      </c>
      <c r="CA114">
        <f t="shared" si="9"/>
        <v>1.791759469228055</v>
      </c>
    </row>
    <row r="115" spans="1:7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I115" s="2"/>
      <c r="J115" s="25">
        <v>1</v>
      </c>
      <c r="K115">
        <v>2</v>
      </c>
      <c r="L115">
        <v>0</v>
      </c>
      <c r="M115" s="2">
        <v>3.8860999999999999</v>
      </c>
      <c r="N115" s="2">
        <v>3.8860999999999999</v>
      </c>
      <c r="O115" s="2">
        <v>12.5922</v>
      </c>
      <c r="P115" s="2" t="s">
        <v>440</v>
      </c>
      <c r="Q115" s="2"/>
      <c r="R115" s="25">
        <v>3.8962357000000001</v>
      </c>
      <c r="S115" s="25">
        <v>3.8962353200000002</v>
      </c>
      <c r="T115" s="25">
        <v>6.87349342</v>
      </c>
      <c r="U115">
        <v>3.8839999999999999</v>
      </c>
      <c r="V115">
        <v>3.8839999999999999</v>
      </c>
      <c r="W115">
        <v>12.6</v>
      </c>
      <c r="X115">
        <v>0</v>
      </c>
      <c r="AA115" s="2"/>
      <c r="AB115">
        <v>8</v>
      </c>
      <c r="AC115" s="55">
        <f t="shared" si="11"/>
        <v>190.164548614962</v>
      </c>
      <c r="AD115" s="57">
        <v>95.595427689592043</v>
      </c>
      <c r="AE115" s="55">
        <v>190.07674560000001</v>
      </c>
      <c r="AF115" s="55">
        <v>0</v>
      </c>
      <c r="AG115" s="52"/>
      <c r="AH115" s="51">
        <v>8.3686010862117841E-2</v>
      </c>
      <c r="AI115" s="52">
        <v>8.4176525379230829E-2</v>
      </c>
      <c r="AJ115" s="52"/>
      <c r="AK115" s="28">
        <v>2</v>
      </c>
      <c r="AL115" s="28">
        <v>2.285714285714286</v>
      </c>
      <c r="AM115" s="28">
        <v>0.2857142857142857</v>
      </c>
      <c r="AN115" s="28">
        <v>0</v>
      </c>
      <c r="AO115" s="28">
        <v>0.4375</v>
      </c>
      <c r="AP115" s="28">
        <v>0.5</v>
      </c>
      <c r="AQ115" s="28">
        <v>6.25E-2</v>
      </c>
      <c r="AR115" s="28">
        <v>0</v>
      </c>
      <c r="AS115" s="25">
        <v>0.95</v>
      </c>
      <c r="AT115" s="25">
        <v>3.44</v>
      </c>
      <c r="AU115" s="25">
        <v>2.4900000000000002</v>
      </c>
      <c r="AV115" s="25">
        <v>2.4571428571428569</v>
      </c>
      <c r="AW115">
        <v>2.4571428571428569</v>
      </c>
      <c r="AX115">
        <v>5.6224409357142857</v>
      </c>
      <c r="AY115" s="75">
        <v>0.57028696666713652</v>
      </c>
      <c r="AZ115" s="75">
        <v>0.57362962851932398</v>
      </c>
      <c r="BA115" s="75"/>
      <c r="BC115">
        <v>4.184300543105892E-2</v>
      </c>
      <c r="BD115">
        <v>4.2088262689615408E-2</v>
      </c>
      <c r="BF115">
        <v>8.3931268120674335E-2</v>
      </c>
      <c r="BG115">
        <v>4.1965634060337167E-2</v>
      </c>
      <c r="BH115">
        <v>0.57195829759323025</v>
      </c>
      <c r="BI115" s="79" t="s">
        <v>1305</v>
      </c>
      <c r="BJ115" s="79">
        <v>823</v>
      </c>
      <c r="BK115" s="79">
        <v>5</v>
      </c>
      <c r="BL115" s="79" t="s">
        <v>1308</v>
      </c>
      <c r="BM115" s="79" t="s">
        <v>1275</v>
      </c>
      <c r="BN115" s="79" t="s">
        <v>863</v>
      </c>
      <c r="BO115" s="79" t="s">
        <v>464</v>
      </c>
      <c r="BP115" s="79">
        <v>0.4</v>
      </c>
      <c r="BQ115" s="79">
        <v>1</v>
      </c>
      <c r="BR115" s="79">
        <v>0</v>
      </c>
      <c r="BS115" s="79" t="s">
        <v>1309</v>
      </c>
      <c r="BT115" s="79" t="s">
        <v>464</v>
      </c>
      <c r="BU115" s="79" t="s">
        <v>1306</v>
      </c>
      <c r="BV115" s="79">
        <v>300</v>
      </c>
      <c r="BW115" s="79">
        <v>400</v>
      </c>
      <c r="BY115" s="79">
        <v>293</v>
      </c>
      <c r="BZ115" s="81">
        <v>0</v>
      </c>
      <c r="CA115" t="e">
        <f t="shared" si="9"/>
        <v>#NUM!</v>
      </c>
    </row>
    <row r="116" spans="1:7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I116" s="2"/>
      <c r="J116" s="25">
        <v>0</v>
      </c>
      <c r="K116">
        <v>2</v>
      </c>
      <c r="L116">
        <v>0</v>
      </c>
      <c r="M116" s="2">
        <v>3.8915000000000002</v>
      </c>
      <c r="N116" s="2">
        <v>3.8915000000000002</v>
      </c>
      <c r="O116" s="2">
        <v>12.589499999999999</v>
      </c>
      <c r="P116" s="2" t="s">
        <v>440</v>
      </c>
      <c r="Q116" s="2"/>
      <c r="R116" s="25">
        <v>0</v>
      </c>
      <c r="S116" s="25"/>
      <c r="T116" s="25"/>
      <c r="U116">
        <v>3.8839999999999999</v>
      </c>
      <c r="V116">
        <v>3.8839999999999999</v>
      </c>
      <c r="W116">
        <v>12.6</v>
      </c>
      <c r="X116">
        <v>0</v>
      </c>
      <c r="AA116" s="2"/>
      <c r="AB116">
        <v>8</v>
      </c>
      <c r="AC116" s="55">
        <f t="shared" si="11"/>
        <v>190.65252074137501</v>
      </c>
      <c r="AD116" s="57">
        <v>0</v>
      </c>
      <c r="AE116" s="55">
        <v>190.07674560000001</v>
      </c>
      <c r="AF116" s="55">
        <v>0</v>
      </c>
      <c r="AG116" s="52"/>
      <c r="AH116" s="51"/>
      <c r="AI116" s="52">
        <v>8.4176525379230829E-2</v>
      </c>
      <c r="AJ116" s="52"/>
      <c r="AK116" s="28">
        <v>2</v>
      </c>
      <c r="AL116" s="28">
        <v>2.285714285714286</v>
      </c>
      <c r="AM116" s="28">
        <v>0.3</v>
      </c>
      <c r="AN116" s="28">
        <v>0</v>
      </c>
      <c r="AO116" s="28">
        <v>0.43613707165109028</v>
      </c>
      <c r="AP116" s="28">
        <v>0.49844236760124599</v>
      </c>
      <c r="AQ116" s="28">
        <v>6.5420560747663545E-2</v>
      </c>
      <c r="AR116" s="28">
        <v>0</v>
      </c>
      <c r="AS116" s="25">
        <v>0.95</v>
      </c>
      <c r="AT116" s="25">
        <v>3.44</v>
      </c>
      <c r="AU116" s="25">
        <v>2.4900000000000002</v>
      </c>
      <c r="AV116" s="25">
        <v>2.4592857142857141</v>
      </c>
      <c r="AW116">
        <v>2.459285714285715</v>
      </c>
      <c r="AX116">
        <v>5.625208883928571</v>
      </c>
      <c r="AY116" s="75">
        <v>0.57028696666713652</v>
      </c>
      <c r="AZ116" s="75">
        <v>0.57362962851932398</v>
      </c>
      <c r="BA116" s="75"/>
      <c r="BD116">
        <v>4.2088262689615408E-2</v>
      </c>
      <c r="BF116">
        <v>8.4176525379230829E-2</v>
      </c>
      <c r="BG116">
        <v>4.2088262689615408E-2</v>
      </c>
      <c r="BH116">
        <v>0.57195829759323025</v>
      </c>
      <c r="BI116" s="79" t="s">
        <v>1305</v>
      </c>
      <c r="BJ116" s="79">
        <v>823</v>
      </c>
      <c r="BK116" s="79">
        <v>5</v>
      </c>
      <c r="BL116" s="79" t="s">
        <v>1308</v>
      </c>
      <c r="BM116" s="79" t="s">
        <v>1275</v>
      </c>
      <c r="BN116" s="79" t="s">
        <v>863</v>
      </c>
      <c r="BO116" s="79" t="s">
        <v>464</v>
      </c>
      <c r="BP116" s="79">
        <v>1.3</v>
      </c>
      <c r="BQ116" s="79">
        <v>1</v>
      </c>
      <c r="BR116" s="79">
        <v>0</v>
      </c>
      <c r="BS116" s="79" t="s">
        <v>1309</v>
      </c>
      <c r="BT116" s="79" t="s">
        <v>464</v>
      </c>
      <c r="BU116" s="79" t="s">
        <v>1306</v>
      </c>
      <c r="BV116" s="79">
        <v>300</v>
      </c>
      <c r="BW116" s="79">
        <v>400</v>
      </c>
      <c r="BY116" s="79">
        <v>293</v>
      </c>
      <c r="BZ116" s="81">
        <v>40</v>
      </c>
      <c r="CA116">
        <f t="shared" si="9"/>
        <v>3.6888794541139363</v>
      </c>
    </row>
    <row r="117" spans="1:7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I117" s="2"/>
      <c r="J117" s="25">
        <v>0</v>
      </c>
      <c r="K117">
        <v>2</v>
      </c>
      <c r="L117">
        <v>0</v>
      </c>
      <c r="M117" s="2">
        <v>3.8965000000000001</v>
      </c>
      <c r="N117" s="2">
        <v>3.8965000000000001</v>
      </c>
      <c r="O117" s="2">
        <v>12.6137</v>
      </c>
      <c r="P117" s="2" t="s">
        <v>440</v>
      </c>
      <c r="Q117" s="2"/>
      <c r="R117" s="25">
        <v>0</v>
      </c>
      <c r="S117" s="25"/>
      <c r="T117" s="25"/>
      <c r="U117">
        <v>3.8839999999999999</v>
      </c>
      <c r="V117">
        <v>3.8839999999999999</v>
      </c>
      <c r="W117">
        <v>12.6</v>
      </c>
      <c r="X117">
        <v>0</v>
      </c>
      <c r="AA117" s="2"/>
      <c r="AB117">
        <v>8</v>
      </c>
      <c r="AC117" s="55">
        <f t="shared" si="11"/>
        <v>191.51017750782501</v>
      </c>
      <c r="AD117" s="57">
        <v>0</v>
      </c>
      <c r="AE117" s="55">
        <v>190.07674560000001</v>
      </c>
      <c r="AF117" s="55">
        <v>0</v>
      </c>
      <c r="AG117" s="52"/>
      <c r="AH117" s="51"/>
      <c r="AI117" s="52">
        <v>8.4176525379230829E-2</v>
      </c>
      <c r="AJ117" s="52"/>
      <c r="AK117" s="28">
        <v>2</v>
      </c>
      <c r="AL117" s="28">
        <v>2.285714285714286</v>
      </c>
      <c r="AM117" s="28">
        <v>0.31428571428571428</v>
      </c>
      <c r="AN117" s="28">
        <v>0</v>
      </c>
      <c r="AO117" s="28">
        <v>0.43478260869565211</v>
      </c>
      <c r="AP117" s="28">
        <v>0.49689440993788808</v>
      </c>
      <c r="AQ117" s="28">
        <v>6.8322981366459631E-2</v>
      </c>
      <c r="AR117" s="28">
        <v>0</v>
      </c>
      <c r="AS117" s="25">
        <v>0.95</v>
      </c>
      <c r="AT117" s="25">
        <v>3.44</v>
      </c>
      <c r="AU117" s="25">
        <v>2.4900000000000002</v>
      </c>
      <c r="AV117" s="25">
        <v>2.4614285714285709</v>
      </c>
      <c r="AW117">
        <v>2.4614285714285709</v>
      </c>
      <c r="AX117">
        <v>5.627976832142858</v>
      </c>
      <c r="AY117" s="75">
        <v>0.57028696666713652</v>
      </c>
      <c r="AZ117" s="75">
        <v>0.57362962851932398</v>
      </c>
      <c r="BA117" s="75"/>
      <c r="BD117">
        <v>4.2088262689615408E-2</v>
      </c>
      <c r="BF117">
        <v>8.4176525379230829E-2</v>
      </c>
      <c r="BG117">
        <v>4.2088262689615408E-2</v>
      </c>
      <c r="BH117">
        <v>0.57195829759323025</v>
      </c>
      <c r="BI117" s="79" t="s">
        <v>1305</v>
      </c>
      <c r="BJ117" s="79">
        <v>823</v>
      </c>
      <c r="BK117" s="79">
        <v>5</v>
      </c>
      <c r="BL117" s="79" t="s">
        <v>1308</v>
      </c>
      <c r="BM117" s="79" t="s">
        <v>1275</v>
      </c>
      <c r="BN117" s="79" t="s">
        <v>863</v>
      </c>
      <c r="BO117" s="79" t="s">
        <v>464</v>
      </c>
      <c r="BP117" s="79">
        <v>3.2</v>
      </c>
      <c r="BQ117" s="79">
        <v>1</v>
      </c>
      <c r="BR117" s="79">
        <v>0</v>
      </c>
      <c r="BS117" s="79" t="s">
        <v>1309</v>
      </c>
      <c r="BT117" s="79" t="s">
        <v>464</v>
      </c>
      <c r="BU117" s="79" t="s">
        <v>1306</v>
      </c>
      <c r="BV117" s="79">
        <v>300</v>
      </c>
      <c r="BW117" s="79">
        <v>400</v>
      </c>
      <c r="BY117" s="79">
        <v>293</v>
      </c>
      <c r="BZ117" s="81">
        <v>170</v>
      </c>
      <c r="CA117">
        <f t="shared" si="9"/>
        <v>5.1357984370502621</v>
      </c>
    </row>
    <row r="118" spans="1:7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I118" s="2"/>
      <c r="J118" s="25">
        <v>0</v>
      </c>
      <c r="K118">
        <v>2</v>
      </c>
      <c r="L118">
        <v>0</v>
      </c>
      <c r="M118" s="2">
        <v>3.9016999999999999</v>
      </c>
      <c r="N118" s="2">
        <v>3.9016999999999999</v>
      </c>
      <c r="O118" s="2">
        <v>12.593500000000001</v>
      </c>
      <c r="P118" s="2" t="s">
        <v>440</v>
      </c>
      <c r="Q118" s="2"/>
      <c r="R118" s="25">
        <v>0</v>
      </c>
      <c r="S118" s="25"/>
      <c r="T118" s="25"/>
      <c r="U118">
        <v>3.8839999999999999</v>
      </c>
      <c r="V118">
        <v>3.8839999999999999</v>
      </c>
      <c r="W118">
        <v>12.6</v>
      </c>
      <c r="X118">
        <v>0</v>
      </c>
      <c r="AA118" s="2"/>
      <c r="AB118">
        <v>8</v>
      </c>
      <c r="AC118" s="55">
        <f t="shared" si="11"/>
        <v>191.71416120521499</v>
      </c>
      <c r="AD118" s="57">
        <v>0</v>
      </c>
      <c r="AE118" s="55">
        <v>190.07674560000001</v>
      </c>
      <c r="AF118" s="55">
        <v>0</v>
      </c>
      <c r="AG118" s="52"/>
      <c r="AH118" s="51"/>
      <c r="AI118" s="52">
        <v>8.4176525379230829E-2</v>
      </c>
      <c r="AJ118" s="52"/>
      <c r="AK118" s="28">
        <v>2</v>
      </c>
      <c r="AL118" s="28">
        <v>2.285714285714286</v>
      </c>
      <c r="AM118" s="28">
        <v>0.32857142857142863</v>
      </c>
      <c r="AN118" s="28">
        <v>0</v>
      </c>
      <c r="AO118" s="28">
        <v>0.43343653250774</v>
      </c>
      <c r="AP118" s="28">
        <v>0.49535603715170279</v>
      </c>
      <c r="AQ118" s="28">
        <v>7.1207430340557279E-2</v>
      </c>
      <c r="AR118" s="28">
        <v>0</v>
      </c>
      <c r="AS118" s="25">
        <v>0.95</v>
      </c>
      <c r="AT118" s="25">
        <v>3.44</v>
      </c>
      <c r="AU118" s="25">
        <v>2.4900000000000002</v>
      </c>
      <c r="AV118" s="25">
        <v>2.463571428571429</v>
      </c>
      <c r="AW118">
        <v>2.463571428571429</v>
      </c>
      <c r="AX118">
        <v>5.6307447803571433</v>
      </c>
      <c r="AY118" s="75">
        <v>0.57028696666713652</v>
      </c>
      <c r="AZ118" s="75">
        <v>0.57362962851932398</v>
      </c>
      <c r="BA118" s="75"/>
      <c r="BD118">
        <v>4.2088262689615408E-2</v>
      </c>
      <c r="BF118">
        <v>8.4176525379230829E-2</v>
      </c>
      <c r="BG118">
        <v>4.2088262689615408E-2</v>
      </c>
      <c r="BH118">
        <v>0.57195829759323025</v>
      </c>
      <c r="BI118" s="79" t="s">
        <v>1305</v>
      </c>
      <c r="BJ118" s="79">
        <v>823</v>
      </c>
      <c r="BK118" s="79">
        <v>5</v>
      </c>
      <c r="BL118" s="79" t="s">
        <v>1308</v>
      </c>
      <c r="BM118" s="79" t="s">
        <v>1275</v>
      </c>
      <c r="BN118" s="79" t="s">
        <v>863</v>
      </c>
      <c r="BO118" s="79" t="s">
        <v>464</v>
      </c>
      <c r="BP118" s="79">
        <v>3.4</v>
      </c>
      <c r="BQ118" s="79">
        <v>1</v>
      </c>
      <c r="BR118" s="79">
        <v>0</v>
      </c>
      <c r="BS118" s="79" t="s">
        <v>1309</v>
      </c>
      <c r="BT118" s="79" t="s">
        <v>464</v>
      </c>
      <c r="BU118" s="79" t="s">
        <v>1306</v>
      </c>
      <c r="BV118" s="79">
        <v>300</v>
      </c>
      <c r="BW118" s="79">
        <v>400</v>
      </c>
      <c r="BY118" s="79">
        <v>293</v>
      </c>
      <c r="BZ118" s="81">
        <v>75</v>
      </c>
      <c r="CA118">
        <f t="shared" si="9"/>
        <v>4.3174881135363101</v>
      </c>
    </row>
    <row r="119" spans="1:7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I119" s="2"/>
      <c r="J119" s="25">
        <v>0</v>
      </c>
      <c r="K119">
        <v>2</v>
      </c>
      <c r="L119">
        <v>0</v>
      </c>
      <c r="M119" s="2">
        <v>3.9022000000000001</v>
      </c>
      <c r="N119" s="2">
        <v>3.9022000000000001</v>
      </c>
      <c r="O119" s="2">
        <v>12.6189</v>
      </c>
      <c r="P119" s="2" t="s">
        <v>440</v>
      </c>
      <c r="Q119" s="2"/>
      <c r="R119" s="25">
        <v>0</v>
      </c>
      <c r="S119" s="25"/>
      <c r="T119" s="25"/>
      <c r="U119">
        <v>3.8839999999999999</v>
      </c>
      <c r="V119">
        <v>3.8839999999999999</v>
      </c>
      <c r="W119">
        <v>12.6</v>
      </c>
      <c r="X119">
        <v>0</v>
      </c>
      <c r="AA119" s="2"/>
      <c r="AB119">
        <v>8</v>
      </c>
      <c r="AC119" s="55">
        <f t="shared" si="11"/>
        <v>192.15007039947599</v>
      </c>
      <c r="AD119" s="57">
        <v>0</v>
      </c>
      <c r="AE119" s="55">
        <v>190.07674560000001</v>
      </c>
      <c r="AF119" s="55">
        <v>0</v>
      </c>
      <c r="AG119" s="52"/>
      <c r="AH119" s="51"/>
      <c r="AI119" s="52">
        <v>8.4176525379230829E-2</v>
      </c>
      <c r="AJ119" s="52"/>
      <c r="AK119" s="28">
        <v>2</v>
      </c>
      <c r="AL119" s="28">
        <v>2.285714285714286</v>
      </c>
      <c r="AM119" s="28">
        <v>0.34285714285714292</v>
      </c>
      <c r="AN119" s="28">
        <v>0</v>
      </c>
      <c r="AO119" s="28">
        <v>0.4320987654320988</v>
      </c>
      <c r="AP119" s="28">
        <v>0.49382716049382719</v>
      </c>
      <c r="AQ119" s="28">
        <v>7.4074074074074084E-2</v>
      </c>
      <c r="AR119" s="28">
        <v>0</v>
      </c>
      <c r="AS119" s="25">
        <v>0.95</v>
      </c>
      <c r="AT119" s="25">
        <v>3.44</v>
      </c>
      <c r="AU119" s="25">
        <v>2.4900000000000002</v>
      </c>
      <c r="AV119" s="25">
        <v>2.4657142857142849</v>
      </c>
      <c r="AW119">
        <v>2.4657142857142862</v>
      </c>
      <c r="AX119">
        <v>5.6335127285714286</v>
      </c>
      <c r="AY119" s="75">
        <v>0.57028696666713652</v>
      </c>
      <c r="AZ119" s="75">
        <v>0.57362962851932398</v>
      </c>
      <c r="BA119" s="75"/>
      <c r="BD119">
        <v>4.2088262689615408E-2</v>
      </c>
      <c r="BF119">
        <v>8.4176525379230829E-2</v>
      </c>
      <c r="BG119">
        <v>4.2088262689615408E-2</v>
      </c>
      <c r="BH119">
        <v>0.57195829759323025</v>
      </c>
      <c r="BI119" s="79" t="s">
        <v>1305</v>
      </c>
      <c r="BJ119" s="79">
        <v>823</v>
      </c>
      <c r="BK119" s="79">
        <v>5</v>
      </c>
      <c r="BL119" s="79" t="s">
        <v>1308</v>
      </c>
      <c r="BM119" s="79" t="s">
        <v>1275</v>
      </c>
      <c r="BN119" s="79" t="s">
        <v>863</v>
      </c>
      <c r="BO119" s="79" t="s">
        <v>464</v>
      </c>
      <c r="BP119" s="79">
        <v>3.8</v>
      </c>
      <c r="BQ119" s="79">
        <v>1</v>
      </c>
      <c r="BR119" s="79">
        <v>0</v>
      </c>
      <c r="BS119" s="79" t="s">
        <v>1309</v>
      </c>
      <c r="BT119" s="79" t="s">
        <v>464</v>
      </c>
      <c r="BU119" s="79" t="s">
        <v>1306</v>
      </c>
      <c r="BV119" s="79">
        <v>300</v>
      </c>
      <c r="BW119" s="79">
        <v>400</v>
      </c>
      <c r="BY119" s="79">
        <v>293</v>
      </c>
      <c r="BZ119" s="81">
        <v>45</v>
      </c>
      <c r="CA119">
        <f t="shared" si="9"/>
        <v>3.8066624897703196</v>
      </c>
    </row>
    <row r="120" spans="1:7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5" t="s">
        <v>558</v>
      </c>
      <c r="G120" s="2" t="s">
        <v>635</v>
      </c>
      <c r="J120" s="29">
        <v>0</v>
      </c>
      <c r="K120" s="2">
        <v>2</v>
      </c>
      <c r="L120" s="2">
        <v>0</v>
      </c>
      <c r="M120" s="2">
        <v>3.9043999999999999</v>
      </c>
      <c r="N120" s="2">
        <v>3.9043999999999999</v>
      </c>
      <c r="O120" s="2">
        <v>12.6092</v>
      </c>
      <c r="P120" s="2" t="s">
        <v>440</v>
      </c>
      <c r="R120" s="29">
        <v>0</v>
      </c>
      <c r="S120" s="29"/>
      <c r="T120" s="29"/>
      <c r="U120" s="2">
        <v>3.8839999999999999</v>
      </c>
      <c r="V120" s="2">
        <v>3.8839999999999999</v>
      </c>
      <c r="W120" s="2">
        <v>12.6</v>
      </c>
      <c r="X120" s="2">
        <v>0</v>
      </c>
      <c r="AB120" s="2">
        <v>8</v>
      </c>
      <c r="AC120" s="2">
        <f t="shared" si="11"/>
        <v>192.21892385811199</v>
      </c>
      <c r="AD120" s="29">
        <v>0</v>
      </c>
      <c r="AE120" s="2">
        <v>190.07674560000001</v>
      </c>
      <c r="AF120" s="2">
        <v>0</v>
      </c>
      <c r="AH120" s="29"/>
      <c r="AI120" s="2">
        <v>8.4176525379230829E-2</v>
      </c>
      <c r="AK120" s="2">
        <v>2</v>
      </c>
      <c r="AL120" s="2">
        <v>2.285714285714286</v>
      </c>
      <c r="AM120" s="2">
        <v>0.35714285714285721</v>
      </c>
      <c r="AN120" s="2">
        <v>0</v>
      </c>
      <c r="AO120" s="2">
        <v>0.43076923076923068</v>
      </c>
      <c r="AP120" s="2">
        <v>0.49230769230769222</v>
      </c>
      <c r="AQ120" s="2">
        <v>7.6923076923076913E-2</v>
      </c>
      <c r="AR120" s="2">
        <v>0</v>
      </c>
      <c r="AS120" s="29">
        <v>0.95</v>
      </c>
      <c r="AT120" s="29">
        <v>3.44</v>
      </c>
      <c r="AU120" s="29">
        <v>2.4900000000000002</v>
      </c>
      <c r="AV120" s="29">
        <v>2.467857142857143</v>
      </c>
      <c r="AW120" s="2">
        <v>2.467857142857143</v>
      </c>
      <c r="AX120" s="2">
        <v>5.6362806767857148</v>
      </c>
      <c r="AY120" s="2">
        <v>0.57028696666713652</v>
      </c>
      <c r="AZ120" s="2">
        <v>0.57362962851932398</v>
      </c>
      <c r="BD120" s="2">
        <v>4.2088262689615408E-2</v>
      </c>
      <c r="BF120" s="2">
        <v>8.4176525379230829E-2</v>
      </c>
      <c r="BG120" s="2">
        <v>4.2088262689615408E-2</v>
      </c>
      <c r="BH120" s="2">
        <v>0.57195829759323025</v>
      </c>
      <c r="BI120" s="86" t="s">
        <v>1305</v>
      </c>
      <c r="BJ120" s="86">
        <v>823</v>
      </c>
      <c r="BK120" s="86">
        <v>5</v>
      </c>
      <c r="BL120" s="86" t="s">
        <v>1308</v>
      </c>
      <c r="BM120" s="86" t="s">
        <v>1275</v>
      </c>
      <c r="BN120" s="86" t="s">
        <v>863</v>
      </c>
      <c r="BO120" s="86" t="s">
        <v>464</v>
      </c>
      <c r="BP120" s="86">
        <v>4.2</v>
      </c>
      <c r="BQ120" s="86">
        <v>1</v>
      </c>
      <c r="BR120" s="86">
        <v>0</v>
      </c>
      <c r="BS120" s="86" t="s">
        <v>1309</v>
      </c>
      <c r="BT120" s="86" t="s">
        <v>464</v>
      </c>
      <c r="BU120" s="86" t="s">
        <v>1306</v>
      </c>
      <c r="BV120" s="86">
        <v>300</v>
      </c>
      <c r="BW120" s="86">
        <v>400</v>
      </c>
      <c r="BX120" s="86"/>
      <c r="BY120" s="86">
        <v>293</v>
      </c>
      <c r="BZ120" s="86">
        <v>50</v>
      </c>
      <c r="CA120">
        <f t="shared" si="9"/>
        <v>3.912023005428146</v>
      </c>
    </row>
    <row r="121" spans="1:7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I121" s="2"/>
      <c r="J121" s="25">
        <v>1</v>
      </c>
      <c r="K121">
        <v>1</v>
      </c>
      <c r="L121">
        <v>0</v>
      </c>
      <c r="M121" s="2">
        <v>3.87</v>
      </c>
      <c r="N121" s="2">
        <v>3.87</v>
      </c>
      <c r="O121" s="2">
        <v>15.1</v>
      </c>
      <c r="P121" s="2" t="s">
        <v>439</v>
      </c>
      <c r="Q121" s="2"/>
      <c r="R121" s="25">
        <v>3.950634</v>
      </c>
      <c r="S121" s="25">
        <v>3.950634</v>
      </c>
      <c r="T121" s="25">
        <v>15.513552000000001</v>
      </c>
      <c r="U121">
        <v>3.8658999999999999</v>
      </c>
      <c r="V121">
        <v>3.8658999999999999</v>
      </c>
      <c r="W121">
        <v>15.2538</v>
      </c>
      <c r="X121">
        <v>0</v>
      </c>
      <c r="AA121" s="2"/>
      <c r="AB121">
        <v>20</v>
      </c>
      <c r="AC121" s="55">
        <f t="shared" si="11"/>
        <v>226.15119000000001</v>
      </c>
      <c r="AD121" s="57">
        <v>242.1279024923125</v>
      </c>
      <c r="AE121" s="55">
        <v>227.970829547178</v>
      </c>
      <c r="AF121" s="55">
        <v>0</v>
      </c>
      <c r="AG121" s="52"/>
      <c r="AH121" s="51">
        <v>8.2600971611006269E-2</v>
      </c>
      <c r="AI121" s="52">
        <v>8.7730522539775438E-2</v>
      </c>
      <c r="AJ121" s="52"/>
      <c r="AK121" s="28">
        <v>1.9375</v>
      </c>
      <c r="AL121" s="28">
        <v>2.5</v>
      </c>
      <c r="AM121" s="28">
        <v>0.5625</v>
      </c>
      <c r="AN121" s="28">
        <v>2.625</v>
      </c>
      <c r="AO121" s="28">
        <v>0.25409836065573771</v>
      </c>
      <c r="AP121" s="28">
        <v>0.32786885245901642</v>
      </c>
      <c r="AQ121" s="28">
        <v>7.3770491803278687E-2</v>
      </c>
      <c r="AR121" s="28">
        <v>0.34426229508196721</v>
      </c>
      <c r="AS121" s="25">
        <v>0.79</v>
      </c>
      <c r="AT121" s="25">
        <v>3.44</v>
      </c>
      <c r="AU121" s="25">
        <v>2.65</v>
      </c>
      <c r="AV121" s="25">
        <v>2.6056249999999999</v>
      </c>
      <c r="AW121">
        <v>2.6056249999999999</v>
      </c>
      <c r="AX121">
        <v>5.9703320286696879</v>
      </c>
      <c r="AY121" s="75">
        <v>0.52453741991489755</v>
      </c>
      <c r="AZ121" s="75">
        <v>0.55711138795694093</v>
      </c>
      <c r="BA121" s="75"/>
      <c r="BC121">
        <v>4.1300485805503127E-2</v>
      </c>
      <c r="BD121">
        <v>4.3865261269887712E-2</v>
      </c>
      <c r="BF121">
        <v>8.5165747075390846E-2</v>
      </c>
      <c r="BG121">
        <v>4.2582873537695423E-2</v>
      </c>
      <c r="BH121">
        <v>0.54082440393591924</v>
      </c>
      <c r="BI121" s="79" t="s">
        <v>1264</v>
      </c>
      <c r="BJ121" s="79">
        <v>1273</v>
      </c>
      <c r="BK121" s="79">
        <v>10</v>
      </c>
      <c r="BM121" s="79" t="s">
        <v>464</v>
      </c>
      <c r="BN121" s="79" t="s">
        <v>464</v>
      </c>
      <c r="BO121" s="79">
        <v>0</v>
      </c>
      <c r="BQ121" s="79">
        <v>1</v>
      </c>
      <c r="BR121" s="79">
        <v>0</v>
      </c>
      <c r="BS121" s="79" t="s">
        <v>464</v>
      </c>
      <c r="BT121" s="79" t="s">
        <v>464</v>
      </c>
      <c r="BU121" s="79" t="s">
        <v>1266</v>
      </c>
      <c r="BV121" s="79">
        <v>400</v>
      </c>
      <c r="BX121" s="79" t="s">
        <v>1287</v>
      </c>
      <c r="BZ121" s="81">
        <f>7.6*5</f>
        <v>38</v>
      </c>
      <c r="CA121">
        <f t="shared" si="9"/>
        <v>3.6375861597263857</v>
      </c>
    </row>
    <row r="122" spans="1:79" x14ac:dyDescent="0.3">
      <c r="A122" s="2" t="s">
        <v>679</v>
      </c>
      <c r="B122" s="17" t="s">
        <v>899</v>
      </c>
      <c r="C122" s="2" t="s">
        <v>681</v>
      </c>
      <c r="D122" s="2">
        <v>4.3</v>
      </c>
      <c r="E122" s="2" t="s">
        <v>64</v>
      </c>
      <c r="F122" s="82" t="s">
        <v>683</v>
      </c>
      <c r="G122">
        <v>7221084</v>
      </c>
      <c r="I122" s="2"/>
      <c r="J122" s="25">
        <v>0</v>
      </c>
      <c r="K122">
        <v>2</v>
      </c>
      <c r="L122">
        <v>0</v>
      </c>
      <c r="M122" s="1">
        <v>3.87</v>
      </c>
      <c r="N122" s="1">
        <v>3.87</v>
      </c>
      <c r="O122" s="2">
        <v>17.2</v>
      </c>
      <c r="P122" s="2" t="s">
        <v>439</v>
      </c>
      <c r="Q122" s="2"/>
      <c r="R122" s="25">
        <v>0</v>
      </c>
      <c r="S122" s="25"/>
      <c r="T122" s="25"/>
      <c r="U122">
        <v>3.8607</v>
      </c>
      <c r="V122">
        <v>3.8607</v>
      </c>
      <c r="W122">
        <v>29.216000000000001</v>
      </c>
      <c r="X122">
        <v>0</v>
      </c>
      <c r="AA122" s="2"/>
      <c r="AB122">
        <v>20</v>
      </c>
      <c r="AC122" s="55">
        <f t="shared" si="11"/>
        <v>257.60268000000002</v>
      </c>
      <c r="AD122" s="57">
        <v>0</v>
      </c>
      <c r="AE122" s="55">
        <v>435.46461117984001</v>
      </c>
      <c r="AF122" s="55">
        <v>0</v>
      </c>
      <c r="AG122" s="52"/>
      <c r="AH122" s="51"/>
      <c r="AI122" s="52">
        <v>9.1855914288016927E-2</v>
      </c>
      <c r="AJ122" s="52"/>
      <c r="AK122" s="28">
        <v>1.940917661847894</v>
      </c>
      <c r="AL122" s="28">
        <v>2.5141420490257702</v>
      </c>
      <c r="AM122" s="28">
        <v>0.56568196103079826</v>
      </c>
      <c r="AN122" s="28">
        <v>2.6398491514770579</v>
      </c>
      <c r="AO122" s="28">
        <v>0.2533639645553003</v>
      </c>
      <c r="AP122" s="28">
        <v>0.32819166393173621</v>
      </c>
      <c r="AQ122" s="28">
        <v>7.3843124384640635E-2</v>
      </c>
      <c r="AR122" s="28">
        <v>0.34460124712832302</v>
      </c>
      <c r="AS122" s="25">
        <v>0.79</v>
      </c>
      <c r="AT122" s="25">
        <v>3.44</v>
      </c>
      <c r="AU122" s="25">
        <v>2.65</v>
      </c>
      <c r="AV122" s="25">
        <v>2.62350722815839</v>
      </c>
      <c r="AW122">
        <v>2.6235072281583909</v>
      </c>
      <c r="AX122">
        <v>6.0278785903935539</v>
      </c>
      <c r="AY122" s="75"/>
      <c r="AZ122" s="75">
        <v>0</v>
      </c>
      <c r="BA122" s="75"/>
      <c r="BD122">
        <v>4.5927957144008463E-2</v>
      </c>
      <c r="BF122">
        <v>9.1855914288016927E-2</v>
      </c>
      <c r="BG122">
        <v>4.5927957144008463E-2</v>
      </c>
      <c r="BH122">
        <v>0</v>
      </c>
      <c r="BI122" s="79" t="s">
        <v>1264</v>
      </c>
      <c r="BJ122" s="79">
        <v>1273</v>
      </c>
      <c r="BK122" s="79">
        <v>10</v>
      </c>
      <c r="BM122" s="79" t="s">
        <v>464</v>
      </c>
      <c r="BN122" s="79" t="s">
        <v>464</v>
      </c>
      <c r="BO122" s="79">
        <v>0</v>
      </c>
      <c r="BQ122" s="79">
        <v>1</v>
      </c>
      <c r="BR122" s="79">
        <v>0</v>
      </c>
      <c r="BS122" s="79" t="s">
        <v>464</v>
      </c>
      <c r="BT122" s="79" t="s">
        <v>464</v>
      </c>
      <c r="BU122" s="79" t="s">
        <v>1266</v>
      </c>
      <c r="BV122" s="79">
        <v>400</v>
      </c>
      <c r="BX122" s="79" t="s">
        <v>1287</v>
      </c>
      <c r="BZ122" s="81">
        <f>12.2*5</f>
        <v>61</v>
      </c>
      <c r="CA122">
        <f t="shared" si="9"/>
        <v>4.1108738641733114</v>
      </c>
    </row>
    <row r="123" spans="1:79" x14ac:dyDescent="0.3">
      <c r="A123" s="2" t="s">
        <v>680</v>
      </c>
      <c r="B123" s="17" t="s">
        <v>900</v>
      </c>
      <c r="C123" s="2" t="s">
        <v>682</v>
      </c>
      <c r="D123" s="2">
        <v>4.2</v>
      </c>
      <c r="E123" s="2" t="s">
        <v>64</v>
      </c>
      <c r="F123" s="83" t="s">
        <v>683</v>
      </c>
      <c r="I123" s="2">
        <v>1</v>
      </c>
      <c r="J123" s="25">
        <v>0</v>
      </c>
      <c r="K123">
        <v>0</v>
      </c>
      <c r="L123">
        <v>0</v>
      </c>
      <c r="M123" s="1">
        <v>3.87</v>
      </c>
      <c r="N123" s="1">
        <v>3.87</v>
      </c>
      <c r="O123" s="2">
        <v>14.4</v>
      </c>
      <c r="P123" s="2" t="s">
        <v>439</v>
      </c>
      <c r="Q123" s="2"/>
      <c r="R123" s="25">
        <v>0</v>
      </c>
      <c r="S123" s="25"/>
      <c r="T123" s="25"/>
      <c r="U123">
        <v>0</v>
      </c>
      <c r="X123">
        <v>0</v>
      </c>
      <c r="AA123" s="2"/>
      <c r="AB123">
        <v>20</v>
      </c>
      <c r="AC123" s="55">
        <f t="shared" si="11"/>
        <v>215.66736</v>
      </c>
      <c r="AD123" s="57">
        <v>0</v>
      </c>
      <c r="AE123" s="55">
        <v>0</v>
      </c>
      <c r="AF123" s="55">
        <v>0</v>
      </c>
      <c r="AG123" s="52">
        <f>I123*AB123/AC123</f>
        <v>9.2735405116471964E-2</v>
      </c>
      <c r="AH123" s="51"/>
      <c r="AI123" s="52"/>
      <c r="AJ123" s="52"/>
      <c r="AK123" s="28">
        <v>1.937926753569212</v>
      </c>
      <c r="AL123" s="28">
        <v>2.4829298572315328</v>
      </c>
      <c r="AM123" s="28">
        <v>0.55865921787709494</v>
      </c>
      <c r="AN123" s="28">
        <v>2.6070763500931098</v>
      </c>
      <c r="AO123" s="28">
        <v>0.25544100801832759</v>
      </c>
      <c r="AP123" s="28">
        <v>0.32727867779414171</v>
      </c>
      <c r="AQ123" s="28">
        <v>7.3637702503681887E-2</v>
      </c>
      <c r="AR123" s="28">
        <v>0.3436426116838488</v>
      </c>
      <c r="AS123" s="25">
        <v>0.79</v>
      </c>
      <c r="AT123" s="25">
        <v>3.44</v>
      </c>
      <c r="AU123" s="25">
        <v>2.65</v>
      </c>
      <c r="AV123" s="25">
        <v>2.671675977653631</v>
      </c>
      <c r="AW123">
        <v>2.671675977653631</v>
      </c>
      <c r="AX123">
        <v>6.2243029613210306</v>
      </c>
      <c r="AY123" s="75"/>
      <c r="AZ123" s="75"/>
      <c r="BA123" s="75"/>
      <c r="BB123">
        <v>4.6367702558235982E-2</v>
      </c>
      <c r="BF123">
        <v>9.2735405116471964E-2</v>
      </c>
      <c r="BG123">
        <v>4.6367702558235982E-2</v>
      </c>
      <c r="BH123">
        <v>0</v>
      </c>
      <c r="BI123" s="79" t="s">
        <v>1264</v>
      </c>
      <c r="BJ123" s="79">
        <v>1273</v>
      </c>
      <c r="BK123" s="79">
        <v>10</v>
      </c>
      <c r="BM123" s="79" t="s">
        <v>464</v>
      </c>
      <c r="BN123" s="79" t="s">
        <v>464</v>
      </c>
      <c r="BO123" s="79">
        <v>0</v>
      </c>
      <c r="BQ123" s="79">
        <v>1</v>
      </c>
      <c r="BR123" s="79">
        <v>0</v>
      </c>
      <c r="BS123" s="79" t="s">
        <v>464</v>
      </c>
      <c r="BT123" s="79" t="s">
        <v>464</v>
      </c>
      <c r="BU123" s="79" t="s">
        <v>1266</v>
      </c>
      <c r="BV123" s="79">
        <v>400</v>
      </c>
      <c r="BX123" s="79" t="s">
        <v>1287</v>
      </c>
      <c r="BZ123" s="81">
        <f>2.6*5</f>
        <v>13</v>
      </c>
      <c r="CA123">
        <f t="shared" si="9"/>
        <v>2.5649493574615367</v>
      </c>
    </row>
    <row r="124" spans="1:79" x14ac:dyDescent="0.3">
      <c r="A124" s="2" t="s">
        <v>1310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I124" s="2">
        <v>2</v>
      </c>
      <c r="J124" s="25">
        <v>0</v>
      </c>
      <c r="K124">
        <v>0</v>
      </c>
      <c r="L124">
        <v>0</v>
      </c>
      <c r="M124" s="1">
        <v>3.87</v>
      </c>
      <c r="N124" s="1">
        <v>3.87</v>
      </c>
      <c r="O124" s="2">
        <v>28.5</v>
      </c>
      <c r="P124" s="2" t="s">
        <v>439</v>
      </c>
      <c r="Q124" s="2"/>
      <c r="R124" s="25">
        <v>0</v>
      </c>
      <c r="S124" s="25"/>
      <c r="T124" s="25"/>
      <c r="U124">
        <v>0</v>
      </c>
      <c r="X124">
        <v>0</v>
      </c>
      <c r="AA124" s="2"/>
      <c r="AB124">
        <v>20</v>
      </c>
      <c r="AC124" s="55">
        <f t="shared" si="11"/>
        <v>426.84165000000002</v>
      </c>
      <c r="AD124" s="57">
        <v>0</v>
      </c>
      <c r="AE124" s="55">
        <v>0</v>
      </c>
      <c r="AF124" s="55">
        <v>0</v>
      </c>
      <c r="AG124" s="52">
        <f>I124*AB124/AC124</f>
        <v>9.3711567275592711E-2</v>
      </c>
      <c r="AH124" s="51"/>
      <c r="AI124" s="52"/>
      <c r="AJ124" s="52"/>
      <c r="AK124" s="28">
        <v>1.9375</v>
      </c>
      <c r="AL124" s="28">
        <v>2.5</v>
      </c>
      <c r="AM124" s="28">
        <v>0.5625</v>
      </c>
      <c r="AN124" s="28">
        <v>2.625</v>
      </c>
      <c r="AO124" s="28">
        <v>0.25409836065573771</v>
      </c>
      <c r="AP124" s="28">
        <v>0.32786885245901642</v>
      </c>
      <c r="AQ124" s="28">
        <v>7.3770491803278687E-2</v>
      </c>
      <c r="AR124" s="28">
        <v>0.34426229508196721</v>
      </c>
      <c r="AS124" s="25">
        <v>1</v>
      </c>
      <c r="AT124" s="25">
        <v>3.44</v>
      </c>
      <c r="AU124" s="25">
        <v>2.44</v>
      </c>
      <c r="AV124" s="25">
        <v>2.6937500000000001</v>
      </c>
      <c r="AW124">
        <v>2.6937500000000001</v>
      </c>
      <c r="AX124">
        <v>6.2824412981156881</v>
      </c>
      <c r="AY124" s="75"/>
      <c r="AZ124" s="75"/>
      <c r="BA124" s="75"/>
      <c r="BB124">
        <v>4.6855783637796362E-2</v>
      </c>
      <c r="BF124">
        <v>9.3711567275592711E-2</v>
      </c>
      <c r="BG124">
        <v>4.6855783637796362E-2</v>
      </c>
      <c r="BH124">
        <v>0</v>
      </c>
      <c r="BI124" s="79" t="s">
        <v>1264</v>
      </c>
      <c r="BJ124" s="79">
        <v>1273</v>
      </c>
      <c r="BK124" s="79">
        <v>10</v>
      </c>
      <c r="BM124" s="79" t="s">
        <v>464</v>
      </c>
      <c r="BN124" s="79" t="s">
        <v>464</v>
      </c>
      <c r="BO124" s="79">
        <v>0</v>
      </c>
      <c r="BQ124" s="79">
        <v>1</v>
      </c>
      <c r="BR124" s="79">
        <v>0</v>
      </c>
      <c r="BS124" s="79" t="s">
        <v>464</v>
      </c>
      <c r="BT124" s="79" t="s">
        <v>464</v>
      </c>
      <c r="BU124" s="79" t="s">
        <v>1266</v>
      </c>
      <c r="BV124" s="79">
        <v>400</v>
      </c>
      <c r="BX124" s="79" t="s">
        <v>1287</v>
      </c>
      <c r="BZ124" s="81">
        <f>110.3*5</f>
        <v>551.5</v>
      </c>
      <c r="CA124">
        <f t="shared" si="9"/>
        <v>6.3126418386935574</v>
      </c>
    </row>
    <row r="125" spans="1:7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I125" s="2"/>
      <c r="J125" s="25">
        <v>1</v>
      </c>
      <c r="K125">
        <v>1</v>
      </c>
      <c r="L125">
        <v>0</v>
      </c>
      <c r="M125" s="2">
        <v>3.87</v>
      </c>
      <c r="N125" s="2">
        <v>3.87</v>
      </c>
      <c r="O125" s="2">
        <v>15.1</v>
      </c>
      <c r="P125" s="2" t="s">
        <v>439</v>
      </c>
      <c r="Q125" s="2"/>
      <c r="R125" s="25">
        <v>3.950634</v>
      </c>
      <c r="S125" s="25">
        <v>3.950634</v>
      </c>
      <c r="T125" s="25">
        <v>15.513552000000001</v>
      </c>
      <c r="U125">
        <v>3.8658999999999999</v>
      </c>
      <c r="V125">
        <v>3.8658999999999999</v>
      </c>
      <c r="W125">
        <v>15.2538</v>
      </c>
      <c r="X125">
        <v>0</v>
      </c>
      <c r="AA125" s="2"/>
      <c r="AB125">
        <v>20</v>
      </c>
      <c r="AC125" s="55">
        <f t="shared" ref="AC125:AC127" si="14">M125*N125*O125</f>
        <v>226.15119000000001</v>
      </c>
      <c r="AD125" s="57">
        <v>242.1279024923125</v>
      </c>
      <c r="AE125" s="55">
        <v>227.970829547178</v>
      </c>
      <c r="AF125" s="55">
        <v>0</v>
      </c>
      <c r="AG125" s="52"/>
      <c r="AH125" s="51">
        <v>8.2600971611006269E-2</v>
      </c>
      <c r="AI125" s="52">
        <v>8.7730522539775438E-2</v>
      </c>
      <c r="AJ125" s="52"/>
      <c r="AK125" s="28">
        <v>1.9375</v>
      </c>
      <c r="AL125" s="28">
        <v>2.5</v>
      </c>
      <c r="AM125" s="28">
        <v>0.5625</v>
      </c>
      <c r="AN125" s="28">
        <v>2.625</v>
      </c>
      <c r="AO125" s="28">
        <v>0.25409836065573771</v>
      </c>
      <c r="AP125" s="28">
        <v>0.32786885245901642</v>
      </c>
      <c r="AQ125" s="28">
        <v>7.3770491803278687E-2</v>
      </c>
      <c r="AR125" s="28">
        <v>0.34426229508196721</v>
      </c>
      <c r="AS125" s="25">
        <v>0.79</v>
      </c>
      <c r="AT125" s="25">
        <v>3.44</v>
      </c>
      <c r="AU125" s="25">
        <v>2.65</v>
      </c>
      <c r="AV125" s="25">
        <v>2.6056249999999999</v>
      </c>
      <c r="AW125">
        <v>2.6056249999999999</v>
      </c>
      <c r="AX125">
        <v>5.9703320286696879</v>
      </c>
      <c r="AY125" s="75">
        <v>0.52453741991489755</v>
      </c>
      <c r="AZ125" s="75">
        <v>0.55711138795694093</v>
      </c>
      <c r="BA125" s="75"/>
      <c r="BC125">
        <v>4.1300485805503127E-2</v>
      </c>
      <c r="BD125">
        <v>4.3865261269887712E-2</v>
      </c>
      <c r="BF125">
        <v>8.5165747075390846E-2</v>
      </c>
      <c r="BG125">
        <v>4.2582873537695423E-2</v>
      </c>
      <c r="BH125">
        <v>0.54082440393591924</v>
      </c>
      <c r="BI125" s="79" t="s">
        <v>1264</v>
      </c>
      <c r="BJ125" s="79">
        <v>1273</v>
      </c>
      <c r="BK125" s="79">
        <v>10</v>
      </c>
      <c r="BM125" s="79" t="s">
        <v>1275</v>
      </c>
      <c r="BN125" s="79" t="s">
        <v>56</v>
      </c>
      <c r="BO125" s="79">
        <v>0.5</v>
      </c>
      <c r="BQ125" s="79">
        <v>1</v>
      </c>
      <c r="BR125" s="79">
        <v>0</v>
      </c>
      <c r="BS125" s="79" t="s">
        <v>464</v>
      </c>
      <c r="BT125" s="79" t="s">
        <v>464</v>
      </c>
      <c r="BU125" s="79" t="s">
        <v>1266</v>
      </c>
      <c r="BV125" s="79">
        <v>400</v>
      </c>
      <c r="BX125" s="79" t="s">
        <v>1287</v>
      </c>
      <c r="BZ125" s="81">
        <f>5*23.9</f>
        <v>119.5</v>
      </c>
      <c r="CA125">
        <f t="shared" si="9"/>
        <v>4.7833163713715656</v>
      </c>
    </row>
    <row r="126" spans="1:79" x14ac:dyDescent="0.3">
      <c r="A126" s="2" t="s">
        <v>679</v>
      </c>
      <c r="B126" s="17" t="s">
        <v>899</v>
      </c>
      <c r="C126" s="2" t="s">
        <v>681</v>
      </c>
      <c r="D126" s="2">
        <v>4.3</v>
      </c>
      <c r="E126" s="2" t="s">
        <v>64</v>
      </c>
      <c r="F126" s="12" t="s">
        <v>683</v>
      </c>
      <c r="G126">
        <v>7221084</v>
      </c>
      <c r="I126" s="2"/>
      <c r="J126" s="25">
        <v>0</v>
      </c>
      <c r="K126">
        <v>2</v>
      </c>
      <c r="L126">
        <v>0</v>
      </c>
      <c r="M126" s="1">
        <v>3.87</v>
      </c>
      <c r="N126" s="1">
        <v>3.87</v>
      </c>
      <c r="O126" s="2">
        <v>17.2</v>
      </c>
      <c r="P126" s="2" t="s">
        <v>439</v>
      </c>
      <c r="Q126" s="2"/>
      <c r="R126" s="25">
        <v>0</v>
      </c>
      <c r="S126" s="25"/>
      <c r="T126" s="25"/>
      <c r="U126">
        <v>3.8607</v>
      </c>
      <c r="V126">
        <v>3.8607</v>
      </c>
      <c r="W126">
        <v>29.216000000000001</v>
      </c>
      <c r="X126">
        <v>0</v>
      </c>
      <c r="AA126" s="2"/>
      <c r="AB126">
        <v>20</v>
      </c>
      <c r="AC126" s="55">
        <f t="shared" si="14"/>
        <v>257.60268000000002</v>
      </c>
      <c r="AD126" s="57">
        <v>0</v>
      </c>
      <c r="AE126" s="55">
        <v>435.46461117984001</v>
      </c>
      <c r="AF126" s="55">
        <v>0</v>
      </c>
      <c r="AG126" s="52"/>
      <c r="AH126" s="51"/>
      <c r="AI126" s="52">
        <v>9.1855914288016927E-2</v>
      </c>
      <c r="AJ126" s="52"/>
      <c r="AK126" s="28">
        <v>1.940917661847894</v>
      </c>
      <c r="AL126" s="28">
        <v>2.5141420490257702</v>
      </c>
      <c r="AM126" s="28">
        <v>0.56568196103079826</v>
      </c>
      <c r="AN126" s="28">
        <v>2.6398491514770579</v>
      </c>
      <c r="AO126" s="28">
        <v>0.2533639645553003</v>
      </c>
      <c r="AP126" s="28">
        <v>0.32819166393173621</v>
      </c>
      <c r="AQ126" s="28">
        <v>7.3843124384640635E-2</v>
      </c>
      <c r="AR126" s="28">
        <v>0.34460124712832302</v>
      </c>
      <c r="AS126" s="25">
        <v>0.79</v>
      </c>
      <c r="AT126" s="25">
        <v>3.44</v>
      </c>
      <c r="AU126" s="25">
        <v>2.65</v>
      </c>
      <c r="AV126" s="25">
        <v>2.62350722815839</v>
      </c>
      <c r="AW126">
        <v>2.6235072281583909</v>
      </c>
      <c r="AX126">
        <v>6.0278785903935539</v>
      </c>
      <c r="AY126" s="75"/>
      <c r="AZ126" s="75">
        <v>0</v>
      </c>
      <c r="BA126" s="75"/>
      <c r="BD126">
        <v>4.5927957144008463E-2</v>
      </c>
      <c r="BF126">
        <v>9.1855914288016927E-2</v>
      </c>
      <c r="BG126">
        <v>4.5927957144008463E-2</v>
      </c>
      <c r="BH126">
        <v>0</v>
      </c>
      <c r="BI126" s="79" t="s">
        <v>1264</v>
      </c>
      <c r="BJ126" s="79">
        <v>1273</v>
      </c>
      <c r="BK126" s="79">
        <v>10</v>
      </c>
      <c r="BM126" s="79" t="s">
        <v>1275</v>
      </c>
      <c r="BN126" s="79" t="s">
        <v>56</v>
      </c>
      <c r="BO126" s="79">
        <v>0.5</v>
      </c>
      <c r="BQ126" s="79">
        <v>1</v>
      </c>
      <c r="BR126" s="79">
        <v>0</v>
      </c>
      <c r="BS126" s="79" t="s">
        <v>464</v>
      </c>
      <c r="BT126" s="79" t="s">
        <v>464</v>
      </c>
      <c r="BU126" s="79" t="s">
        <v>1266</v>
      </c>
      <c r="BV126" s="79">
        <v>400</v>
      </c>
      <c r="BX126" s="79" t="s">
        <v>1287</v>
      </c>
      <c r="BZ126" s="81">
        <f>308.4*5</f>
        <v>1542</v>
      </c>
      <c r="CA126">
        <f t="shared" si="9"/>
        <v>7.3408355541232746</v>
      </c>
    </row>
    <row r="127" spans="1:79" x14ac:dyDescent="0.3">
      <c r="A127" s="2" t="s">
        <v>680</v>
      </c>
      <c r="B127" s="17" t="s">
        <v>900</v>
      </c>
      <c r="C127" s="2" t="s">
        <v>682</v>
      </c>
      <c r="D127" s="2">
        <v>4.2</v>
      </c>
      <c r="E127" s="2" t="s">
        <v>64</v>
      </c>
      <c r="F127" s="83" t="s">
        <v>683</v>
      </c>
      <c r="G127">
        <v>-1</v>
      </c>
      <c r="I127" s="2">
        <v>1</v>
      </c>
      <c r="J127" s="25">
        <v>0</v>
      </c>
      <c r="K127">
        <v>0</v>
      </c>
      <c r="L127">
        <v>0</v>
      </c>
      <c r="M127" s="1">
        <v>3.87</v>
      </c>
      <c r="N127" s="1">
        <v>3.87</v>
      </c>
      <c r="O127" s="2">
        <v>14.4</v>
      </c>
      <c r="P127" s="2" t="s">
        <v>439</v>
      </c>
      <c r="Q127" s="2"/>
      <c r="R127" s="25">
        <v>0</v>
      </c>
      <c r="S127" s="25"/>
      <c r="T127" s="25"/>
      <c r="U127">
        <v>0</v>
      </c>
      <c r="X127">
        <v>0</v>
      </c>
      <c r="AA127" s="2"/>
      <c r="AB127">
        <v>20</v>
      </c>
      <c r="AC127" s="55">
        <f t="shared" si="14"/>
        <v>215.66736</v>
      </c>
      <c r="AD127" s="57">
        <v>0</v>
      </c>
      <c r="AE127" s="55">
        <v>0</v>
      </c>
      <c r="AF127" s="55">
        <v>0</v>
      </c>
      <c r="AG127" s="52">
        <f>I127*AB127/AC127</f>
        <v>9.2735405116471964E-2</v>
      </c>
      <c r="AH127" s="51"/>
      <c r="AI127" s="52"/>
      <c r="AJ127" s="52"/>
      <c r="AK127" s="28">
        <v>1.937926753569212</v>
      </c>
      <c r="AL127" s="28">
        <v>2.4829298572315328</v>
      </c>
      <c r="AM127" s="28">
        <v>0.55865921787709494</v>
      </c>
      <c r="AN127" s="28">
        <v>2.6070763500931098</v>
      </c>
      <c r="AO127" s="28">
        <v>0.25544100801832759</v>
      </c>
      <c r="AP127" s="28">
        <v>0.32727867779414171</v>
      </c>
      <c r="AQ127" s="28">
        <v>7.3637702503681887E-2</v>
      </c>
      <c r="AR127" s="28">
        <v>0.3436426116838488</v>
      </c>
      <c r="AS127" s="25">
        <v>0.79</v>
      </c>
      <c r="AT127" s="25">
        <v>3.44</v>
      </c>
      <c r="AU127" s="25">
        <v>2.65</v>
      </c>
      <c r="AV127" s="25">
        <v>2.671675977653631</v>
      </c>
      <c r="AW127">
        <v>2.671675977653631</v>
      </c>
      <c r="AX127">
        <v>6.2243029613210306</v>
      </c>
      <c r="AY127" s="75"/>
      <c r="AZ127" s="75"/>
      <c r="BA127" s="75"/>
      <c r="BB127">
        <v>4.6367702558235982E-2</v>
      </c>
      <c r="BF127">
        <v>9.2735405116471964E-2</v>
      </c>
      <c r="BG127">
        <v>4.6367702558235982E-2</v>
      </c>
      <c r="BH127">
        <v>0</v>
      </c>
      <c r="BI127" s="79" t="s">
        <v>1264</v>
      </c>
      <c r="BJ127" s="79">
        <v>1273</v>
      </c>
      <c r="BK127" s="79">
        <v>10</v>
      </c>
      <c r="BM127" s="79" t="s">
        <v>1275</v>
      </c>
      <c r="BN127" s="79" t="s">
        <v>56</v>
      </c>
      <c r="BO127" s="79">
        <v>0.5</v>
      </c>
      <c r="BQ127" s="79">
        <v>1</v>
      </c>
      <c r="BR127" s="79">
        <v>0</v>
      </c>
      <c r="BS127" s="79" t="s">
        <v>464</v>
      </c>
      <c r="BT127" s="79" t="s">
        <v>464</v>
      </c>
      <c r="BU127" s="79" t="s">
        <v>1266</v>
      </c>
      <c r="BV127" s="79">
        <v>400</v>
      </c>
      <c r="BX127" s="79" t="s">
        <v>1287</v>
      </c>
      <c r="BZ127" s="81">
        <f>22.2*5</f>
        <v>111</v>
      </c>
      <c r="CA127">
        <f t="shared" si="9"/>
        <v>4.7095302013123339</v>
      </c>
    </row>
    <row r="128" spans="1:7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J128" s="41">
        <v>2</v>
      </c>
      <c r="K128" s="5">
        <v>4</v>
      </c>
      <c r="L128" s="5">
        <v>0</v>
      </c>
      <c r="M128" s="5">
        <v>5.4580000000000002</v>
      </c>
      <c r="N128" s="5">
        <v>5.4210000000000003</v>
      </c>
      <c r="O128" s="5">
        <v>41.02</v>
      </c>
      <c r="P128" s="5" t="s">
        <v>450</v>
      </c>
      <c r="R128" s="41">
        <v>5.5344280000000001</v>
      </c>
      <c r="S128" s="41">
        <v>5.4860709999999999</v>
      </c>
      <c r="T128" s="41">
        <v>20.96113527</v>
      </c>
      <c r="U128" s="5">
        <v>5.4676999999999998</v>
      </c>
      <c r="V128" s="5">
        <v>5.4396000000000004</v>
      </c>
      <c r="W128" s="5">
        <v>41.247500000000002</v>
      </c>
      <c r="X128" s="5">
        <v>0</v>
      </c>
      <c r="AB128" s="5">
        <v>30</v>
      </c>
      <c r="AC128" s="5">
        <f t="shared" si="11"/>
        <v>1213.6922943600002</v>
      </c>
      <c r="AD128" s="41">
        <v>630.95473618941708</v>
      </c>
      <c r="AE128" s="5">
        <v>1226.7873076977</v>
      </c>
      <c r="AF128" s="5">
        <v>0</v>
      </c>
      <c r="AH128" s="41">
        <v>9.5093984653104466E-2</v>
      </c>
      <c r="AI128" s="5">
        <v>9.781646683743643E-2</v>
      </c>
      <c r="AK128" s="5">
        <v>2</v>
      </c>
      <c r="AL128" s="5">
        <v>3.125</v>
      </c>
      <c r="AM128" s="5">
        <v>2.583333333333333</v>
      </c>
      <c r="AN128" s="5">
        <v>2.916666666666667</v>
      </c>
      <c r="AO128" s="5">
        <v>0.18823529411764711</v>
      </c>
      <c r="AP128" s="5">
        <v>0.29411764705882348</v>
      </c>
      <c r="AQ128" s="5">
        <v>0.24313725490196081</v>
      </c>
      <c r="AR128" s="5">
        <v>0.2745098039215686</v>
      </c>
      <c r="AS128" s="41">
        <v>1.54</v>
      </c>
      <c r="AT128" s="41">
        <v>3.44</v>
      </c>
      <c r="AU128" s="41">
        <v>1.9</v>
      </c>
      <c r="AV128" s="41">
        <v>2.839583333333334</v>
      </c>
      <c r="AW128" s="5">
        <v>2.8395833333333331</v>
      </c>
      <c r="AX128" s="5">
        <v>6.168614470625001</v>
      </c>
      <c r="AY128" s="5">
        <v>0.52762523515344584</v>
      </c>
      <c r="AZ128" s="5">
        <v>0</v>
      </c>
      <c r="BC128" s="5">
        <v>4.7546992326552233E-2</v>
      </c>
      <c r="BD128" s="5">
        <v>4.8908233418718222E-2</v>
      </c>
      <c r="BF128" s="5">
        <v>9.6455225745270448E-2</v>
      </c>
      <c r="BG128" s="5">
        <v>4.8227612872635231E-2</v>
      </c>
      <c r="BH128" s="5">
        <v>0.26381261757672292</v>
      </c>
      <c r="BI128" s="84"/>
      <c r="BJ128" s="84"/>
      <c r="BK128" s="84"/>
      <c r="BL128" s="84"/>
      <c r="BM128" s="84"/>
      <c r="BN128" s="84"/>
      <c r="BO128" s="84"/>
      <c r="BP128" s="84"/>
      <c r="BQ128" s="84"/>
      <c r="BR128" s="84"/>
      <c r="BS128" s="84" t="s">
        <v>464</v>
      </c>
      <c r="BT128" s="84" t="s">
        <v>464</v>
      </c>
      <c r="BU128" s="84"/>
      <c r="BV128" s="84"/>
      <c r="BW128" s="84"/>
      <c r="BX128" s="84"/>
      <c r="BY128" s="84"/>
      <c r="BZ128" s="84"/>
      <c r="CA128" t="e">
        <f t="shared" si="9"/>
        <v>#NUM!</v>
      </c>
    </row>
    <row r="129" spans="1:7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5">
        <v>4</v>
      </c>
      <c r="J129" s="41">
        <v>0</v>
      </c>
      <c r="K129" s="5">
        <v>0</v>
      </c>
      <c r="L129" s="5">
        <v>0</v>
      </c>
      <c r="M129" s="5">
        <v>5.4359999999999999</v>
      </c>
      <c r="N129" s="5">
        <v>5.42</v>
      </c>
      <c r="O129" s="5">
        <v>41.19</v>
      </c>
      <c r="P129" s="5" t="s">
        <v>450</v>
      </c>
      <c r="R129" s="41">
        <v>0</v>
      </c>
      <c r="S129" s="41"/>
      <c r="T129" s="41"/>
      <c r="U129" s="5">
        <v>0</v>
      </c>
      <c r="X129" s="5">
        <v>0</v>
      </c>
      <c r="AB129" s="5">
        <v>30</v>
      </c>
      <c r="AC129" s="5">
        <f t="shared" si="11"/>
        <v>1213.5859128</v>
      </c>
      <c r="AD129" s="41">
        <v>0</v>
      </c>
      <c r="AE129" s="5">
        <v>0</v>
      </c>
      <c r="AF129" s="5">
        <v>0</v>
      </c>
      <c r="AG129" s="5">
        <f>I129*AB129/AC129</f>
        <v>9.8880514955166685E-2</v>
      </c>
      <c r="AH129" s="41"/>
      <c r="AK129" s="5">
        <v>2</v>
      </c>
      <c r="AL129" s="5">
        <v>3</v>
      </c>
      <c r="AM129" s="5">
        <v>2.208333333333333</v>
      </c>
      <c r="AN129" s="5">
        <v>2.333333333333333</v>
      </c>
      <c r="AO129" s="5">
        <v>0.20960698689956331</v>
      </c>
      <c r="AP129" s="5">
        <v>0.31441048034934499</v>
      </c>
      <c r="AQ129" s="5">
        <v>0.23144104803493451</v>
      </c>
      <c r="AR129" s="5">
        <v>0.24454148471615719</v>
      </c>
      <c r="AS129" s="41">
        <v>1.1000000000000001</v>
      </c>
      <c r="AT129" s="41">
        <v>3.44</v>
      </c>
      <c r="AU129" s="41">
        <v>2.34</v>
      </c>
      <c r="AV129" s="41">
        <v>2.80125</v>
      </c>
      <c r="AW129" s="5">
        <v>2.80125</v>
      </c>
      <c r="AX129" s="5">
        <v>6.1250013054166672</v>
      </c>
      <c r="BB129" s="5">
        <v>4.9440257477583342E-2</v>
      </c>
      <c r="BF129" s="5">
        <v>9.8880514955166685E-2</v>
      </c>
      <c r="BG129" s="5">
        <v>4.9440257477583342E-2</v>
      </c>
      <c r="BH129" s="5">
        <v>0</v>
      </c>
      <c r="BI129" s="84"/>
      <c r="BJ129" s="84"/>
      <c r="BK129" s="84"/>
      <c r="BL129" s="84"/>
      <c r="BM129" s="84"/>
      <c r="BN129" s="84"/>
      <c r="BO129" s="84"/>
      <c r="BP129" s="84"/>
      <c r="BQ129" s="84"/>
      <c r="BR129" s="84"/>
      <c r="BS129" s="84" t="s">
        <v>464</v>
      </c>
      <c r="BT129" s="84" t="s">
        <v>464</v>
      </c>
      <c r="BU129" s="84"/>
      <c r="BV129" s="84"/>
      <c r="BW129" s="84"/>
      <c r="BX129" s="84"/>
      <c r="BY129" s="84"/>
      <c r="BZ129" s="84"/>
      <c r="CA129" t="e">
        <f t="shared" si="9"/>
        <v>#NUM!</v>
      </c>
    </row>
    <row r="130" spans="1:7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5">
        <v>4</v>
      </c>
      <c r="J130" s="41">
        <v>0</v>
      </c>
      <c r="K130" s="5">
        <v>0</v>
      </c>
      <c r="L130" s="5">
        <v>0</v>
      </c>
      <c r="M130" s="5">
        <v>5.4370000000000003</v>
      </c>
      <c r="N130" s="5">
        <v>5.4359999999999999</v>
      </c>
      <c r="O130" s="5">
        <v>41.29</v>
      </c>
      <c r="P130" s="5" t="s">
        <v>450</v>
      </c>
      <c r="R130" s="41">
        <v>0</v>
      </c>
      <c r="S130" s="41"/>
      <c r="T130" s="41"/>
      <c r="U130" s="5">
        <v>0</v>
      </c>
      <c r="X130" s="5">
        <v>0</v>
      </c>
      <c r="AB130" s="5">
        <v>30</v>
      </c>
      <c r="AC130" s="5">
        <f t="shared" si="11"/>
        <v>1220.3479162799999</v>
      </c>
      <c r="AD130" s="41">
        <v>0</v>
      </c>
      <c r="AE130" s="5">
        <v>0</v>
      </c>
      <c r="AF130" s="5">
        <v>0</v>
      </c>
      <c r="AG130" s="5">
        <f>I130*AB130/AC130</f>
        <v>9.8332613510577649E-2</v>
      </c>
      <c r="AH130" s="41"/>
      <c r="AK130" s="5">
        <v>2</v>
      </c>
      <c r="AL130" s="5">
        <v>2.875</v>
      </c>
      <c r="AM130" s="5">
        <v>1.833333333333333</v>
      </c>
      <c r="AN130" s="5">
        <v>1.75</v>
      </c>
      <c r="AO130" s="5">
        <v>0.23645320197044331</v>
      </c>
      <c r="AP130" s="5">
        <v>0.33990147783251229</v>
      </c>
      <c r="AQ130" s="5">
        <v>0.21674876847290639</v>
      </c>
      <c r="AR130" s="5">
        <v>0.2068965517241379</v>
      </c>
      <c r="AS130" s="41">
        <v>1.1000000000000001</v>
      </c>
      <c r="AT130" s="41">
        <v>3.44</v>
      </c>
      <c r="AU130" s="41">
        <v>2.34</v>
      </c>
      <c r="AV130" s="41">
        <v>2.7629166666666669</v>
      </c>
      <c r="AW130" s="5">
        <v>2.762916666666666</v>
      </c>
      <c r="AX130" s="5">
        <v>6.0813881402083334</v>
      </c>
      <c r="BB130" s="5">
        <v>4.9166306755288817E-2</v>
      </c>
      <c r="BF130" s="5">
        <v>9.8332613510577649E-2</v>
      </c>
      <c r="BG130" s="5">
        <v>4.9166306755288817E-2</v>
      </c>
      <c r="BH130" s="5">
        <v>0</v>
      </c>
      <c r="BI130" s="84"/>
      <c r="BJ130" s="84"/>
      <c r="BK130" s="84"/>
      <c r="BL130" s="84"/>
      <c r="BM130" s="84"/>
      <c r="BN130" s="84"/>
      <c r="BO130" s="84"/>
      <c r="BP130" s="84"/>
      <c r="BQ130" s="84"/>
      <c r="BR130" s="84"/>
      <c r="BS130" s="84" t="s">
        <v>464</v>
      </c>
      <c r="BT130" s="84" t="s">
        <v>464</v>
      </c>
      <c r="BU130" s="84"/>
      <c r="BV130" s="84"/>
      <c r="BW130" s="84"/>
      <c r="BX130" s="84"/>
      <c r="BY130" s="84"/>
      <c r="BZ130" s="84"/>
      <c r="CA130" t="e">
        <f t="shared" si="9"/>
        <v>#NUM!</v>
      </c>
    </row>
    <row r="131" spans="1:7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I131" s="2"/>
      <c r="J131" s="25">
        <v>2</v>
      </c>
      <c r="K131">
        <v>2</v>
      </c>
      <c r="L131">
        <v>0</v>
      </c>
      <c r="M131" s="2"/>
      <c r="N131" s="2"/>
      <c r="O131" s="2"/>
      <c r="P131" s="2"/>
      <c r="Q131" s="2"/>
      <c r="R131" s="25">
        <v>3.8703880000000002</v>
      </c>
      <c r="S131" s="25">
        <v>3.8703880000000002</v>
      </c>
      <c r="T131" s="25">
        <v>13.604850000000001</v>
      </c>
      <c r="U131">
        <v>3.8415499999999998</v>
      </c>
      <c r="V131">
        <v>3.8415499999999998</v>
      </c>
      <c r="W131">
        <v>13.4695</v>
      </c>
      <c r="X131">
        <v>0</v>
      </c>
      <c r="AA131" s="2"/>
      <c r="AB131">
        <v>8</v>
      </c>
      <c r="AC131" s="55">
        <f t="shared" si="11"/>
        <v>0</v>
      </c>
      <c r="AD131" s="57">
        <v>203.79933701026059</v>
      </c>
      <c r="AE131" s="55">
        <v>198.77623248847371</v>
      </c>
      <c r="AF131" s="55">
        <v>0</v>
      </c>
      <c r="AG131" s="52"/>
      <c r="AH131" s="51">
        <v>7.8508596910668346E-2</v>
      </c>
      <c r="AI131" s="52">
        <v>8.0492520658513728E-2</v>
      </c>
      <c r="AJ131" s="52"/>
      <c r="AK131" s="28">
        <v>1.857142857142857</v>
      </c>
      <c r="AL131" s="28">
        <v>2.285714285714286</v>
      </c>
      <c r="AM131" s="28">
        <v>0.42857142857142849</v>
      </c>
      <c r="AN131" s="28">
        <v>0</v>
      </c>
      <c r="AO131" s="28">
        <v>0.40625000000000011</v>
      </c>
      <c r="AP131" s="28">
        <v>0.5</v>
      </c>
      <c r="AQ131" s="28">
        <v>9.375E-2</v>
      </c>
      <c r="AR131" s="28">
        <v>0</v>
      </c>
      <c r="AS131" s="25">
        <v>0.82</v>
      </c>
      <c r="AT131" s="25">
        <v>3.44</v>
      </c>
      <c r="AU131" s="25">
        <v>2.62</v>
      </c>
      <c r="AV131" s="25">
        <v>2.46</v>
      </c>
      <c r="AW131">
        <v>2.46</v>
      </c>
      <c r="AX131">
        <v>5.5854910899999997</v>
      </c>
      <c r="AY131" s="75">
        <v>0.55645098073491572</v>
      </c>
      <c r="AZ131" s="75">
        <v>0.57051257855519</v>
      </c>
      <c r="BA131" s="75"/>
      <c r="BC131">
        <v>3.9254298455334173E-2</v>
      </c>
      <c r="BD131">
        <v>4.0246260329256871E-2</v>
      </c>
      <c r="BF131">
        <v>7.950055878459103E-2</v>
      </c>
      <c r="BG131">
        <v>3.9750279392295522E-2</v>
      </c>
      <c r="BH131">
        <v>0.56348177964505286</v>
      </c>
      <c r="BI131" s="79" t="s">
        <v>1264</v>
      </c>
      <c r="BJ131" s="79">
        <v>1223</v>
      </c>
      <c r="BK131" s="79">
        <v>0.5</v>
      </c>
      <c r="BM131" s="79" t="s">
        <v>464</v>
      </c>
      <c r="BN131" s="79" t="s">
        <v>464</v>
      </c>
      <c r="BO131" s="79">
        <v>0</v>
      </c>
      <c r="BP131" s="79">
        <v>3.59</v>
      </c>
      <c r="BQ131" s="79">
        <v>0.6</v>
      </c>
      <c r="BR131" s="79">
        <v>0</v>
      </c>
      <c r="BS131" s="79" t="s">
        <v>464</v>
      </c>
      <c r="BT131" s="79" t="s">
        <v>464</v>
      </c>
      <c r="BU131" s="79" t="s">
        <v>1266</v>
      </c>
      <c r="BV131" s="79">
        <v>450</v>
      </c>
      <c r="BX131" s="79" t="s">
        <v>1287</v>
      </c>
      <c r="BZ131" s="81">
        <v>36</v>
      </c>
      <c r="CA131">
        <f t="shared" ref="CA131:CA194" si="15">LN(BZ131)</f>
        <v>3.5835189384561099</v>
      </c>
    </row>
    <row r="132" spans="1:7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32" t="s">
        <v>561</v>
      </c>
      <c r="G132" s="1" t="s">
        <v>639</v>
      </c>
      <c r="I132" s="2"/>
      <c r="J132" s="25">
        <v>0</v>
      </c>
      <c r="K132">
        <v>2</v>
      </c>
      <c r="L132">
        <v>0</v>
      </c>
      <c r="M132" s="2"/>
      <c r="N132" s="2"/>
      <c r="O132" s="2"/>
      <c r="P132" s="2"/>
      <c r="Q132" s="2"/>
      <c r="R132" s="25">
        <v>0</v>
      </c>
      <c r="S132" s="25"/>
      <c r="T132" s="25"/>
      <c r="U132">
        <v>3.8415499999999998</v>
      </c>
      <c r="V132">
        <v>3.8415499999999998</v>
      </c>
      <c r="W132">
        <v>13.4695</v>
      </c>
      <c r="X132">
        <v>0</v>
      </c>
      <c r="AA132" s="2"/>
      <c r="AB132">
        <v>8</v>
      </c>
      <c r="AC132" s="55">
        <f t="shared" si="11"/>
        <v>0</v>
      </c>
      <c r="AD132" s="57">
        <v>0</v>
      </c>
      <c r="AE132" s="55">
        <v>198.77623248847371</v>
      </c>
      <c r="AF132" s="55">
        <v>0</v>
      </c>
      <c r="AG132" s="52"/>
      <c r="AH132" s="51"/>
      <c r="AI132" s="52">
        <v>8.0492520658513728E-2</v>
      </c>
      <c r="AJ132" s="52"/>
      <c r="AK132" s="28">
        <v>1.857142857142857</v>
      </c>
      <c r="AL132" s="28">
        <v>2.285714285714286</v>
      </c>
      <c r="AM132" s="28">
        <v>0.42857142857142849</v>
      </c>
      <c r="AN132" s="28">
        <v>0</v>
      </c>
      <c r="AO132" s="28">
        <v>0.40625000000000011</v>
      </c>
      <c r="AP132" s="28">
        <v>0.5</v>
      </c>
      <c r="AQ132" s="28">
        <v>9.375E-2</v>
      </c>
      <c r="AR132" s="28">
        <v>0</v>
      </c>
      <c r="AS132" s="25">
        <v>0.82</v>
      </c>
      <c r="AT132" s="25">
        <v>3.44</v>
      </c>
      <c r="AU132" s="25">
        <v>2.62</v>
      </c>
      <c r="AV132" s="25">
        <v>2.4569999999999999</v>
      </c>
      <c r="AW132">
        <v>2.4569999999999999</v>
      </c>
      <c r="AX132">
        <v>5.5866607328571423</v>
      </c>
      <c r="AY132" s="75">
        <v>0.55645098073491572</v>
      </c>
      <c r="AZ132" s="75">
        <v>0.57051257855519</v>
      </c>
      <c r="BA132" s="75"/>
      <c r="BD132">
        <v>4.0246260329256871E-2</v>
      </c>
      <c r="BF132">
        <v>8.0492520658513728E-2</v>
      </c>
      <c r="BG132">
        <v>4.0246260329256871E-2</v>
      </c>
      <c r="BH132">
        <v>0.56348177964505286</v>
      </c>
      <c r="BI132" s="79" t="s">
        <v>1264</v>
      </c>
      <c r="BJ132" s="79">
        <v>1223</v>
      </c>
      <c r="BK132" s="79">
        <v>0.5</v>
      </c>
      <c r="BM132" s="79" t="s">
        <v>464</v>
      </c>
      <c r="BN132" s="79" t="s">
        <v>464</v>
      </c>
      <c r="BO132" s="79">
        <v>0</v>
      </c>
      <c r="BP132" s="79">
        <v>3.74</v>
      </c>
      <c r="BQ132" s="79">
        <v>0.6</v>
      </c>
      <c r="BR132" s="79">
        <v>0</v>
      </c>
      <c r="BS132" s="79" t="s">
        <v>464</v>
      </c>
      <c r="BT132" s="79" t="s">
        <v>464</v>
      </c>
      <c r="BU132" s="79" t="s">
        <v>1266</v>
      </c>
      <c r="BV132" s="79">
        <v>450</v>
      </c>
      <c r="BX132" s="79" t="s">
        <v>1287</v>
      </c>
      <c r="BZ132" s="81">
        <v>65.400000000000006</v>
      </c>
      <c r="CA132">
        <f t="shared" si="15"/>
        <v>4.180522258463153</v>
      </c>
    </row>
    <row r="133" spans="1:7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32" t="s">
        <v>1154</v>
      </c>
      <c r="G133" s="1" t="s">
        <v>1155</v>
      </c>
      <c r="I133" s="2"/>
      <c r="J133" s="25">
        <v>0</v>
      </c>
      <c r="K133">
        <v>1</v>
      </c>
      <c r="L133">
        <v>0</v>
      </c>
      <c r="M133" s="2"/>
      <c r="N133" s="2"/>
      <c r="O133" s="2"/>
      <c r="P133" s="2"/>
      <c r="Q133" s="2"/>
      <c r="R133" s="25">
        <v>0</v>
      </c>
      <c r="S133" s="25"/>
      <c r="T133" s="25"/>
      <c r="U133">
        <v>6.7352999999999987</v>
      </c>
      <c r="V133">
        <v>8.0756999999999994</v>
      </c>
      <c r="W133">
        <v>15.016999999999999</v>
      </c>
      <c r="X133">
        <v>0</v>
      </c>
      <c r="AA133" s="2"/>
      <c r="AB133">
        <v>8</v>
      </c>
      <c r="AC133" s="55">
        <f t="shared" si="11"/>
        <v>0</v>
      </c>
      <c r="AD133" s="57">
        <v>0</v>
      </c>
      <c r="AE133" s="55">
        <v>801.31327174450405</v>
      </c>
      <c r="AF133" s="55">
        <v>0</v>
      </c>
      <c r="AG133" s="52"/>
      <c r="AH133" s="51"/>
      <c r="AI133" s="52">
        <v>9.9836110071951645E-3</v>
      </c>
      <c r="AJ133" s="52"/>
      <c r="AK133" s="28">
        <v>1.857142857142857</v>
      </c>
      <c r="AL133" s="28">
        <v>2.285714285714286</v>
      </c>
      <c r="AM133" s="28">
        <v>0.42857142857142849</v>
      </c>
      <c r="AN133" s="28">
        <v>0</v>
      </c>
      <c r="AO133" s="28">
        <v>0.40625000000000011</v>
      </c>
      <c r="AP133" s="28">
        <v>0.5</v>
      </c>
      <c r="AQ133" s="28">
        <v>9.375E-2</v>
      </c>
      <c r="AR133" s="28">
        <v>0</v>
      </c>
      <c r="AS133" s="25">
        <v>0.82</v>
      </c>
      <c r="AT133" s="25">
        <v>3.44</v>
      </c>
      <c r="AU133" s="25">
        <v>2.62</v>
      </c>
      <c r="AV133" s="25">
        <v>2.4510000000000001</v>
      </c>
      <c r="AW133">
        <v>2.4510000000000001</v>
      </c>
      <c r="AX133">
        <v>5.5890000185714284</v>
      </c>
      <c r="AY133" s="75"/>
      <c r="AZ133" s="75">
        <v>0.26693366029414328</v>
      </c>
      <c r="BA133" s="75"/>
      <c r="BD133">
        <v>4.9918055035975822E-3</v>
      </c>
      <c r="BF133">
        <v>9.9836110071951645E-3</v>
      </c>
      <c r="BG133">
        <v>4.9918055035975822E-3</v>
      </c>
      <c r="BH133">
        <v>0.26693366029414328</v>
      </c>
      <c r="BI133" s="79" t="s">
        <v>1264</v>
      </c>
      <c r="BJ133" s="79">
        <v>1223</v>
      </c>
      <c r="BK133" s="79">
        <v>0.5</v>
      </c>
      <c r="BM133" s="79" t="s">
        <v>464</v>
      </c>
      <c r="BN133" s="79" t="s">
        <v>464</v>
      </c>
      <c r="BO133" s="79">
        <v>0</v>
      </c>
      <c r="BP133" s="79">
        <v>3.82</v>
      </c>
      <c r="BQ133" s="79">
        <v>0.6</v>
      </c>
      <c r="BR133" s="79">
        <v>0</v>
      </c>
      <c r="BS133" s="79" t="s">
        <v>464</v>
      </c>
      <c r="BT133" s="79" t="s">
        <v>464</v>
      </c>
      <c r="BU133" s="79" t="s">
        <v>1266</v>
      </c>
      <c r="BV133" s="79">
        <v>450</v>
      </c>
      <c r="BX133" s="79" t="s">
        <v>1287</v>
      </c>
      <c r="BZ133" s="81">
        <v>84.2</v>
      </c>
      <c r="CA133">
        <f t="shared" si="15"/>
        <v>4.4331949212482815</v>
      </c>
    </row>
    <row r="134" spans="1:7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32" t="s">
        <v>1156</v>
      </c>
      <c r="G134" s="1" t="s">
        <v>1157</v>
      </c>
      <c r="I134" s="2"/>
      <c r="J134" s="25">
        <v>0</v>
      </c>
      <c r="K134">
        <v>4</v>
      </c>
      <c r="L134">
        <v>0</v>
      </c>
      <c r="M134" s="2"/>
      <c r="N134" s="2"/>
      <c r="O134" s="2"/>
      <c r="P134" s="2"/>
      <c r="Q134" s="2"/>
      <c r="R134" s="25">
        <v>0</v>
      </c>
      <c r="S134" s="25"/>
      <c r="T134" s="25"/>
      <c r="U134">
        <v>18.184000000000001</v>
      </c>
      <c r="V134">
        <v>13.009</v>
      </c>
      <c r="W134">
        <v>13.112</v>
      </c>
      <c r="X134">
        <v>0</v>
      </c>
      <c r="AA134" s="2"/>
      <c r="AB134">
        <v>8</v>
      </c>
      <c r="AC134" s="55">
        <f t="shared" si="11"/>
        <v>0</v>
      </c>
      <c r="AD134" s="57">
        <v>0</v>
      </c>
      <c r="AE134" s="55">
        <v>2626.6697286954709</v>
      </c>
      <c r="AF134" s="55">
        <v>0</v>
      </c>
      <c r="AG134" s="52"/>
      <c r="AH134" s="51"/>
      <c r="AI134" s="52">
        <v>1.2182726914773829E-2</v>
      </c>
      <c r="AJ134" s="52"/>
      <c r="AK134" s="28">
        <v>1.857142857142857</v>
      </c>
      <c r="AL134" s="28">
        <v>2.285714285714286</v>
      </c>
      <c r="AM134" s="28">
        <v>0.42857142857142849</v>
      </c>
      <c r="AN134" s="28">
        <v>0</v>
      </c>
      <c r="AO134" s="28">
        <v>0.40625000000000011</v>
      </c>
      <c r="AP134" s="28">
        <v>0.5</v>
      </c>
      <c r="AQ134" s="28">
        <v>9.375E-2</v>
      </c>
      <c r="AR134" s="28">
        <v>0</v>
      </c>
      <c r="AS134" s="25">
        <v>0.82</v>
      </c>
      <c r="AT134" s="25">
        <v>3.44</v>
      </c>
      <c r="AU134" s="25">
        <v>2.62</v>
      </c>
      <c r="AV134" s="25">
        <v>2.4449999999999998</v>
      </c>
      <c r="AW134">
        <v>2.4449999999999998</v>
      </c>
      <c r="AX134">
        <v>5.5913393042857136</v>
      </c>
      <c r="AY134" s="75"/>
      <c r="AZ134" s="75"/>
      <c r="BA134" s="75"/>
      <c r="BD134">
        <v>6.0913634573869172E-3</v>
      </c>
      <c r="BF134">
        <v>1.2182726914773829E-2</v>
      </c>
      <c r="BG134">
        <v>6.0913634573869172E-3</v>
      </c>
      <c r="BH134">
        <v>0</v>
      </c>
      <c r="BI134" s="79" t="s">
        <v>1264</v>
      </c>
      <c r="BJ134" s="79">
        <v>1223</v>
      </c>
      <c r="BK134" s="79">
        <v>0.5</v>
      </c>
      <c r="BM134" s="79" t="s">
        <v>464</v>
      </c>
      <c r="BN134" s="79" t="s">
        <v>464</v>
      </c>
      <c r="BO134" s="79">
        <v>0</v>
      </c>
      <c r="BP134" s="79">
        <v>4.16</v>
      </c>
      <c r="BQ134" s="79">
        <v>0.6</v>
      </c>
      <c r="BR134" s="79">
        <v>0</v>
      </c>
      <c r="BS134" s="79" t="s">
        <v>464</v>
      </c>
      <c r="BT134" s="79" t="s">
        <v>464</v>
      </c>
      <c r="BU134" s="79" t="s">
        <v>1266</v>
      </c>
      <c r="BV134" s="79">
        <v>450</v>
      </c>
      <c r="BX134" s="79" t="s">
        <v>1287</v>
      </c>
      <c r="BZ134" s="81">
        <v>69.2</v>
      </c>
      <c r="CA134">
        <f t="shared" si="15"/>
        <v>4.2370008626236242</v>
      </c>
    </row>
    <row r="135" spans="1:7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32" t="s">
        <v>1158</v>
      </c>
      <c r="G135" s="1" t="s">
        <v>1159</v>
      </c>
      <c r="I135" s="2"/>
      <c r="J135" s="25">
        <v>0</v>
      </c>
      <c r="K135">
        <v>4</v>
      </c>
      <c r="L135">
        <v>0</v>
      </c>
      <c r="M135" s="2"/>
      <c r="N135" s="2"/>
      <c r="O135" s="2"/>
      <c r="P135" s="2"/>
      <c r="Q135" s="2"/>
      <c r="R135" s="25">
        <v>0</v>
      </c>
      <c r="S135" s="25"/>
      <c r="T135" s="25"/>
      <c r="U135">
        <v>10.103899999999999</v>
      </c>
      <c r="V135">
        <v>13.944800000000001</v>
      </c>
      <c r="W135">
        <v>16.4237</v>
      </c>
      <c r="X135">
        <v>0</v>
      </c>
      <c r="AA135" s="2"/>
      <c r="AB135">
        <v>8</v>
      </c>
      <c r="AC135" s="55">
        <f t="shared" si="11"/>
        <v>0</v>
      </c>
      <c r="AD135" s="57">
        <v>0</v>
      </c>
      <c r="AE135" s="55">
        <v>2303.3090882103638</v>
      </c>
      <c r="AF135" s="55">
        <v>0</v>
      </c>
      <c r="AG135" s="52"/>
      <c r="AH135" s="51"/>
      <c r="AI135" s="52">
        <v>1.3893055067508771E-2</v>
      </c>
      <c r="AJ135" s="52"/>
      <c r="AK135" s="28">
        <v>1.857142857142857</v>
      </c>
      <c r="AL135" s="28">
        <v>2.285714285714286</v>
      </c>
      <c r="AM135" s="28">
        <v>0.42857142857142849</v>
      </c>
      <c r="AN135" s="28">
        <v>0</v>
      </c>
      <c r="AO135" s="28">
        <v>0.40625000000000011</v>
      </c>
      <c r="AP135" s="28">
        <v>0.5</v>
      </c>
      <c r="AQ135" s="28">
        <v>9.375E-2</v>
      </c>
      <c r="AR135" s="28">
        <v>0</v>
      </c>
      <c r="AS135" s="25">
        <v>0.82</v>
      </c>
      <c r="AT135" s="25">
        <v>3.44</v>
      </c>
      <c r="AU135" s="25">
        <v>2.62</v>
      </c>
      <c r="AV135" s="25">
        <v>2.4390000000000001</v>
      </c>
      <c r="AW135">
        <v>2.4390000000000001</v>
      </c>
      <c r="AX135">
        <v>5.5936785899999997</v>
      </c>
      <c r="AY135" s="75"/>
      <c r="AZ135" s="75"/>
      <c r="BA135" s="75"/>
      <c r="BD135">
        <v>6.9465275337543854E-3</v>
      </c>
      <c r="BF135">
        <v>1.3893055067508771E-2</v>
      </c>
      <c r="BG135">
        <v>6.9465275337543854E-3</v>
      </c>
      <c r="BH135">
        <v>0</v>
      </c>
      <c r="BI135" s="79" t="s">
        <v>1264</v>
      </c>
      <c r="BJ135" s="79">
        <v>1223</v>
      </c>
      <c r="BK135" s="79">
        <v>0.5</v>
      </c>
      <c r="BM135" s="79" t="s">
        <v>464</v>
      </c>
      <c r="BN135" s="79" t="s">
        <v>464</v>
      </c>
      <c r="BO135" s="79">
        <v>0</v>
      </c>
      <c r="BP135" s="79">
        <v>3.52</v>
      </c>
      <c r="BQ135" s="79">
        <v>0.6</v>
      </c>
      <c r="BR135" s="79">
        <v>0</v>
      </c>
      <c r="BS135" s="79" t="s">
        <v>464</v>
      </c>
      <c r="BT135" s="79" t="s">
        <v>464</v>
      </c>
      <c r="BU135" s="79" t="s">
        <v>1266</v>
      </c>
      <c r="BV135" s="79">
        <v>450</v>
      </c>
      <c r="BX135" s="79" t="s">
        <v>1287</v>
      </c>
      <c r="BZ135" s="81">
        <v>34</v>
      </c>
      <c r="CA135">
        <f t="shared" si="15"/>
        <v>3.5263605246161616</v>
      </c>
    </row>
    <row r="136" spans="1:7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32" t="s">
        <v>1160</v>
      </c>
      <c r="G136" s="1" t="s">
        <v>1161</v>
      </c>
      <c r="I136" s="2"/>
      <c r="J136" s="25">
        <v>0</v>
      </c>
      <c r="K136">
        <v>2</v>
      </c>
      <c r="L136">
        <v>0</v>
      </c>
      <c r="M136" s="2"/>
      <c r="N136" s="2"/>
      <c r="O136" s="2"/>
      <c r="P136" s="2"/>
      <c r="Q136" s="2"/>
      <c r="R136" s="25">
        <v>0</v>
      </c>
      <c r="S136" s="25"/>
      <c r="T136" s="25"/>
      <c r="U136">
        <v>5.4507000000000003</v>
      </c>
      <c r="V136">
        <v>9.7352000000000007</v>
      </c>
      <c r="W136">
        <v>31.373799999999999</v>
      </c>
      <c r="X136">
        <v>0</v>
      </c>
      <c r="AA136" s="2"/>
      <c r="AB136">
        <v>8</v>
      </c>
      <c r="AC136" s="55">
        <f t="shared" si="11"/>
        <v>0</v>
      </c>
      <c r="AD136" s="57">
        <v>0</v>
      </c>
      <c r="AE136" s="55">
        <v>1647.0185271674609</v>
      </c>
      <c r="AF136" s="55">
        <v>0</v>
      </c>
      <c r="AG136" s="52"/>
      <c r="AH136" s="51"/>
      <c r="AI136" s="52">
        <v>9.714523386398553E-3</v>
      </c>
      <c r="AJ136" s="52"/>
      <c r="AK136" s="28">
        <v>1.857142857142857</v>
      </c>
      <c r="AL136" s="28">
        <v>2.285714285714286</v>
      </c>
      <c r="AM136" s="28">
        <v>0.42857142857142849</v>
      </c>
      <c r="AN136" s="28">
        <v>0</v>
      </c>
      <c r="AO136" s="28">
        <v>0.40625000000000011</v>
      </c>
      <c r="AP136" s="28">
        <v>0.5</v>
      </c>
      <c r="AQ136" s="28">
        <v>9.375E-2</v>
      </c>
      <c r="AR136" s="28">
        <v>0</v>
      </c>
      <c r="AS136" s="25">
        <v>0.82</v>
      </c>
      <c r="AT136" s="25">
        <v>3.44</v>
      </c>
      <c r="AU136" s="25">
        <v>2.62</v>
      </c>
      <c r="AV136" s="25">
        <v>2.4300000000000002</v>
      </c>
      <c r="AW136">
        <v>2.4300000000000002</v>
      </c>
      <c r="AX136">
        <v>5.5971875185714284</v>
      </c>
      <c r="AY136" s="75"/>
      <c r="AZ136" s="75"/>
      <c r="BA136" s="75"/>
      <c r="BD136">
        <v>4.8572616931992756E-3</v>
      </c>
      <c r="BF136">
        <v>9.714523386398553E-3</v>
      </c>
      <c r="BG136">
        <v>4.8572616931992756E-3</v>
      </c>
      <c r="BH136">
        <v>0</v>
      </c>
      <c r="BI136" s="79" t="s">
        <v>1264</v>
      </c>
      <c r="BJ136" s="79">
        <v>1223</v>
      </c>
      <c r="BK136" s="79">
        <v>0.5</v>
      </c>
      <c r="BM136" s="79" t="s">
        <v>464</v>
      </c>
      <c r="BN136" s="79" t="s">
        <v>464</v>
      </c>
      <c r="BO136" s="79">
        <v>0</v>
      </c>
      <c r="BP136" s="79">
        <v>3.43</v>
      </c>
      <c r="BQ136" s="79">
        <v>0.6</v>
      </c>
      <c r="BR136" s="79">
        <v>0</v>
      </c>
      <c r="BS136" s="79" t="s">
        <v>464</v>
      </c>
      <c r="BT136" s="79" t="s">
        <v>464</v>
      </c>
      <c r="BU136" s="79" t="s">
        <v>1266</v>
      </c>
      <c r="BV136" s="79">
        <v>450</v>
      </c>
      <c r="BX136" s="79" t="s">
        <v>1287</v>
      </c>
      <c r="BZ136" s="81">
        <v>12.5</v>
      </c>
      <c r="CA136">
        <f t="shared" si="15"/>
        <v>2.5257286443082556</v>
      </c>
    </row>
    <row r="137" spans="1:7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I137" s="2"/>
      <c r="J137" s="25">
        <v>2</v>
      </c>
      <c r="K137">
        <v>2</v>
      </c>
      <c r="L137">
        <v>0</v>
      </c>
      <c r="M137" s="2"/>
      <c r="N137" s="2"/>
      <c r="O137" s="2"/>
      <c r="P137" s="2"/>
      <c r="Q137" s="2"/>
      <c r="R137" s="25">
        <v>3.8703880000000002</v>
      </c>
      <c r="S137" s="25">
        <v>3.8703880000000002</v>
      </c>
      <c r="T137" s="25">
        <v>13.604850000000001</v>
      </c>
      <c r="U137">
        <v>3.8415499999999998</v>
      </c>
      <c r="V137">
        <v>3.8415499999999998</v>
      </c>
      <c r="W137">
        <v>13.4695</v>
      </c>
      <c r="X137">
        <v>0</v>
      </c>
      <c r="AA137" s="2"/>
      <c r="AB137">
        <v>8</v>
      </c>
      <c r="AC137" s="55">
        <f t="shared" ref="AC137:AC142" si="16">M137*N137*O137</f>
        <v>0</v>
      </c>
      <c r="AD137" s="57">
        <v>203.79933701026059</v>
      </c>
      <c r="AE137" s="55">
        <v>198.77623248847371</v>
      </c>
      <c r="AF137" s="55">
        <v>0</v>
      </c>
      <c r="AG137" s="52"/>
      <c r="AH137" s="51">
        <v>7.8508596910668346E-2</v>
      </c>
      <c r="AI137" s="52">
        <v>8.0492520658513728E-2</v>
      </c>
      <c r="AJ137" s="52"/>
      <c r="AK137" s="28">
        <v>1.857142857142857</v>
      </c>
      <c r="AL137" s="28">
        <v>2.285714285714286</v>
      </c>
      <c r="AM137" s="28">
        <v>0.42857142857142849</v>
      </c>
      <c r="AN137" s="28">
        <v>0</v>
      </c>
      <c r="AO137" s="28">
        <v>0.40625000000000011</v>
      </c>
      <c r="AP137" s="28">
        <v>0.5</v>
      </c>
      <c r="AQ137" s="28">
        <v>9.375E-2</v>
      </c>
      <c r="AR137" s="28">
        <v>0</v>
      </c>
      <c r="AS137" s="25">
        <v>0.82</v>
      </c>
      <c r="AT137" s="25">
        <v>3.44</v>
      </c>
      <c r="AU137" s="25">
        <v>2.62</v>
      </c>
      <c r="AV137" s="25">
        <v>2.46</v>
      </c>
      <c r="AW137">
        <v>2.46</v>
      </c>
      <c r="AX137">
        <v>5.5854910899999997</v>
      </c>
      <c r="AY137" s="75">
        <v>0.55645098073491572</v>
      </c>
      <c r="AZ137" s="75">
        <v>0.57051257855519</v>
      </c>
      <c r="BA137" s="75"/>
      <c r="BC137">
        <v>3.9254298455334173E-2</v>
      </c>
      <c r="BD137">
        <v>4.0246260329256871E-2</v>
      </c>
      <c r="BF137">
        <v>7.950055878459103E-2</v>
      </c>
      <c r="BG137">
        <v>3.9750279392295522E-2</v>
      </c>
      <c r="BH137">
        <v>0.56348177964505286</v>
      </c>
      <c r="BI137" s="79" t="s">
        <v>1264</v>
      </c>
      <c r="BJ137" s="79">
        <v>1223</v>
      </c>
      <c r="BK137" s="79">
        <v>0.5</v>
      </c>
      <c r="BM137" s="79" t="s">
        <v>1275</v>
      </c>
      <c r="BN137" s="79" t="s">
        <v>56</v>
      </c>
      <c r="BO137" s="79">
        <v>2</v>
      </c>
      <c r="BP137" s="79">
        <v>3.59</v>
      </c>
      <c r="BQ137" s="79">
        <v>0.6</v>
      </c>
      <c r="BR137" s="79">
        <v>0</v>
      </c>
      <c r="BS137" s="79" t="s">
        <v>464</v>
      </c>
      <c r="BT137" s="79" t="s">
        <v>464</v>
      </c>
      <c r="BU137" s="79" t="s">
        <v>1266</v>
      </c>
      <c r="BV137" s="79">
        <v>450</v>
      </c>
      <c r="BX137" s="79" t="s">
        <v>1287</v>
      </c>
      <c r="BZ137" s="81">
        <v>36</v>
      </c>
      <c r="CA137">
        <f t="shared" si="15"/>
        <v>3.5835189384561099</v>
      </c>
    </row>
    <row r="138" spans="1:7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32" t="s">
        <v>561</v>
      </c>
      <c r="G138" s="1" t="s">
        <v>639</v>
      </c>
      <c r="I138" s="2"/>
      <c r="J138" s="25">
        <v>0</v>
      </c>
      <c r="K138">
        <v>2</v>
      </c>
      <c r="L138">
        <v>0</v>
      </c>
      <c r="M138" s="2"/>
      <c r="N138" s="2"/>
      <c r="O138" s="2"/>
      <c r="P138" s="2"/>
      <c r="Q138" s="2"/>
      <c r="R138" s="25">
        <v>0</v>
      </c>
      <c r="S138" s="25"/>
      <c r="T138" s="25"/>
      <c r="U138">
        <v>3.8415499999999998</v>
      </c>
      <c r="V138">
        <v>3.8415499999999998</v>
      </c>
      <c r="W138">
        <v>13.4695</v>
      </c>
      <c r="X138">
        <v>0</v>
      </c>
      <c r="AA138" s="2"/>
      <c r="AB138">
        <v>8</v>
      </c>
      <c r="AC138" s="55">
        <f t="shared" si="16"/>
        <v>0</v>
      </c>
      <c r="AD138" s="57">
        <v>0</v>
      </c>
      <c r="AE138" s="55">
        <v>198.77623248847371</v>
      </c>
      <c r="AF138" s="55">
        <v>0</v>
      </c>
      <c r="AG138" s="52"/>
      <c r="AH138" s="51"/>
      <c r="AI138" s="52">
        <v>8.0492520658513728E-2</v>
      </c>
      <c r="AJ138" s="52"/>
      <c r="AK138" s="28">
        <v>1.857142857142857</v>
      </c>
      <c r="AL138" s="28">
        <v>2.285714285714286</v>
      </c>
      <c r="AM138" s="28">
        <v>0.42857142857142849</v>
      </c>
      <c r="AN138" s="28">
        <v>0</v>
      </c>
      <c r="AO138" s="28">
        <v>0.40625000000000011</v>
      </c>
      <c r="AP138" s="28">
        <v>0.5</v>
      </c>
      <c r="AQ138" s="28">
        <v>9.375E-2</v>
      </c>
      <c r="AR138" s="28">
        <v>0</v>
      </c>
      <c r="AS138" s="25">
        <v>0.82</v>
      </c>
      <c r="AT138" s="25">
        <v>3.44</v>
      </c>
      <c r="AU138" s="25">
        <v>2.62</v>
      </c>
      <c r="AV138" s="25">
        <v>2.4569999999999999</v>
      </c>
      <c r="AW138">
        <v>2.4569999999999999</v>
      </c>
      <c r="AX138">
        <v>5.5866607328571423</v>
      </c>
      <c r="AY138" s="75">
        <v>0.55645098073491572</v>
      </c>
      <c r="AZ138" s="75">
        <v>0.57051257855519</v>
      </c>
      <c r="BA138" s="75"/>
      <c r="BD138">
        <v>4.0246260329256871E-2</v>
      </c>
      <c r="BF138">
        <v>8.0492520658513728E-2</v>
      </c>
      <c r="BG138">
        <v>4.0246260329256871E-2</v>
      </c>
      <c r="BH138">
        <v>0.56348177964505286</v>
      </c>
      <c r="BI138" s="79" t="s">
        <v>1264</v>
      </c>
      <c r="BJ138" s="79">
        <v>1223</v>
      </c>
      <c r="BK138" s="79">
        <v>0.5</v>
      </c>
      <c r="BM138" s="79" t="s">
        <v>1275</v>
      </c>
      <c r="BN138" s="79" t="s">
        <v>56</v>
      </c>
      <c r="BO138" s="79">
        <v>2</v>
      </c>
      <c r="BP138" s="79">
        <v>3.74</v>
      </c>
      <c r="BQ138" s="79">
        <v>0.6</v>
      </c>
      <c r="BR138" s="79">
        <v>0</v>
      </c>
      <c r="BS138" s="79" t="s">
        <v>464</v>
      </c>
      <c r="BT138" s="79" t="s">
        <v>464</v>
      </c>
      <c r="BU138" s="79" t="s">
        <v>1266</v>
      </c>
      <c r="BV138" s="79">
        <v>450</v>
      </c>
      <c r="BX138" s="79" t="s">
        <v>1287</v>
      </c>
      <c r="BZ138" s="81">
        <v>65.400000000000006</v>
      </c>
      <c r="CA138">
        <f t="shared" si="15"/>
        <v>4.180522258463153</v>
      </c>
    </row>
    <row r="139" spans="1:7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32" t="s">
        <v>1154</v>
      </c>
      <c r="G139" s="1" t="s">
        <v>1155</v>
      </c>
      <c r="I139" s="2"/>
      <c r="J139" s="25">
        <v>0</v>
      </c>
      <c r="K139">
        <v>1</v>
      </c>
      <c r="L139">
        <v>0</v>
      </c>
      <c r="M139" s="2"/>
      <c r="N139" s="2"/>
      <c r="O139" s="2"/>
      <c r="P139" s="2"/>
      <c r="Q139" s="2"/>
      <c r="R139" s="25">
        <v>0</v>
      </c>
      <c r="S139" s="25"/>
      <c r="T139" s="25"/>
      <c r="U139">
        <v>6.7352999999999987</v>
      </c>
      <c r="V139">
        <v>8.0756999999999994</v>
      </c>
      <c r="W139">
        <v>15.016999999999999</v>
      </c>
      <c r="X139">
        <v>0</v>
      </c>
      <c r="AA139" s="2"/>
      <c r="AB139">
        <v>8</v>
      </c>
      <c r="AC139" s="55">
        <f t="shared" si="16"/>
        <v>0</v>
      </c>
      <c r="AD139" s="57">
        <v>0</v>
      </c>
      <c r="AE139" s="55">
        <v>801.31327174450405</v>
      </c>
      <c r="AF139" s="55">
        <v>0</v>
      </c>
      <c r="AG139" s="52"/>
      <c r="AH139" s="51"/>
      <c r="AI139" s="52">
        <v>9.9836110071951645E-3</v>
      </c>
      <c r="AJ139" s="52"/>
      <c r="AK139" s="28">
        <v>1.857142857142857</v>
      </c>
      <c r="AL139" s="28">
        <v>2.285714285714286</v>
      </c>
      <c r="AM139" s="28">
        <v>0.42857142857142849</v>
      </c>
      <c r="AN139" s="28">
        <v>0</v>
      </c>
      <c r="AO139" s="28">
        <v>0.40625000000000011</v>
      </c>
      <c r="AP139" s="28">
        <v>0.5</v>
      </c>
      <c r="AQ139" s="28">
        <v>9.375E-2</v>
      </c>
      <c r="AR139" s="28">
        <v>0</v>
      </c>
      <c r="AS139" s="25">
        <v>0.82</v>
      </c>
      <c r="AT139" s="25">
        <v>3.44</v>
      </c>
      <c r="AU139" s="25">
        <v>2.62</v>
      </c>
      <c r="AV139" s="25">
        <v>2.4510000000000001</v>
      </c>
      <c r="AW139">
        <v>2.4510000000000001</v>
      </c>
      <c r="AX139">
        <v>5.5890000185714284</v>
      </c>
      <c r="AY139" s="75"/>
      <c r="AZ139" s="75">
        <v>0.26693366029414328</v>
      </c>
      <c r="BA139" s="75"/>
      <c r="BD139">
        <v>4.9918055035975822E-3</v>
      </c>
      <c r="BF139">
        <v>9.9836110071951645E-3</v>
      </c>
      <c r="BG139">
        <v>4.9918055035975822E-3</v>
      </c>
      <c r="BH139">
        <v>0.26693366029414328</v>
      </c>
      <c r="BI139" s="79" t="s">
        <v>1264</v>
      </c>
      <c r="BJ139" s="79">
        <v>1223</v>
      </c>
      <c r="BK139" s="79">
        <v>0.5</v>
      </c>
      <c r="BM139" s="79" t="s">
        <v>1275</v>
      </c>
      <c r="BN139" s="79" t="s">
        <v>56</v>
      </c>
      <c r="BO139" s="79">
        <v>2</v>
      </c>
      <c r="BP139" s="79">
        <v>3.82</v>
      </c>
      <c r="BQ139" s="79">
        <v>0.6</v>
      </c>
      <c r="BR139" s="79">
        <v>0</v>
      </c>
      <c r="BS139" s="79" t="s">
        <v>464</v>
      </c>
      <c r="BT139" s="79" t="s">
        <v>464</v>
      </c>
      <c r="BU139" s="79" t="s">
        <v>1266</v>
      </c>
      <c r="BV139" s="79">
        <v>450</v>
      </c>
      <c r="BX139" s="79" t="s">
        <v>1287</v>
      </c>
      <c r="BZ139" s="81">
        <v>84.2</v>
      </c>
      <c r="CA139">
        <f t="shared" si="15"/>
        <v>4.4331949212482815</v>
      </c>
    </row>
    <row r="140" spans="1:7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32" t="s">
        <v>1156</v>
      </c>
      <c r="G140" s="1" t="s">
        <v>1157</v>
      </c>
      <c r="I140" s="2"/>
      <c r="J140" s="25">
        <v>0</v>
      </c>
      <c r="K140">
        <v>4</v>
      </c>
      <c r="L140">
        <v>0</v>
      </c>
      <c r="M140" s="2"/>
      <c r="N140" s="2"/>
      <c r="O140" s="2"/>
      <c r="P140" s="2"/>
      <c r="Q140" s="2"/>
      <c r="R140" s="25">
        <v>0</v>
      </c>
      <c r="S140" s="25"/>
      <c r="T140" s="25"/>
      <c r="U140">
        <v>18.184000000000001</v>
      </c>
      <c r="V140">
        <v>13.009</v>
      </c>
      <c r="W140">
        <v>13.112</v>
      </c>
      <c r="X140">
        <v>0</v>
      </c>
      <c r="AA140" s="2"/>
      <c r="AB140">
        <v>8</v>
      </c>
      <c r="AC140" s="55">
        <f t="shared" si="16"/>
        <v>0</v>
      </c>
      <c r="AD140" s="57">
        <v>0</v>
      </c>
      <c r="AE140" s="55">
        <v>2626.6697286954709</v>
      </c>
      <c r="AF140" s="55">
        <v>0</v>
      </c>
      <c r="AG140" s="52"/>
      <c r="AH140" s="51"/>
      <c r="AI140" s="52">
        <v>1.2182726914773829E-2</v>
      </c>
      <c r="AJ140" s="52"/>
      <c r="AK140" s="28">
        <v>1.857142857142857</v>
      </c>
      <c r="AL140" s="28">
        <v>2.285714285714286</v>
      </c>
      <c r="AM140" s="28">
        <v>0.42857142857142849</v>
      </c>
      <c r="AN140" s="28">
        <v>0</v>
      </c>
      <c r="AO140" s="28">
        <v>0.40625000000000011</v>
      </c>
      <c r="AP140" s="28">
        <v>0.5</v>
      </c>
      <c r="AQ140" s="28">
        <v>9.375E-2</v>
      </c>
      <c r="AR140" s="28">
        <v>0</v>
      </c>
      <c r="AS140" s="25">
        <v>0.82</v>
      </c>
      <c r="AT140" s="25">
        <v>3.44</v>
      </c>
      <c r="AU140" s="25">
        <v>2.62</v>
      </c>
      <c r="AV140" s="25">
        <v>2.4449999999999998</v>
      </c>
      <c r="AW140">
        <v>2.4449999999999998</v>
      </c>
      <c r="AX140">
        <v>5.5913393042857136</v>
      </c>
      <c r="AY140" s="75"/>
      <c r="AZ140" s="75"/>
      <c r="BA140" s="75"/>
      <c r="BD140">
        <v>6.0913634573869172E-3</v>
      </c>
      <c r="BF140">
        <v>1.2182726914773829E-2</v>
      </c>
      <c r="BG140">
        <v>6.0913634573869172E-3</v>
      </c>
      <c r="BH140">
        <v>0</v>
      </c>
      <c r="BI140" s="79" t="s">
        <v>1264</v>
      </c>
      <c r="BJ140" s="79">
        <v>1223</v>
      </c>
      <c r="BK140" s="79">
        <v>0.5</v>
      </c>
      <c r="BM140" s="79" t="s">
        <v>1275</v>
      </c>
      <c r="BN140" s="79" t="s">
        <v>56</v>
      </c>
      <c r="BO140" s="79">
        <v>2</v>
      </c>
      <c r="BP140" s="79">
        <v>4.16</v>
      </c>
      <c r="BQ140" s="79">
        <v>0.6</v>
      </c>
      <c r="BR140" s="79">
        <v>0</v>
      </c>
      <c r="BS140" s="79" t="s">
        <v>464</v>
      </c>
      <c r="BT140" s="79" t="s">
        <v>464</v>
      </c>
      <c r="BU140" s="79" t="s">
        <v>1266</v>
      </c>
      <c r="BV140" s="79">
        <v>450</v>
      </c>
      <c r="BX140" s="79" t="s">
        <v>1287</v>
      </c>
      <c r="BZ140" s="81">
        <v>69.2</v>
      </c>
      <c r="CA140">
        <f t="shared" si="15"/>
        <v>4.2370008626236242</v>
      </c>
    </row>
    <row r="141" spans="1:7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32" t="s">
        <v>1158</v>
      </c>
      <c r="G141" s="1" t="s">
        <v>1159</v>
      </c>
      <c r="I141" s="2"/>
      <c r="J141" s="25">
        <v>0</v>
      </c>
      <c r="K141">
        <v>4</v>
      </c>
      <c r="L141">
        <v>0</v>
      </c>
      <c r="M141" s="2"/>
      <c r="N141" s="2"/>
      <c r="O141" s="2"/>
      <c r="P141" s="2"/>
      <c r="Q141" s="2"/>
      <c r="R141" s="25">
        <v>0</v>
      </c>
      <c r="S141" s="25"/>
      <c r="T141" s="25"/>
      <c r="U141">
        <v>10.103899999999999</v>
      </c>
      <c r="V141">
        <v>13.944800000000001</v>
      </c>
      <c r="W141">
        <v>16.4237</v>
      </c>
      <c r="X141">
        <v>0</v>
      </c>
      <c r="AA141" s="2"/>
      <c r="AB141">
        <v>8</v>
      </c>
      <c r="AC141" s="55">
        <f t="shared" si="16"/>
        <v>0</v>
      </c>
      <c r="AD141" s="57">
        <v>0</v>
      </c>
      <c r="AE141" s="55">
        <v>2303.3090882103638</v>
      </c>
      <c r="AF141" s="55">
        <v>0</v>
      </c>
      <c r="AG141" s="52"/>
      <c r="AH141" s="51"/>
      <c r="AI141" s="52">
        <v>1.3893055067508771E-2</v>
      </c>
      <c r="AJ141" s="52"/>
      <c r="AK141" s="28">
        <v>1.857142857142857</v>
      </c>
      <c r="AL141" s="28">
        <v>2.285714285714286</v>
      </c>
      <c r="AM141" s="28">
        <v>0.42857142857142849</v>
      </c>
      <c r="AN141" s="28">
        <v>0</v>
      </c>
      <c r="AO141" s="28">
        <v>0.40625000000000011</v>
      </c>
      <c r="AP141" s="28">
        <v>0.5</v>
      </c>
      <c r="AQ141" s="28">
        <v>9.375E-2</v>
      </c>
      <c r="AR141" s="28">
        <v>0</v>
      </c>
      <c r="AS141" s="25">
        <v>0.82</v>
      </c>
      <c r="AT141" s="25">
        <v>3.44</v>
      </c>
      <c r="AU141" s="25">
        <v>2.62</v>
      </c>
      <c r="AV141" s="25">
        <v>2.4390000000000001</v>
      </c>
      <c r="AW141">
        <v>2.4390000000000001</v>
      </c>
      <c r="AX141">
        <v>5.5936785899999997</v>
      </c>
      <c r="AY141" s="75"/>
      <c r="AZ141" s="75"/>
      <c r="BA141" s="75"/>
      <c r="BD141">
        <v>6.9465275337543854E-3</v>
      </c>
      <c r="BF141">
        <v>1.3893055067508771E-2</v>
      </c>
      <c r="BG141">
        <v>6.9465275337543854E-3</v>
      </c>
      <c r="BH141">
        <v>0</v>
      </c>
      <c r="BI141" s="79" t="s">
        <v>1264</v>
      </c>
      <c r="BJ141" s="79">
        <v>1223</v>
      </c>
      <c r="BK141" s="79">
        <v>0.5</v>
      </c>
      <c r="BM141" s="79" t="s">
        <v>1275</v>
      </c>
      <c r="BN141" s="79" t="s">
        <v>56</v>
      </c>
      <c r="BO141" s="79">
        <v>2</v>
      </c>
      <c r="BP141" s="79">
        <v>3.52</v>
      </c>
      <c r="BQ141" s="79">
        <v>0.6</v>
      </c>
      <c r="BR141" s="79">
        <v>0</v>
      </c>
      <c r="BS141" s="79" t="s">
        <v>464</v>
      </c>
      <c r="BT141" s="79" t="s">
        <v>464</v>
      </c>
      <c r="BU141" s="79" t="s">
        <v>1266</v>
      </c>
      <c r="BV141" s="79">
        <v>450</v>
      </c>
      <c r="BX141" s="79" t="s">
        <v>1287</v>
      </c>
      <c r="BZ141" s="81">
        <v>34</v>
      </c>
      <c r="CA141">
        <f t="shared" si="15"/>
        <v>3.5263605246161616</v>
      </c>
    </row>
    <row r="142" spans="1:7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32" t="s">
        <v>1160</v>
      </c>
      <c r="G142" s="1" t="s">
        <v>1161</v>
      </c>
      <c r="I142" s="2"/>
      <c r="J142" s="25">
        <v>0</v>
      </c>
      <c r="K142">
        <v>2</v>
      </c>
      <c r="L142">
        <v>0</v>
      </c>
      <c r="M142" s="2"/>
      <c r="N142" s="2"/>
      <c r="O142" s="2"/>
      <c r="P142" s="2"/>
      <c r="Q142" s="2"/>
      <c r="R142" s="25">
        <v>0</v>
      </c>
      <c r="S142" s="25"/>
      <c r="T142" s="25"/>
      <c r="U142">
        <v>5.4507000000000003</v>
      </c>
      <c r="V142">
        <v>9.7352000000000007</v>
      </c>
      <c r="W142">
        <v>31.373799999999999</v>
      </c>
      <c r="X142">
        <v>0</v>
      </c>
      <c r="AA142" s="2"/>
      <c r="AB142">
        <v>8</v>
      </c>
      <c r="AC142" s="55">
        <f t="shared" si="16"/>
        <v>0</v>
      </c>
      <c r="AD142" s="57">
        <v>0</v>
      </c>
      <c r="AE142" s="55">
        <v>1647.0185271674609</v>
      </c>
      <c r="AF142" s="55">
        <v>0</v>
      </c>
      <c r="AG142" s="52"/>
      <c r="AH142" s="51"/>
      <c r="AI142" s="52">
        <v>9.714523386398553E-3</v>
      </c>
      <c r="AJ142" s="52"/>
      <c r="AK142" s="28">
        <v>1.857142857142857</v>
      </c>
      <c r="AL142" s="28">
        <v>2.285714285714286</v>
      </c>
      <c r="AM142" s="28">
        <v>0.42857142857142849</v>
      </c>
      <c r="AN142" s="28">
        <v>0</v>
      </c>
      <c r="AO142" s="28">
        <v>0.40625000000000011</v>
      </c>
      <c r="AP142" s="28">
        <v>0.5</v>
      </c>
      <c r="AQ142" s="28">
        <v>9.375E-2</v>
      </c>
      <c r="AR142" s="28">
        <v>0</v>
      </c>
      <c r="AS142" s="25">
        <v>0.82</v>
      </c>
      <c r="AT142" s="25">
        <v>3.44</v>
      </c>
      <c r="AU142" s="25">
        <v>2.62</v>
      </c>
      <c r="AV142" s="25">
        <v>2.4300000000000002</v>
      </c>
      <c r="AW142">
        <v>2.4300000000000002</v>
      </c>
      <c r="AX142">
        <v>5.5971875185714284</v>
      </c>
      <c r="AY142" s="75"/>
      <c r="AZ142" s="75"/>
      <c r="BA142" s="75"/>
      <c r="BD142">
        <v>4.8572616931992756E-3</v>
      </c>
      <c r="BF142">
        <v>9.714523386398553E-3</v>
      </c>
      <c r="BG142">
        <v>4.8572616931992756E-3</v>
      </c>
      <c r="BH142">
        <v>0</v>
      </c>
      <c r="BI142" s="79" t="s">
        <v>1264</v>
      </c>
      <c r="BJ142" s="79">
        <v>1223</v>
      </c>
      <c r="BK142" s="79">
        <v>0.5</v>
      </c>
      <c r="BM142" s="79" t="s">
        <v>1275</v>
      </c>
      <c r="BN142" s="79" t="s">
        <v>56</v>
      </c>
      <c r="BO142" s="79">
        <v>2</v>
      </c>
      <c r="BP142" s="79">
        <v>3.43</v>
      </c>
      <c r="BQ142" s="79">
        <v>0.6</v>
      </c>
      <c r="BR142" s="79">
        <v>0</v>
      </c>
      <c r="BS142" s="79" t="s">
        <v>464</v>
      </c>
      <c r="BT142" s="79" t="s">
        <v>464</v>
      </c>
      <c r="BU142" s="79" t="s">
        <v>1266</v>
      </c>
      <c r="BV142" s="79">
        <v>450</v>
      </c>
      <c r="BX142" s="79" t="s">
        <v>1287</v>
      </c>
      <c r="BZ142" s="81">
        <v>12.5</v>
      </c>
      <c r="CA142">
        <f t="shared" si="15"/>
        <v>2.5257286443082556</v>
      </c>
    </row>
    <row r="143" spans="1:7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9" t="s">
        <v>549</v>
      </c>
      <c r="G143">
        <v>-1</v>
      </c>
      <c r="I143" s="2"/>
      <c r="J143" s="25">
        <v>1</v>
      </c>
      <c r="K143">
        <v>0</v>
      </c>
      <c r="L143">
        <v>0</v>
      </c>
      <c r="M143" s="2">
        <v>3.859</v>
      </c>
      <c r="N143" s="2">
        <v>3.859</v>
      </c>
      <c r="O143" s="2">
        <v>29.047999999999998</v>
      </c>
      <c r="P143" s="2" t="s">
        <v>440</v>
      </c>
      <c r="Q143" s="2"/>
      <c r="R143" s="25">
        <v>15.28115725</v>
      </c>
      <c r="S143" s="25">
        <v>15.28115725</v>
      </c>
      <c r="T143" s="25">
        <v>15.28115725</v>
      </c>
      <c r="U143">
        <v>0</v>
      </c>
      <c r="X143">
        <v>0</v>
      </c>
      <c r="AA143" s="2">
        <v>3</v>
      </c>
      <c r="AB143">
        <v>20</v>
      </c>
      <c r="AC143" s="55">
        <f t="shared" si="11"/>
        <v>432.57935928799998</v>
      </c>
      <c r="AD143" s="57">
        <v>229.90248606119221</v>
      </c>
      <c r="AE143" s="55">
        <v>0</v>
      </c>
      <c r="AF143" s="55">
        <v>0</v>
      </c>
      <c r="AG143" s="52"/>
      <c r="AH143" s="51">
        <v>8.6993404650164072E-2</v>
      </c>
      <c r="AI143" s="52"/>
      <c r="AJ143" s="52"/>
      <c r="AK143" s="28">
        <v>1.882352941176471</v>
      </c>
      <c r="AL143" s="28">
        <v>2.3529411764705879</v>
      </c>
      <c r="AM143" s="28">
        <v>0.47058823529411759</v>
      </c>
      <c r="AN143" s="28">
        <v>0</v>
      </c>
      <c r="AO143" s="28">
        <v>0.4</v>
      </c>
      <c r="AP143" s="28">
        <v>0.5</v>
      </c>
      <c r="AQ143" s="28">
        <v>9.9999999999999992E-2</v>
      </c>
      <c r="AR143" s="28">
        <v>0</v>
      </c>
      <c r="AS143" s="25">
        <v>0.82</v>
      </c>
      <c r="AT143" s="25">
        <v>3.44</v>
      </c>
      <c r="AU143" s="25">
        <v>2.62</v>
      </c>
      <c r="AV143" s="25">
        <v>2.5211764705882351</v>
      </c>
      <c r="AW143">
        <v>2.521176470588236</v>
      </c>
      <c r="AX143">
        <v>5.6898745917647062</v>
      </c>
      <c r="AY143" s="75">
        <v>0.57369840599679445</v>
      </c>
      <c r="AZ143" s="75"/>
      <c r="BA143" s="75"/>
      <c r="BC143">
        <v>4.3496702325082043E-2</v>
      </c>
      <c r="BF143">
        <v>8.6993404650164072E-2</v>
      </c>
      <c r="BG143">
        <v>4.3496702325082043E-2</v>
      </c>
      <c r="BH143">
        <v>0.57369840599679445</v>
      </c>
      <c r="BI143" s="79" t="s">
        <v>1264</v>
      </c>
      <c r="BJ143" s="79">
        <f t="shared" ref="BJ143:BJ158" si="17">273+1050</f>
        <v>1323</v>
      </c>
      <c r="BK143" s="79">
        <v>48</v>
      </c>
      <c r="BM143" s="79" t="s">
        <v>464</v>
      </c>
      <c r="BN143" s="79" t="s">
        <v>464</v>
      </c>
      <c r="BO143" s="79">
        <v>0</v>
      </c>
      <c r="BQ143" s="79">
        <v>2</v>
      </c>
      <c r="BR143" s="79">
        <v>0</v>
      </c>
      <c r="BS143" s="79" t="s">
        <v>464</v>
      </c>
      <c r="BT143" s="79" t="s">
        <v>464</v>
      </c>
      <c r="BU143" s="79" t="s">
        <v>1266</v>
      </c>
      <c r="BV143" s="79">
        <v>1000</v>
      </c>
      <c r="BW143" s="79">
        <v>300</v>
      </c>
      <c r="BX143" s="79" t="s">
        <v>1311</v>
      </c>
      <c r="BY143" s="79">
        <v>298</v>
      </c>
      <c r="BZ143" s="81">
        <v>4.37</v>
      </c>
      <c r="CA143">
        <f t="shared" si="15"/>
        <v>1.4747630091074988</v>
      </c>
    </row>
    <row r="144" spans="1:7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I144" s="2">
        <v>2</v>
      </c>
      <c r="J144" s="25">
        <v>0</v>
      </c>
      <c r="K144">
        <v>0</v>
      </c>
      <c r="L144">
        <v>0</v>
      </c>
      <c r="M144" s="2">
        <v>3.8650000000000002</v>
      </c>
      <c r="N144" s="2">
        <v>3.8650000000000002</v>
      </c>
      <c r="O144" s="2">
        <v>29.241</v>
      </c>
      <c r="R144" s="25">
        <v>0</v>
      </c>
      <c r="S144" s="25"/>
      <c r="T144" s="25"/>
      <c r="U144">
        <v>0</v>
      </c>
      <c r="X144">
        <v>0</v>
      </c>
      <c r="AA144" s="2">
        <v>3</v>
      </c>
      <c r="AB144">
        <v>20</v>
      </c>
      <c r="AC144" s="55">
        <f t="shared" si="11"/>
        <v>436.80863722500004</v>
      </c>
      <c r="AD144" s="57">
        <v>0</v>
      </c>
      <c r="AE144" s="55">
        <v>0</v>
      </c>
      <c r="AF144" s="55">
        <v>0</v>
      </c>
      <c r="AG144" s="52">
        <f>I144*AB144/AC144</f>
        <v>9.1573280817238076E-2</v>
      </c>
      <c r="AH144" s="51"/>
      <c r="AI144" s="52"/>
      <c r="AJ144" s="52"/>
      <c r="AK144" s="28">
        <v>1.882352941176471</v>
      </c>
      <c r="AL144" s="28">
        <v>2.3529411764705879</v>
      </c>
      <c r="AM144" s="28">
        <v>0.49411764705882361</v>
      </c>
      <c r="AN144" s="28">
        <v>0</v>
      </c>
      <c r="AO144" s="28">
        <v>0.39800995024875629</v>
      </c>
      <c r="AP144" s="28">
        <v>0.4975124378109454</v>
      </c>
      <c r="AQ144" s="28">
        <v>0.1044776119402985</v>
      </c>
      <c r="AR144" s="28">
        <v>0</v>
      </c>
      <c r="AS144" s="25">
        <v>0.82</v>
      </c>
      <c r="AT144" s="25">
        <v>3.44</v>
      </c>
      <c r="AU144" s="25">
        <v>2.62</v>
      </c>
      <c r="AV144" s="25">
        <v>2.5228823529411768</v>
      </c>
      <c r="AW144">
        <v>2.5228823529411768</v>
      </c>
      <c r="AX144">
        <v>5.6932629430588237</v>
      </c>
      <c r="AY144" s="75"/>
      <c r="AZ144" s="75"/>
      <c r="BA144" s="75"/>
      <c r="BB144">
        <v>4.5786640408619038E-2</v>
      </c>
      <c r="BF144">
        <v>9.1573280817238076E-2</v>
      </c>
      <c r="BG144">
        <v>4.5786640408619038E-2</v>
      </c>
      <c r="BH144">
        <v>0</v>
      </c>
      <c r="BI144" s="79" t="s">
        <v>1264</v>
      </c>
      <c r="BJ144" s="79">
        <f t="shared" si="17"/>
        <v>1323</v>
      </c>
      <c r="BK144" s="79">
        <v>48</v>
      </c>
      <c r="BM144" s="79" t="s">
        <v>464</v>
      </c>
      <c r="BN144" s="79" t="s">
        <v>464</v>
      </c>
      <c r="BO144" s="79">
        <v>0</v>
      </c>
      <c r="BQ144" s="79">
        <v>2</v>
      </c>
      <c r="BR144" s="79">
        <v>0</v>
      </c>
      <c r="BS144" s="79" t="s">
        <v>464</v>
      </c>
      <c r="BT144" s="79" t="s">
        <v>464</v>
      </c>
      <c r="BU144" s="79" t="s">
        <v>1266</v>
      </c>
      <c r="BV144" s="79">
        <v>1000</v>
      </c>
      <c r="BW144" s="79">
        <v>300</v>
      </c>
      <c r="BX144" s="79" t="s">
        <v>1311</v>
      </c>
      <c r="BY144" s="79">
        <v>298</v>
      </c>
      <c r="BZ144" s="81">
        <v>6.27</v>
      </c>
      <c r="CA144">
        <f t="shared" si="15"/>
        <v>1.8357763546448294</v>
      </c>
    </row>
    <row r="145" spans="1:79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I145" s="2">
        <v>2</v>
      </c>
      <c r="J145" s="25">
        <v>0</v>
      </c>
      <c r="K145">
        <v>0</v>
      </c>
      <c r="L145">
        <v>0</v>
      </c>
      <c r="M145" s="2">
        <v>3.8660000000000001</v>
      </c>
      <c r="N145" s="2">
        <v>3.8660000000000001</v>
      </c>
      <c r="O145" s="2">
        <v>29.145</v>
      </c>
      <c r="P145" s="2"/>
      <c r="Q145" s="2"/>
      <c r="R145" s="25">
        <v>0</v>
      </c>
      <c r="S145" s="25"/>
      <c r="T145" s="25"/>
      <c r="U145">
        <v>0</v>
      </c>
      <c r="X145">
        <v>0</v>
      </c>
      <c r="AA145" s="2">
        <v>3</v>
      </c>
      <c r="AB145">
        <v>20</v>
      </c>
      <c r="AC145" s="55">
        <f t="shared" si="11"/>
        <v>435.59988762</v>
      </c>
      <c r="AD145" s="57">
        <v>0</v>
      </c>
      <c r="AE145" s="55">
        <v>0</v>
      </c>
      <c r="AF145" s="55">
        <v>0</v>
      </c>
      <c r="AG145" s="52">
        <f t="shared" ref="AG145:AG150" si="18">I145*AB145/AC145</f>
        <v>9.1827388245091582E-2</v>
      </c>
      <c r="AH145" s="51"/>
      <c r="AI145" s="52"/>
      <c r="AJ145" s="52"/>
      <c r="AK145" s="28">
        <v>1.882352941176471</v>
      </c>
      <c r="AL145" s="28">
        <v>2.3529411764705879</v>
      </c>
      <c r="AM145" s="28">
        <v>0.51764705882352946</v>
      </c>
      <c r="AN145" s="28">
        <v>0</v>
      </c>
      <c r="AO145" s="28">
        <v>0.39603960396039611</v>
      </c>
      <c r="AP145" s="28">
        <v>0.49504950495049499</v>
      </c>
      <c r="AQ145" s="28">
        <v>0.1089108910891089</v>
      </c>
      <c r="AR145" s="28">
        <v>0</v>
      </c>
      <c r="AS145" s="25">
        <v>0.82</v>
      </c>
      <c r="AT145" s="25">
        <v>3.44</v>
      </c>
      <c r="AU145" s="25">
        <v>2.62</v>
      </c>
      <c r="AV145" s="25">
        <v>2.5245882352941171</v>
      </c>
      <c r="AW145">
        <v>2.524588235294118</v>
      </c>
      <c r="AX145">
        <v>5.6966512943529413</v>
      </c>
      <c r="AY145" s="75"/>
      <c r="AZ145" s="75"/>
      <c r="BA145" s="75"/>
      <c r="BB145">
        <v>4.5913694122545791E-2</v>
      </c>
      <c r="BF145">
        <v>9.1827388245091582E-2</v>
      </c>
      <c r="BG145">
        <v>4.5913694122545791E-2</v>
      </c>
      <c r="BH145">
        <v>0</v>
      </c>
      <c r="BI145" s="79" t="s">
        <v>1264</v>
      </c>
      <c r="BJ145" s="79">
        <f t="shared" si="17"/>
        <v>1323</v>
      </c>
      <c r="BK145" s="79">
        <v>48</v>
      </c>
      <c r="BM145" s="79" t="s">
        <v>464</v>
      </c>
      <c r="BN145" s="79" t="s">
        <v>464</v>
      </c>
      <c r="BO145" s="79">
        <v>0</v>
      </c>
      <c r="BQ145" s="79">
        <v>2</v>
      </c>
      <c r="BR145" s="79">
        <v>0</v>
      </c>
      <c r="BS145" s="79" t="s">
        <v>464</v>
      </c>
      <c r="BT145" s="79" t="s">
        <v>464</v>
      </c>
      <c r="BU145" s="79" t="s">
        <v>1266</v>
      </c>
      <c r="BV145" s="79">
        <v>1000</v>
      </c>
      <c r="BW145" s="79">
        <v>300</v>
      </c>
      <c r="BX145" s="79" t="s">
        <v>1311</v>
      </c>
      <c r="BY145" s="79">
        <v>298</v>
      </c>
      <c r="BZ145" s="81">
        <v>22.5</v>
      </c>
      <c r="CA145">
        <f t="shared" si="15"/>
        <v>3.1135153092103742</v>
      </c>
    </row>
    <row r="146" spans="1:79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I146" s="2">
        <v>2</v>
      </c>
      <c r="J146" s="25">
        <v>0</v>
      </c>
      <c r="K146">
        <v>0</v>
      </c>
      <c r="L146">
        <v>0</v>
      </c>
      <c r="M146" s="2">
        <v>3.871</v>
      </c>
      <c r="N146" s="2">
        <v>3.871</v>
      </c>
      <c r="O146" s="2">
        <v>29.241</v>
      </c>
      <c r="P146" s="2"/>
      <c r="Q146" s="2"/>
      <c r="R146" s="25">
        <v>0</v>
      </c>
      <c r="S146" s="25"/>
      <c r="T146" s="25"/>
      <c r="U146">
        <v>0</v>
      </c>
      <c r="X146">
        <v>0</v>
      </c>
      <c r="AA146" s="2">
        <v>3</v>
      </c>
      <c r="AB146">
        <v>20</v>
      </c>
      <c r="AC146" s="55">
        <f t="shared" si="11"/>
        <v>438.16588748099997</v>
      </c>
      <c r="AD146" s="57">
        <v>0</v>
      </c>
      <c r="AE146" s="55">
        <v>0</v>
      </c>
      <c r="AF146" s="55">
        <v>0</v>
      </c>
      <c r="AG146" s="52">
        <f t="shared" si="18"/>
        <v>9.1289626013468489E-2</v>
      </c>
      <c r="AH146" s="51"/>
      <c r="AI146" s="52"/>
      <c r="AJ146" s="52"/>
      <c r="AK146" s="28">
        <v>1.882352941176471</v>
      </c>
      <c r="AL146" s="28">
        <v>2.3529411764705879</v>
      </c>
      <c r="AM146" s="28">
        <v>0.54117647058823526</v>
      </c>
      <c r="AN146" s="28">
        <v>0</v>
      </c>
      <c r="AO146" s="28">
        <v>0.39408866995073888</v>
      </c>
      <c r="AP146" s="28">
        <v>0.49261083743842371</v>
      </c>
      <c r="AQ146" s="28">
        <v>0.1133004926108374</v>
      </c>
      <c r="AR146" s="28">
        <v>0</v>
      </c>
      <c r="AS146" s="25">
        <v>0.82</v>
      </c>
      <c r="AT146" s="25">
        <v>3.44</v>
      </c>
      <c r="AU146" s="25">
        <v>2.62</v>
      </c>
      <c r="AV146" s="25">
        <v>2.5262941176470588</v>
      </c>
      <c r="AW146">
        <v>2.5262941176470588</v>
      </c>
      <c r="AX146">
        <v>5.7000396456470588</v>
      </c>
      <c r="AY146" s="75"/>
      <c r="AZ146" s="75"/>
      <c r="BA146" s="75"/>
      <c r="BB146">
        <v>4.5644813006734238E-2</v>
      </c>
      <c r="BF146">
        <v>9.1289626013468489E-2</v>
      </c>
      <c r="BG146">
        <v>4.5644813006734238E-2</v>
      </c>
      <c r="BH146">
        <v>0</v>
      </c>
      <c r="BI146" s="79" t="s">
        <v>1264</v>
      </c>
      <c r="BJ146" s="79">
        <f t="shared" si="17"/>
        <v>1323</v>
      </c>
      <c r="BK146" s="79">
        <v>48</v>
      </c>
      <c r="BM146" s="79" t="s">
        <v>464</v>
      </c>
      <c r="BN146" s="79" t="s">
        <v>464</v>
      </c>
      <c r="BO146" s="79">
        <v>0</v>
      </c>
      <c r="BQ146" s="79">
        <v>2</v>
      </c>
      <c r="BR146" s="79">
        <v>0</v>
      </c>
      <c r="BS146" s="79" t="s">
        <v>464</v>
      </c>
      <c r="BT146" s="79" t="s">
        <v>464</v>
      </c>
      <c r="BU146" s="79" t="s">
        <v>1266</v>
      </c>
      <c r="BV146" s="79">
        <v>1000</v>
      </c>
      <c r="BW146" s="79">
        <v>300</v>
      </c>
      <c r="BX146" s="79" t="s">
        <v>1311</v>
      </c>
      <c r="BY146" s="79">
        <v>298</v>
      </c>
      <c r="BZ146" s="81">
        <v>8.75</v>
      </c>
      <c r="CA146">
        <f t="shared" si="15"/>
        <v>2.1690537003695232</v>
      </c>
    </row>
    <row r="147" spans="1:79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I147" s="2">
        <v>2</v>
      </c>
      <c r="J147" s="25">
        <v>0</v>
      </c>
      <c r="K147">
        <v>0</v>
      </c>
      <c r="L147">
        <v>0</v>
      </c>
      <c r="M147" s="2">
        <v>3.8740000000000001</v>
      </c>
      <c r="N147" s="2">
        <v>3.8740000000000001</v>
      </c>
      <c r="O147" s="2">
        <v>32.945999999999998</v>
      </c>
      <c r="P147" s="2"/>
      <c r="Q147" s="2"/>
      <c r="R147" s="25">
        <v>0</v>
      </c>
      <c r="S147" s="25"/>
      <c r="T147" s="25"/>
      <c r="U147">
        <v>0</v>
      </c>
      <c r="X147">
        <v>0</v>
      </c>
      <c r="AA147" s="2">
        <v>3</v>
      </c>
      <c r="AB147">
        <v>20</v>
      </c>
      <c r="AC147" s="55">
        <f t="shared" si="11"/>
        <v>494.44948269600002</v>
      </c>
      <c r="AD147" s="57">
        <v>0</v>
      </c>
      <c r="AE147" s="55">
        <v>0</v>
      </c>
      <c r="AF147" s="55">
        <v>0</v>
      </c>
      <c r="AG147" s="52">
        <f t="shared" si="18"/>
        <v>8.0898052075813381E-2</v>
      </c>
      <c r="AH147" s="51"/>
      <c r="AI147" s="52"/>
      <c r="AJ147" s="52"/>
      <c r="AK147" s="28">
        <v>1.882352941176471</v>
      </c>
      <c r="AL147" s="28">
        <v>2.3529411764705879</v>
      </c>
      <c r="AM147" s="28">
        <v>0.56470588235294128</v>
      </c>
      <c r="AN147" s="28">
        <v>0</v>
      </c>
      <c r="AO147" s="28">
        <v>0.39215686274509798</v>
      </c>
      <c r="AP147" s="28">
        <v>0.49019607843137247</v>
      </c>
      <c r="AQ147" s="28">
        <v>0.1176470588235294</v>
      </c>
      <c r="AR147" s="28">
        <v>0</v>
      </c>
      <c r="AS147" s="25">
        <v>0.82</v>
      </c>
      <c r="AT147" s="25">
        <v>3.44</v>
      </c>
      <c r="AU147" s="25">
        <v>2.62</v>
      </c>
      <c r="AV147" s="25">
        <v>2.528</v>
      </c>
      <c r="AW147">
        <v>2.528</v>
      </c>
      <c r="AX147">
        <v>5.7034279969411772</v>
      </c>
      <c r="AY147" s="75"/>
      <c r="AZ147" s="75"/>
      <c r="BA147" s="75"/>
      <c r="BB147">
        <v>4.0449026037906691E-2</v>
      </c>
      <c r="BF147">
        <v>8.0898052075813381E-2</v>
      </c>
      <c r="BG147">
        <v>4.0449026037906691E-2</v>
      </c>
      <c r="BH147">
        <v>0</v>
      </c>
      <c r="BI147" s="79" t="s">
        <v>1264</v>
      </c>
      <c r="BJ147" s="79">
        <f t="shared" si="17"/>
        <v>1323</v>
      </c>
      <c r="BK147" s="79">
        <v>48</v>
      </c>
      <c r="BM147" s="79" t="s">
        <v>464</v>
      </c>
      <c r="BN147" s="79" t="s">
        <v>464</v>
      </c>
      <c r="BO147" s="79">
        <v>0</v>
      </c>
      <c r="BQ147" s="79">
        <v>2</v>
      </c>
      <c r="BR147" s="79">
        <v>0</v>
      </c>
      <c r="BS147" s="79" t="s">
        <v>464</v>
      </c>
      <c r="BT147" s="79" t="s">
        <v>464</v>
      </c>
      <c r="BU147" s="79" t="s">
        <v>1266</v>
      </c>
      <c r="BV147" s="79">
        <v>1000</v>
      </c>
      <c r="BW147" s="79">
        <v>300</v>
      </c>
      <c r="BX147" s="79" t="s">
        <v>1311</v>
      </c>
      <c r="BY147" s="79">
        <v>298</v>
      </c>
      <c r="BZ147" s="81">
        <v>1.25</v>
      </c>
      <c r="CA147">
        <f t="shared" si="15"/>
        <v>0.22314355131420976</v>
      </c>
    </row>
    <row r="148" spans="1:79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I148" s="2">
        <v>2</v>
      </c>
      <c r="J148" s="25">
        <v>0</v>
      </c>
      <c r="K148">
        <v>0</v>
      </c>
      <c r="L148">
        <v>0</v>
      </c>
      <c r="M148" s="2">
        <v>3.8759999999999999</v>
      </c>
      <c r="N148" s="2">
        <v>3.8759999999999999</v>
      </c>
      <c r="O148" s="2">
        <f>AVERAGE(O144:O147)</f>
        <v>30.143249999999998</v>
      </c>
      <c r="P148" s="2"/>
      <c r="Q148" s="2"/>
      <c r="R148" s="25">
        <v>0</v>
      </c>
      <c r="S148" s="25"/>
      <c r="T148" s="25"/>
      <c r="U148">
        <v>0</v>
      </c>
      <c r="X148">
        <v>0</v>
      </c>
      <c r="AA148" s="2">
        <v>3</v>
      </c>
      <c r="AB148">
        <v>20</v>
      </c>
      <c r="AC148" s="55">
        <f t="shared" si="11"/>
        <v>452.85337861199991</v>
      </c>
      <c r="AD148" s="57">
        <v>0</v>
      </c>
      <c r="AE148" s="55">
        <v>0</v>
      </c>
      <c r="AF148" s="55">
        <v>0</v>
      </c>
      <c r="AG148" s="52">
        <f t="shared" si="18"/>
        <v>8.8328809917683285E-2</v>
      </c>
      <c r="AH148" s="51"/>
      <c r="AI148" s="52"/>
      <c r="AJ148" s="52"/>
      <c r="AK148" s="28">
        <v>1.882352941176471</v>
      </c>
      <c r="AL148" s="28">
        <v>2.3529411764705879</v>
      </c>
      <c r="AM148" s="28">
        <v>0.58823529411764708</v>
      </c>
      <c r="AN148" s="28">
        <v>0</v>
      </c>
      <c r="AO148" s="28">
        <v>0.3902439024390244</v>
      </c>
      <c r="AP148" s="28">
        <v>0.48780487804878048</v>
      </c>
      <c r="AQ148" s="28">
        <v>0.12195121951219511</v>
      </c>
      <c r="AR148" s="28">
        <v>0</v>
      </c>
      <c r="AS148" s="25">
        <v>0.82</v>
      </c>
      <c r="AT148" s="25">
        <v>3.44</v>
      </c>
      <c r="AU148" s="25">
        <v>2.62</v>
      </c>
      <c r="AV148" s="25">
        <v>2.5297058823529408</v>
      </c>
      <c r="AW148">
        <v>2.5297058823529408</v>
      </c>
      <c r="AX148">
        <v>5.7068163482352947</v>
      </c>
      <c r="AY148" s="75"/>
      <c r="AZ148" s="75"/>
      <c r="BA148" s="75"/>
      <c r="BB148">
        <v>4.4164404958841642E-2</v>
      </c>
      <c r="BF148">
        <v>8.8328809917683285E-2</v>
      </c>
      <c r="BG148">
        <v>4.4164404958841642E-2</v>
      </c>
      <c r="BH148">
        <v>0</v>
      </c>
      <c r="BI148" s="79" t="s">
        <v>1264</v>
      </c>
      <c r="BJ148" s="79">
        <f t="shared" si="17"/>
        <v>1323</v>
      </c>
      <c r="BK148" s="79">
        <v>48</v>
      </c>
      <c r="BM148" s="79" t="s">
        <v>464</v>
      </c>
      <c r="BN148" s="79" t="s">
        <v>464</v>
      </c>
      <c r="BO148" s="79">
        <v>0</v>
      </c>
      <c r="BQ148" s="79">
        <v>2</v>
      </c>
      <c r="BR148" s="79">
        <v>0</v>
      </c>
      <c r="BS148" s="79" t="s">
        <v>464</v>
      </c>
      <c r="BT148" s="79" t="s">
        <v>464</v>
      </c>
      <c r="BU148" s="79" t="s">
        <v>1266</v>
      </c>
      <c r="BV148" s="79">
        <v>1000</v>
      </c>
      <c r="BW148" s="79">
        <v>300</v>
      </c>
      <c r="BX148" s="79" t="s">
        <v>1311</v>
      </c>
      <c r="BY148" s="79">
        <v>298</v>
      </c>
      <c r="BZ148" s="81">
        <v>0</v>
      </c>
      <c r="CA148" t="e">
        <f t="shared" si="15"/>
        <v>#NUM!</v>
      </c>
    </row>
    <row r="149" spans="1:79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I149" s="2">
        <v>2</v>
      </c>
      <c r="J149" s="25">
        <v>0</v>
      </c>
      <c r="K149">
        <v>0</v>
      </c>
      <c r="L149">
        <v>0</v>
      </c>
      <c r="M149" s="2">
        <v>3.8660000000000001</v>
      </c>
      <c r="N149" s="2">
        <v>3.8660000000000001</v>
      </c>
      <c r="O149" s="2">
        <v>29.114000000000001</v>
      </c>
      <c r="P149" s="2"/>
      <c r="Q149" s="2"/>
      <c r="R149" s="25">
        <v>0</v>
      </c>
      <c r="S149" s="25"/>
      <c r="T149" s="25"/>
      <c r="U149">
        <v>0</v>
      </c>
      <c r="X149">
        <v>0</v>
      </c>
      <c r="AA149" s="2">
        <v>3</v>
      </c>
      <c r="AB149">
        <v>20</v>
      </c>
      <c r="AC149" s="55">
        <f t="shared" si="11"/>
        <v>435.13656298400002</v>
      </c>
      <c r="AD149" s="57">
        <v>0</v>
      </c>
      <c r="AE149" s="55">
        <v>0</v>
      </c>
      <c r="AF149" s="55">
        <v>0</v>
      </c>
      <c r="AG149" s="52">
        <f t="shared" si="18"/>
        <v>9.1925164196029197E-2</v>
      </c>
      <c r="AH149" s="51"/>
      <c r="AI149" s="52"/>
      <c r="AJ149" s="52"/>
      <c r="AK149" s="28">
        <v>1.882352941176471</v>
      </c>
      <c r="AL149" s="28">
        <v>2.3529411764705879</v>
      </c>
      <c r="AM149" s="28">
        <v>0.49411764705882361</v>
      </c>
      <c r="AN149" s="28">
        <v>0.1647058823529412</v>
      </c>
      <c r="AO149" s="28">
        <v>0.38461538461538458</v>
      </c>
      <c r="AP149" s="28">
        <v>0.48076923076923073</v>
      </c>
      <c r="AQ149" s="28">
        <v>0.10096153846153851</v>
      </c>
      <c r="AR149" s="28">
        <v>3.3653846153846159E-2</v>
      </c>
      <c r="AS149" s="25">
        <v>0.82</v>
      </c>
      <c r="AT149" s="25">
        <v>3.44</v>
      </c>
      <c r="AU149" s="25">
        <v>2.62</v>
      </c>
      <c r="AV149" s="25">
        <v>2.530823529411764</v>
      </c>
      <c r="AW149">
        <v>2.5308235294117649</v>
      </c>
      <c r="AX149">
        <v>5.7003253741176483</v>
      </c>
      <c r="AY149" s="75"/>
      <c r="AZ149" s="75"/>
      <c r="BA149" s="75"/>
      <c r="BB149">
        <v>4.5962582098014598E-2</v>
      </c>
      <c r="BF149">
        <v>9.1925164196029197E-2</v>
      </c>
      <c r="BG149">
        <v>4.5962582098014598E-2</v>
      </c>
      <c r="BH149">
        <v>0</v>
      </c>
      <c r="BI149" s="79" t="s">
        <v>1264</v>
      </c>
      <c r="BJ149" s="79">
        <f t="shared" si="17"/>
        <v>1323</v>
      </c>
      <c r="BK149" s="79">
        <v>48</v>
      </c>
      <c r="BM149" s="79" t="s">
        <v>464</v>
      </c>
      <c r="BN149" s="79" t="s">
        <v>464</v>
      </c>
      <c r="BO149" s="79">
        <v>0</v>
      </c>
      <c r="BQ149" s="79">
        <v>2</v>
      </c>
      <c r="BR149" s="79">
        <v>0</v>
      </c>
      <c r="BS149" s="79" t="s">
        <v>464</v>
      </c>
      <c r="BT149" s="79" t="s">
        <v>464</v>
      </c>
      <c r="BU149" s="79" t="s">
        <v>1266</v>
      </c>
      <c r="BV149" s="79">
        <v>1000</v>
      </c>
      <c r="BW149" s="79">
        <v>300</v>
      </c>
      <c r="BX149" s="79" t="s">
        <v>1311</v>
      </c>
      <c r="BY149" s="79">
        <v>298</v>
      </c>
      <c r="BZ149" s="81">
        <v>10</v>
      </c>
      <c r="CA149">
        <f t="shared" si="15"/>
        <v>2.3025850929940459</v>
      </c>
    </row>
    <row r="150" spans="1:79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I150" s="2">
        <v>2</v>
      </c>
      <c r="J150" s="25">
        <v>0</v>
      </c>
      <c r="K150">
        <v>0</v>
      </c>
      <c r="L150">
        <v>0</v>
      </c>
      <c r="M150" s="2">
        <v>3.8570000000000002</v>
      </c>
      <c r="N150" s="2">
        <v>3.8570000000000002</v>
      </c>
      <c r="O150" s="2">
        <v>29.533999999999999</v>
      </c>
      <c r="P150" s="2"/>
      <c r="Q150" s="2"/>
      <c r="R150" s="25">
        <v>0</v>
      </c>
      <c r="S150" s="25"/>
      <c r="T150" s="25"/>
      <c r="U150">
        <v>0</v>
      </c>
      <c r="X150">
        <v>0</v>
      </c>
      <c r="AA150" s="2">
        <v>3</v>
      </c>
      <c r="AB150">
        <v>20</v>
      </c>
      <c r="AC150" s="55">
        <f t="shared" si="11"/>
        <v>439.36104476600002</v>
      </c>
      <c r="AD150" s="57">
        <v>0</v>
      </c>
      <c r="AE150" s="55">
        <v>0</v>
      </c>
      <c r="AF150" s="55">
        <v>0</v>
      </c>
      <c r="AG150" s="52">
        <f t="shared" si="18"/>
        <v>9.1041298441248156E-2</v>
      </c>
      <c r="AH150" s="51"/>
      <c r="AI150" s="52"/>
      <c r="AJ150" s="52"/>
      <c r="AK150" s="28">
        <v>1.882352941176471</v>
      </c>
      <c r="AL150" s="28">
        <v>2.3529411764705879</v>
      </c>
      <c r="AM150" s="28">
        <v>0.54117647058823526</v>
      </c>
      <c r="AN150" s="28">
        <v>0</v>
      </c>
      <c r="AO150" s="28">
        <v>0.39408866995073888</v>
      </c>
      <c r="AP150" s="28">
        <v>0.49261083743842371</v>
      </c>
      <c r="AQ150" s="28">
        <v>0.1133004926108374</v>
      </c>
      <c r="AR150" s="28">
        <v>0</v>
      </c>
      <c r="AS150" s="25">
        <v>0.82</v>
      </c>
      <c r="AT150" s="25">
        <v>3.44</v>
      </c>
      <c r="AU150" s="25">
        <v>2.62</v>
      </c>
      <c r="AV150" s="25">
        <v>2.525529411764706</v>
      </c>
      <c r="AW150">
        <v>2.525529411764706</v>
      </c>
      <c r="AX150">
        <v>5.7010120870588246</v>
      </c>
      <c r="AY150" s="75"/>
      <c r="AZ150" s="75"/>
      <c r="BA150" s="75"/>
      <c r="BB150">
        <v>4.5520649220624078E-2</v>
      </c>
      <c r="BF150">
        <v>9.1041298441248156E-2</v>
      </c>
      <c r="BG150">
        <v>4.5520649220624078E-2</v>
      </c>
      <c r="BH150">
        <v>0</v>
      </c>
      <c r="BI150" s="79" t="s">
        <v>1264</v>
      </c>
      <c r="BJ150" s="79">
        <f t="shared" si="17"/>
        <v>1323</v>
      </c>
      <c r="BK150" s="79">
        <v>48</v>
      </c>
      <c r="BM150" s="79" t="s">
        <v>464</v>
      </c>
      <c r="BN150" s="79" t="s">
        <v>464</v>
      </c>
      <c r="BO150" s="79">
        <v>0</v>
      </c>
      <c r="BQ150" s="79">
        <v>2</v>
      </c>
      <c r="BR150" s="79">
        <v>0</v>
      </c>
      <c r="BS150" s="79" t="s">
        <v>464</v>
      </c>
      <c r="BT150" s="79" t="s">
        <v>464</v>
      </c>
      <c r="BU150" s="79" t="s">
        <v>1266</v>
      </c>
      <c r="BV150" s="79">
        <v>1000</v>
      </c>
      <c r="BW150" s="79">
        <v>300</v>
      </c>
      <c r="BX150" s="79" t="s">
        <v>1311</v>
      </c>
      <c r="BY150" s="79">
        <v>298</v>
      </c>
      <c r="BZ150" s="81">
        <v>2</v>
      </c>
      <c r="CA150">
        <f t="shared" si="15"/>
        <v>0.69314718055994529</v>
      </c>
    </row>
    <row r="151" spans="1:79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I151" s="2"/>
      <c r="J151" s="25">
        <v>1</v>
      </c>
      <c r="K151">
        <v>0</v>
      </c>
      <c r="L151">
        <v>0</v>
      </c>
      <c r="M151" s="2">
        <v>3.859</v>
      </c>
      <c r="N151" s="2">
        <v>3.859</v>
      </c>
      <c r="O151" s="2">
        <v>29.047999999999998</v>
      </c>
      <c r="P151" s="2" t="s">
        <v>440</v>
      </c>
      <c r="Q151" s="2"/>
      <c r="R151" s="25">
        <v>15.28115725</v>
      </c>
      <c r="S151" s="25">
        <v>15.28115725</v>
      </c>
      <c r="T151" s="25">
        <v>15.28115725</v>
      </c>
      <c r="U151">
        <v>0</v>
      </c>
      <c r="X151">
        <v>0</v>
      </c>
      <c r="AA151" s="2">
        <v>3</v>
      </c>
      <c r="AB151">
        <v>20</v>
      </c>
      <c r="AC151" s="55">
        <f t="shared" ref="AC151:AC158" si="19">M151*N151*O151</f>
        <v>432.57935928799998</v>
      </c>
      <c r="AD151" s="57">
        <v>229.90248606119221</v>
      </c>
      <c r="AE151" s="55">
        <v>0</v>
      </c>
      <c r="AF151" s="55">
        <v>0</v>
      </c>
      <c r="AG151" s="52"/>
      <c r="AH151" s="51">
        <v>8.6993404650164072E-2</v>
      </c>
      <c r="AI151" s="52"/>
      <c r="AJ151" s="52"/>
      <c r="AK151" s="28">
        <v>1.882352941176471</v>
      </c>
      <c r="AL151" s="28">
        <v>2.3529411764705879</v>
      </c>
      <c r="AM151" s="28">
        <v>0.47058823529411759</v>
      </c>
      <c r="AN151" s="28">
        <v>0</v>
      </c>
      <c r="AO151" s="28">
        <v>0.4</v>
      </c>
      <c r="AP151" s="28">
        <v>0.5</v>
      </c>
      <c r="AQ151" s="28">
        <v>9.9999999999999992E-2</v>
      </c>
      <c r="AR151" s="28">
        <v>0</v>
      </c>
      <c r="AS151" s="25">
        <v>0.82</v>
      </c>
      <c r="AT151" s="25">
        <v>3.44</v>
      </c>
      <c r="AU151" s="25">
        <v>2.62</v>
      </c>
      <c r="AV151" s="25">
        <v>2.5211764705882351</v>
      </c>
      <c r="AW151">
        <v>2.521176470588236</v>
      </c>
      <c r="AX151">
        <v>5.6898745917647062</v>
      </c>
      <c r="AY151" s="75">
        <v>0.57369840599679445</v>
      </c>
      <c r="AZ151" s="75"/>
      <c r="BA151" s="75"/>
      <c r="BC151">
        <v>4.3496702325082043E-2</v>
      </c>
      <c r="BF151">
        <v>8.6993404650164072E-2</v>
      </c>
      <c r="BG151">
        <v>4.3496702325082043E-2</v>
      </c>
      <c r="BH151">
        <v>0.57369840599679445</v>
      </c>
      <c r="BI151" s="79" t="s">
        <v>1264</v>
      </c>
      <c r="BJ151" s="79">
        <f t="shared" si="17"/>
        <v>1323</v>
      </c>
      <c r="BK151" s="79">
        <v>48</v>
      </c>
      <c r="BM151" s="79" t="s">
        <v>464</v>
      </c>
      <c r="BN151" s="79" t="s">
        <v>464</v>
      </c>
      <c r="BO151" s="79">
        <v>0</v>
      </c>
      <c r="BQ151" s="79">
        <v>2</v>
      </c>
      <c r="BR151" s="79">
        <v>0</v>
      </c>
      <c r="BS151" s="79" t="s">
        <v>464</v>
      </c>
      <c r="BT151" s="79" t="s">
        <v>464</v>
      </c>
      <c r="BU151" s="79" t="s">
        <v>1271</v>
      </c>
      <c r="BV151" s="79">
        <v>500</v>
      </c>
      <c r="BW151" s="79">
        <v>300</v>
      </c>
      <c r="BX151" s="79" t="s">
        <v>1311</v>
      </c>
      <c r="BY151" s="79">
        <v>298</v>
      </c>
      <c r="BZ151" s="81">
        <v>0</v>
      </c>
      <c r="CA151" t="e">
        <f t="shared" si="15"/>
        <v>#NUM!</v>
      </c>
    </row>
    <row r="152" spans="1:79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I152" s="2">
        <v>2</v>
      </c>
      <c r="J152" s="25">
        <v>0</v>
      </c>
      <c r="K152">
        <v>0</v>
      </c>
      <c r="L152">
        <v>0</v>
      </c>
      <c r="M152" s="2">
        <v>3.8650000000000002</v>
      </c>
      <c r="N152" s="2">
        <v>3.8650000000000002</v>
      </c>
      <c r="O152" s="2">
        <v>29.241</v>
      </c>
      <c r="R152" s="25">
        <v>0</v>
      </c>
      <c r="S152" s="25"/>
      <c r="T152" s="25"/>
      <c r="U152">
        <v>0</v>
      </c>
      <c r="X152">
        <v>0</v>
      </c>
      <c r="AA152" s="2">
        <v>3</v>
      </c>
      <c r="AB152">
        <v>20</v>
      </c>
      <c r="AC152" s="55">
        <f t="shared" si="19"/>
        <v>436.80863722500004</v>
      </c>
      <c r="AD152" s="57">
        <v>0</v>
      </c>
      <c r="AE152" s="55">
        <v>0</v>
      </c>
      <c r="AF152" s="55">
        <v>0</v>
      </c>
      <c r="AG152" s="52">
        <f>I152*AB152/AC152</f>
        <v>9.1573280817238076E-2</v>
      </c>
      <c r="AH152" s="51"/>
      <c r="AI152" s="52"/>
      <c r="AJ152" s="52"/>
      <c r="AK152" s="28">
        <v>1.882352941176471</v>
      </c>
      <c r="AL152" s="28">
        <v>2.3529411764705879</v>
      </c>
      <c r="AM152" s="28">
        <v>0.49411764705882361</v>
      </c>
      <c r="AN152" s="28">
        <v>0</v>
      </c>
      <c r="AO152" s="28">
        <v>0.39800995024875629</v>
      </c>
      <c r="AP152" s="28">
        <v>0.4975124378109454</v>
      </c>
      <c r="AQ152" s="28">
        <v>0.1044776119402985</v>
      </c>
      <c r="AR152" s="28">
        <v>0</v>
      </c>
      <c r="AS152" s="25">
        <v>0.82</v>
      </c>
      <c r="AT152" s="25">
        <v>3.44</v>
      </c>
      <c r="AU152" s="25">
        <v>2.62</v>
      </c>
      <c r="AV152" s="25">
        <v>2.5228823529411768</v>
      </c>
      <c r="AW152">
        <v>2.5228823529411768</v>
      </c>
      <c r="AX152">
        <v>5.6932629430588237</v>
      </c>
      <c r="AY152" s="75"/>
      <c r="AZ152" s="75"/>
      <c r="BA152" s="75"/>
      <c r="BB152">
        <v>4.5786640408619038E-2</v>
      </c>
      <c r="BF152">
        <v>9.1573280817238076E-2</v>
      </c>
      <c r="BG152">
        <v>4.5786640408619038E-2</v>
      </c>
      <c r="BH152">
        <v>0</v>
      </c>
      <c r="BI152" s="79" t="s">
        <v>1264</v>
      </c>
      <c r="BJ152" s="79">
        <f t="shared" si="17"/>
        <v>1323</v>
      </c>
      <c r="BK152" s="79">
        <v>48</v>
      </c>
      <c r="BM152" s="79" t="s">
        <v>464</v>
      </c>
      <c r="BN152" s="79" t="s">
        <v>464</v>
      </c>
      <c r="BO152" s="79">
        <v>0</v>
      </c>
      <c r="BQ152" s="79">
        <v>2</v>
      </c>
      <c r="BR152" s="79">
        <v>0</v>
      </c>
      <c r="BS152" s="79" t="s">
        <v>464</v>
      </c>
      <c r="BT152" s="79" t="s">
        <v>464</v>
      </c>
      <c r="BU152" s="79" t="s">
        <v>1271</v>
      </c>
      <c r="BV152" s="79">
        <v>500</v>
      </c>
      <c r="BW152" s="79">
        <v>300</v>
      </c>
      <c r="BX152" s="79" t="s">
        <v>1311</v>
      </c>
      <c r="BY152" s="79">
        <v>298</v>
      </c>
      <c r="BZ152" s="81">
        <v>0</v>
      </c>
      <c r="CA152" t="e">
        <f t="shared" si="15"/>
        <v>#NUM!</v>
      </c>
    </row>
    <row r="153" spans="1:79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I153" s="2">
        <v>2</v>
      </c>
      <c r="J153" s="25">
        <v>0</v>
      </c>
      <c r="K153">
        <v>0</v>
      </c>
      <c r="L153">
        <v>0</v>
      </c>
      <c r="M153" s="2">
        <v>3.8660000000000001</v>
      </c>
      <c r="N153" s="2">
        <v>3.8660000000000001</v>
      </c>
      <c r="O153" s="2">
        <v>29.145</v>
      </c>
      <c r="P153" s="2"/>
      <c r="Q153" s="2"/>
      <c r="R153" s="25">
        <v>0</v>
      </c>
      <c r="S153" s="25"/>
      <c r="T153" s="25"/>
      <c r="U153">
        <v>0</v>
      </c>
      <c r="X153">
        <v>0</v>
      </c>
      <c r="AA153" s="2">
        <v>3</v>
      </c>
      <c r="AB153">
        <v>20</v>
      </c>
      <c r="AC153" s="55">
        <f t="shared" si="19"/>
        <v>435.59988762</v>
      </c>
      <c r="AD153" s="57">
        <v>0</v>
      </c>
      <c r="AE153" s="55">
        <v>0</v>
      </c>
      <c r="AF153" s="55">
        <v>0</v>
      </c>
      <c r="AG153" s="52">
        <f t="shared" ref="AG153:AG158" si="20">I153*AB153/AC153</f>
        <v>9.1827388245091582E-2</v>
      </c>
      <c r="AH153" s="51"/>
      <c r="AI153" s="52"/>
      <c r="AJ153" s="52"/>
      <c r="AK153" s="28">
        <v>1.882352941176471</v>
      </c>
      <c r="AL153" s="28">
        <v>2.3529411764705879</v>
      </c>
      <c r="AM153" s="28">
        <v>0.51764705882352946</v>
      </c>
      <c r="AN153" s="28">
        <v>0</v>
      </c>
      <c r="AO153" s="28">
        <v>0.39603960396039611</v>
      </c>
      <c r="AP153" s="28">
        <v>0.49504950495049499</v>
      </c>
      <c r="AQ153" s="28">
        <v>0.1089108910891089</v>
      </c>
      <c r="AR153" s="28">
        <v>0</v>
      </c>
      <c r="AS153" s="25">
        <v>0.82</v>
      </c>
      <c r="AT153" s="25">
        <v>3.44</v>
      </c>
      <c r="AU153" s="25">
        <v>2.62</v>
      </c>
      <c r="AV153" s="25">
        <v>2.5245882352941171</v>
      </c>
      <c r="AW153">
        <v>2.524588235294118</v>
      </c>
      <c r="AX153">
        <v>5.6966512943529413</v>
      </c>
      <c r="AY153" s="75"/>
      <c r="AZ153" s="75"/>
      <c r="BA153" s="75"/>
      <c r="BB153">
        <v>4.5913694122545791E-2</v>
      </c>
      <c r="BF153">
        <v>9.1827388245091582E-2</v>
      </c>
      <c r="BG153">
        <v>4.5913694122545791E-2</v>
      </c>
      <c r="BH153">
        <v>0</v>
      </c>
      <c r="BI153" s="79" t="s">
        <v>1264</v>
      </c>
      <c r="BJ153" s="79">
        <f t="shared" si="17"/>
        <v>1323</v>
      </c>
      <c r="BK153" s="79">
        <v>48</v>
      </c>
      <c r="BM153" s="79" t="s">
        <v>464</v>
      </c>
      <c r="BN153" s="79" t="s">
        <v>464</v>
      </c>
      <c r="BO153" s="79">
        <v>0</v>
      </c>
      <c r="BQ153" s="79">
        <v>2</v>
      </c>
      <c r="BR153" s="79">
        <v>0</v>
      </c>
      <c r="BS153" s="79" t="s">
        <v>464</v>
      </c>
      <c r="BT153" s="79" t="s">
        <v>464</v>
      </c>
      <c r="BU153" s="79" t="s">
        <v>1271</v>
      </c>
      <c r="BV153" s="79">
        <v>500</v>
      </c>
      <c r="BW153" s="79">
        <v>300</v>
      </c>
      <c r="BX153" s="79" t="s">
        <v>1311</v>
      </c>
      <c r="BY153" s="79">
        <v>298</v>
      </c>
      <c r="BZ153" s="81">
        <v>0.26250000000000001</v>
      </c>
      <c r="CA153">
        <f t="shared" si="15"/>
        <v>-1.3375041969504586</v>
      </c>
    </row>
    <row r="154" spans="1:79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I154" s="2">
        <v>2</v>
      </c>
      <c r="J154" s="25">
        <v>0</v>
      </c>
      <c r="K154">
        <v>0</v>
      </c>
      <c r="L154">
        <v>0</v>
      </c>
      <c r="M154" s="2">
        <v>3.871</v>
      </c>
      <c r="N154" s="2">
        <v>3.871</v>
      </c>
      <c r="O154" s="2">
        <v>29.241</v>
      </c>
      <c r="P154" s="2"/>
      <c r="Q154" s="2"/>
      <c r="R154" s="25">
        <v>0</v>
      </c>
      <c r="S154" s="25"/>
      <c r="T154" s="25"/>
      <c r="U154">
        <v>0</v>
      </c>
      <c r="X154">
        <v>0</v>
      </c>
      <c r="AA154" s="2">
        <v>3</v>
      </c>
      <c r="AB154">
        <v>20</v>
      </c>
      <c r="AC154" s="55">
        <f t="shared" si="19"/>
        <v>438.16588748099997</v>
      </c>
      <c r="AD154" s="57">
        <v>0</v>
      </c>
      <c r="AE154" s="55">
        <v>0</v>
      </c>
      <c r="AF154" s="55">
        <v>0</v>
      </c>
      <c r="AG154" s="52">
        <f t="shared" si="20"/>
        <v>9.1289626013468489E-2</v>
      </c>
      <c r="AH154" s="51"/>
      <c r="AI154" s="52"/>
      <c r="AJ154" s="52"/>
      <c r="AK154" s="28">
        <v>1.882352941176471</v>
      </c>
      <c r="AL154" s="28">
        <v>2.3529411764705879</v>
      </c>
      <c r="AM154" s="28">
        <v>0.54117647058823526</v>
      </c>
      <c r="AN154" s="28">
        <v>0</v>
      </c>
      <c r="AO154" s="28">
        <v>0.39408866995073888</v>
      </c>
      <c r="AP154" s="28">
        <v>0.49261083743842371</v>
      </c>
      <c r="AQ154" s="28">
        <v>0.1133004926108374</v>
      </c>
      <c r="AR154" s="28">
        <v>0</v>
      </c>
      <c r="AS154" s="25">
        <v>0.82</v>
      </c>
      <c r="AT154" s="25">
        <v>3.44</v>
      </c>
      <c r="AU154" s="25">
        <v>2.62</v>
      </c>
      <c r="AV154" s="25">
        <v>2.5262941176470588</v>
      </c>
      <c r="AW154">
        <v>2.5262941176470588</v>
      </c>
      <c r="AX154">
        <v>5.7000396456470588</v>
      </c>
      <c r="AY154" s="75"/>
      <c r="AZ154" s="75"/>
      <c r="BA154" s="75"/>
      <c r="BB154">
        <v>4.5644813006734238E-2</v>
      </c>
      <c r="BF154">
        <v>9.1289626013468489E-2</v>
      </c>
      <c r="BG154">
        <v>4.5644813006734238E-2</v>
      </c>
      <c r="BH154">
        <v>0</v>
      </c>
      <c r="BI154" s="79" t="s">
        <v>1264</v>
      </c>
      <c r="BJ154" s="79">
        <f t="shared" si="17"/>
        <v>1323</v>
      </c>
      <c r="BK154" s="79">
        <v>48</v>
      </c>
      <c r="BM154" s="79" t="s">
        <v>464</v>
      </c>
      <c r="BN154" s="79" t="s">
        <v>464</v>
      </c>
      <c r="BO154" s="79">
        <v>0</v>
      </c>
      <c r="BQ154" s="79">
        <v>2</v>
      </c>
      <c r="BR154" s="79">
        <v>0</v>
      </c>
      <c r="BS154" s="79" t="s">
        <v>464</v>
      </c>
      <c r="BT154" s="79" t="s">
        <v>464</v>
      </c>
      <c r="BU154" s="79" t="s">
        <v>1271</v>
      </c>
      <c r="BV154" s="79">
        <v>500</v>
      </c>
      <c r="BW154" s="79">
        <v>300</v>
      </c>
      <c r="BX154" s="79" t="s">
        <v>1311</v>
      </c>
      <c r="BY154" s="79">
        <v>298</v>
      </c>
      <c r="BZ154" s="81">
        <v>9.375E-2</v>
      </c>
      <c r="CA154">
        <f t="shared" si="15"/>
        <v>-2.367123614131617</v>
      </c>
    </row>
    <row r="155" spans="1:79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I155" s="2">
        <v>2</v>
      </c>
      <c r="J155" s="25">
        <v>0</v>
      </c>
      <c r="K155">
        <v>0</v>
      </c>
      <c r="L155">
        <v>0</v>
      </c>
      <c r="M155" s="2">
        <v>3.8740000000000001</v>
      </c>
      <c r="N155" s="2">
        <v>3.8740000000000001</v>
      </c>
      <c r="O155" s="2">
        <v>32.945999999999998</v>
      </c>
      <c r="P155" s="2"/>
      <c r="Q155" s="2"/>
      <c r="R155" s="25">
        <v>0</v>
      </c>
      <c r="S155" s="25"/>
      <c r="T155" s="25"/>
      <c r="U155">
        <v>0</v>
      </c>
      <c r="X155">
        <v>0</v>
      </c>
      <c r="AA155" s="2">
        <v>3</v>
      </c>
      <c r="AB155">
        <v>20</v>
      </c>
      <c r="AC155" s="55">
        <f t="shared" si="19"/>
        <v>494.44948269600002</v>
      </c>
      <c r="AD155" s="57">
        <v>0</v>
      </c>
      <c r="AE155" s="55">
        <v>0</v>
      </c>
      <c r="AF155" s="55">
        <v>0</v>
      </c>
      <c r="AG155" s="52">
        <f t="shared" si="20"/>
        <v>8.0898052075813381E-2</v>
      </c>
      <c r="AH155" s="51"/>
      <c r="AI155" s="52"/>
      <c r="AJ155" s="52"/>
      <c r="AK155" s="28">
        <v>1.882352941176471</v>
      </c>
      <c r="AL155" s="28">
        <v>2.3529411764705879</v>
      </c>
      <c r="AM155" s="28">
        <v>0.56470588235294128</v>
      </c>
      <c r="AN155" s="28">
        <v>0</v>
      </c>
      <c r="AO155" s="28">
        <v>0.39215686274509798</v>
      </c>
      <c r="AP155" s="28">
        <v>0.49019607843137247</v>
      </c>
      <c r="AQ155" s="28">
        <v>0.1176470588235294</v>
      </c>
      <c r="AR155" s="28">
        <v>0</v>
      </c>
      <c r="AS155" s="25">
        <v>0.82</v>
      </c>
      <c r="AT155" s="25">
        <v>3.44</v>
      </c>
      <c r="AU155" s="25">
        <v>2.62</v>
      </c>
      <c r="AV155" s="25">
        <v>2.528</v>
      </c>
      <c r="AW155">
        <v>2.528</v>
      </c>
      <c r="AX155">
        <v>5.7034279969411772</v>
      </c>
      <c r="AY155" s="75"/>
      <c r="AZ155" s="75"/>
      <c r="BA155" s="75"/>
      <c r="BB155">
        <v>4.0449026037906691E-2</v>
      </c>
      <c r="BF155">
        <v>8.0898052075813381E-2</v>
      </c>
      <c r="BG155">
        <v>4.0449026037906691E-2</v>
      </c>
      <c r="BH155">
        <v>0</v>
      </c>
      <c r="BI155" s="79" t="s">
        <v>1264</v>
      </c>
      <c r="BJ155" s="79">
        <f t="shared" si="17"/>
        <v>1323</v>
      </c>
      <c r="BK155" s="79">
        <v>48</v>
      </c>
      <c r="BM155" s="79" t="s">
        <v>464</v>
      </c>
      <c r="BN155" s="79" t="s">
        <v>464</v>
      </c>
      <c r="BO155" s="79">
        <v>0</v>
      </c>
      <c r="BQ155" s="79">
        <v>2</v>
      </c>
      <c r="BR155" s="79">
        <v>0</v>
      </c>
      <c r="BS155" s="79" t="s">
        <v>464</v>
      </c>
      <c r="BT155" s="79" t="s">
        <v>464</v>
      </c>
      <c r="BU155" s="79" t="s">
        <v>1271</v>
      </c>
      <c r="BV155" s="79">
        <v>500</v>
      </c>
      <c r="BW155" s="79">
        <v>300</v>
      </c>
      <c r="BX155" s="79" t="s">
        <v>1311</v>
      </c>
      <c r="BY155" s="79">
        <v>298</v>
      </c>
      <c r="BZ155" s="81">
        <v>0</v>
      </c>
      <c r="CA155" t="e">
        <f t="shared" si="15"/>
        <v>#NUM!</v>
      </c>
    </row>
    <row r="156" spans="1:79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I156" s="2">
        <v>2</v>
      </c>
      <c r="J156" s="25">
        <v>0</v>
      </c>
      <c r="K156">
        <v>0</v>
      </c>
      <c r="L156">
        <v>0</v>
      </c>
      <c r="M156" s="2">
        <v>3.8759999999999999</v>
      </c>
      <c r="N156" s="2">
        <v>3.8759999999999999</v>
      </c>
      <c r="O156" s="2">
        <f>AVERAGE(O152:O155)</f>
        <v>30.143249999999998</v>
      </c>
      <c r="P156" s="2"/>
      <c r="Q156" s="2"/>
      <c r="R156" s="25">
        <v>0</v>
      </c>
      <c r="S156" s="25"/>
      <c r="T156" s="25"/>
      <c r="U156">
        <v>0</v>
      </c>
      <c r="X156">
        <v>0</v>
      </c>
      <c r="AA156" s="2">
        <v>3</v>
      </c>
      <c r="AB156">
        <v>20</v>
      </c>
      <c r="AC156" s="55">
        <f t="shared" si="19"/>
        <v>452.85337861199991</v>
      </c>
      <c r="AD156" s="57">
        <v>0</v>
      </c>
      <c r="AE156" s="55">
        <v>0</v>
      </c>
      <c r="AF156" s="55">
        <v>0</v>
      </c>
      <c r="AG156" s="52">
        <f t="shared" si="20"/>
        <v>8.8328809917683285E-2</v>
      </c>
      <c r="AH156" s="51"/>
      <c r="AI156" s="52"/>
      <c r="AJ156" s="52"/>
      <c r="AK156" s="28">
        <v>1.882352941176471</v>
      </c>
      <c r="AL156" s="28">
        <v>2.3529411764705879</v>
      </c>
      <c r="AM156" s="28">
        <v>0.58823529411764708</v>
      </c>
      <c r="AN156" s="28">
        <v>0</v>
      </c>
      <c r="AO156" s="28">
        <v>0.3902439024390244</v>
      </c>
      <c r="AP156" s="28">
        <v>0.48780487804878048</v>
      </c>
      <c r="AQ156" s="28">
        <v>0.12195121951219511</v>
      </c>
      <c r="AR156" s="28">
        <v>0</v>
      </c>
      <c r="AS156" s="25">
        <v>0.82</v>
      </c>
      <c r="AT156" s="25">
        <v>3.44</v>
      </c>
      <c r="AU156" s="25">
        <v>2.62</v>
      </c>
      <c r="AV156" s="25">
        <v>2.5297058823529408</v>
      </c>
      <c r="AW156">
        <v>2.5297058823529408</v>
      </c>
      <c r="AX156">
        <v>5.7068163482352947</v>
      </c>
      <c r="AY156" s="75"/>
      <c r="AZ156" s="75"/>
      <c r="BA156" s="75"/>
      <c r="BB156">
        <v>4.4164404958841642E-2</v>
      </c>
      <c r="BF156">
        <v>8.8328809917683285E-2</v>
      </c>
      <c r="BG156">
        <v>4.4164404958841642E-2</v>
      </c>
      <c r="BH156">
        <v>0</v>
      </c>
      <c r="BI156" s="79" t="s">
        <v>1264</v>
      </c>
      <c r="BJ156" s="79">
        <f t="shared" si="17"/>
        <v>1323</v>
      </c>
      <c r="BK156" s="79">
        <v>48</v>
      </c>
      <c r="BM156" s="79" t="s">
        <v>464</v>
      </c>
      <c r="BN156" s="79" t="s">
        <v>464</v>
      </c>
      <c r="BO156" s="79">
        <v>0</v>
      </c>
      <c r="BQ156" s="79">
        <v>2</v>
      </c>
      <c r="BR156" s="79">
        <v>0</v>
      </c>
      <c r="BS156" s="79" t="s">
        <v>464</v>
      </c>
      <c r="BT156" s="79" t="s">
        <v>464</v>
      </c>
      <c r="BU156" s="79" t="s">
        <v>1271</v>
      </c>
      <c r="BV156" s="79">
        <v>500</v>
      </c>
      <c r="BW156" s="79">
        <v>300</v>
      </c>
      <c r="BX156" s="79" t="s">
        <v>1311</v>
      </c>
      <c r="BY156" s="79">
        <v>298</v>
      </c>
      <c r="BZ156" s="81">
        <v>0</v>
      </c>
      <c r="CA156" t="e">
        <f t="shared" si="15"/>
        <v>#NUM!</v>
      </c>
    </row>
    <row r="157" spans="1:79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I157" s="2">
        <v>2</v>
      </c>
      <c r="J157" s="25">
        <v>0</v>
      </c>
      <c r="K157">
        <v>0</v>
      </c>
      <c r="L157">
        <v>0</v>
      </c>
      <c r="M157" s="2">
        <v>3.8660000000000001</v>
      </c>
      <c r="N157" s="2">
        <v>3.8660000000000001</v>
      </c>
      <c r="O157" s="2">
        <v>29.114000000000001</v>
      </c>
      <c r="P157" s="2"/>
      <c r="Q157" s="2"/>
      <c r="R157" s="25">
        <v>0</v>
      </c>
      <c r="S157" s="25"/>
      <c r="T157" s="25"/>
      <c r="U157">
        <v>0</v>
      </c>
      <c r="X157">
        <v>0</v>
      </c>
      <c r="AA157" s="2">
        <v>3</v>
      </c>
      <c r="AB157">
        <v>20</v>
      </c>
      <c r="AC157" s="55">
        <f t="shared" si="19"/>
        <v>435.13656298400002</v>
      </c>
      <c r="AD157" s="57">
        <v>0</v>
      </c>
      <c r="AE157" s="55">
        <v>0</v>
      </c>
      <c r="AF157" s="55">
        <v>0</v>
      </c>
      <c r="AG157" s="52">
        <f t="shared" si="20"/>
        <v>9.1925164196029197E-2</v>
      </c>
      <c r="AH157" s="51"/>
      <c r="AI157" s="52"/>
      <c r="AJ157" s="52"/>
      <c r="AK157" s="28">
        <v>1.882352941176471</v>
      </c>
      <c r="AL157" s="28">
        <v>2.3529411764705879</v>
      </c>
      <c r="AM157" s="28">
        <v>0.49411764705882361</v>
      </c>
      <c r="AN157" s="28">
        <v>0.1647058823529412</v>
      </c>
      <c r="AO157" s="28">
        <v>0.38461538461538458</v>
      </c>
      <c r="AP157" s="28">
        <v>0.48076923076923073</v>
      </c>
      <c r="AQ157" s="28">
        <v>0.10096153846153851</v>
      </c>
      <c r="AR157" s="28">
        <v>3.3653846153846159E-2</v>
      </c>
      <c r="AS157" s="25">
        <v>0.82</v>
      </c>
      <c r="AT157" s="25">
        <v>3.44</v>
      </c>
      <c r="AU157" s="25">
        <v>2.62</v>
      </c>
      <c r="AV157" s="25">
        <v>2.530823529411764</v>
      </c>
      <c r="AW157">
        <v>2.5308235294117649</v>
      </c>
      <c r="AX157">
        <v>5.7003253741176483</v>
      </c>
      <c r="AY157" s="75"/>
      <c r="AZ157" s="75"/>
      <c r="BA157" s="75"/>
      <c r="BB157">
        <v>4.5962582098014598E-2</v>
      </c>
      <c r="BF157">
        <v>9.1925164196029197E-2</v>
      </c>
      <c r="BG157">
        <v>4.5962582098014598E-2</v>
      </c>
      <c r="BH157">
        <v>0</v>
      </c>
      <c r="BI157" s="79" t="s">
        <v>1264</v>
      </c>
      <c r="BJ157" s="79">
        <f t="shared" si="17"/>
        <v>1323</v>
      </c>
      <c r="BK157" s="79">
        <v>48</v>
      </c>
      <c r="BM157" s="79" t="s">
        <v>464</v>
      </c>
      <c r="BN157" s="79" t="s">
        <v>464</v>
      </c>
      <c r="BO157" s="79">
        <v>0</v>
      </c>
      <c r="BQ157" s="79">
        <v>2</v>
      </c>
      <c r="BR157" s="79">
        <v>0</v>
      </c>
      <c r="BS157" s="79" t="s">
        <v>464</v>
      </c>
      <c r="BT157" s="79" t="s">
        <v>464</v>
      </c>
      <c r="BU157" s="79" t="s">
        <v>1271</v>
      </c>
      <c r="BV157" s="79">
        <v>500</v>
      </c>
      <c r="BW157" s="79">
        <v>300</v>
      </c>
      <c r="BX157" s="79" t="s">
        <v>1311</v>
      </c>
      <c r="BY157" s="79">
        <v>298</v>
      </c>
      <c r="BZ157" s="81">
        <v>6.25E-2</v>
      </c>
      <c r="CA157">
        <f t="shared" si="15"/>
        <v>-2.7725887222397811</v>
      </c>
    </row>
    <row r="158" spans="1:79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I158" s="2">
        <v>2</v>
      </c>
      <c r="J158" s="25">
        <v>0</v>
      </c>
      <c r="K158">
        <v>0</v>
      </c>
      <c r="L158">
        <v>0</v>
      </c>
      <c r="M158" s="2">
        <v>3.8570000000000002</v>
      </c>
      <c r="N158" s="2">
        <v>3.8570000000000002</v>
      </c>
      <c r="O158" s="2">
        <v>29.533999999999999</v>
      </c>
      <c r="P158" s="2"/>
      <c r="Q158" s="2"/>
      <c r="R158" s="25">
        <v>0</v>
      </c>
      <c r="S158" s="25"/>
      <c r="T158" s="25"/>
      <c r="U158">
        <v>0</v>
      </c>
      <c r="X158">
        <v>0</v>
      </c>
      <c r="AA158" s="2">
        <v>3</v>
      </c>
      <c r="AB158">
        <v>20</v>
      </c>
      <c r="AC158" s="55">
        <f t="shared" si="19"/>
        <v>439.36104476600002</v>
      </c>
      <c r="AD158" s="57">
        <v>0</v>
      </c>
      <c r="AE158" s="55">
        <v>0</v>
      </c>
      <c r="AF158" s="55">
        <v>0</v>
      </c>
      <c r="AG158" s="52">
        <f t="shared" si="20"/>
        <v>9.1041298441248156E-2</v>
      </c>
      <c r="AH158" s="51"/>
      <c r="AI158" s="52"/>
      <c r="AJ158" s="52"/>
      <c r="AK158" s="28">
        <v>1.882352941176471</v>
      </c>
      <c r="AL158" s="28">
        <v>2.3529411764705879</v>
      </c>
      <c r="AM158" s="28">
        <v>0.54117647058823526</v>
      </c>
      <c r="AN158" s="28">
        <v>0</v>
      </c>
      <c r="AO158" s="28">
        <v>0.39408866995073888</v>
      </c>
      <c r="AP158" s="28">
        <v>0.49261083743842371</v>
      </c>
      <c r="AQ158" s="28">
        <v>0.1133004926108374</v>
      </c>
      <c r="AR158" s="28">
        <v>0</v>
      </c>
      <c r="AS158" s="25">
        <v>0.82</v>
      </c>
      <c r="AT158" s="25">
        <v>3.44</v>
      </c>
      <c r="AU158" s="25">
        <v>2.62</v>
      </c>
      <c r="AV158" s="25">
        <v>2.525529411764706</v>
      </c>
      <c r="AW158">
        <v>2.525529411764706</v>
      </c>
      <c r="AX158">
        <v>5.7010120870588246</v>
      </c>
      <c r="AY158" s="75"/>
      <c r="AZ158" s="75"/>
      <c r="BA158" s="75"/>
      <c r="BB158">
        <v>4.5520649220624078E-2</v>
      </c>
      <c r="BF158">
        <v>9.1041298441248156E-2</v>
      </c>
      <c r="BG158">
        <v>4.5520649220624078E-2</v>
      </c>
      <c r="BH158">
        <v>0</v>
      </c>
      <c r="BI158" s="79" t="s">
        <v>1264</v>
      </c>
      <c r="BJ158" s="79">
        <f t="shared" si="17"/>
        <v>1323</v>
      </c>
      <c r="BK158" s="79">
        <v>48</v>
      </c>
      <c r="BM158" s="79" t="s">
        <v>464</v>
      </c>
      <c r="BN158" s="79" t="s">
        <v>464</v>
      </c>
      <c r="BO158" s="79">
        <v>0</v>
      </c>
      <c r="BQ158" s="79">
        <v>2</v>
      </c>
      <c r="BR158" s="79">
        <v>0</v>
      </c>
      <c r="BS158" s="79" t="s">
        <v>464</v>
      </c>
      <c r="BT158" s="79" t="s">
        <v>464</v>
      </c>
      <c r="BU158" s="79" t="s">
        <v>1271</v>
      </c>
      <c r="BV158" s="79">
        <v>500</v>
      </c>
      <c r="BW158" s="79">
        <v>300</v>
      </c>
      <c r="BX158" s="79" t="s">
        <v>1311</v>
      </c>
      <c r="BY158" s="79">
        <v>298</v>
      </c>
      <c r="BZ158" s="81">
        <v>1.2500000000000001E-2</v>
      </c>
      <c r="CA158">
        <f t="shared" si="15"/>
        <v>-4.3820266346738812</v>
      </c>
    </row>
    <row r="159" spans="1:79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>
        <v>-1</v>
      </c>
      <c r="G159">
        <v>-1</v>
      </c>
      <c r="H159" t="s">
        <v>1162</v>
      </c>
      <c r="I159" s="2"/>
      <c r="J159" s="25">
        <v>0</v>
      </c>
      <c r="K159">
        <v>0</v>
      </c>
      <c r="L159">
        <v>2</v>
      </c>
      <c r="M159" s="2">
        <v>3.9037999999999999</v>
      </c>
      <c r="N159" s="2">
        <v>3.9037999999999999</v>
      </c>
      <c r="O159" s="2">
        <v>9.7742000000000004</v>
      </c>
      <c r="P159" s="2" t="s">
        <v>439</v>
      </c>
      <c r="Q159" s="2"/>
      <c r="R159" s="25">
        <v>0</v>
      </c>
      <c r="S159" s="25"/>
      <c r="T159" s="25"/>
      <c r="U159">
        <v>0</v>
      </c>
      <c r="X159">
        <v>3.93</v>
      </c>
      <c r="Y159">
        <v>3.93</v>
      </c>
      <c r="Z159">
        <v>18.515000000000001</v>
      </c>
      <c r="AA159" s="2">
        <v>3</v>
      </c>
      <c r="AB159">
        <v>14</v>
      </c>
      <c r="AC159" s="55">
        <f t="shared" si="11"/>
        <v>148.95543042744799</v>
      </c>
      <c r="AD159" s="57">
        <v>0</v>
      </c>
      <c r="AE159" s="55">
        <v>0</v>
      </c>
      <c r="AF159" s="55">
        <v>285.96232350000002</v>
      </c>
      <c r="AG159" s="52"/>
      <c r="AH159" s="51"/>
      <c r="AI159" s="52"/>
      <c r="AJ159" s="52">
        <v>9.7914996833490184E-2</v>
      </c>
      <c r="AK159" s="28">
        <v>1.833333333333333</v>
      </c>
      <c r="AL159" s="28">
        <v>2.333333333333333</v>
      </c>
      <c r="AM159" s="28">
        <v>0.5</v>
      </c>
      <c r="AN159" s="28">
        <v>2.333333333333333</v>
      </c>
      <c r="AO159" s="28">
        <v>0.26190476190476192</v>
      </c>
      <c r="AP159" s="28">
        <v>0.33333333333333343</v>
      </c>
      <c r="AQ159" s="28">
        <v>7.1428571428571425E-2</v>
      </c>
      <c r="AR159" s="28">
        <v>0.33333333333333343</v>
      </c>
      <c r="AS159" s="25">
        <v>0.95</v>
      </c>
      <c r="AT159" s="25">
        <v>3.44</v>
      </c>
      <c r="AU159" s="25">
        <v>2.4900000000000002</v>
      </c>
      <c r="AV159" s="25">
        <v>2.7024999999999988</v>
      </c>
      <c r="AW159">
        <v>2.7025000000000001</v>
      </c>
      <c r="AX159">
        <v>6.4896876145585001</v>
      </c>
      <c r="AY159" s="75"/>
      <c r="AZ159" s="75"/>
      <c r="BA159" s="75">
        <v>0.392702013826212</v>
      </c>
      <c r="BE159">
        <v>4.8957498416745092E-2</v>
      </c>
      <c r="BF159">
        <v>9.7914996833490184E-2</v>
      </c>
      <c r="BG159">
        <v>4.8957498416745092E-2</v>
      </c>
      <c r="BH159">
        <v>0.392702013826212</v>
      </c>
      <c r="BI159" s="79" t="s">
        <v>1264</v>
      </c>
      <c r="BJ159" s="79">
        <v>1173</v>
      </c>
      <c r="BK159" s="79">
        <v>24</v>
      </c>
      <c r="BM159" s="79" t="s">
        <v>464</v>
      </c>
      <c r="BN159" s="79" t="s">
        <v>464</v>
      </c>
      <c r="BO159" s="79">
        <v>0</v>
      </c>
      <c r="BP159" s="79">
        <v>4</v>
      </c>
      <c r="BQ159" s="79">
        <v>2.5</v>
      </c>
      <c r="BR159" s="79">
        <v>0</v>
      </c>
      <c r="BS159" s="79" t="s">
        <v>464</v>
      </c>
      <c r="BT159" s="79" t="s">
        <v>464</v>
      </c>
      <c r="BU159" s="79" t="s">
        <v>1266</v>
      </c>
      <c r="BV159" s="79">
        <v>400</v>
      </c>
      <c r="BX159" s="79" t="s">
        <v>1287</v>
      </c>
      <c r="BZ159" s="81">
        <f>2*385</f>
        <v>770</v>
      </c>
      <c r="CA159">
        <f t="shared" si="15"/>
        <v>6.6463905148477291</v>
      </c>
    </row>
    <row r="160" spans="1:79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I160" s="2"/>
      <c r="J160" s="25">
        <v>1</v>
      </c>
      <c r="K160">
        <v>2</v>
      </c>
      <c r="L160">
        <v>0</v>
      </c>
      <c r="M160" s="1">
        <v>3.847</v>
      </c>
      <c r="N160" s="1">
        <v>3.847</v>
      </c>
      <c r="O160" s="1">
        <v>18.109400000000001</v>
      </c>
      <c r="P160" s="1" t="s">
        <v>440</v>
      </c>
      <c r="Q160" s="1"/>
      <c r="R160" s="25">
        <v>3.9407006600000001</v>
      </c>
      <c r="S160" s="25">
        <v>3.94070016</v>
      </c>
      <c r="T160" s="25">
        <v>9.4498532300000004</v>
      </c>
      <c r="U160">
        <v>3.9499</v>
      </c>
      <c r="V160">
        <v>3.9499</v>
      </c>
      <c r="W160">
        <v>18.2</v>
      </c>
      <c r="X160">
        <v>0</v>
      </c>
      <c r="AA160" s="2">
        <v>3</v>
      </c>
      <c r="AB160">
        <v>14</v>
      </c>
      <c r="AC160" s="55">
        <f t="shared" si="11"/>
        <v>268.00841734459999</v>
      </c>
      <c r="AD160" s="57">
        <v>140.22301532111419</v>
      </c>
      <c r="AE160" s="55">
        <v>283.95112218200001</v>
      </c>
      <c r="AF160" s="55">
        <v>0</v>
      </c>
      <c r="AG160" s="52"/>
      <c r="AH160" s="51">
        <v>9.984095669273442E-2</v>
      </c>
      <c r="AI160" s="52">
        <v>9.8608520314468942E-2</v>
      </c>
      <c r="AJ160" s="52"/>
      <c r="AK160" s="28">
        <v>1.833333333333333</v>
      </c>
      <c r="AL160" s="28">
        <v>2.333333333333333</v>
      </c>
      <c r="AM160" s="28">
        <v>0.5</v>
      </c>
      <c r="AN160" s="28">
        <v>2.333333333333333</v>
      </c>
      <c r="AO160" s="28">
        <v>0.26190476190476192</v>
      </c>
      <c r="AP160" s="28">
        <v>0.33333333333333343</v>
      </c>
      <c r="AQ160" s="28">
        <v>7.1428571428571425E-2</v>
      </c>
      <c r="AR160" s="28">
        <v>0.33333333333333343</v>
      </c>
      <c r="AS160" s="25">
        <v>0.95</v>
      </c>
      <c r="AT160" s="25">
        <v>3.44</v>
      </c>
      <c r="AU160" s="25">
        <v>2.4900000000000002</v>
      </c>
      <c r="AV160" s="25">
        <v>2.499166666666667</v>
      </c>
      <c r="AW160">
        <v>2.499166666666667</v>
      </c>
      <c r="AX160">
        <v>5.7944152492500001</v>
      </c>
      <c r="AY160" s="75">
        <v>0.55890272128424257</v>
      </c>
      <c r="AZ160" s="75">
        <v>0.55200362828233795</v>
      </c>
      <c r="BA160" s="75"/>
      <c r="BC160">
        <v>4.9920478346367217E-2</v>
      </c>
      <c r="BD160">
        <v>4.9304260157234471E-2</v>
      </c>
      <c r="BF160">
        <v>9.9224738503601681E-2</v>
      </c>
      <c r="BG160">
        <v>4.9612369251800847E-2</v>
      </c>
      <c r="BH160">
        <v>0.55545317478329026</v>
      </c>
      <c r="BI160" s="79" t="s">
        <v>1264</v>
      </c>
      <c r="BJ160" s="79">
        <v>1523</v>
      </c>
      <c r="BK160" s="79">
        <v>24</v>
      </c>
      <c r="BM160" s="79" t="s">
        <v>464</v>
      </c>
      <c r="BN160" s="79" t="s">
        <v>464</v>
      </c>
      <c r="BO160" s="79">
        <v>0</v>
      </c>
      <c r="BP160" s="79">
        <v>0.2</v>
      </c>
      <c r="BQ160" s="79">
        <v>2.5</v>
      </c>
      <c r="BR160" s="79">
        <v>0</v>
      </c>
      <c r="BS160" s="79" t="s">
        <v>464</v>
      </c>
      <c r="BT160" s="79" t="s">
        <v>464</v>
      </c>
      <c r="BU160" s="79" t="s">
        <v>1266</v>
      </c>
      <c r="BV160" s="79">
        <v>400</v>
      </c>
      <c r="BX160" s="79" t="s">
        <v>1287</v>
      </c>
      <c r="BZ160" s="81">
        <f>14.9*2</f>
        <v>29.8</v>
      </c>
      <c r="CA160">
        <f t="shared" si="15"/>
        <v>3.3945083935113587</v>
      </c>
    </row>
    <row r="161" spans="1:79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82" t="s">
        <v>1313</v>
      </c>
      <c r="G161">
        <v>-1</v>
      </c>
      <c r="I161" s="2">
        <v>1</v>
      </c>
      <c r="J161" s="25">
        <v>0</v>
      </c>
      <c r="K161">
        <v>0</v>
      </c>
      <c r="L161">
        <v>0</v>
      </c>
      <c r="M161" s="2">
        <v>3.9973999999999998</v>
      </c>
      <c r="N161" s="2">
        <v>3.9973999999999998</v>
      </c>
      <c r="O161" s="2">
        <v>12.132999999999999</v>
      </c>
      <c r="P161" s="2" t="s">
        <v>439</v>
      </c>
      <c r="Q161" s="2"/>
      <c r="R161" s="25">
        <v>0</v>
      </c>
      <c r="S161" s="25"/>
      <c r="T161" s="25"/>
      <c r="U161">
        <v>0</v>
      </c>
      <c r="X161">
        <v>0</v>
      </c>
      <c r="AA161" s="2">
        <v>3</v>
      </c>
      <c r="AB161">
        <v>14</v>
      </c>
      <c r="AC161" s="55">
        <f t="shared" si="11"/>
        <v>193.87571561907995</v>
      </c>
      <c r="AD161" s="57">
        <v>0</v>
      </c>
      <c r="AE161" s="55">
        <v>0</v>
      </c>
      <c r="AF161" s="55">
        <v>0</v>
      </c>
      <c r="AG161" s="52">
        <f t="shared" ref="AG161:AG168" si="21">I161*AB161/AC161</f>
        <v>7.2211209925366296E-2</v>
      </c>
      <c r="AH161" s="51"/>
      <c r="AI161" s="52"/>
      <c r="AJ161" s="52"/>
      <c r="AK161" s="28">
        <v>1.833333333333333</v>
      </c>
      <c r="AL161" s="28">
        <v>2.333333333333333</v>
      </c>
      <c r="AM161" s="28">
        <v>0.5</v>
      </c>
      <c r="AN161" s="28">
        <v>2.333333333333333</v>
      </c>
      <c r="AO161" s="28">
        <v>0.26190476190476192</v>
      </c>
      <c r="AP161" s="28">
        <v>0.33333333333333343</v>
      </c>
      <c r="AQ161" s="28">
        <v>7.1428571428571425E-2</v>
      </c>
      <c r="AR161" s="28">
        <v>0.33333333333333343</v>
      </c>
      <c r="AS161" s="25">
        <v>0.82</v>
      </c>
      <c r="AT161" s="25">
        <v>3.44</v>
      </c>
      <c r="AU161" s="25">
        <v>2.62</v>
      </c>
      <c r="AV161" s="25">
        <v>2.4725000000000001</v>
      </c>
      <c r="AW161">
        <v>2.4725000000000001</v>
      </c>
      <c r="AX161">
        <v>5.697111802916667</v>
      </c>
      <c r="AY161" s="75"/>
      <c r="AZ161" s="75"/>
      <c r="BA161" s="75"/>
      <c r="BB161">
        <v>3.6105604962683148E-2</v>
      </c>
      <c r="BF161">
        <v>7.2211209925366296E-2</v>
      </c>
      <c r="BG161">
        <v>3.6105604962683148E-2</v>
      </c>
      <c r="BH161">
        <v>0</v>
      </c>
      <c r="BI161" s="79" t="s">
        <v>1264</v>
      </c>
      <c r="BJ161" s="79">
        <v>1173</v>
      </c>
      <c r="BK161" s="79">
        <v>24</v>
      </c>
      <c r="BM161" s="79" t="s">
        <v>464</v>
      </c>
      <c r="BN161" s="79" t="s">
        <v>464</v>
      </c>
      <c r="BO161" s="79">
        <v>0</v>
      </c>
      <c r="BP161" s="79">
        <v>1.1000000000000001</v>
      </c>
      <c r="BQ161" s="79">
        <v>2.5</v>
      </c>
      <c r="BR161" s="79">
        <v>0</v>
      </c>
      <c r="BS161" s="79" t="s">
        <v>464</v>
      </c>
      <c r="BT161" s="79" t="s">
        <v>464</v>
      </c>
      <c r="BU161" s="79" t="s">
        <v>1266</v>
      </c>
      <c r="BV161" s="79">
        <v>400</v>
      </c>
      <c r="BX161" s="79" t="s">
        <v>1287</v>
      </c>
      <c r="BZ161" s="81">
        <f>374*2</f>
        <v>748</v>
      </c>
      <c r="CA161">
        <f t="shared" si="15"/>
        <v>6.6174029779744776</v>
      </c>
    </row>
    <row r="162" spans="1:79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83" t="s">
        <v>1313</v>
      </c>
      <c r="G162">
        <v>-1</v>
      </c>
      <c r="I162" s="2">
        <v>1</v>
      </c>
      <c r="J162" s="25">
        <v>0</v>
      </c>
      <c r="K162">
        <v>0</v>
      </c>
      <c r="L162">
        <v>0</v>
      </c>
      <c r="M162" s="2">
        <v>3.9727000000000001</v>
      </c>
      <c r="N162" s="2">
        <v>3.9727000000000001</v>
      </c>
      <c r="O162" s="2">
        <v>12.763199999999999</v>
      </c>
      <c r="P162" s="2" t="s">
        <v>439</v>
      </c>
      <c r="Q162" s="2"/>
      <c r="R162" s="25">
        <v>0</v>
      </c>
      <c r="S162" s="25"/>
      <c r="T162" s="25"/>
      <c r="U162">
        <v>0</v>
      </c>
      <c r="X162">
        <v>0</v>
      </c>
      <c r="AA162" s="2">
        <v>3</v>
      </c>
      <c r="AB162">
        <v>14</v>
      </c>
      <c r="AC162" s="55">
        <f t="shared" si="11"/>
        <v>201.43322940532801</v>
      </c>
      <c r="AD162" s="57">
        <v>0</v>
      </c>
      <c r="AE162" s="55">
        <v>0</v>
      </c>
      <c r="AF162" s="55">
        <v>0</v>
      </c>
      <c r="AG162" s="52">
        <f t="shared" si="21"/>
        <v>6.9501938887297082E-2</v>
      </c>
      <c r="AH162" s="51"/>
      <c r="AI162" s="52"/>
      <c r="AJ162" s="52"/>
      <c r="AK162" s="28">
        <v>1.833333333333333</v>
      </c>
      <c r="AL162" s="28">
        <v>2.333333333333333</v>
      </c>
      <c r="AM162" s="28">
        <v>0.5</v>
      </c>
      <c r="AN162" s="28">
        <v>2.333333333333333</v>
      </c>
      <c r="AO162" s="28">
        <v>0.26190476190476192</v>
      </c>
      <c r="AP162" s="28">
        <v>0.33333333333333343</v>
      </c>
      <c r="AQ162" s="28">
        <v>7.1428571428571425E-2</v>
      </c>
      <c r="AR162" s="28">
        <v>0.33333333333333343</v>
      </c>
      <c r="AS162" s="25">
        <v>0.82</v>
      </c>
      <c r="AT162" s="25">
        <v>3.44</v>
      </c>
      <c r="AU162" s="25">
        <v>2.62</v>
      </c>
      <c r="AV162" s="25">
        <v>2.4725000000000001</v>
      </c>
      <c r="AW162">
        <v>2.4725000000000001</v>
      </c>
      <c r="AX162">
        <v>5.6821885904166667</v>
      </c>
      <c r="AY162" s="75"/>
      <c r="AZ162" s="75"/>
      <c r="BA162" s="75"/>
      <c r="BB162">
        <v>3.4750969443648541E-2</v>
      </c>
      <c r="BF162">
        <v>6.9501938887297082E-2</v>
      </c>
      <c r="BG162">
        <v>3.4750969443648541E-2</v>
      </c>
      <c r="BH162">
        <v>0</v>
      </c>
      <c r="BI162" s="79" t="s">
        <v>1264</v>
      </c>
      <c r="BJ162" s="79">
        <v>1173</v>
      </c>
      <c r="BK162" s="79">
        <v>24</v>
      </c>
      <c r="BM162" s="79" t="s">
        <v>464</v>
      </c>
      <c r="BN162" s="79" t="s">
        <v>464</v>
      </c>
      <c r="BO162" s="79">
        <v>0</v>
      </c>
      <c r="BP162" s="79">
        <v>1.6</v>
      </c>
      <c r="BQ162" s="79">
        <v>2.5</v>
      </c>
      <c r="BR162" s="79">
        <v>0</v>
      </c>
      <c r="BS162" s="79" t="s">
        <v>464</v>
      </c>
      <c r="BT162" s="79" t="s">
        <v>464</v>
      </c>
      <c r="BU162" s="79" t="s">
        <v>1266</v>
      </c>
      <c r="BV162" s="79">
        <v>400</v>
      </c>
      <c r="BX162" s="79" t="s">
        <v>1287</v>
      </c>
      <c r="BZ162" s="81">
        <f>88*2</f>
        <v>176</v>
      </c>
      <c r="CA162">
        <f t="shared" si="15"/>
        <v>5.1704839950381514</v>
      </c>
    </row>
    <row r="163" spans="1:79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I163" s="2"/>
      <c r="J163" s="25">
        <v>1</v>
      </c>
      <c r="K163">
        <v>1</v>
      </c>
      <c r="L163">
        <v>0</v>
      </c>
      <c r="M163" s="2"/>
      <c r="N163" s="2"/>
      <c r="P163" s="2"/>
      <c r="Q163" s="2"/>
      <c r="R163" s="25">
        <v>3.9948813699999999</v>
      </c>
      <c r="S163" s="25">
        <v>3.9948813699999999</v>
      </c>
      <c r="T163" s="25">
        <v>3.9948813699999999</v>
      </c>
      <c r="U163">
        <v>3.9883000000000002</v>
      </c>
      <c r="V163">
        <v>3.9883000000000002</v>
      </c>
      <c r="W163">
        <v>3.9883000000000002</v>
      </c>
      <c r="X163">
        <v>0</v>
      </c>
      <c r="AA163" s="2"/>
      <c r="AB163">
        <v>6</v>
      </c>
      <c r="AC163" s="55">
        <f t="shared" si="11"/>
        <v>0</v>
      </c>
      <c r="AD163" s="57">
        <v>63.754620030366901</v>
      </c>
      <c r="AE163" s="55">
        <v>63.440041078387011</v>
      </c>
      <c r="AF163" s="55">
        <v>0</v>
      </c>
      <c r="AG163" s="52"/>
      <c r="AH163" s="51">
        <v>9.4110826747020773E-2</v>
      </c>
      <c r="AI163" s="52">
        <v>9.4577492353549286E-2</v>
      </c>
      <c r="AJ163" s="52"/>
      <c r="AK163" s="28">
        <v>1.8</v>
      </c>
      <c r="AL163" s="28">
        <v>2.4</v>
      </c>
      <c r="AM163" s="28">
        <v>0.6</v>
      </c>
      <c r="AN163" s="28">
        <v>2.8</v>
      </c>
      <c r="AO163" s="28">
        <v>0.23684210526315791</v>
      </c>
      <c r="AP163" s="28">
        <v>0.31578947368421051</v>
      </c>
      <c r="AQ163" s="28">
        <v>7.8947368421052627E-2</v>
      </c>
      <c r="AR163" s="28">
        <v>0.36842105263157893</v>
      </c>
      <c r="AS163" s="25">
        <v>0.82</v>
      </c>
      <c r="AT163" s="25">
        <v>3.44</v>
      </c>
      <c r="AU163" s="25">
        <v>2.62</v>
      </c>
      <c r="AV163" s="25">
        <v>2.528</v>
      </c>
      <c r="AW163">
        <v>2.528</v>
      </c>
      <c r="AX163">
        <v>5.7952294759999994</v>
      </c>
      <c r="AY163" s="75">
        <v>0.65619545508850963</v>
      </c>
      <c r="AZ163" s="75">
        <v>0.65944931928920669</v>
      </c>
      <c r="BA163" s="75"/>
      <c r="BC163">
        <v>4.7055413373510387E-2</v>
      </c>
      <c r="BD163">
        <v>4.7288746176774643E-2</v>
      </c>
      <c r="BF163">
        <v>9.4344159550285023E-2</v>
      </c>
      <c r="BG163">
        <v>4.7172079775142511E-2</v>
      </c>
      <c r="BH163">
        <v>0.65782238718885822</v>
      </c>
      <c r="BI163" s="79" t="s">
        <v>1264</v>
      </c>
      <c r="BJ163" s="79">
        <v>1173</v>
      </c>
      <c r="BK163" s="79">
        <v>24</v>
      </c>
      <c r="BM163" s="79" t="s">
        <v>464</v>
      </c>
      <c r="BN163" s="79" t="s">
        <v>464</v>
      </c>
      <c r="BO163" s="79">
        <v>0</v>
      </c>
      <c r="BP163" s="79">
        <v>1.5</v>
      </c>
      <c r="BQ163" s="79">
        <v>2.5</v>
      </c>
      <c r="BR163" s="79">
        <v>0</v>
      </c>
      <c r="BS163" s="79" t="s">
        <v>464</v>
      </c>
      <c r="BT163" s="79" t="s">
        <v>464</v>
      </c>
      <c r="BU163" s="79" t="s">
        <v>1266</v>
      </c>
      <c r="BV163" s="79">
        <v>400</v>
      </c>
      <c r="BX163" s="79" t="s">
        <v>1287</v>
      </c>
      <c r="BZ163" s="81">
        <f>24.7*2</f>
        <v>49.4</v>
      </c>
      <c r="CA163">
        <f t="shared" si="15"/>
        <v>3.8999504241938769</v>
      </c>
    </row>
    <row r="164" spans="1:79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>
        <v>-1</v>
      </c>
      <c r="G164">
        <v>-1</v>
      </c>
      <c r="H164" t="s">
        <v>1162</v>
      </c>
      <c r="I164" s="2"/>
      <c r="J164" s="25">
        <v>0</v>
      </c>
      <c r="K164">
        <v>0</v>
      </c>
      <c r="L164">
        <v>2</v>
      </c>
      <c r="M164" s="2">
        <v>3.9037999999999999</v>
      </c>
      <c r="N164" s="2">
        <v>3.9037999999999999</v>
      </c>
      <c r="O164" s="2">
        <v>9.7742000000000004</v>
      </c>
      <c r="P164" s="2" t="s">
        <v>439</v>
      </c>
      <c r="Q164" s="2"/>
      <c r="R164" s="25">
        <v>0</v>
      </c>
      <c r="S164" s="25"/>
      <c r="T164" s="25"/>
      <c r="U164">
        <v>0</v>
      </c>
      <c r="X164">
        <v>3.93</v>
      </c>
      <c r="Y164">
        <v>3.93</v>
      </c>
      <c r="Z164">
        <v>18.515000000000001</v>
      </c>
      <c r="AA164" s="2">
        <v>3</v>
      </c>
      <c r="AB164">
        <v>14</v>
      </c>
      <c r="AC164" s="55">
        <f t="shared" ref="AC164:AC166" si="22">M164*N164*O164</f>
        <v>148.95543042744799</v>
      </c>
      <c r="AD164" s="57">
        <v>0</v>
      </c>
      <c r="AE164" s="55">
        <v>0</v>
      </c>
      <c r="AF164" s="55">
        <v>285.96232350000002</v>
      </c>
      <c r="AG164" s="52"/>
      <c r="AH164" s="51"/>
      <c r="AI164" s="52"/>
      <c r="AJ164" s="52">
        <v>9.7914996833490184E-2</v>
      </c>
      <c r="AK164" s="28">
        <v>1.833333333333333</v>
      </c>
      <c r="AL164" s="28">
        <v>2.333333333333333</v>
      </c>
      <c r="AM164" s="28">
        <v>0.5</v>
      </c>
      <c r="AN164" s="28">
        <v>2.333333333333333</v>
      </c>
      <c r="AO164" s="28">
        <v>0.26190476190476192</v>
      </c>
      <c r="AP164" s="28">
        <v>0.33333333333333343</v>
      </c>
      <c r="AQ164" s="28">
        <v>7.1428571428571425E-2</v>
      </c>
      <c r="AR164" s="28">
        <v>0.33333333333333343</v>
      </c>
      <c r="AS164" s="25">
        <v>0.95</v>
      </c>
      <c r="AT164" s="25">
        <v>3.44</v>
      </c>
      <c r="AU164" s="25">
        <v>2.4900000000000002</v>
      </c>
      <c r="AV164" s="25">
        <v>2.7024999999999988</v>
      </c>
      <c r="AW164">
        <v>2.7025000000000001</v>
      </c>
      <c r="AX164">
        <v>6.4896876145585001</v>
      </c>
      <c r="AY164" s="75"/>
      <c r="AZ164" s="75"/>
      <c r="BA164" s="75">
        <v>0.392702013826212</v>
      </c>
      <c r="BE164">
        <v>4.8957498416745092E-2</v>
      </c>
      <c r="BF164">
        <v>9.7914996833490184E-2</v>
      </c>
      <c r="BG164">
        <v>4.8957498416745092E-2</v>
      </c>
      <c r="BH164">
        <v>0.392702013826212</v>
      </c>
      <c r="BI164" s="79" t="s">
        <v>1264</v>
      </c>
      <c r="BJ164" s="79">
        <v>1173</v>
      </c>
      <c r="BK164" s="79">
        <v>24</v>
      </c>
      <c r="BM164" s="79" t="s">
        <v>464</v>
      </c>
      <c r="BN164" s="79" t="s">
        <v>464</v>
      </c>
      <c r="BO164" s="79">
        <v>0</v>
      </c>
      <c r="BP164" s="79">
        <v>4</v>
      </c>
      <c r="BQ164" s="79">
        <v>2.5</v>
      </c>
      <c r="BR164" s="79">
        <v>0</v>
      </c>
      <c r="BS164" s="79" t="s">
        <v>1312</v>
      </c>
      <c r="BT164" s="79" t="s">
        <v>464</v>
      </c>
      <c r="BU164" s="79" t="s">
        <v>1266</v>
      </c>
      <c r="BV164" s="79">
        <v>400</v>
      </c>
      <c r="BX164" s="79" t="s">
        <v>1287</v>
      </c>
      <c r="BZ164" s="81">
        <f>1490*2</f>
        <v>2980</v>
      </c>
      <c r="CA164">
        <f t="shared" si="15"/>
        <v>7.9996785794994505</v>
      </c>
    </row>
    <row r="165" spans="1:79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82" t="s">
        <v>1313</v>
      </c>
      <c r="G165">
        <v>-1</v>
      </c>
      <c r="I165" s="2">
        <v>1</v>
      </c>
      <c r="J165" s="25">
        <v>0</v>
      </c>
      <c r="K165">
        <v>0</v>
      </c>
      <c r="L165">
        <v>0</v>
      </c>
      <c r="M165" s="2">
        <v>3.9973999999999998</v>
      </c>
      <c r="N165" s="2">
        <v>3.9973999999999998</v>
      </c>
      <c r="O165" s="2">
        <v>12.132999999999999</v>
      </c>
      <c r="P165" s="2" t="s">
        <v>439</v>
      </c>
      <c r="Q165" s="2"/>
      <c r="R165" s="25">
        <v>0</v>
      </c>
      <c r="S165" s="25"/>
      <c r="T165" s="25"/>
      <c r="U165">
        <v>0</v>
      </c>
      <c r="X165">
        <v>0</v>
      </c>
      <c r="AA165" s="2">
        <v>3</v>
      </c>
      <c r="AB165">
        <v>14</v>
      </c>
      <c r="AC165" s="55">
        <f t="shared" si="22"/>
        <v>193.87571561907995</v>
      </c>
      <c r="AD165" s="57">
        <v>0</v>
      </c>
      <c r="AE165" s="55">
        <v>0</v>
      </c>
      <c r="AF165" s="55">
        <v>0</v>
      </c>
      <c r="AG165" s="52">
        <f t="shared" ref="AG165" si="23">I165*AB165/AC165</f>
        <v>7.2211209925366296E-2</v>
      </c>
      <c r="AH165" s="51"/>
      <c r="AI165" s="52"/>
      <c r="AJ165" s="52"/>
      <c r="AK165" s="28">
        <v>1.833333333333333</v>
      </c>
      <c r="AL165" s="28">
        <v>2.333333333333333</v>
      </c>
      <c r="AM165" s="28">
        <v>0.5</v>
      </c>
      <c r="AN165" s="28">
        <v>2.333333333333333</v>
      </c>
      <c r="AO165" s="28">
        <v>0.26190476190476192</v>
      </c>
      <c r="AP165" s="28">
        <v>0.33333333333333343</v>
      </c>
      <c r="AQ165" s="28">
        <v>7.1428571428571425E-2</v>
      </c>
      <c r="AR165" s="28">
        <v>0.33333333333333343</v>
      </c>
      <c r="AS165" s="25">
        <v>0.82</v>
      </c>
      <c r="AT165" s="25">
        <v>3.44</v>
      </c>
      <c r="AU165" s="25">
        <v>2.62</v>
      </c>
      <c r="AV165" s="25">
        <v>2.4725000000000001</v>
      </c>
      <c r="AW165">
        <v>2.4725000000000001</v>
      </c>
      <c r="AX165">
        <v>5.697111802916667</v>
      </c>
      <c r="AY165" s="75"/>
      <c r="AZ165" s="75"/>
      <c r="BA165" s="75"/>
      <c r="BB165">
        <v>3.6105604962683148E-2</v>
      </c>
      <c r="BF165">
        <v>7.2211209925366296E-2</v>
      </c>
      <c r="BG165">
        <v>3.6105604962683148E-2</v>
      </c>
      <c r="BH165">
        <v>0</v>
      </c>
      <c r="BI165" s="79" t="s">
        <v>1264</v>
      </c>
      <c r="BJ165" s="79">
        <v>1173</v>
      </c>
      <c r="BK165" s="79">
        <v>24</v>
      </c>
      <c r="BM165" s="79" t="s">
        <v>464</v>
      </c>
      <c r="BN165" s="79" t="s">
        <v>464</v>
      </c>
      <c r="BO165" s="79">
        <v>0</v>
      </c>
      <c r="BP165" s="79">
        <v>1.1000000000000001</v>
      </c>
      <c r="BQ165" s="79">
        <v>2.5</v>
      </c>
      <c r="BR165" s="79">
        <v>0</v>
      </c>
      <c r="BS165" s="79" t="s">
        <v>1312</v>
      </c>
      <c r="BT165" s="79" t="s">
        <v>464</v>
      </c>
      <c r="BU165" s="79" t="s">
        <v>1266</v>
      </c>
      <c r="BV165" s="79">
        <v>400</v>
      </c>
      <c r="BX165" s="79" t="s">
        <v>1287</v>
      </c>
      <c r="BZ165" s="81">
        <f>375*2</f>
        <v>750</v>
      </c>
      <c r="CA165">
        <f t="shared" si="15"/>
        <v>6.620073206530356</v>
      </c>
    </row>
    <row r="166" spans="1:79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I166" s="2"/>
      <c r="J166" s="25">
        <v>1</v>
      </c>
      <c r="K166">
        <v>1</v>
      </c>
      <c r="L166">
        <v>0</v>
      </c>
      <c r="M166" s="2"/>
      <c r="N166" s="2"/>
      <c r="P166" s="2"/>
      <c r="Q166" s="2"/>
      <c r="R166" s="25">
        <v>3.9948813699999999</v>
      </c>
      <c r="S166" s="25">
        <v>3.9948813699999999</v>
      </c>
      <c r="T166" s="25">
        <v>3.9948813699999999</v>
      </c>
      <c r="U166">
        <v>3.9883000000000002</v>
      </c>
      <c r="V166">
        <v>3.9883000000000002</v>
      </c>
      <c r="W166">
        <v>3.9883000000000002</v>
      </c>
      <c r="X166">
        <v>0</v>
      </c>
      <c r="AA166" s="2"/>
      <c r="AB166">
        <v>6</v>
      </c>
      <c r="AC166" s="55">
        <f t="shared" si="22"/>
        <v>0</v>
      </c>
      <c r="AD166" s="57">
        <v>63.754620030366901</v>
      </c>
      <c r="AE166" s="55">
        <v>63.440041078387011</v>
      </c>
      <c r="AF166" s="55">
        <v>0</v>
      </c>
      <c r="AG166" s="52"/>
      <c r="AH166" s="51">
        <v>9.4110826747020773E-2</v>
      </c>
      <c r="AI166" s="52">
        <v>9.4577492353549286E-2</v>
      </c>
      <c r="AJ166" s="52"/>
      <c r="AK166" s="28">
        <v>1.8</v>
      </c>
      <c r="AL166" s="28">
        <v>2.4</v>
      </c>
      <c r="AM166" s="28">
        <v>0.6</v>
      </c>
      <c r="AN166" s="28">
        <v>2.8</v>
      </c>
      <c r="AO166" s="28">
        <v>0.23684210526315791</v>
      </c>
      <c r="AP166" s="28">
        <v>0.31578947368421051</v>
      </c>
      <c r="AQ166" s="28">
        <v>7.8947368421052627E-2</v>
      </c>
      <c r="AR166" s="28">
        <v>0.36842105263157893</v>
      </c>
      <c r="AS166" s="25">
        <v>0.82</v>
      </c>
      <c r="AT166" s="25">
        <v>3.44</v>
      </c>
      <c r="AU166" s="25">
        <v>2.62</v>
      </c>
      <c r="AV166" s="25">
        <v>2.528</v>
      </c>
      <c r="AW166">
        <v>2.528</v>
      </c>
      <c r="AX166">
        <v>5.7952294759999994</v>
      </c>
      <c r="AY166" s="75">
        <v>0.65619545508850963</v>
      </c>
      <c r="AZ166" s="75">
        <v>0.65944931928920669</v>
      </c>
      <c r="BA166" s="75"/>
      <c r="BC166">
        <v>4.7055413373510387E-2</v>
      </c>
      <c r="BD166">
        <v>4.7288746176774643E-2</v>
      </c>
      <c r="BF166">
        <v>9.4344159550285023E-2</v>
      </c>
      <c r="BG166">
        <v>4.7172079775142511E-2</v>
      </c>
      <c r="BH166">
        <v>0.65782238718885822</v>
      </c>
      <c r="BI166" s="79" t="s">
        <v>1264</v>
      </c>
      <c r="BJ166" s="79">
        <v>1173</v>
      </c>
      <c r="BK166" s="79">
        <v>24</v>
      </c>
      <c r="BM166" s="79" t="s">
        <v>464</v>
      </c>
      <c r="BN166" s="79" t="s">
        <v>464</v>
      </c>
      <c r="BO166" s="79">
        <v>0</v>
      </c>
      <c r="BP166" s="79">
        <v>1.5</v>
      </c>
      <c r="BQ166" s="79">
        <v>2.5</v>
      </c>
      <c r="BR166" s="79">
        <v>0</v>
      </c>
      <c r="BS166" s="79" t="s">
        <v>1312</v>
      </c>
      <c r="BT166" s="79" t="s">
        <v>464</v>
      </c>
      <c r="BU166" s="79" t="s">
        <v>1266</v>
      </c>
      <c r="BV166" s="79">
        <v>400</v>
      </c>
      <c r="BX166" s="79" t="s">
        <v>1287</v>
      </c>
      <c r="BZ166" s="81">
        <f>270*2</f>
        <v>540</v>
      </c>
      <c r="CA166">
        <f t="shared" si="15"/>
        <v>6.2915691395583204</v>
      </c>
    </row>
    <row r="167" spans="1:79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I167" s="2">
        <v>0.66666666699999999</v>
      </c>
      <c r="J167" s="25">
        <v>0</v>
      </c>
      <c r="K167">
        <v>0</v>
      </c>
      <c r="L167">
        <f>2/3</f>
        <v>0.66666666666666663</v>
      </c>
      <c r="M167" s="2">
        <v>3.9607999999999999</v>
      </c>
      <c r="N167" s="2">
        <v>3.9607999999999999</v>
      </c>
      <c r="O167" s="2">
        <v>21.8126</v>
      </c>
      <c r="P167" s="2" t="s">
        <v>440</v>
      </c>
      <c r="Q167" s="2"/>
      <c r="R167" s="25">
        <v>0</v>
      </c>
      <c r="S167" s="25"/>
      <c r="T167" s="25"/>
      <c r="U167">
        <v>0</v>
      </c>
      <c r="X167">
        <v>0</v>
      </c>
      <c r="AA167" s="2"/>
      <c r="AB167">
        <v>42</v>
      </c>
      <c r="AC167" s="55">
        <f t="shared" si="11"/>
        <v>342.19468675366397</v>
      </c>
      <c r="AD167" s="57">
        <v>0</v>
      </c>
      <c r="AE167" s="55">
        <v>0</v>
      </c>
      <c r="AF167" s="55">
        <v>347.6</v>
      </c>
      <c r="AG167" s="52">
        <f t="shared" si="21"/>
        <v>8.1824765543938416E-2</v>
      </c>
      <c r="AH167" s="51"/>
      <c r="AI167" s="52"/>
      <c r="AJ167" s="52">
        <f>L167*AB167/AF167</f>
        <v>8.0552359033371684E-2</v>
      </c>
      <c r="AK167" s="28">
        <v>1.828571428571429</v>
      </c>
      <c r="AL167" s="28">
        <v>2.4</v>
      </c>
      <c r="AM167" s="28">
        <v>0.5714285714285714</v>
      </c>
      <c r="AN167" s="28">
        <v>2.4</v>
      </c>
      <c r="AO167" s="28">
        <v>0.25396825396825401</v>
      </c>
      <c r="AP167" s="28">
        <v>0.33333333333333331</v>
      </c>
      <c r="AQ167" s="28">
        <v>7.9365079365079361E-2</v>
      </c>
      <c r="AR167" s="28">
        <v>0.33333333333333331</v>
      </c>
      <c r="AS167" s="25">
        <v>0.82</v>
      </c>
      <c r="AT167" s="25">
        <v>3.44</v>
      </c>
      <c r="AU167" s="25">
        <v>2.62</v>
      </c>
      <c r="AV167" s="25">
        <v>2.524571428571428</v>
      </c>
      <c r="AW167">
        <v>2.524571428571428</v>
      </c>
      <c r="AX167">
        <v>5.7888591694285711</v>
      </c>
      <c r="AY167" s="75"/>
      <c r="AZ167" s="75"/>
      <c r="BA167" s="75"/>
      <c r="BB167">
        <v>4.0912382771969208E-2</v>
      </c>
      <c r="BE167">
        <v>4.0276179516685842E-2</v>
      </c>
      <c r="BF167">
        <v>8.118856228865505E-2</v>
      </c>
      <c r="BG167">
        <v>4.0594281144327532E-2</v>
      </c>
      <c r="BH167">
        <v>0</v>
      </c>
      <c r="BI167" s="79" t="s">
        <v>1264</v>
      </c>
      <c r="BJ167" s="79">
        <v>1498</v>
      </c>
      <c r="BK167" s="79">
        <f>15</f>
        <v>15</v>
      </c>
      <c r="BM167" s="79" t="s">
        <v>464</v>
      </c>
      <c r="BN167" s="79" t="s">
        <v>464</v>
      </c>
      <c r="BO167" s="79">
        <v>0</v>
      </c>
      <c r="BP167" s="79">
        <v>3.7</v>
      </c>
      <c r="BQ167" s="79">
        <v>2.5</v>
      </c>
      <c r="BR167" s="79">
        <v>0</v>
      </c>
      <c r="BS167" s="79" t="s">
        <v>464</v>
      </c>
      <c r="BT167" s="79" t="s">
        <v>464</v>
      </c>
      <c r="BU167" s="79" t="s">
        <v>1266</v>
      </c>
      <c r="BV167" s="79">
        <v>400</v>
      </c>
      <c r="BZ167" s="81">
        <f>146*2</f>
        <v>292</v>
      </c>
      <c r="CA167">
        <f t="shared" si="15"/>
        <v>5.6767538022682817</v>
      </c>
    </row>
    <row r="168" spans="1:79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I168" s="2">
        <f>0.666666667/2</f>
        <v>0.3333333335</v>
      </c>
      <c r="J168" s="25">
        <v>0</v>
      </c>
      <c r="K168">
        <v>0</v>
      </c>
      <c r="L168">
        <v>2</v>
      </c>
      <c r="M168" s="2">
        <v>3.9483999999999999</v>
      </c>
      <c r="N168" s="2">
        <v>3.9483999999999999</v>
      </c>
      <c r="O168" s="2">
        <v>9.7742000000000004</v>
      </c>
      <c r="P168" s="2" t="s">
        <v>439</v>
      </c>
      <c r="Q168" s="2"/>
      <c r="R168" s="25">
        <v>0</v>
      </c>
      <c r="S168" s="25"/>
      <c r="T168" s="25"/>
      <c r="U168">
        <v>0</v>
      </c>
      <c r="X168">
        <v>0</v>
      </c>
      <c r="AA168" s="2"/>
      <c r="AB168">
        <v>42</v>
      </c>
      <c r="AC168" s="55">
        <f t="shared" si="11"/>
        <v>152.378434633952</v>
      </c>
      <c r="AD168" s="57">
        <v>0</v>
      </c>
      <c r="AE168" s="55">
        <v>0</v>
      </c>
      <c r="AF168" s="55">
        <v>0</v>
      </c>
      <c r="AG168" s="52">
        <f t="shared" si="21"/>
        <v>9.1876518095432708E-2</v>
      </c>
      <c r="AH168" s="51"/>
      <c r="AI168" s="52"/>
      <c r="AJ168" s="52"/>
      <c r="AK168" s="28">
        <v>1.828571428571429</v>
      </c>
      <c r="AL168" s="28">
        <v>2.4</v>
      </c>
      <c r="AM168" s="28">
        <v>0.5714285714285714</v>
      </c>
      <c r="AN168" s="28">
        <v>2.4</v>
      </c>
      <c r="AO168" s="28">
        <v>0.25396825396825401</v>
      </c>
      <c r="AP168" s="28">
        <v>0.33333333333333331</v>
      </c>
      <c r="AQ168" s="28">
        <v>7.9365079365079361E-2</v>
      </c>
      <c r="AR168" s="28">
        <v>0.33333333333333331</v>
      </c>
      <c r="AS168" s="25">
        <v>1.1000000000000001</v>
      </c>
      <c r="AT168" s="25">
        <v>3.44</v>
      </c>
      <c r="AU168" s="25">
        <v>2.34</v>
      </c>
      <c r="AV168" s="25">
        <v>2.7611428571428571</v>
      </c>
      <c r="AW168">
        <v>2.7611428571428571</v>
      </c>
      <c r="AX168">
        <v>6.6040800042601706</v>
      </c>
      <c r="AY168" s="75"/>
      <c r="AZ168" s="75"/>
      <c r="BA168" s="75"/>
      <c r="BB168">
        <v>4.5938259047716347E-2</v>
      </c>
      <c r="BE168" t="s">
        <v>459</v>
      </c>
      <c r="BF168">
        <v>9.1876518095432708E-2</v>
      </c>
      <c r="BG168" t="s">
        <v>459</v>
      </c>
      <c r="BH168">
        <v>0</v>
      </c>
      <c r="BI168" s="79" t="s">
        <v>1264</v>
      </c>
      <c r="BJ168" s="79">
        <v>1498</v>
      </c>
      <c r="BK168" s="79">
        <f>15</f>
        <v>15</v>
      </c>
      <c r="BM168" s="79" t="s">
        <v>464</v>
      </c>
      <c r="BN168" s="79" t="s">
        <v>464</v>
      </c>
      <c r="BO168" s="79">
        <v>0</v>
      </c>
      <c r="BP168" s="79">
        <v>7.8</v>
      </c>
      <c r="BQ168" s="79">
        <v>2.5</v>
      </c>
      <c r="BR168" s="79">
        <v>0</v>
      </c>
      <c r="BS168" s="79" t="s">
        <v>464</v>
      </c>
      <c r="BT168" s="79" t="s">
        <v>464</v>
      </c>
      <c r="BU168" s="79" t="s">
        <v>1266</v>
      </c>
      <c r="BV168" s="79">
        <v>400</v>
      </c>
      <c r="BZ168" s="81">
        <f>158*2</f>
        <v>316</v>
      </c>
      <c r="CA168">
        <f t="shared" si="15"/>
        <v>5.7557422135869123</v>
      </c>
    </row>
    <row r="169" spans="1:79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I169" s="2"/>
      <c r="J169" s="25">
        <v>0</v>
      </c>
      <c r="K169">
        <v>4</v>
      </c>
      <c r="L169">
        <v>0</v>
      </c>
      <c r="M169" s="2"/>
      <c r="N169" s="2"/>
      <c r="O169" s="2"/>
      <c r="P169" s="2"/>
      <c r="Q169" s="2"/>
      <c r="R169" s="25">
        <v>0</v>
      </c>
      <c r="S169" s="25"/>
      <c r="T169" s="25"/>
      <c r="U169">
        <v>6.5429000000000004</v>
      </c>
      <c r="V169">
        <v>7.6490999999999998</v>
      </c>
      <c r="W169">
        <v>12.583</v>
      </c>
      <c r="X169">
        <v>0</v>
      </c>
      <c r="AA169" s="2"/>
      <c r="AB169">
        <v>18</v>
      </c>
      <c r="AC169" s="55">
        <f t="shared" si="11"/>
        <v>0</v>
      </c>
      <c r="AD169" s="57">
        <v>0</v>
      </c>
      <c r="AE169" s="55">
        <v>629.74513047537005</v>
      </c>
      <c r="AF169" s="55">
        <v>0</v>
      </c>
      <c r="AG169" s="52"/>
      <c r="AH169" s="51"/>
      <c r="AI169" s="52">
        <v>0.1143319678322086</v>
      </c>
      <c r="AJ169" s="52"/>
      <c r="AK169" s="28">
        <v>2</v>
      </c>
      <c r="AL169" s="28">
        <v>2.7692307692307692</v>
      </c>
      <c r="AM169" s="28">
        <v>0.76923076923076927</v>
      </c>
      <c r="AN169" s="28">
        <v>3.2307692307692308</v>
      </c>
      <c r="AO169" s="28">
        <v>0.22807017543859651</v>
      </c>
      <c r="AP169" s="28">
        <v>0.31578947368421051</v>
      </c>
      <c r="AQ169" s="28">
        <v>8.771929824561403E-2</v>
      </c>
      <c r="AR169" s="28">
        <v>0.36842105263157893</v>
      </c>
      <c r="AS169" s="25">
        <v>1.1000000000000001</v>
      </c>
      <c r="AT169" s="25">
        <v>3.44</v>
      </c>
      <c r="AU169" s="25">
        <v>2.34</v>
      </c>
      <c r="AV169" s="25">
        <v>2.8123076923076931</v>
      </c>
      <c r="AW169">
        <v>2.8123076923076931</v>
      </c>
      <c r="AX169">
        <v>6.3640369961538461</v>
      </c>
      <c r="AY169" s="75"/>
      <c r="AZ169" s="75">
        <v>0.55971264878746807</v>
      </c>
      <c r="BA169" s="75"/>
      <c r="BD169">
        <v>5.7165983916104293E-2</v>
      </c>
      <c r="BF169">
        <v>0.1143319678322086</v>
      </c>
      <c r="BG169">
        <v>5.7165983916104293E-2</v>
      </c>
      <c r="BH169">
        <v>0.55971264878746807</v>
      </c>
      <c r="BI169" s="79" t="s">
        <v>1264</v>
      </c>
      <c r="BJ169" s="79">
        <v>1498</v>
      </c>
      <c r="BK169" s="79">
        <f>15</f>
        <v>15</v>
      </c>
      <c r="BM169" s="79" t="s">
        <v>464</v>
      </c>
      <c r="BN169" s="79" t="s">
        <v>464</v>
      </c>
      <c r="BO169" s="79">
        <v>0</v>
      </c>
      <c r="BP169" s="79">
        <v>3.3</v>
      </c>
      <c r="BQ169" s="79">
        <v>2.5</v>
      </c>
      <c r="BR169" s="79">
        <v>0</v>
      </c>
      <c r="BS169" s="79" t="s">
        <v>464</v>
      </c>
      <c r="BT169" s="79" t="s">
        <v>464</v>
      </c>
      <c r="BU169" s="79" t="s">
        <v>1266</v>
      </c>
      <c r="BV169" s="79">
        <v>400</v>
      </c>
      <c r="BZ169" s="81">
        <f>35*2</f>
        <v>70</v>
      </c>
      <c r="CA169">
        <f t="shared" si="15"/>
        <v>4.2484952420493594</v>
      </c>
    </row>
    <row r="170" spans="1:79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I170" s="2"/>
      <c r="J170" s="25">
        <v>1</v>
      </c>
      <c r="K170">
        <v>0</v>
      </c>
      <c r="L170">
        <v>0</v>
      </c>
      <c r="M170" s="2"/>
      <c r="N170" s="2"/>
      <c r="P170" s="2"/>
      <c r="Q170" s="2"/>
      <c r="R170" s="25">
        <v>9.9051542599999998</v>
      </c>
      <c r="S170" s="25">
        <v>9.9051542599999998</v>
      </c>
      <c r="T170" s="25">
        <v>9.9051542599999998</v>
      </c>
      <c r="U170">
        <v>0</v>
      </c>
      <c r="X170">
        <v>0</v>
      </c>
      <c r="AA170" s="2"/>
      <c r="AB170">
        <v>14</v>
      </c>
      <c r="AC170" s="55">
        <f t="shared" si="11"/>
        <v>0</v>
      </c>
      <c r="AD170" s="57">
        <v>150.75696951344321</v>
      </c>
      <c r="AE170" s="55">
        <v>0</v>
      </c>
      <c r="AF170" s="55">
        <v>0</v>
      </c>
      <c r="AG170" s="52"/>
      <c r="AH170" s="51">
        <v>9.2864695046497372E-2</v>
      </c>
      <c r="AI170" s="52"/>
      <c r="AJ170" s="52"/>
      <c r="AK170" s="28">
        <v>1.833333333333333</v>
      </c>
      <c r="AL170" s="28">
        <v>2.333333333333333</v>
      </c>
      <c r="AM170" s="28">
        <v>0.5</v>
      </c>
      <c r="AN170" s="28">
        <v>2.333333333333333</v>
      </c>
      <c r="AO170" s="28">
        <v>0.26190476190476192</v>
      </c>
      <c r="AP170" s="28">
        <v>0.33333333333333343</v>
      </c>
      <c r="AQ170" s="28">
        <v>7.1428571428571425E-2</v>
      </c>
      <c r="AR170" s="28">
        <v>0.33333333333333343</v>
      </c>
      <c r="AS170" s="25">
        <v>0.95</v>
      </c>
      <c r="AT170" s="25">
        <v>3.44</v>
      </c>
      <c r="AU170" s="25">
        <v>2.4900000000000002</v>
      </c>
      <c r="AV170" s="25">
        <v>2.7024999999999988</v>
      </c>
      <c r="AW170">
        <v>2.7025000000000001</v>
      </c>
      <c r="AX170">
        <v>6.4896876145585001</v>
      </c>
      <c r="AY170" s="75">
        <v>0.47933948900870132</v>
      </c>
      <c r="AZ170" s="75"/>
      <c r="BA170" s="75"/>
      <c r="BC170">
        <v>4.6432347523248672E-2</v>
      </c>
      <c r="BF170">
        <v>9.2864695046497372E-2</v>
      </c>
      <c r="BG170">
        <v>4.6432347523248672E-2</v>
      </c>
      <c r="BH170">
        <v>0.47933948900870132</v>
      </c>
      <c r="BI170" s="79" t="s">
        <v>1264</v>
      </c>
      <c r="BJ170" s="79">
        <v>1498</v>
      </c>
      <c r="BK170" s="79">
        <f>15</f>
        <v>15</v>
      </c>
      <c r="BM170" s="79" t="s">
        <v>464</v>
      </c>
      <c r="BN170" s="79" t="s">
        <v>464</v>
      </c>
      <c r="BO170" s="79">
        <v>0</v>
      </c>
      <c r="BP170" s="79">
        <v>4</v>
      </c>
      <c r="BQ170" s="79">
        <v>2.5</v>
      </c>
      <c r="BR170" s="79">
        <v>0</v>
      </c>
      <c r="BS170" s="79" t="s">
        <v>464</v>
      </c>
      <c r="BT170" s="79" t="s">
        <v>464</v>
      </c>
      <c r="BU170" s="79" t="s">
        <v>1266</v>
      </c>
      <c r="BV170" s="79">
        <v>400</v>
      </c>
      <c r="BZ170" s="81">
        <f>385*2</f>
        <v>770</v>
      </c>
      <c r="CA170">
        <f t="shared" si="15"/>
        <v>6.6463905148477291</v>
      </c>
    </row>
    <row r="171" spans="1:79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I171" s="2"/>
      <c r="J171" s="25"/>
      <c r="M171" s="2"/>
      <c r="N171" s="2"/>
      <c r="P171" s="2"/>
      <c r="Q171" s="2"/>
      <c r="R171" s="25"/>
      <c r="S171" s="25"/>
      <c r="T171" s="25"/>
      <c r="AA171" s="2"/>
      <c r="AC171" s="55"/>
      <c r="AD171" s="57"/>
      <c r="AE171" s="55"/>
      <c r="AF171" s="55"/>
      <c r="AG171" s="52"/>
      <c r="AH171" s="51"/>
      <c r="AI171" s="52"/>
      <c r="AJ171" s="52"/>
      <c r="AK171" s="28"/>
      <c r="AL171" s="28"/>
      <c r="AM171" s="28"/>
      <c r="AN171" s="28"/>
      <c r="AO171" s="28"/>
      <c r="AP171" s="28"/>
      <c r="AQ171" s="28"/>
      <c r="AR171" s="28"/>
      <c r="AS171" s="25"/>
      <c r="AT171" s="25"/>
      <c r="AU171" s="25"/>
      <c r="AV171" s="25"/>
      <c r="AY171" s="75"/>
      <c r="AZ171" s="75"/>
      <c r="BA171" s="75"/>
      <c r="BI171" s="79" t="s">
        <v>1264</v>
      </c>
      <c r="BJ171" s="79">
        <v>1498</v>
      </c>
      <c r="BK171" s="79">
        <f>15</f>
        <v>15</v>
      </c>
      <c r="BM171" s="79" t="s">
        <v>464</v>
      </c>
      <c r="BN171" s="79" t="s">
        <v>464</v>
      </c>
      <c r="BO171" s="79">
        <v>0</v>
      </c>
      <c r="BP171" s="79">
        <v>4</v>
      </c>
      <c r="BQ171" s="79">
        <v>2.5</v>
      </c>
      <c r="BR171" s="79">
        <v>0</v>
      </c>
      <c r="BS171" s="79" t="s">
        <v>464</v>
      </c>
      <c r="BT171" s="79" t="s">
        <v>464</v>
      </c>
      <c r="BU171" s="79" t="s">
        <v>1266</v>
      </c>
      <c r="BV171" s="79">
        <v>400</v>
      </c>
      <c r="BZ171" s="81">
        <f>25*2</f>
        <v>50</v>
      </c>
      <c r="CA171">
        <f t="shared" si="15"/>
        <v>3.912023005428146</v>
      </c>
    </row>
    <row r="172" spans="1:79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I172" s="2">
        <v>0.66666666699999999</v>
      </c>
      <c r="J172" s="25">
        <v>0</v>
      </c>
      <c r="K172">
        <v>0</v>
      </c>
      <c r="L172">
        <f>2/3</f>
        <v>0.66666666666666663</v>
      </c>
      <c r="M172" s="2">
        <v>3.9607999999999999</v>
      </c>
      <c r="N172" s="2">
        <v>3.9607999999999999</v>
      </c>
      <c r="O172" s="2">
        <v>21.8126</v>
      </c>
      <c r="P172" s="2" t="s">
        <v>440</v>
      </c>
      <c r="Q172" s="2"/>
      <c r="R172" s="25">
        <v>0</v>
      </c>
      <c r="S172" s="25"/>
      <c r="T172" s="25"/>
      <c r="U172">
        <v>0</v>
      </c>
      <c r="X172">
        <v>0</v>
      </c>
      <c r="AA172" s="2"/>
      <c r="AB172">
        <v>42</v>
      </c>
      <c r="AC172" s="55">
        <f t="shared" ref="AC172:AC175" si="24">M172*N172*O172</f>
        <v>342.19468675366397</v>
      </c>
      <c r="AD172" s="57">
        <v>0</v>
      </c>
      <c r="AE172" s="55">
        <v>0</v>
      </c>
      <c r="AF172" s="55">
        <v>347.6</v>
      </c>
      <c r="AG172" s="52">
        <f t="shared" ref="AG172:AG173" si="25">I172*AB172/AC172</f>
        <v>8.1824765543938416E-2</v>
      </c>
      <c r="AH172" s="51"/>
      <c r="AI172" s="52"/>
      <c r="AJ172" s="52">
        <f>L172*AB172/AF172</f>
        <v>8.0552359033371684E-2</v>
      </c>
      <c r="AK172" s="28">
        <v>1.828571428571429</v>
      </c>
      <c r="AL172" s="28">
        <v>2.4</v>
      </c>
      <c r="AM172" s="28">
        <v>0.5714285714285714</v>
      </c>
      <c r="AN172" s="28">
        <v>2.4</v>
      </c>
      <c r="AO172" s="28">
        <v>0.25396825396825401</v>
      </c>
      <c r="AP172" s="28">
        <v>0.33333333333333331</v>
      </c>
      <c r="AQ172" s="28">
        <v>7.9365079365079361E-2</v>
      </c>
      <c r="AR172" s="28">
        <v>0.33333333333333331</v>
      </c>
      <c r="AS172" s="25">
        <v>0.82</v>
      </c>
      <c r="AT172" s="25">
        <v>3.44</v>
      </c>
      <c r="AU172" s="25">
        <v>2.62</v>
      </c>
      <c r="AV172" s="25">
        <v>2.524571428571428</v>
      </c>
      <c r="AW172">
        <v>2.524571428571428</v>
      </c>
      <c r="AX172">
        <v>5.7888591694285711</v>
      </c>
      <c r="AY172" s="75"/>
      <c r="AZ172" s="75"/>
      <c r="BA172" s="75"/>
      <c r="BB172">
        <v>4.0912382771969208E-2</v>
      </c>
      <c r="BE172">
        <v>4.0276179516685842E-2</v>
      </c>
      <c r="BF172">
        <v>8.118856228865505E-2</v>
      </c>
      <c r="BG172">
        <v>4.0594281144327532E-2</v>
      </c>
      <c r="BH172">
        <v>0</v>
      </c>
      <c r="BI172" s="79" t="s">
        <v>1264</v>
      </c>
      <c r="BJ172" s="79">
        <v>1498</v>
      </c>
      <c r="BK172" s="79">
        <f>15</f>
        <v>15</v>
      </c>
      <c r="BM172" s="79" t="s">
        <v>464</v>
      </c>
      <c r="BN172" s="79" t="s">
        <v>464</v>
      </c>
      <c r="BO172" s="79">
        <v>0</v>
      </c>
      <c r="BP172" s="79">
        <v>3.7</v>
      </c>
      <c r="BQ172" s="79">
        <v>2.5</v>
      </c>
      <c r="BR172" s="79">
        <v>0</v>
      </c>
      <c r="BS172" s="79" t="s">
        <v>1312</v>
      </c>
      <c r="BT172" s="79" t="s">
        <v>464</v>
      </c>
      <c r="BU172" s="79" t="s">
        <v>1266</v>
      </c>
      <c r="BV172" s="79">
        <v>400</v>
      </c>
      <c r="BZ172" s="81">
        <f>918*10</f>
        <v>9180</v>
      </c>
      <c r="CA172">
        <f t="shared" si="15"/>
        <v>9.1247824836145366</v>
      </c>
    </row>
    <row r="173" spans="1:79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I173" s="2">
        <f>0.666666667/2</f>
        <v>0.3333333335</v>
      </c>
      <c r="J173" s="25">
        <v>0</v>
      </c>
      <c r="K173">
        <v>0</v>
      </c>
      <c r="L173">
        <v>2</v>
      </c>
      <c r="M173" s="2">
        <v>3.9483999999999999</v>
      </c>
      <c r="N173" s="2">
        <v>3.9483999999999999</v>
      </c>
      <c r="O173" s="2">
        <v>9.7742000000000004</v>
      </c>
      <c r="P173" s="2" t="s">
        <v>439</v>
      </c>
      <c r="Q173" s="2"/>
      <c r="R173" s="25">
        <v>0</v>
      </c>
      <c r="S173" s="25"/>
      <c r="T173" s="25"/>
      <c r="U173">
        <v>0</v>
      </c>
      <c r="X173">
        <v>0</v>
      </c>
      <c r="AA173" s="2"/>
      <c r="AB173">
        <v>42</v>
      </c>
      <c r="AC173" s="55">
        <f t="shared" si="24"/>
        <v>152.378434633952</v>
      </c>
      <c r="AD173" s="57">
        <v>0</v>
      </c>
      <c r="AE173" s="55">
        <v>0</v>
      </c>
      <c r="AF173" s="55">
        <v>0</v>
      </c>
      <c r="AG173" s="52">
        <f t="shared" si="25"/>
        <v>9.1876518095432708E-2</v>
      </c>
      <c r="AH173" s="51"/>
      <c r="AI173" s="52"/>
      <c r="AJ173" s="52"/>
      <c r="AK173" s="28">
        <v>1.828571428571429</v>
      </c>
      <c r="AL173" s="28">
        <v>2.4</v>
      </c>
      <c r="AM173" s="28">
        <v>0.5714285714285714</v>
      </c>
      <c r="AN173" s="28">
        <v>2.4</v>
      </c>
      <c r="AO173" s="28">
        <v>0.25396825396825401</v>
      </c>
      <c r="AP173" s="28">
        <v>0.33333333333333331</v>
      </c>
      <c r="AQ173" s="28">
        <v>7.9365079365079361E-2</v>
      </c>
      <c r="AR173" s="28">
        <v>0.33333333333333331</v>
      </c>
      <c r="AS173" s="25">
        <v>1.1000000000000001</v>
      </c>
      <c r="AT173" s="25">
        <v>3.44</v>
      </c>
      <c r="AU173" s="25">
        <v>2.34</v>
      </c>
      <c r="AV173" s="25">
        <v>2.7611428571428571</v>
      </c>
      <c r="AW173">
        <v>2.7611428571428571</v>
      </c>
      <c r="AX173">
        <v>6.6040800042601706</v>
      </c>
      <c r="AY173" s="75"/>
      <c r="AZ173" s="75"/>
      <c r="BA173" s="75"/>
      <c r="BB173">
        <v>4.5938259047716347E-2</v>
      </c>
      <c r="BE173" t="s">
        <v>459</v>
      </c>
      <c r="BF173">
        <v>9.1876518095432708E-2</v>
      </c>
      <c r="BG173" t="s">
        <v>459</v>
      </c>
      <c r="BH173">
        <v>0</v>
      </c>
      <c r="BI173" s="79" t="s">
        <v>1264</v>
      </c>
      <c r="BJ173" s="79">
        <v>1498</v>
      </c>
      <c r="BK173" s="79">
        <f>15</f>
        <v>15</v>
      </c>
      <c r="BM173" s="79" t="s">
        <v>464</v>
      </c>
      <c r="BN173" s="79" t="s">
        <v>464</v>
      </c>
      <c r="BO173" s="79">
        <v>0</v>
      </c>
      <c r="BP173" s="79">
        <v>7.8</v>
      </c>
      <c r="BQ173" s="79">
        <v>2.5</v>
      </c>
      <c r="BR173" s="79">
        <v>0</v>
      </c>
      <c r="BS173" s="79" t="s">
        <v>1312</v>
      </c>
      <c r="BT173" s="79" t="s">
        <v>464</v>
      </c>
      <c r="BU173" s="79" t="s">
        <v>1266</v>
      </c>
      <c r="BV173" s="79">
        <v>400</v>
      </c>
      <c r="BZ173" s="81">
        <f>2654*10</f>
        <v>26540</v>
      </c>
      <c r="CA173">
        <f t="shared" si="15"/>
        <v>10.186408307886198</v>
      </c>
    </row>
    <row r="174" spans="1:79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I174" s="2"/>
      <c r="J174" s="25">
        <v>0</v>
      </c>
      <c r="K174">
        <v>4</v>
      </c>
      <c r="L174">
        <v>0</v>
      </c>
      <c r="M174" s="2"/>
      <c r="N174" s="2"/>
      <c r="O174" s="2"/>
      <c r="P174" s="2"/>
      <c r="Q174" s="2"/>
      <c r="R174" s="25">
        <v>0</v>
      </c>
      <c r="S174" s="25"/>
      <c r="T174" s="25"/>
      <c r="U174">
        <v>6.5429000000000004</v>
      </c>
      <c r="V174">
        <v>7.6490999999999998</v>
      </c>
      <c r="W174">
        <v>12.583</v>
      </c>
      <c r="X174">
        <v>0</v>
      </c>
      <c r="AA174" s="2"/>
      <c r="AB174">
        <v>18</v>
      </c>
      <c r="AC174" s="55">
        <f t="shared" si="24"/>
        <v>0</v>
      </c>
      <c r="AD174" s="57">
        <v>0</v>
      </c>
      <c r="AE174" s="55">
        <v>629.74513047537005</v>
      </c>
      <c r="AF174" s="55">
        <v>0</v>
      </c>
      <c r="AG174" s="52"/>
      <c r="AH174" s="51"/>
      <c r="AI174" s="52">
        <v>0.1143319678322086</v>
      </c>
      <c r="AJ174" s="52"/>
      <c r="AK174" s="28">
        <v>2</v>
      </c>
      <c r="AL174" s="28">
        <v>2.7692307692307692</v>
      </c>
      <c r="AM174" s="28">
        <v>0.76923076923076927</v>
      </c>
      <c r="AN174" s="28">
        <v>3.2307692307692308</v>
      </c>
      <c r="AO174" s="28">
        <v>0.22807017543859651</v>
      </c>
      <c r="AP174" s="28">
        <v>0.31578947368421051</v>
      </c>
      <c r="AQ174" s="28">
        <v>8.771929824561403E-2</v>
      </c>
      <c r="AR174" s="28">
        <v>0.36842105263157893</v>
      </c>
      <c r="AS174" s="25">
        <v>1.1000000000000001</v>
      </c>
      <c r="AT174" s="25">
        <v>3.44</v>
      </c>
      <c r="AU174" s="25">
        <v>2.34</v>
      </c>
      <c r="AV174" s="25">
        <v>2.8123076923076931</v>
      </c>
      <c r="AW174">
        <v>2.8123076923076931</v>
      </c>
      <c r="AX174">
        <v>6.3640369961538461</v>
      </c>
      <c r="AY174" s="75"/>
      <c r="AZ174" s="75">
        <v>0.55971264878746807</v>
      </c>
      <c r="BA174" s="75"/>
      <c r="BD174">
        <v>5.7165983916104293E-2</v>
      </c>
      <c r="BF174">
        <v>0.1143319678322086</v>
      </c>
      <c r="BG174">
        <v>5.7165983916104293E-2</v>
      </c>
      <c r="BH174">
        <v>0.55971264878746807</v>
      </c>
      <c r="BI174" s="79" t="s">
        <v>1264</v>
      </c>
      <c r="BJ174" s="79">
        <v>1498</v>
      </c>
      <c r="BK174" s="79">
        <f>15</f>
        <v>15</v>
      </c>
      <c r="BM174" s="79" t="s">
        <v>464</v>
      </c>
      <c r="BN174" s="79" t="s">
        <v>464</v>
      </c>
      <c r="BO174" s="79">
        <v>0</v>
      </c>
      <c r="BP174" s="79">
        <v>3.3</v>
      </c>
      <c r="BQ174" s="79">
        <v>2.5</v>
      </c>
      <c r="BR174" s="79">
        <v>0</v>
      </c>
      <c r="BS174" s="79" t="s">
        <v>1312</v>
      </c>
      <c r="BT174" s="79" t="s">
        <v>464</v>
      </c>
      <c r="BU174" s="79" t="s">
        <v>1266</v>
      </c>
      <c r="BV174" s="79">
        <v>400</v>
      </c>
      <c r="BZ174" s="81">
        <f>4240</f>
        <v>4240</v>
      </c>
      <c r="CA174">
        <f t="shared" si="15"/>
        <v>8.3523185482260036</v>
      </c>
    </row>
    <row r="175" spans="1:79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I175" s="2"/>
      <c r="J175" s="25">
        <v>1</v>
      </c>
      <c r="K175">
        <v>0</v>
      </c>
      <c r="L175">
        <v>0</v>
      </c>
      <c r="M175" s="2"/>
      <c r="N175" s="2"/>
      <c r="P175" s="2"/>
      <c r="Q175" s="2"/>
      <c r="R175" s="25">
        <v>9.9051542599999998</v>
      </c>
      <c r="S175" s="25">
        <v>9.9051542599999998</v>
      </c>
      <c r="T175" s="25">
        <v>9.9051542599999998</v>
      </c>
      <c r="U175">
        <v>0</v>
      </c>
      <c r="X175">
        <v>0</v>
      </c>
      <c r="AA175" s="2"/>
      <c r="AB175">
        <v>14</v>
      </c>
      <c r="AC175" s="55">
        <f t="shared" si="24"/>
        <v>0</v>
      </c>
      <c r="AD175" s="57">
        <v>150.75696951344321</v>
      </c>
      <c r="AE175" s="55">
        <v>0</v>
      </c>
      <c r="AF175" s="55">
        <v>0</v>
      </c>
      <c r="AG175" s="52"/>
      <c r="AH175" s="51">
        <v>9.2864695046497372E-2</v>
      </c>
      <c r="AI175" s="52"/>
      <c r="AJ175" s="52"/>
      <c r="AK175" s="28">
        <v>1.833333333333333</v>
      </c>
      <c r="AL175" s="28">
        <v>2.333333333333333</v>
      </c>
      <c r="AM175" s="28">
        <v>0.5</v>
      </c>
      <c r="AN175" s="28">
        <v>2.333333333333333</v>
      </c>
      <c r="AO175" s="28">
        <v>0.26190476190476192</v>
      </c>
      <c r="AP175" s="28">
        <v>0.33333333333333343</v>
      </c>
      <c r="AQ175" s="28">
        <v>7.1428571428571425E-2</v>
      </c>
      <c r="AR175" s="28">
        <v>0.33333333333333343</v>
      </c>
      <c r="AS175" s="25">
        <v>0.95</v>
      </c>
      <c r="AT175" s="25">
        <v>3.44</v>
      </c>
      <c r="AU175" s="25">
        <v>2.4900000000000002</v>
      </c>
      <c r="AV175" s="25">
        <v>2.7024999999999988</v>
      </c>
      <c r="AW175">
        <v>2.7025000000000001</v>
      </c>
      <c r="AX175">
        <v>6.4896876145585001</v>
      </c>
      <c r="AY175" s="75">
        <v>0.47933948900870132</v>
      </c>
      <c r="AZ175" s="75"/>
      <c r="BA175" s="75"/>
      <c r="BC175">
        <v>4.6432347523248672E-2</v>
      </c>
      <c r="BF175">
        <v>9.2864695046497372E-2</v>
      </c>
      <c r="BG175">
        <v>4.6432347523248672E-2</v>
      </c>
      <c r="BH175">
        <v>0.47933948900870132</v>
      </c>
      <c r="BI175" s="79" t="s">
        <v>1264</v>
      </c>
      <c r="BJ175" s="79">
        <v>1498</v>
      </c>
      <c r="BK175" s="79">
        <f>15</f>
        <v>15</v>
      </c>
      <c r="BM175" s="79" t="s">
        <v>464</v>
      </c>
      <c r="BN175" s="79" t="s">
        <v>464</v>
      </c>
      <c r="BO175" s="79">
        <v>0</v>
      </c>
      <c r="BP175" s="79">
        <v>4</v>
      </c>
      <c r="BQ175" s="79">
        <v>2.5</v>
      </c>
      <c r="BR175" s="79">
        <v>0</v>
      </c>
      <c r="BS175" s="79" t="s">
        <v>1312</v>
      </c>
      <c r="BT175" s="79" t="s">
        <v>464</v>
      </c>
      <c r="BU175" s="79" t="s">
        <v>1266</v>
      </c>
      <c r="BV175" s="79">
        <v>400</v>
      </c>
      <c r="BZ175" s="81">
        <f>14900</f>
        <v>14900</v>
      </c>
      <c r="CA175">
        <f t="shared" si="15"/>
        <v>9.6091164919335501</v>
      </c>
    </row>
    <row r="176" spans="1:79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I176" s="2"/>
      <c r="J176" s="25"/>
      <c r="M176" s="2"/>
      <c r="N176" s="2"/>
      <c r="P176" s="2"/>
      <c r="Q176" s="2"/>
      <c r="R176" s="25"/>
      <c r="S176" s="25"/>
      <c r="T176" s="25"/>
      <c r="AA176" s="2"/>
      <c r="AC176" s="55"/>
      <c r="AD176" s="57"/>
      <c r="AE176" s="55"/>
      <c r="AF176" s="55"/>
      <c r="AG176" s="52"/>
      <c r="AH176" s="51"/>
      <c r="AI176" s="52"/>
      <c r="AJ176" s="52"/>
      <c r="AK176" s="28"/>
      <c r="AL176" s="28"/>
      <c r="AM176" s="28"/>
      <c r="AN176" s="28"/>
      <c r="AO176" s="28"/>
      <c r="AP176" s="28"/>
      <c r="AQ176" s="28"/>
      <c r="AR176" s="28"/>
      <c r="AS176" s="25"/>
      <c r="AT176" s="25"/>
      <c r="AU176" s="25"/>
      <c r="AV176" s="25"/>
      <c r="AY176" s="75"/>
      <c r="AZ176" s="75"/>
      <c r="BA176" s="75"/>
      <c r="BI176" s="79" t="s">
        <v>1264</v>
      </c>
      <c r="BJ176" s="79">
        <v>1498</v>
      </c>
      <c r="BK176" s="79">
        <f>15</f>
        <v>15</v>
      </c>
      <c r="BM176" s="79" t="s">
        <v>464</v>
      </c>
      <c r="BN176" s="79" t="s">
        <v>464</v>
      </c>
      <c r="BO176" s="79">
        <v>0</v>
      </c>
      <c r="BP176" s="79">
        <v>4</v>
      </c>
      <c r="BQ176" s="79">
        <v>2.5</v>
      </c>
      <c r="BR176" s="79">
        <v>0</v>
      </c>
      <c r="BS176" s="79" t="s">
        <v>1312</v>
      </c>
      <c r="BT176" s="79" t="s">
        <v>464</v>
      </c>
      <c r="BU176" s="79" t="s">
        <v>1266</v>
      </c>
      <c r="BV176" s="79">
        <v>400</v>
      </c>
      <c r="BZ176" s="81">
        <f>2700</f>
        <v>2700</v>
      </c>
      <c r="CA176">
        <f t="shared" si="15"/>
        <v>7.90100705199242</v>
      </c>
    </row>
    <row r="177" spans="1:79" x14ac:dyDescent="0.3">
      <c r="A177" s="2" t="s">
        <v>865</v>
      </c>
      <c r="B177" s="13"/>
      <c r="C177" s="13"/>
      <c r="D177" s="2"/>
      <c r="E177" s="2" t="s">
        <v>91</v>
      </c>
      <c r="F177" s="9"/>
      <c r="H177" s="1" t="s">
        <v>1212</v>
      </c>
      <c r="I177" s="2"/>
      <c r="J177" s="25"/>
      <c r="M177" s="2"/>
      <c r="N177" s="2"/>
      <c r="P177" s="2"/>
      <c r="Q177" s="2"/>
      <c r="R177" s="25"/>
      <c r="S177" s="25"/>
      <c r="T177" s="25"/>
      <c r="AA177" s="2"/>
      <c r="AC177" s="55"/>
      <c r="AD177" s="57"/>
      <c r="AE177" s="55"/>
      <c r="AF177" s="55"/>
      <c r="AG177" s="52"/>
      <c r="AH177" s="51"/>
      <c r="AI177" s="52"/>
      <c r="AJ177" s="52"/>
      <c r="AK177" s="28"/>
      <c r="AL177" s="28"/>
      <c r="AM177" s="28"/>
      <c r="AN177" s="28"/>
      <c r="AO177" s="28"/>
      <c r="AP177" s="28"/>
      <c r="AQ177" s="28"/>
      <c r="AR177" s="28"/>
      <c r="AS177" s="25"/>
      <c r="AT177" s="25"/>
      <c r="AU177" s="25"/>
      <c r="AV177" s="25"/>
      <c r="AY177" s="75"/>
      <c r="AZ177" s="75"/>
      <c r="BA177" s="75"/>
      <c r="BI177" s="79" t="s">
        <v>1264</v>
      </c>
      <c r="BJ177" s="79">
        <v>1498</v>
      </c>
      <c r="BK177" s="79">
        <f>15</f>
        <v>15</v>
      </c>
      <c r="BM177" s="79" t="s">
        <v>1275</v>
      </c>
      <c r="BN177" s="79" t="s">
        <v>56</v>
      </c>
      <c r="BO177" s="79">
        <v>2</v>
      </c>
      <c r="BP177" s="79">
        <v>16.7</v>
      </c>
      <c r="BQ177" s="79">
        <v>2.5</v>
      </c>
      <c r="BR177" s="79">
        <v>0</v>
      </c>
      <c r="BS177" s="79" t="s">
        <v>1312</v>
      </c>
      <c r="BT177" s="79" t="s">
        <v>464</v>
      </c>
      <c r="BU177" s="79" t="s">
        <v>1266</v>
      </c>
      <c r="BV177" s="79">
        <v>400</v>
      </c>
      <c r="BZ177" s="81">
        <f>940*2</f>
        <v>1880</v>
      </c>
      <c r="CA177">
        <f t="shared" si="15"/>
        <v>7.5390270558239951</v>
      </c>
    </row>
    <row r="178" spans="1:79" x14ac:dyDescent="0.3">
      <c r="A178" s="2" t="s">
        <v>87</v>
      </c>
      <c r="B178" s="13"/>
      <c r="C178" s="13"/>
      <c r="D178" s="2"/>
      <c r="E178" s="2" t="s">
        <v>91</v>
      </c>
      <c r="F178" s="9" t="s">
        <v>564</v>
      </c>
      <c r="I178" s="2"/>
      <c r="J178" s="25"/>
      <c r="M178" s="2"/>
      <c r="N178" s="2"/>
      <c r="P178" s="2"/>
      <c r="Q178" s="2"/>
      <c r="R178" s="25"/>
      <c r="S178" s="25"/>
      <c r="T178" s="25"/>
      <c r="AA178" s="2"/>
      <c r="AC178" s="55"/>
      <c r="AD178" s="57"/>
      <c r="AE178" s="55"/>
      <c r="AF178" s="55"/>
      <c r="AG178" s="52"/>
      <c r="AH178" s="51"/>
      <c r="AI178" s="52"/>
      <c r="AJ178" s="52"/>
      <c r="AK178" s="28"/>
      <c r="AL178" s="28"/>
      <c r="AM178" s="28"/>
      <c r="AN178" s="28"/>
      <c r="AO178" s="28"/>
      <c r="AP178" s="28"/>
      <c r="AQ178" s="28"/>
      <c r="AR178" s="28"/>
      <c r="AS178" s="25"/>
      <c r="AT178" s="25"/>
      <c r="AU178" s="25"/>
      <c r="AV178" s="25"/>
      <c r="AY178" s="75"/>
      <c r="AZ178" s="75"/>
      <c r="BA178" s="75"/>
      <c r="BI178" s="79" t="s">
        <v>1264</v>
      </c>
      <c r="BJ178" s="79">
        <v>1498</v>
      </c>
      <c r="BK178" s="79">
        <f>15</f>
        <v>15</v>
      </c>
      <c r="BM178" s="79" t="s">
        <v>1275</v>
      </c>
      <c r="BN178" s="79" t="s">
        <v>56</v>
      </c>
      <c r="BO178" s="79">
        <v>0.5</v>
      </c>
      <c r="BP178" s="79">
        <v>4.7</v>
      </c>
      <c r="BQ178" s="79">
        <v>2.5</v>
      </c>
      <c r="BR178" s="79">
        <v>0</v>
      </c>
      <c r="BS178" s="79" t="s">
        <v>1312</v>
      </c>
      <c r="BT178" s="79" t="s">
        <v>464</v>
      </c>
      <c r="BU178" s="79" t="s">
        <v>1266</v>
      </c>
      <c r="BV178" s="79">
        <v>400</v>
      </c>
      <c r="BZ178" s="81">
        <f>240*2</f>
        <v>480</v>
      </c>
      <c r="CA178">
        <f t="shared" si="15"/>
        <v>6.1737861039019366</v>
      </c>
    </row>
    <row r="179" spans="1:79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1212</v>
      </c>
      <c r="I179" s="2"/>
      <c r="J179" s="25">
        <v>0</v>
      </c>
      <c r="K179">
        <v>0</v>
      </c>
      <c r="L179">
        <v>0</v>
      </c>
      <c r="M179" s="2">
        <v>3.9499</v>
      </c>
      <c r="N179" s="2">
        <v>3.9499</v>
      </c>
      <c r="O179" s="2">
        <v>17.030999999999999</v>
      </c>
      <c r="P179" s="2" t="s">
        <v>439</v>
      </c>
      <c r="Q179" s="2"/>
      <c r="R179" s="25">
        <v>0</v>
      </c>
      <c r="S179" s="25"/>
      <c r="T179" s="25"/>
      <c r="U179">
        <v>0</v>
      </c>
      <c r="X179">
        <v>0</v>
      </c>
      <c r="AA179" s="2"/>
      <c r="AB179">
        <v>20</v>
      </c>
      <c r="AC179" s="55">
        <f t="shared" ref="AC179" si="26">M179*N179*O179</f>
        <v>265.71272318030998</v>
      </c>
      <c r="AD179" s="57">
        <v>0</v>
      </c>
      <c r="AE179" s="55">
        <v>0</v>
      </c>
      <c r="AF179" s="55">
        <v>0</v>
      </c>
      <c r="AG179" s="52"/>
      <c r="AH179" s="51"/>
      <c r="AI179" s="52"/>
      <c r="AJ179" s="52"/>
      <c r="AK179" s="28">
        <v>1.8787878787878789</v>
      </c>
      <c r="AL179" s="28">
        <v>2.4242424242424239</v>
      </c>
      <c r="AM179" s="28">
        <v>0.54545454545454541</v>
      </c>
      <c r="AN179" s="28">
        <v>2.545454545454545</v>
      </c>
      <c r="AO179" s="28">
        <v>0.25409836065573771</v>
      </c>
      <c r="AP179" s="28">
        <v>0.32786885245901642</v>
      </c>
      <c r="AQ179" s="28">
        <v>7.3770491803278687E-2</v>
      </c>
      <c r="AR179" s="28">
        <v>0.34426229508196721</v>
      </c>
      <c r="AS179" s="25">
        <v>0.82</v>
      </c>
      <c r="AT179" s="25">
        <v>3.44</v>
      </c>
      <c r="AU179" s="25">
        <v>2.62</v>
      </c>
      <c r="AV179" s="25">
        <v>2.543333333333333</v>
      </c>
      <c r="AW179">
        <v>2.5433333333333339</v>
      </c>
      <c r="AX179">
        <v>5.8398279362121217</v>
      </c>
      <c r="AY179" s="75"/>
      <c r="AZ179" s="75"/>
      <c r="BA179" s="75"/>
      <c r="BF179">
        <v>0</v>
      </c>
      <c r="BG179">
        <v>0</v>
      </c>
      <c r="BH179">
        <v>0</v>
      </c>
      <c r="BI179" s="79" t="s">
        <v>1264</v>
      </c>
      <c r="BJ179" s="79">
        <v>1473</v>
      </c>
      <c r="BK179" s="79">
        <v>10</v>
      </c>
      <c r="BM179" s="79" t="s">
        <v>1268</v>
      </c>
      <c r="BN179" s="79" t="s">
        <v>863</v>
      </c>
      <c r="BO179" s="79">
        <v>0.5</v>
      </c>
      <c r="BQ179" s="79">
        <v>1.35</v>
      </c>
      <c r="BR179" s="79">
        <v>13.5</v>
      </c>
      <c r="BS179" s="79" t="s">
        <v>464</v>
      </c>
      <c r="BT179" s="79" t="s">
        <v>464</v>
      </c>
      <c r="BU179" s="79" t="s">
        <v>1266</v>
      </c>
      <c r="BV179" s="79">
        <v>400</v>
      </c>
      <c r="BW179" s="87">
        <v>252.5</v>
      </c>
      <c r="BX179" s="87" t="s">
        <v>1311</v>
      </c>
      <c r="BZ179" s="81">
        <f>1500*2</f>
        <v>3000</v>
      </c>
      <c r="CA179">
        <f t="shared" si="15"/>
        <v>8.0063675676502459</v>
      </c>
    </row>
    <row r="180" spans="1:79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1212</v>
      </c>
      <c r="I180" s="2"/>
      <c r="J180" s="25">
        <v>0</v>
      </c>
      <c r="K180">
        <v>0</v>
      </c>
      <c r="L180">
        <v>0</v>
      </c>
      <c r="M180" s="2">
        <v>3.9499</v>
      </c>
      <c r="N180" s="2">
        <v>3.9499</v>
      </c>
      <c r="O180" s="2">
        <v>17.030999999999999</v>
      </c>
      <c r="P180" s="2" t="s">
        <v>439</v>
      </c>
      <c r="Q180" s="2"/>
      <c r="R180" s="25">
        <v>0</v>
      </c>
      <c r="S180" s="25"/>
      <c r="T180" s="25"/>
      <c r="U180">
        <v>0</v>
      </c>
      <c r="X180">
        <v>0</v>
      </c>
      <c r="AA180" s="2"/>
      <c r="AB180">
        <v>20</v>
      </c>
      <c r="AC180" s="55">
        <f t="shared" si="11"/>
        <v>265.71272318030998</v>
      </c>
      <c r="AD180" s="57">
        <v>0</v>
      </c>
      <c r="AE180" s="55">
        <v>0</v>
      </c>
      <c r="AF180" s="55">
        <v>0</v>
      </c>
      <c r="AG180" s="52"/>
      <c r="AH180" s="51"/>
      <c r="AI180" s="52"/>
      <c r="AJ180" s="52"/>
      <c r="AK180" s="28">
        <v>1.8787878787878789</v>
      </c>
      <c r="AL180" s="28">
        <v>2.4242424242424239</v>
      </c>
      <c r="AM180" s="28">
        <v>0.54545454545454541</v>
      </c>
      <c r="AN180" s="28">
        <v>2.545454545454545</v>
      </c>
      <c r="AO180" s="28">
        <v>0.25409836065573771</v>
      </c>
      <c r="AP180" s="28">
        <v>0.32786885245901642</v>
      </c>
      <c r="AQ180" s="28">
        <v>7.3770491803278687E-2</v>
      </c>
      <c r="AR180" s="28">
        <v>0.34426229508196721</v>
      </c>
      <c r="AS180" s="25">
        <v>0.82</v>
      </c>
      <c r="AT180" s="25">
        <v>3.44</v>
      </c>
      <c r="AU180" s="25">
        <v>2.62</v>
      </c>
      <c r="AV180" s="25">
        <v>2.543333333333333</v>
      </c>
      <c r="AW180">
        <v>2.5433333333333339</v>
      </c>
      <c r="AX180">
        <v>5.8398279362121217</v>
      </c>
      <c r="AY180" s="75"/>
      <c r="AZ180" s="75"/>
      <c r="BA180" s="75"/>
      <c r="BF180">
        <v>0</v>
      </c>
      <c r="BG180">
        <v>0</v>
      </c>
      <c r="BH180">
        <v>0</v>
      </c>
      <c r="BI180" s="79" t="s">
        <v>1264</v>
      </c>
      <c r="BJ180" s="79">
        <v>1473</v>
      </c>
      <c r="BK180" s="79">
        <v>10</v>
      </c>
      <c r="BM180" s="79" t="s">
        <v>1275</v>
      </c>
      <c r="BN180" s="79" t="s">
        <v>1314</v>
      </c>
      <c r="BO180" s="79">
        <v>0.5</v>
      </c>
      <c r="BQ180" s="79">
        <v>1.35</v>
      </c>
      <c r="BR180" s="79">
        <v>13.5</v>
      </c>
      <c r="BS180" s="79" t="s">
        <v>464</v>
      </c>
      <c r="BT180" s="79" t="s">
        <v>464</v>
      </c>
      <c r="BU180" s="79" t="s">
        <v>1266</v>
      </c>
      <c r="BV180" s="79">
        <v>400</v>
      </c>
      <c r="BW180" s="87">
        <v>252.5</v>
      </c>
      <c r="BX180" s="87" t="s">
        <v>1311</v>
      </c>
      <c r="BZ180" s="81">
        <v>133</v>
      </c>
      <c r="CA180">
        <f t="shared" si="15"/>
        <v>4.8903491282217537</v>
      </c>
    </row>
    <row r="181" spans="1:79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I181" s="2"/>
      <c r="J181" s="25">
        <v>1</v>
      </c>
      <c r="K181">
        <v>2</v>
      </c>
      <c r="L181">
        <v>0</v>
      </c>
      <c r="M181" s="2"/>
      <c r="N181" s="2"/>
      <c r="R181" s="25">
        <v>3.9086759899999999</v>
      </c>
      <c r="S181" s="25">
        <v>3.908676100000001</v>
      </c>
      <c r="T181" s="25">
        <v>10.552604730000001</v>
      </c>
      <c r="U181">
        <v>3.899</v>
      </c>
      <c r="V181">
        <v>3.899</v>
      </c>
      <c r="W181">
        <v>20.399989999999999</v>
      </c>
      <c r="X181">
        <v>0</v>
      </c>
      <c r="AA181" s="2"/>
      <c r="AB181">
        <v>14</v>
      </c>
      <c r="AC181" s="55">
        <f t="shared" si="11"/>
        <v>0</v>
      </c>
      <c r="AD181" s="57">
        <v>155.59136328639269</v>
      </c>
      <c r="AE181" s="55">
        <v>310.12474837798999</v>
      </c>
      <c r="AF181" s="55">
        <v>0</v>
      </c>
      <c r="AG181" s="52"/>
      <c r="AH181" s="51">
        <v>8.9979287437893268E-2</v>
      </c>
      <c r="AI181" s="52">
        <v>9.0286248183820222E-2</v>
      </c>
      <c r="AJ181" s="52"/>
      <c r="AK181" s="28">
        <v>2</v>
      </c>
      <c r="AL181" s="28">
        <v>2.333333333333333</v>
      </c>
      <c r="AM181" s="28">
        <v>0.33333333333333331</v>
      </c>
      <c r="AN181" s="28">
        <v>0</v>
      </c>
      <c r="AO181" s="28">
        <v>0.42857142857142849</v>
      </c>
      <c r="AP181" s="28">
        <v>0.5</v>
      </c>
      <c r="AQ181" s="28">
        <v>7.1428571428571425E-2</v>
      </c>
      <c r="AR181" s="28">
        <v>0</v>
      </c>
      <c r="AS181" s="25">
        <v>0.95</v>
      </c>
      <c r="AT181" s="25">
        <v>3.44</v>
      </c>
      <c r="AU181" s="25">
        <v>2.4900000000000002</v>
      </c>
      <c r="AV181" s="25">
        <v>2.500833333333333</v>
      </c>
      <c r="AW181">
        <v>2.500833333333333</v>
      </c>
      <c r="AX181">
        <v>5.6917605187500007</v>
      </c>
      <c r="AY181" s="75">
        <v>0.58499657192886345</v>
      </c>
      <c r="AZ181" s="75">
        <v>0.58699226437317098</v>
      </c>
      <c r="BA181" s="75"/>
      <c r="BC181">
        <v>4.4989643718946627E-2</v>
      </c>
      <c r="BD181">
        <v>4.5143124091910111E-2</v>
      </c>
      <c r="BF181">
        <v>9.0132767810856745E-2</v>
      </c>
      <c r="BG181">
        <v>4.5066383905428373E-2</v>
      </c>
      <c r="BH181">
        <v>0.58599441815101727</v>
      </c>
      <c r="BI181" s="79" t="s">
        <v>1264</v>
      </c>
      <c r="BJ181" s="79">
        <v>1373</v>
      </c>
      <c r="BK181" s="79">
        <v>30</v>
      </c>
      <c r="BM181" s="79" t="s">
        <v>1275</v>
      </c>
      <c r="BN181" s="79" t="s">
        <v>56</v>
      </c>
      <c r="BO181" s="79">
        <v>1</v>
      </c>
      <c r="BP181" s="79">
        <v>3.49</v>
      </c>
      <c r="BQ181" s="79">
        <v>2.11</v>
      </c>
      <c r="BR181" s="79">
        <v>0</v>
      </c>
      <c r="BS181" s="79" t="s">
        <v>464</v>
      </c>
      <c r="BT181" s="79" t="s">
        <v>464</v>
      </c>
      <c r="BU181" s="79" t="s">
        <v>1266</v>
      </c>
      <c r="BV181" s="79">
        <v>400</v>
      </c>
      <c r="BZ181" s="81">
        <v>60</v>
      </c>
      <c r="CA181">
        <f t="shared" si="15"/>
        <v>4.0943445622221004</v>
      </c>
    </row>
    <row r="182" spans="1:79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I182" s="2"/>
      <c r="J182" s="25">
        <v>1</v>
      </c>
      <c r="K182">
        <v>2</v>
      </c>
      <c r="L182">
        <v>0</v>
      </c>
      <c r="M182" s="2"/>
      <c r="N182" s="2"/>
      <c r="R182" s="25">
        <v>3.9086759899999999</v>
      </c>
      <c r="S182" s="25">
        <v>3.908676100000001</v>
      </c>
      <c r="T182" s="25">
        <v>10.552604730000001</v>
      </c>
      <c r="U182">
        <v>3.899</v>
      </c>
      <c r="V182">
        <v>3.899</v>
      </c>
      <c r="W182">
        <v>20.399989999999999</v>
      </c>
      <c r="X182">
        <v>0</v>
      </c>
      <c r="AA182" s="2"/>
      <c r="AB182">
        <v>14</v>
      </c>
      <c r="AC182" s="55">
        <f t="shared" ref="AC182:AC183" si="27">M182*N182*O182</f>
        <v>0</v>
      </c>
      <c r="AD182" s="57">
        <v>155.59136328639269</v>
      </c>
      <c r="AE182" s="55">
        <v>310.12474837798999</v>
      </c>
      <c r="AF182" s="55">
        <v>0</v>
      </c>
      <c r="AG182" s="52"/>
      <c r="AH182" s="51">
        <v>8.9979287437893268E-2</v>
      </c>
      <c r="AI182" s="52">
        <v>9.0286248183820222E-2</v>
      </c>
      <c r="AJ182" s="52"/>
      <c r="AK182" s="28">
        <v>2</v>
      </c>
      <c r="AL182" s="28">
        <v>2.333333333333333</v>
      </c>
      <c r="AM182" s="28">
        <v>0.33333333333333331</v>
      </c>
      <c r="AN182" s="28">
        <v>0</v>
      </c>
      <c r="AO182" s="28">
        <v>0.42857142857142849</v>
      </c>
      <c r="AP182" s="28">
        <v>0.5</v>
      </c>
      <c r="AQ182" s="28">
        <v>7.1428571428571425E-2</v>
      </c>
      <c r="AR182" s="28">
        <v>0</v>
      </c>
      <c r="AS182" s="25">
        <v>0.95</v>
      </c>
      <c r="AT182" s="25">
        <v>3.44</v>
      </c>
      <c r="AU182" s="25">
        <v>2.4900000000000002</v>
      </c>
      <c r="AV182" s="25">
        <v>2.500833333333333</v>
      </c>
      <c r="AW182">
        <v>2.500833333333333</v>
      </c>
      <c r="AX182">
        <v>5.6917605187500007</v>
      </c>
      <c r="AY182" s="75">
        <v>0.58499657192886345</v>
      </c>
      <c r="AZ182" s="75">
        <v>0.58699226437317098</v>
      </c>
      <c r="BA182" s="75"/>
      <c r="BC182">
        <v>4.4989643718946627E-2</v>
      </c>
      <c r="BD182">
        <v>4.5143124091910111E-2</v>
      </c>
      <c r="BF182">
        <v>9.0132767810856745E-2</v>
      </c>
      <c r="BG182">
        <v>4.5066383905428373E-2</v>
      </c>
      <c r="BH182">
        <v>0.58599441815101727</v>
      </c>
      <c r="BI182" s="79" t="s">
        <v>1305</v>
      </c>
      <c r="BJ182" s="79">
        <f>973</f>
        <v>973</v>
      </c>
      <c r="BK182" s="79">
        <v>2</v>
      </c>
      <c r="BM182" s="79" t="s">
        <v>1275</v>
      </c>
      <c r="BN182" s="79" t="s">
        <v>56</v>
      </c>
      <c r="BO182" s="79">
        <v>1</v>
      </c>
      <c r="BP182" s="79">
        <v>8.1449999999999996</v>
      </c>
      <c r="BQ182" s="79">
        <v>2.11</v>
      </c>
      <c r="BR182" s="79">
        <v>0</v>
      </c>
      <c r="BS182" s="79" t="s">
        <v>464</v>
      </c>
      <c r="BT182" s="79" t="s">
        <v>464</v>
      </c>
      <c r="BU182" s="79" t="s">
        <v>1266</v>
      </c>
      <c r="BV182" s="79">
        <v>400</v>
      </c>
      <c r="BZ182" s="81">
        <v>80</v>
      </c>
      <c r="CA182">
        <f t="shared" si="15"/>
        <v>4.3820266346738812</v>
      </c>
    </row>
    <row r="183" spans="1:79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I183" s="2"/>
      <c r="J183" s="25">
        <v>1</v>
      </c>
      <c r="K183">
        <v>2</v>
      </c>
      <c r="L183">
        <v>0</v>
      </c>
      <c r="M183" s="2"/>
      <c r="N183" s="2"/>
      <c r="R183" s="25">
        <v>3.9086759899999999</v>
      </c>
      <c r="S183" s="25">
        <v>3.908676100000001</v>
      </c>
      <c r="T183" s="25">
        <v>10.552604730000001</v>
      </c>
      <c r="U183">
        <v>3.899</v>
      </c>
      <c r="V183">
        <v>3.899</v>
      </c>
      <c r="W183">
        <v>20.399989999999999</v>
      </c>
      <c r="X183">
        <v>0</v>
      </c>
      <c r="AA183" s="2"/>
      <c r="AB183">
        <v>14</v>
      </c>
      <c r="AC183" s="55">
        <f t="shared" si="27"/>
        <v>0</v>
      </c>
      <c r="AD183" s="57">
        <v>155.59136328639269</v>
      </c>
      <c r="AE183" s="55">
        <v>310.12474837798999</v>
      </c>
      <c r="AF183" s="55">
        <v>0</v>
      </c>
      <c r="AG183" s="52"/>
      <c r="AH183" s="51">
        <v>8.9979287437893268E-2</v>
      </c>
      <c r="AI183" s="52">
        <v>9.0286248183820222E-2</v>
      </c>
      <c r="AJ183" s="52"/>
      <c r="AK183" s="28">
        <v>2</v>
      </c>
      <c r="AL183" s="28">
        <v>2.333333333333333</v>
      </c>
      <c r="AM183" s="28">
        <v>0.33333333333333331</v>
      </c>
      <c r="AN183" s="28">
        <v>0</v>
      </c>
      <c r="AO183" s="28">
        <v>0.42857142857142849</v>
      </c>
      <c r="AP183" s="28">
        <v>0.5</v>
      </c>
      <c r="AQ183" s="28">
        <v>7.1428571428571425E-2</v>
      </c>
      <c r="AR183" s="28">
        <v>0</v>
      </c>
      <c r="AS183" s="25">
        <v>0.95</v>
      </c>
      <c r="AT183" s="25">
        <v>3.44</v>
      </c>
      <c r="AU183" s="25">
        <v>2.4900000000000002</v>
      </c>
      <c r="AV183" s="25">
        <v>2.500833333333333</v>
      </c>
      <c r="AW183">
        <v>2.500833333333333</v>
      </c>
      <c r="AX183">
        <v>5.6917605187500007</v>
      </c>
      <c r="AY183" s="75">
        <v>0.58499657192886345</v>
      </c>
      <c r="AZ183" s="75">
        <v>0.58699226437317098</v>
      </c>
      <c r="BA183" s="75"/>
      <c r="BC183">
        <v>4.4989643718946627E-2</v>
      </c>
      <c r="BD183">
        <v>4.5143124091910111E-2</v>
      </c>
      <c r="BF183">
        <v>9.0132767810856745E-2</v>
      </c>
      <c r="BG183">
        <v>4.5066383905428373E-2</v>
      </c>
      <c r="BH183">
        <v>0.58599441815101727</v>
      </c>
      <c r="BI183" s="79" t="s">
        <v>1264</v>
      </c>
      <c r="BJ183" s="79">
        <v>1373</v>
      </c>
      <c r="BK183" s="79">
        <v>30</v>
      </c>
      <c r="BM183" s="79" t="s">
        <v>1275</v>
      </c>
      <c r="BN183" s="79" t="s">
        <v>56</v>
      </c>
      <c r="BO183" s="79">
        <v>3</v>
      </c>
      <c r="BP183" s="79">
        <v>3.49</v>
      </c>
      <c r="BQ183" s="79">
        <v>2.11</v>
      </c>
      <c r="BR183" s="79">
        <v>0</v>
      </c>
      <c r="BS183" s="79" t="s">
        <v>464</v>
      </c>
      <c r="BT183" s="79" t="s">
        <v>464</v>
      </c>
      <c r="BU183" s="79" t="s">
        <v>1266</v>
      </c>
      <c r="BV183" s="79">
        <v>400</v>
      </c>
      <c r="BZ183" s="81">
        <v>75</v>
      </c>
      <c r="CA183">
        <f t="shared" si="15"/>
        <v>4.3174881135363101</v>
      </c>
    </row>
    <row r="184" spans="1:79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I184" s="2"/>
      <c r="J184" s="25">
        <v>1</v>
      </c>
      <c r="K184">
        <v>2</v>
      </c>
      <c r="L184">
        <v>0</v>
      </c>
      <c r="M184" s="2"/>
      <c r="N184" s="2"/>
      <c r="R184" s="25">
        <v>3.9086759899999999</v>
      </c>
      <c r="S184" s="25">
        <v>3.908676100000001</v>
      </c>
      <c r="T184" s="25">
        <v>10.552604730000001</v>
      </c>
      <c r="U184">
        <v>3.899</v>
      </c>
      <c r="V184">
        <v>3.899</v>
      </c>
      <c r="W184">
        <v>20.399989999999999</v>
      </c>
      <c r="X184">
        <v>0</v>
      </c>
      <c r="AA184" s="2"/>
      <c r="AB184">
        <v>14</v>
      </c>
      <c r="AC184" s="55">
        <f t="shared" ref="AC184:AC185" si="28">M184*N184*O184</f>
        <v>0</v>
      </c>
      <c r="AD184" s="57">
        <v>155.59136328639269</v>
      </c>
      <c r="AE184" s="55">
        <v>310.12474837798999</v>
      </c>
      <c r="AF184" s="55">
        <v>0</v>
      </c>
      <c r="AG184" s="52"/>
      <c r="AH184" s="51">
        <v>8.9979287437893268E-2</v>
      </c>
      <c r="AI184" s="52">
        <v>9.0286248183820222E-2</v>
      </c>
      <c r="AJ184" s="52"/>
      <c r="AK184" s="28">
        <v>2</v>
      </c>
      <c r="AL184" s="28">
        <v>2.333333333333333</v>
      </c>
      <c r="AM184" s="28">
        <v>0.33333333333333331</v>
      </c>
      <c r="AN184" s="28">
        <v>0</v>
      </c>
      <c r="AO184" s="28">
        <v>0.42857142857142849</v>
      </c>
      <c r="AP184" s="28">
        <v>0.5</v>
      </c>
      <c r="AQ184" s="28">
        <v>7.1428571428571425E-2</v>
      </c>
      <c r="AR184" s="28">
        <v>0</v>
      </c>
      <c r="AS184" s="25">
        <v>0.95</v>
      </c>
      <c r="AT184" s="25">
        <v>3.44</v>
      </c>
      <c r="AU184" s="25">
        <v>2.4900000000000002</v>
      </c>
      <c r="AV184" s="25">
        <v>2.500833333333333</v>
      </c>
      <c r="AW184">
        <v>2.500833333333333</v>
      </c>
      <c r="AX184">
        <v>5.6917605187500007</v>
      </c>
      <c r="AY184" s="75">
        <v>0.58499657192886345</v>
      </c>
      <c r="AZ184" s="75">
        <v>0.58699226437317098</v>
      </c>
      <c r="BA184" s="75"/>
      <c r="BC184">
        <v>4.4989643718946627E-2</v>
      </c>
      <c r="BD184">
        <v>4.5143124091910111E-2</v>
      </c>
      <c r="BF184">
        <v>9.0132767810856745E-2</v>
      </c>
      <c r="BG184">
        <v>4.5066383905428373E-2</v>
      </c>
      <c r="BH184">
        <v>0.58599441815101727</v>
      </c>
      <c r="BI184" s="79" t="s">
        <v>1305</v>
      </c>
      <c r="BJ184" s="79">
        <f>973</f>
        <v>973</v>
      </c>
      <c r="BK184" s="79">
        <v>2</v>
      </c>
      <c r="BM184" s="79" t="s">
        <v>1275</v>
      </c>
      <c r="BN184" s="79" t="s">
        <v>56</v>
      </c>
      <c r="BO184" s="79">
        <v>3</v>
      </c>
      <c r="BP184" s="79">
        <v>8.1449999999999996</v>
      </c>
      <c r="BQ184" s="79">
        <v>2.11</v>
      </c>
      <c r="BR184" s="79">
        <v>0</v>
      </c>
      <c r="BS184" s="79" t="s">
        <v>464</v>
      </c>
      <c r="BT184" s="79" t="s">
        <v>464</v>
      </c>
      <c r="BU184" s="79" t="s">
        <v>1266</v>
      </c>
      <c r="BV184" s="79">
        <v>400</v>
      </c>
      <c r="BZ184" s="81">
        <v>145</v>
      </c>
      <c r="CA184">
        <f t="shared" si="15"/>
        <v>4.9767337424205742</v>
      </c>
    </row>
    <row r="185" spans="1:79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I185" s="2"/>
      <c r="J185" s="25">
        <v>1</v>
      </c>
      <c r="K185">
        <v>2</v>
      </c>
      <c r="L185">
        <v>0</v>
      </c>
      <c r="M185" s="2"/>
      <c r="N185" s="2"/>
      <c r="R185" s="25">
        <v>3.9086759899999999</v>
      </c>
      <c r="S185" s="25">
        <v>3.908676100000001</v>
      </c>
      <c r="T185" s="25">
        <v>10.552604730000001</v>
      </c>
      <c r="U185">
        <v>3.899</v>
      </c>
      <c r="V185">
        <v>3.899</v>
      </c>
      <c r="W185">
        <v>20.399989999999999</v>
      </c>
      <c r="X185">
        <v>0</v>
      </c>
      <c r="AA185" s="2"/>
      <c r="AB185">
        <v>14</v>
      </c>
      <c r="AC185" s="55">
        <f t="shared" si="28"/>
        <v>0</v>
      </c>
      <c r="AD185" s="57">
        <v>155.59136328639269</v>
      </c>
      <c r="AE185" s="55">
        <v>310.12474837798999</v>
      </c>
      <c r="AF185" s="55">
        <v>0</v>
      </c>
      <c r="AG185" s="52"/>
      <c r="AH185" s="51">
        <v>8.9979287437893268E-2</v>
      </c>
      <c r="AI185" s="52">
        <v>9.0286248183820222E-2</v>
      </c>
      <c r="AJ185" s="52"/>
      <c r="AK185" s="28">
        <v>2</v>
      </c>
      <c r="AL185" s="28">
        <v>2.333333333333333</v>
      </c>
      <c r="AM185" s="28">
        <v>0.33333333333333331</v>
      </c>
      <c r="AN185" s="28">
        <v>0</v>
      </c>
      <c r="AO185" s="28">
        <v>0.42857142857142849</v>
      </c>
      <c r="AP185" s="28">
        <v>0.5</v>
      </c>
      <c r="AQ185" s="28">
        <v>7.1428571428571425E-2</v>
      </c>
      <c r="AR185" s="28">
        <v>0</v>
      </c>
      <c r="AS185" s="25">
        <v>0.95</v>
      </c>
      <c r="AT185" s="25">
        <v>3.44</v>
      </c>
      <c r="AU185" s="25">
        <v>2.4900000000000002</v>
      </c>
      <c r="AV185" s="25">
        <v>2.500833333333333</v>
      </c>
      <c r="AW185">
        <v>2.500833333333333</v>
      </c>
      <c r="AX185">
        <v>5.6917605187500007</v>
      </c>
      <c r="AY185" s="75">
        <v>0.58499657192886345</v>
      </c>
      <c r="AZ185" s="75">
        <v>0.58699226437317098</v>
      </c>
      <c r="BA185" s="75"/>
      <c r="BC185">
        <v>4.4989643718946627E-2</v>
      </c>
      <c r="BD185">
        <v>4.5143124091910111E-2</v>
      </c>
      <c r="BF185">
        <v>9.0132767810856745E-2</v>
      </c>
      <c r="BG185">
        <v>4.5066383905428373E-2</v>
      </c>
      <c r="BH185">
        <v>0.58599441815101727</v>
      </c>
      <c r="BI185" s="79" t="s">
        <v>1264</v>
      </c>
      <c r="BJ185" s="79">
        <v>1373</v>
      </c>
      <c r="BK185" s="79">
        <v>30</v>
      </c>
      <c r="BM185" s="79" t="s">
        <v>1275</v>
      </c>
      <c r="BN185" s="79" t="s">
        <v>56</v>
      </c>
      <c r="BO185" s="79">
        <v>5</v>
      </c>
      <c r="BP185" s="79">
        <v>3.49</v>
      </c>
      <c r="BQ185" s="79">
        <v>2.11</v>
      </c>
      <c r="BR185" s="79">
        <v>0</v>
      </c>
      <c r="BS185" s="79" t="s">
        <v>464</v>
      </c>
      <c r="BT185" s="79" t="s">
        <v>464</v>
      </c>
      <c r="BU185" s="79" t="s">
        <v>1266</v>
      </c>
      <c r="BV185" s="79">
        <v>400</v>
      </c>
      <c r="BZ185" s="81">
        <v>86</v>
      </c>
      <c r="CA185">
        <f t="shared" si="15"/>
        <v>4.4543472962535073</v>
      </c>
    </row>
    <row r="186" spans="1:79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I186" s="2"/>
      <c r="J186" s="25">
        <v>1</v>
      </c>
      <c r="K186">
        <v>2</v>
      </c>
      <c r="L186">
        <v>0</v>
      </c>
      <c r="M186" s="2"/>
      <c r="N186" s="2"/>
      <c r="R186" s="25">
        <v>3.9086759899999999</v>
      </c>
      <c r="S186" s="25">
        <v>3.908676100000001</v>
      </c>
      <c r="T186" s="25">
        <v>10.552604730000001</v>
      </c>
      <c r="U186">
        <v>3.899</v>
      </c>
      <c r="V186">
        <v>3.899</v>
      </c>
      <c r="W186">
        <v>20.399989999999999</v>
      </c>
      <c r="X186">
        <v>0</v>
      </c>
      <c r="AA186" s="2"/>
      <c r="AB186">
        <v>14</v>
      </c>
      <c r="AC186" s="55">
        <f t="shared" ref="AC186:AC187" si="29">M186*N186*O186</f>
        <v>0</v>
      </c>
      <c r="AD186" s="57">
        <v>155.59136328639269</v>
      </c>
      <c r="AE186" s="55">
        <v>310.12474837798999</v>
      </c>
      <c r="AF186" s="55">
        <v>0</v>
      </c>
      <c r="AG186" s="52"/>
      <c r="AH186" s="51">
        <v>8.9979287437893268E-2</v>
      </c>
      <c r="AI186" s="52">
        <v>9.0286248183820222E-2</v>
      </c>
      <c r="AJ186" s="52"/>
      <c r="AK186" s="28">
        <v>2</v>
      </c>
      <c r="AL186" s="28">
        <v>2.333333333333333</v>
      </c>
      <c r="AM186" s="28">
        <v>0.33333333333333331</v>
      </c>
      <c r="AN186" s="28">
        <v>0</v>
      </c>
      <c r="AO186" s="28">
        <v>0.42857142857142849</v>
      </c>
      <c r="AP186" s="28">
        <v>0.5</v>
      </c>
      <c r="AQ186" s="28">
        <v>7.1428571428571425E-2</v>
      </c>
      <c r="AR186" s="28">
        <v>0</v>
      </c>
      <c r="AS186" s="25">
        <v>0.95</v>
      </c>
      <c r="AT186" s="25">
        <v>3.44</v>
      </c>
      <c r="AU186" s="25">
        <v>2.4900000000000002</v>
      </c>
      <c r="AV186" s="25">
        <v>2.500833333333333</v>
      </c>
      <c r="AW186">
        <v>2.500833333333333</v>
      </c>
      <c r="AX186">
        <v>5.6917605187500007</v>
      </c>
      <c r="AY186" s="75">
        <v>0.58499657192886345</v>
      </c>
      <c r="AZ186" s="75">
        <v>0.58699226437317098</v>
      </c>
      <c r="BA186" s="75"/>
      <c r="BC186">
        <v>4.4989643718946627E-2</v>
      </c>
      <c r="BD186">
        <v>4.5143124091910111E-2</v>
      </c>
      <c r="BF186">
        <v>9.0132767810856745E-2</v>
      </c>
      <c r="BG186">
        <v>4.5066383905428373E-2</v>
      </c>
      <c r="BH186">
        <v>0.58599441815101727</v>
      </c>
      <c r="BI186" s="79" t="s">
        <v>1305</v>
      </c>
      <c r="BJ186" s="79">
        <f>973</f>
        <v>973</v>
      </c>
      <c r="BK186" s="79">
        <v>2</v>
      </c>
      <c r="BM186" s="79" t="s">
        <v>1275</v>
      </c>
      <c r="BN186" s="79" t="s">
        <v>56</v>
      </c>
      <c r="BO186" s="79">
        <v>5</v>
      </c>
      <c r="BP186" s="79">
        <v>8.1449999999999996</v>
      </c>
      <c r="BQ186" s="79">
        <v>2.11</v>
      </c>
      <c r="BR186" s="79">
        <v>0</v>
      </c>
      <c r="BS186" s="79" t="s">
        <v>464</v>
      </c>
      <c r="BT186" s="79" t="s">
        <v>464</v>
      </c>
      <c r="BU186" s="79" t="s">
        <v>1266</v>
      </c>
      <c r="BV186" s="79">
        <v>400</v>
      </c>
      <c r="BZ186" s="81">
        <v>65</v>
      </c>
      <c r="CA186">
        <f t="shared" si="15"/>
        <v>4.1743872698956368</v>
      </c>
    </row>
    <row r="187" spans="1:79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I187" s="2"/>
      <c r="J187" s="25">
        <v>1</v>
      </c>
      <c r="K187">
        <v>2</v>
      </c>
      <c r="L187">
        <v>0</v>
      </c>
      <c r="M187" s="2"/>
      <c r="N187" s="2"/>
      <c r="R187" s="25">
        <v>3.9086759899999999</v>
      </c>
      <c r="S187" s="25">
        <v>3.908676100000001</v>
      </c>
      <c r="T187" s="25">
        <v>10.552604730000001</v>
      </c>
      <c r="U187">
        <v>3.899</v>
      </c>
      <c r="V187">
        <v>3.899</v>
      </c>
      <c r="W187">
        <v>20.399989999999999</v>
      </c>
      <c r="X187">
        <v>0</v>
      </c>
      <c r="AA187" s="2"/>
      <c r="AB187">
        <v>14</v>
      </c>
      <c r="AC187" s="55">
        <f t="shared" si="29"/>
        <v>0</v>
      </c>
      <c r="AD187" s="57">
        <v>155.59136328639269</v>
      </c>
      <c r="AE187" s="55">
        <v>310.12474837798999</v>
      </c>
      <c r="AF187" s="55">
        <v>0</v>
      </c>
      <c r="AG187" s="52"/>
      <c r="AH187" s="51">
        <v>8.9979287437893268E-2</v>
      </c>
      <c r="AI187" s="52">
        <v>9.0286248183820222E-2</v>
      </c>
      <c r="AJ187" s="52"/>
      <c r="AK187" s="28">
        <v>2</v>
      </c>
      <c r="AL187" s="28">
        <v>2.333333333333333</v>
      </c>
      <c r="AM187" s="28">
        <v>0.33333333333333331</v>
      </c>
      <c r="AN187" s="28">
        <v>0</v>
      </c>
      <c r="AO187" s="28">
        <v>0.42857142857142849</v>
      </c>
      <c r="AP187" s="28">
        <v>0.5</v>
      </c>
      <c r="AQ187" s="28">
        <v>7.1428571428571425E-2</v>
      </c>
      <c r="AR187" s="28">
        <v>0</v>
      </c>
      <c r="AS187" s="25">
        <v>0.95</v>
      </c>
      <c r="AT187" s="25">
        <v>3.44</v>
      </c>
      <c r="AU187" s="25">
        <v>2.4900000000000002</v>
      </c>
      <c r="AV187" s="25">
        <v>2.500833333333333</v>
      </c>
      <c r="AW187">
        <v>2.500833333333333</v>
      </c>
      <c r="AX187">
        <v>5.6917605187500007</v>
      </c>
      <c r="AY187" s="75">
        <v>0.58499657192886345</v>
      </c>
      <c r="AZ187" s="75">
        <v>0.58699226437317098</v>
      </c>
      <c r="BA187" s="75"/>
      <c r="BC187">
        <v>4.4989643718946627E-2</v>
      </c>
      <c r="BD187">
        <v>4.5143124091910111E-2</v>
      </c>
      <c r="BF187">
        <v>9.0132767810856745E-2</v>
      </c>
      <c r="BG187">
        <v>4.5066383905428373E-2</v>
      </c>
      <c r="BH187">
        <v>0.58599441815101727</v>
      </c>
      <c r="BI187" s="79" t="s">
        <v>1264</v>
      </c>
      <c r="BJ187" s="79">
        <v>1373</v>
      </c>
      <c r="BK187" s="79">
        <v>30</v>
      </c>
      <c r="BM187" s="79" t="s">
        <v>1275</v>
      </c>
      <c r="BN187" s="79" t="s">
        <v>56</v>
      </c>
      <c r="BO187" s="79">
        <v>7</v>
      </c>
      <c r="BP187" s="79">
        <v>3.49</v>
      </c>
      <c r="BQ187" s="79">
        <v>2.11</v>
      </c>
      <c r="BR187" s="79">
        <v>0</v>
      </c>
      <c r="BS187" s="79" t="s">
        <v>464</v>
      </c>
      <c r="BT187" s="79" t="s">
        <v>464</v>
      </c>
      <c r="BU187" s="79" t="s">
        <v>1266</v>
      </c>
      <c r="BV187" s="79">
        <v>400</v>
      </c>
      <c r="BZ187" s="81">
        <v>50</v>
      </c>
      <c r="CA187">
        <f t="shared" si="15"/>
        <v>3.912023005428146</v>
      </c>
    </row>
    <row r="188" spans="1:79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I188" s="2"/>
      <c r="J188" s="25">
        <v>1</v>
      </c>
      <c r="K188">
        <v>2</v>
      </c>
      <c r="L188">
        <v>0</v>
      </c>
      <c r="M188" s="2"/>
      <c r="N188" s="2"/>
      <c r="R188" s="25">
        <v>3.9086759899999999</v>
      </c>
      <c r="S188" s="25">
        <v>3.908676100000001</v>
      </c>
      <c r="T188" s="25">
        <v>10.552604730000001</v>
      </c>
      <c r="U188">
        <v>3.899</v>
      </c>
      <c r="V188">
        <v>3.899</v>
      </c>
      <c r="W188">
        <v>20.399989999999999</v>
      </c>
      <c r="X188">
        <v>0</v>
      </c>
      <c r="AA188" s="2"/>
      <c r="AB188">
        <v>14</v>
      </c>
      <c r="AC188" s="55">
        <f t="shared" ref="AC188" si="30">M188*N188*O188</f>
        <v>0</v>
      </c>
      <c r="AD188" s="57">
        <v>155.59136328639269</v>
      </c>
      <c r="AE188" s="55">
        <v>310.12474837798999</v>
      </c>
      <c r="AF188" s="55">
        <v>0</v>
      </c>
      <c r="AG188" s="52"/>
      <c r="AH188" s="51">
        <v>8.9979287437893268E-2</v>
      </c>
      <c r="AI188" s="52">
        <v>9.0286248183820222E-2</v>
      </c>
      <c r="AJ188" s="52"/>
      <c r="AK188" s="28">
        <v>2</v>
      </c>
      <c r="AL188" s="28">
        <v>2.333333333333333</v>
      </c>
      <c r="AM188" s="28">
        <v>0.33333333333333331</v>
      </c>
      <c r="AN188" s="28">
        <v>0</v>
      </c>
      <c r="AO188" s="28">
        <v>0.42857142857142849</v>
      </c>
      <c r="AP188" s="28">
        <v>0.5</v>
      </c>
      <c r="AQ188" s="28">
        <v>7.1428571428571425E-2</v>
      </c>
      <c r="AR188" s="28">
        <v>0</v>
      </c>
      <c r="AS188" s="25">
        <v>0.95</v>
      </c>
      <c r="AT188" s="25">
        <v>3.44</v>
      </c>
      <c r="AU188" s="25">
        <v>2.4900000000000002</v>
      </c>
      <c r="AV188" s="25">
        <v>2.500833333333333</v>
      </c>
      <c r="AW188">
        <v>2.500833333333333</v>
      </c>
      <c r="AX188">
        <v>5.6917605187500007</v>
      </c>
      <c r="AY188" s="75">
        <v>0.58499657192886345</v>
      </c>
      <c r="AZ188" s="75">
        <v>0.58699226437317098</v>
      </c>
      <c r="BA188" s="75"/>
      <c r="BC188">
        <v>4.4989643718946627E-2</v>
      </c>
      <c r="BD188">
        <v>4.5143124091910111E-2</v>
      </c>
      <c r="BF188">
        <v>9.0132767810856745E-2</v>
      </c>
      <c r="BG188">
        <v>4.5066383905428373E-2</v>
      </c>
      <c r="BH188">
        <v>0.58599441815101727</v>
      </c>
      <c r="BI188" s="79" t="s">
        <v>1305</v>
      </c>
      <c r="BJ188" s="79">
        <f>973</f>
        <v>973</v>
      </c>
      <c r="BK188" s="79">
        <v>2</v>
      </c>
      <c r="BM188" s="79" t="s">
        <v>1275</v>
      </c>
      <c r="BN188" s="79" t="s">
        <v>56</v>
      </c>
      <c r="BO188" s="79">
        <v>7</v>
      </c>
      <c r="BP188" s="79">
        <v>8.1449999999999996</v>
      </c>
      <c r="BQ188" s="79">
        <v>2.11</v>
      </c>
      <c r="BR188" s="79">
        <v>0</v>
      </c>
      <c r="BS188" s="79" t="s">
        <v>464</v>
      </c>
      <c r="BT188" s="79" t="s">
        <v>464</v>
      </c>
      <c r="BU188" s="79" t="s">
        <v>1266</v>
      </c>
      <c r="BV188" s="79">
        <v>400</v>
      </c>
      <c r="BZ188" s="81">
        <v>10</v>
      </c>
      <c r="CA188">
        <f t="shared" si="15"/>
        <v>2.3025850929940459</v>
      </c>
    </row>
    <row r="189" spans="1:79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I189" s="2"/>
      <c r="J189" s="25">
        <v>0</v>
      </c>
      <c r="K189">
        <v>1</v>
      </c>
      <c r="L189">
        <v>0</v>
      </c>
      <c r="M189" s="2">
        <v>3.8917999999999999</v>
      </c>
      <c r="N189" s="2">
        <v>3.8820000000000001</v>
      </c>
      <c r="O189" s="2">
        <v>36.127000000000002</v>
      </c>
      <c r="P189" s="1" t="s">
        <v>484</v>
      </c>
      <c r="Q189" s="1"/>
      <c r="R189" s="25">
        <v>0</v>
      </c>
      <c r="S189" s="25"/>
      <c r="T189" s="25"/>
      <c r="U189">
        <v>3.8715999999999999</v>
      </c>
      <c r="V189">
        <v>3.8715999999999999</v>
      </c>
      <c r="W189">
        <v>36.936999999999998</v>
      </c>
      <c r="X189">
        <v>0</v>
      </c>
      <c r="AA189" s="2">
        <v>4</v>
      </c>
      <c r="AB189">
        <v>26</v>
      </c>
      <c r="AC189" s="55">
        <f t="shared" si="11"/>
        <v>545.80554548520001</v>
      </c>
      <c r="AD189" s="57">
        <v>0</v>
      </c>
      <c r="AE189" s="55">
        <v>553.65927766671996</v>
      </c>
      <c r="AF189" s="55">
        <v>0</v>
      </c>
      <c r="AG189" s="52"/>
      <c r="AH189" s="51"/>
      <c r="AI189" s="52">
        <v>4.696028956576237E-2</v>
      </c>
      <c r="AJ189" s="52"/>
      <c r="AK189" s="28">
        <v>1.714285714285714</v>
      </c>
      <c r="AL189" s="28">
        <v>2.4761904761904758</v>
      </c>
      <c r="AM189" s="28">
        <v>0.76190476190476186</v>
      </c>
      <c r="AN189" s="28">
        <v>0</v>
      </c>
      <c r="AO189" s="28">
        <v>0.34615384615384609</v>
      </c>
      <c r="AP189" s="28">
        <v>0.5</v>
      </c>
      <c r="AQ189" s="28">
        <v>0.1538461538461538</v>
      </c>
      <c r="AR189" s="28">
        <v>0</v>
      </c>
      <c r="AS189" s="25">
        <v>0.93</v>
      </c>
      <c r="AT189" s="25">
        <v>3.44</v>
      </c>
      <c r="AU189" s="25">
        <v>2.5099999999999998</v>
      </c>
      <c r="AV189" s="25">
        <v>2.618095238095238</v>
      </c>
      <c r="AW189">
        <v>2.618095238095238</v>
      </c>
      <c r="AX189">
        <v>5.9615126490476191</v>
      </c>
      <c r="AY189" s="75"/>
      <c r="AZ189" s="75"/>
      <c r="BA189" s="75"/>
      <c r="BD189">
        <v>2.3480144782881181E-2</v>
      </c>
      <c r="BF189">
        <v>4.696028956576237E-2</v>
      </c>
      <c r="BG189">
        <v>2.3480144782881181E-2</v>
      </c>
      <c r="BH189">
        <v>0</v>
      </c>
      <c r="BI189" s="79" t="s">
        <v>1264</v>
      </c>
      <c r="BJ189" s="79">
        <v>1373</v>
      </c>
      <c r="BK189" s="79">
        <v>10</v>
      </c>
      <c r="BM189" s="79" t="s">
        <v>1268</v>
      </c>
      <c r="BN189" s="79" t="s">
        <v>863</v>
      </c>
      <c r="BO189" s="79">
        <v>1</v>
      </c>
      <c r="BP189" s="79">
        <v>4.5999999999999996</v>
      </c>
      <c r="BQ189" s="79">
        <v>2</v>
      </c>
      <c r="BR189" s="79">
        <v>20</v>
      </c>
      <c r="BS189" s="79" t="s">
        <v>464</v>
      </c>
      <c r="BT189" s="79" t="s">
        <v>464</v>
      </c>
      <c r="BU189" s="79" t="s">
        <v>1271</v>
      </c>
      <c r="BV189" s="79">
        <v>1000</v>
      </c>
      <c r="BW189" s="79">
        <v>300</v>
      </c>
      <c r="BZ189" s="81">
        <v>1355</v>
      </c>
      <c r="CA189">
        <f t="shared" si="15"/>
        <v>7.2115567333138015</v>
      </c>
    </row>
    <row r="190" spans="1:79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I190" s="2"/>
      <c r="J190" s="25">
        <v>0</v>
      </c>
      <c r="K190">
        <v>1</v>
      </c>
      <c r="L190">
        <v>0</v>
      </c>
      <c r="M190" s="2">
        <v>3.8917999999999999</v>
      </c>
      <c r="N190" s="2">
        <v>3.8820000000000001</v>
      </c>
      <c r="O190" s="2">
        <v>36.127000000000002</v>
      </c>
      <c r="P190" s="1" t="s">
        <v>484</v>
      </c>
      <c r="Q190" s="1"/>
      <c r="R190" s="25">
        <v>0</v>
      </c>
      <c r="S190" s="25"/>
      <c r="T190" s="25"/>
      <c r="U190">
        <v>3.8715999999999999</v>
      </c>
      <c r="V190">
        <v>3.8715999999999999</v>
      </c>
      <c r="W190">
        <v>36.936999999999998</v>
      </c>
      <c r="X190">
        <v>0</v>
      </c>
      <c r="AA190" s="2">
        <v>4</v>
      </c>
      <c r="AB190">
        <v>26</v>
      </c>
      <c r="AC190" s="55">
        <f t="shared" ref="AC190:AC191" si="31">M190*N190*O190</f>
        <v>545.80554548520001</v>
      </c>
      <c r="AD190" s="57">
        <v>0</v>
      </c>
      <c r="AE190" s="55">
        <v>553.65927766671996</v>
      </c>
      <c r="AF190" s="55">
        <v>0</v>
      </c>
      <c r="AG190" s="52"/>
      <c r="AH190" s="51"/>
      <c r="AI190" s="52">
        <v>4.696028956576237E-2</v>
      </c>
      <c r="AJ190" s="52"/>
      <c r="AK190" s="28">
        <v>1.714285714285714</v>
      </c>
      <c r="AL190" s="28">
        <v>2.4761904761904758</v>
      </c>
      <c r="AM190" s="28">
        <v>0.76190476190476186</v>
      </c>
      <c r="AN190" s="28">
        <v>0</v>
      </c>
      <c r="AO190" s="28">
        <v>0.34615384615384609</v>
      </c>
      <c r="AP190" s="28">
        <v>0.5</v>
      </c>
      <c r="AQ190" s="28">
        <v>0.1538461538461538</v>
      </c>
      <c r="AR190" s="28">
        <v>0</v>
      </c>
      <c r="AS190" s="25">
        <v>0.93</v>
      </c>
      <c r="AT190" s="25">
        <v>3.44</v>
      </c>
      <c r="AU190" s="25">
        <v>2.5099999999999998</v>
      </c>
      <c r="AV190" s="25">
        <v>2.618095238095238</v>
      </c>
      <c r="AW190">
        <v>2.618095238095238</v>
      </c>
      <c r="AX190">
        <v>5.9615126490476191</v>
      </c>
      <c r="AY190" s="75"/>
      <c r="AZ190" s="75"/>
      <c r="BA190" s="75"/>
      <c r="BD190">
        <v>2.3480144782881181E-2</v>
      </c>
      <c r="BF190">
        <v>4.696028956576237E-2</v>
      </c>
      <c r="BG190">
        <v>2.3480144782881181E-2</v>
      </c>
      <c r="BH190">
        <v>0</v>
      </c>
      <c r="BI190" s="79" t="s">
        <v>1264</v>
      </c>
      <c r="BJ190" s="79">
        <v>1373</v>
      </c>
      <c r="BK190" s="79">
        <v>10</v>
      </c>
      <c r="BM190" s="79" t="s">
        <v>1275</v>
      </c>
      <c r="BN190" s="79" t="s">
        <v>863</v>
      </c>
      <c r="BO190" s="79">
        <v>1</v>
      </c>
      <c r="BP190" s="79">
        <v>4.5999999999999996</v>
      </c>
      <c r="BQ190" s="79">
        <v>2</v>
      </c>
      <c r="BR190" s="79">
        <v>20</v>
      </c>
      <c r="BS190" s="79" t="s">
        <v>464</v>
      </c>
      <c r="BT190" s="79" t="s">
        <v>464</v>
      </c>
      <c r="BU190" s="79" t="s">
        <v>1271</v>
      </c>
      <c r="BV190" s="79">
        <v>1000</v>
      </c>
      <c r="BW190" s="79">
        <v>300</v>
      </c>
      <c r="BZ190" s="81">
        <v>1099</v>
      </c>
      <c r="CA190">
        <f t="shared" si="15"/>
        <v>7.0021559544036212</v>
      </c>
    </row>
    <row r="191" spans="1:79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I191" s="2"/>
      <c r="J191" s="25">
        <v>0</v>
      </c>
      <c r="K191">
        <v>1</v>
      </c>
      <c r="L191">
        <v>0</v>
      </c>
      <c r="M191" s="2">
        <v>3.8917999999999999</v>
      </c>
      <c r="N191" s="2">
        <v>3.8820000000000001</v>
      </c>
      <c r="O191" s="2">
        <v>36.127000000000002</v>
      </c>
      <c r="P191" s="1" t="s">
        <v>484</v>
      </c>
      <c r="Q191" s="1"/>
      <c r="R191" s="25">
        <v>0</v>
      </c>
      <c r="S191" s="25"/>
      <c r="T191" s="25"/>
      <c r="U191">
        <v>3.8715999999999999</v>
      </c>
      <c r="V191">
        <v>3.8715999999999999</v>
      </c>
      <c r="W191">
        <v>36.936999999999998</v>
      </c>
      <c r="X191">
        <v>0</v>
      </c>
      <c r="AA191" s="2">
        <v>4</v>
      </c>
      <c r="AB191">
        <v>26</v>
      </c>
      <c r="AC191" s="55">
        <f t="shared" si="31"/>
        <v>545.80554548520001</v>
      </c>
      <c r="AD191" s="57">
        <v>0</v>
      </c>
      <c r="AE191" s="55">
        <v>553.65927766671996</v>
      </c>
      <c r="AF191" s="55">
        <v>0</v>
      </c>
      <c r="AG191" s="52"/>
      <c r="AH191" s="51"/>
      <c r="AI191" s="52">
        <v>4.696028956576237E-2</v>
      </c>
      <c r="AJ191" s="52"/>
      <c r="AK191" s="28">
        <v>1.714285714285714</v>
      </c>
      <c r="AL191" s="28">
        <v>2.4761904761904758</v>
      </c>
      <c r="AM191" s="28">
        <v>0.76190476190476186</v>
      </c>
      <c r="AN191" s="28">
        <v>0</v>
      </c>
      <c r="AO191" s="28">
        <v>0.34615384615384609</v>
      </c>
      <c r="AP191" s="28">
        <v>0.5</v>
      </c>
      <c r="AQ191" s="28">
        <v>0.1538461538461538</v>
      </c>
      <c r="AR191" s="28">
        <v>0</v>
      </c>
      <c r="AS191" s="25">
        <v>0.93</v>
      </c>
      <c r="AT191" s="25">
        <v>3.44</v>
      </c>
      <c r="AU191" s="25">
        <v>2.5099999999999998</v>
      </c>
      <c r="AV191" s="25">
        <v>2.618095238095238</v>
      </c>
      <c r="AW191">
        <v>2.618095238095238</v>
      </c>
      <c r="AX191">
        <v>5.9615126490476191</v>
      </c>
      <c r="AY191" s="75"/>
      <c r="AZ191" s="75"/>
      <c r="BA191" s="75"/>
      <c r="BD191">
        <v>2.3480144782881181E-2</v>
      </c>
      <c r="BF191">
        <v>4.696028956576237E-2</v>
      </c>
      <c r="BG191">
        <v>2.3480144782881181E-2</v>
      </c>
      <c r="BH191">
        <v>0</v>
      </c>
      <c r="BI191" s="79" t="s">
        <v>1264</v>
      </c>
      <c r="BJ191" s="79">
        <v>1373</v>
      </c>
      <c r="BK191" s="79">
        <v>10</v>
      </c>
      <c r="BM191" s="79" t="s">
        <v>1268</v>
      </c>
      <c r="BN191" s="79" t="s">
        <v>863</v>
      </c>
      <c r="BO191" s="79">
        <v>1</v>
      </c>
      <c r="BP191" s="79">
        <v>3.9</v>
      </c>
      <c r="BQ191" s="79">
        <v>2</v>
      </c>
      <c r="BR191" s="79">
        <v>20</v>
      </c>
      <c r="BS191" s="79" t="s">
        <v>464</v>
      </c>
      <c r="BT191" s="79" t="s">
        <v>464</v>
      </c>
      <c r="BU191" s="79" t="s">
        <v>1271</v>
      </c>
      <c r="BV191" s="79">
        <v>1000</v>
      </c>
      <c r="BW191" s="79">
        <v>300</v>
      </c>
      <c r="BZ191" s="81">
        <v>835</v>
      </c>
      <c r="CA191">
        <f t="shared" si="15"/>
        <v>6.7274317248508551</v>
      </c>
    </row>
    <row r="192" spans="1:79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I192" s="2"/>
      <c r="J192" s="25">
        <v>0</v>
      </c>
      <c r="K192">
        <v>1</v>
      </c>
      <c r="L192">
        <v>0</v>
      </c>
      <c r="M192" s="2">
        <v>3.8917999999999999</v>
      </c>
      <c r="N192" s="2">
        <v>3.8820000000000001</v>
      </c>
      <c r="O192" s="2">
        <v>36.127000000000002</v>
      </c>
      <c r="P192" s="1" t="s">
        <v>484</v>
      </c>
      <c r="Q192" s="1"/>
      <c r="R192" s="25">
        <v>0</v>
      </c>
      <c r="S192" s="25"/>
      <c r="T192" s="25"/>
      <c r="U192">
        <v>3.8715999999999999</v>
      </c>
      <c r="V192">
        <v>3.8715999999999999</v>
      </c>
      <c r="W192">
        <v>36.936999999999998</v>
      </c>
      <c r="X192">
        <v>0</v>
      </c>
      <c r="AA192" s="2">
        <v>4</v>
      </c>
      <c r="AB192">
        <v>26</v>
      </c>
      <c r="AC192" s="55">
        <f t="shared" ref="AC192:AC193" si="32">M192*N192*O192</f>
        <v>545.80554548520001</v>
      </c>
      <c r="AD192" s="57">
        <v>0</v>
      </c>
      <c r="AE192" s="55">
        <v>553.65927766671996</v>
      </c>
      <c r="AF192" s="55">
        <v>0</v>
      </c>
      <c r="AG192" s="52"/>
      <c r="AH192" s="51"/>
      <c r="AI192" s="52">
        <v>4.696028956576237E-2</v>
      </c>
      <c r="AJ192" s="52"/>
      <c r="AK192" s="28">
        <v>1.714285714285714</v>
      </c>
      <c r="AL192" s="28">
        <v>2.4761904761904758</v>
      </c>
      <c r="AM192" s="28">
        <v>0.76190476190476186</v>
      </c>
      <c r="AN192" s="28">
        <v>0</v>
      </c>
      <c r="AO192" s="28">
        <v>0.34615384615384609</v>
      </c>
      <c r="AP192" s="28">
        <v>0.5</v>
      </c>
      <c r="AQ192" s="28">
        <v>0.1538461538461538</v>
      </c>
      <c r="AR192" s="28">
        <v>0</v>
      </c>
      <c r="AS192" s="25">
        <v>0.93</v>
      </c>
      <c r="AT192" s="25">
        <v>3.44</v>
      </c>
      <c r="AU192" s="25">
        <v>2.5099999999999998</v>
      </c>
      <c r="AV192" s="25">
        <v>2.618095238095238</v>
      </c>
      <c r="AW192">
        <v>2.618095238095238</v>
      </c>
      <c r="AX192">
        <v>5.9615126490476191</v>
      </c>
      <c r="AY192" s="75"/>
      <c r="AZ192" s="75"/>
      <c r="BA192" s="75"/>
      <c r="BD192">
        <v>2.3480144782881181E-2</v>
      </c>
      <c r="BF192">
        <v>4.696028956576237E-2</v>
      </c>
      <c r="BG192">
        <v>2.3480144782881181E-2</v>
      </c>
      <c r="BH192">
        <v>0</v>
      </c>
      <c r="BI192" s="79" t="s">
        <v>1264</v>
      </c>
      <c r="BJ192" s="79">
        <v>1373</v>
      </c>
      <c r="BK192" s="79">
        <v>10</v>
      </c>
      <c r="BM192" s="79" t="s">
        <v>1275</v>
      </c>
      <c r="BN192" s="79" t="s">
        <v>863</v>
      </c>
      <c r="BO192" s="79">
        <v>1</v>
      </c>
      <c r="BP192" s="79">
        <v>3.9</v>
      </c>
      <c r="BQ192" s="79">
        <v>2</v>
      </c>
      <c r="BR192" s="79">
        <v>20</v>
      </c>
      <c r="BS192" s="79" t="s">
        <v>464</v>
      </c>
      <c r="BT192" s="79" t="s">
        <v>464</v>
      </c>
      <c r="BU192" s="79" t="s">
        <v>1271</v>
      </c>
      <c r="BV192" s="79">
        <v>1000</v>
      </c>
      <c r="BW192" s="79">
        <v>300</v>
      </c>
      <c r="BZ192" s="81">
        <v>539</v>
      </c>
      <c r="CA192">
        <f t="shared" si="15"/>
        <v>6.2897155709089976</v>
      </c>
    </row>
    <row r="193" spans="1:79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I193" s="2"/>
      <c r="J193" s="25">
        <v>0</v>
      </c>
      <c r="K193">
        <v>1</v>
      </c>
      <c r="L193">
        <v>0</v>
      </c>
      <c r="M193" s="2">
        <v>3.8917999999999999</v>
      </c>
      <c r="N193" s="2">
        <v>3.8820000000000001</v>
      </c>
      <c r="O193" s="2">
        <v>36.127000000000002</v>
      </c>
      <c r="P193" s="1" t="s">
        <v>484</v>
      </c>
      <c r="Q193" s="1"/>
      <c r="R193" s="25">
        <v>0</v>
      </c>
      <c r="S193" s="25"/>
      <c r="T193" s="25"/>
      <c r="U193">
        <v>3.8715999999999999</v>
      </c>
      <c r="V193">
        <v>3.8715999999999999</v>
      </c>
      <c r="W193">
        <v>36.936999999999998</v>
      </c>
      <c r="X193">
        <v>0</v>
      </c>
      <c r="AA193" s="2">
        <v>4</v>
      </c>
      <c r="AB193">
        <v>26</v>
      </c>
      <c r="AC193" s="55">
        <f t="shared" si="32"/>
        <v>545.80554548520001</v>
      </c>
      <c r="AD193" s="57">
        <v>0</v>
      </c>
      <c r="AE193" s="55">
        <v>553.65927766671996</v>
      </c>
      <c r="AF193" s="55">
        <v>0</v>
      </c>
      <c r="AG193" s="52"/>
      <c r="AH193" s="51"/>
      <c r="AI193" s="52">
        <v>4.696028956576237E-2</v>
      </c>
      <c r="AJ193" s="52"/>
      <c r="AK193" s="28">
        <v>1.714285714285714</v>
      </c>
      <c r="AL193" s="28">
        <v>2.4761904761904758</v>
      </c>
      <c r="AM193" s="28">
        <v>0.76190476190476186</v>
      </c>
      <c r="AN193" s="28">
        <v>0</v>
      </c>
      <c r="AO193" s="28">
        <v>0.34615384615384609</v>
      </c>
      <c r="AP193" s="28">
        <v>0.5</v>
      </c>
      <c r="AQ193" s="28">
        <v>0.1538461538461538</v>
      </c>
      <c r="AR193" s="28">
        <v>0</v>
      </c>
      <c r="AS193" s="25">
        <v>0.93</v>
      </c>
      <c r="AT193" s="25">
        <v>3.44</v>
      </c>
      <c r="AU193" s="25">
        <v>2.5099999999999998</v>
      </c>
      <c r="AV193" s="25">
        <v>2.618095238095238</v>
      </c>
      <c r="AW193">
        <v>2.618095238095238</v>
      </c>
      <c r="AX193">
        <v>5.9615126490476191</v>
      </c>
      <c r="AY193" s="75"/>
      <c r="AZ193" s="75"/>
      <c r="BA193" s="75"/>
      <c r="BD193">
        <v>2.3480144782881181E-2</v>
      </c>
      <c r="BF193">
        <v>4.696028956576237E-2</v>
      </c>
      <c r="BG193">
        <v>2.3480144782881181E-2</v>
      </c>
      <c r="BH193">
        <v>0</v>
      </c>
      <c r="BI193" s="79" t="s">
        <v>1264</v>
      </c>
      <c r="BJ193" s="79">
        <v>1373</v>
      </c>
      <c r="BK193" s="79">
        <v>10</v>
      </c>
      <c r="BM193" s="79" t="s">
        <v>1268</v>
      </c>
      <c r="BN193" s="79" t="s">
        <v>863</v>
      </c>
      <c r="BO193" s="79">
        <v>1</v>
      </c>
      <c r="BP193" s="79">
        <v>1.6</v>
      </c>
      <c r="BQ193" s="79">
        <v>2</v>
      </c>
      <c r="BR193" s="79">
        <v>20</v>
      </c>
      <c r="BS193" s="79" t="s">
        <v>464</v>
      </c>
      <c r="BT193" s="79" t="s">
        <v>464</v>
      </c>
      <c r="BU193" s="79" t="s">
        <v>1271</v>
      </c>
      <c r="BV193" s="79">
        <v>1000</v>
      </c>
      <c r="BW193" s="79">
        <v>300</v>
      </c>
      <c r="BZ193" s="81">
        <v>230</v>
      </c>
      <c r="CA193">
        <f t="shared" si="15"/>
        <v>5.4380793089231956</v>
      </c>
    </row>
    <row r="194" spans="1:79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I194" s="2"/>
      <c r="J194" s="25">
        <v>0</v>
      </c>
      <c r="K194">
        <v>1</v>
      </c>
      <c r="L194">
        <v>0</v>
      </c>
      <c r="M194" s="2">
        <v>3.8917999999999999</v>
      </c>
      <c r="N194" s="2">
        <v>3.8820000000000001</v>
      </c>
      <c r="O194" s="2">
        <v>36.127000000000002</v>
      </c>
      <c r="P194" s="1" t="s">
        <v>484</v>
      </c>
      <c r="Q194" s="1"/>
      <c r="R194" s="25">
        <v>0</v>
      </c>
      <c r="S194" s="25"/>
      <c r="T194" s="25"/>
      <c r="U194">
        <v>3.8715999999999999</v>
      </c>
      <c r="V194">
        <v>3.8715999999999999</v>
      </c>
      <c r="W194">
        <v>36.936999999999998</v>
      </c>
      <c r="X194">
        <v>0</v>
      </c>
      <c r="AA194" s="2">
        <v>4</v>
      </c>
      <c r="AB194">
        <v>26</v>
      </c>
      <c r="AC194" s="55">
        <f t="shared" ref="AC194:AC195" si="33">M194*N194*O194</f>
        <v>545.80554548520001</v>
      </c>
      <c r="AD194" s="57">
        <v>0</v>
      </c>
      <c r="AE194" s="55">
        <v>553.65927766671996</v>
      </c>
      <c r="AF194" s="55">
        <v>0</v>
      </c>
      <c r="AG194" s="52"/>
      <c r="AH194" s="51"/>
      <c r="AI194" s="52">
        <v>4.696028956576237E-2</v>
      </c>
      <c r="AJ194" s="52"/>
      <c r="AK194" s="28">
        <v>1.714285714285714</v>
      </c>
      <c r="AL194" s="28">
        <v>2.4761904761904758</v>
      </c>
      <c r="AM194" s="28">
        <v>0.76190476190476186</v>
      </c>
      <c r="AN194" s="28">
        <v>0</v>
      </c>
      <c r="AO194" s="28">
        <v>0.34615384615384609</v>
      </c>
      <c r="AP194" s="28">
        <v>0.5</v>
      </c>
      <c r="AQ194" s="28">
        <v>0.1538461538461538</v>
      </c>
      <c r="AR194" s="28">
        <v>0</v>
      </c>
      <c r="AS194" s="25">
        <v>0.93</v>
      </c>
      <c r="AT194" s="25">
        <v>3.44</v>
      </c>
      <c r="AU194" s="25">
        <v>2.5099999999999998</v>
      </c>
      <c r="AV194" s="25">
        <v>2.618095238095238</v>
      </c>
      <c r="AW194">
        <v>2.618095238095238</v>
      </c>
      <c r="AX194">
        <v>5.9615126490476191</v>
      </c>
      <c r="AY194" s="75"/>
      <c r="AZ194" s="75"/>
      <c r="BA194" s="75"/>
      <c r="BD194">
        <v>2.3480144782881181E-2</v>
      </c>
      <c r="BF194">
        <v>4.696028956576237E-2</v>
      </c>
      <c r="BG194">
        <v>2.3480144782881181E-2</v>
      </c>
      <c r="BH194">
        <v>0</v>
      </c>
      <c r="BI194" s="79" t="s">
        <v>1264</v>
      </c>
      <c r="BJ194" s="79">
        <v>1373</v>
      </c>
      <c r="BK194" s="79">
        <v>10</v>
      </c>
      <c r="BM194" s="79" t="s">
        <v>1275</v>
      </c>
      <c r="BN194" s="79" t="s">
        <v>863</v>
      </c>
      <c r="BO194" s="79">
        <v>1</v>
      </c>
      <c r="BP194" s="79">
        <v>1.6</v>
      </c>
      <c r="BQ194" s="79">
        <v>2</v>
      </c>
      <c r="BR194" s="79">
        <v>20</v>
      </c>
      <c r="BS194" s="79" t="s">
        <v>464</v>
      </c>
      <c r="BT194" s="79" t="s">
        <v>464</v>
      </c>
      <c r="BU194" s="79" t="s">
        <v>1271</v>
      </c>
      <c r="BV194" s="79">
        <v>1000</v>
      </c>
      <c r="BW194" s="79">
        <v>300</v>
      </c>
      <c r="BZ194" s="81">
        <v>204</v>
      </c>
      <c r="CA194">
        <f t="shared" si="15"/>
        <v>5.3181199938442161</v>
      </c>
    </row>
    <row r="195" spans="1:79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I195" s="2"/>
      <c r="J195" s="25">
        <v>0</v>
      </c>
      <c r="K195">
        <v>1</v>
      </c>
      <c r="L195">
        <v>0</v>
      </c>
      <c r="M195" s="2">
        <v>3.8917999999999999</v>
      </c>
      <c r="N195" s="2">
        <v>3.8820000000000001</v>
      </c>
      <c r="O195" s="2">
        <v>36.127000000000002</v>
      </c>
      <c r="P195" s="1" t="s">
        <v>484</v>
      </c>
      <c r="Q195" s="1"/>
      <c r="R195" s="25">
        <v>0</v>
      </c>
      <c r="S195" s="25"/>
      <c r="T195" s="25"/>
      <c r="U195">
        <v>3.8715999999999999</v>
      </c>
      <c r="V195">
        <v>3.8715999999999999</v>
      </c>
      <c r="W195">
        <v>36.936999999999998</v>
      </c>
      <c r="X195">
        <v>0</v>
      </c>
      <c r="AA195" s="2">
        <v>4</v>
      </c>
      <c r="AB195">
        <v>26</v>
      </c>
      <c r="AC195" s="55">
        <f t="shared" si="33"/>
        <v>545.80554548520001</v>
      </c>
      <c r="AD195" s="57">
        <v>0</v>
      </c>
      <c r="AE195" s="55">
        <v>553.65927766671996</v>
      </c>
      <c r="AF195" s="55">
        <v>0</v>
      </c>
      <c r="AG195" s="52"/>
      <c r="AH195" s="51"/>
      <c r="AI195" s="52">
        <v>4.696028956576237E-2</v>
      </c>
      <c r="AJ195" s="52"/>
      <c r="AK195" s="28">
        <v>1.714285714285714</v>
      </c>
      <c r="AL195" s="28">
        <v>2.4761904761904758</v>
      </c>
      <c r="AM195" s="28">
        <v>0.76190476190476186</v>
      </c>
      <c r="AN195" s="28">
        <v>0</v>
      </c>
      <c r="AO195" s="28">
        <v>0.34615384615384609</v>
      </c>
      <c r="AP195" s="28">
        <v>0.5</v>
      </c>
      <c r="AQ195" s="28">
        <v>0.1538461538461538</v>
      </c>
      <c r="AR195" s="28">
        <v>0</v>
      </c>
      <c r="AS195" s="25">
        <v>0.93</v>
      </c>
      <c r="AT195" s="25">
        <v>3.44</v>
      </c>
      <c r="AU195" s="25">
        <v>2.5099999999999998</v>
      </c>
      <c r="AV195" s="25">
        <v>2.618095238095238</v>
      </c>
      <c r="AW195">
        <v>2.618095238095238</v>
      </c>
      <c r="AX195">
        <v>5.9615126490476191</v>
      </c>
      <c r="AY195" s="75"/>
      <c r="AZ195" s="75"/>
      <c r="BA195" s="75"/>
      <c r="BD195">
        <v>2.3480144782881181E-2</v>
      </c>
      <c r="BF195">
        <v>4.696028956576237E-2</v>
      </c>
      <c r="BG195">
        <v>2.3480144782881181E-2</v>
      </c>
      <c r="BH195">
        <v>0</v>
      </c>
      <c r="BI195" s="79" t="s">
        <v>1264</v>
      </c>
      <c r="BJ195" s="79">
        <v>1373</v>
      </c>
      <c r="BK195" s="79">
        <v>10</v>
      </c>
      <c r="BM195" s="79" t="s">
        <v>1268</v>
      </c>
      <c r="BN195" s="79" t="s">
        <v>863</v>
      </c>
      <c r="BO195" s="79">
        <v>1</v>
      </c>
      <c r="BP195" s="79">
        <v>0.36</v>
      </c>
      <c r="BQ195" s="79">
        <v>2</v>
      </c>
      <c r="BR195" s="79">
        <v>20</v>
      </c>
      <c r="BS195" s="79" t="s">
        <v>464</v>
      </c>
      <c r="BT195" s="79" t="s">
        <v>464</v>
      </c>
      <c r="BU195" s="79" t="s">
        <v>1271</v>
      </c>
      <c r="BV195" s="79">
        <v>1000</v>
      </c>
      <c r="BW195" s="79">
        <v>300</v>
      </c>
      <c r="BZ195" s="81">
        <v>447</v>
      </c>
      <c r="CA195">
        <f t="shared" ref="CA195:CA258" si="34">LN(BZ195)</f>
        <v>6.1025585946135692</v>
      </c>
    </row>
    <row r="196" spans="1:79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I196" s="2"/>
      <c r="J196" s="25">
        <v>0</v>
      </c>
      <c r="K196">
        <v>1</v>
      </c>
      <c r="L196">
        <v>0</v>
      </c>
      <c r="M196" s="2">
        <v>3.8917999999999999</v>
      </c>
      <c r="N196" s="2">
        <v>3.8820000000000001</v>
      </c>
      <c r="O196" s="2">
        <v>36.127000000000002</v>
      </c>
      <c r="P196" s="1" t="s">
        <v>484</v>
      </c>
      <c r="Q196" s="1"/>
      <c r="R196" s="25">
        <v>0</v>
      </c>
      <c r="S196" s="25"/>
      <c r="T196" s="25"/>
      <c r="U196">
        <v>3.8715999999999999</v>
      </c>
      <c r="V196">
        <v>3.8715999999999999</v>
      </c>
      <c r="W196">
        <v>36.936999999999998</v>
      </c>
      <c r="X196">
        <v>0</v>
      </c>
      <c r="AA196" s="2">
        <v>4</v>
      </c>
      <c r="AB196">
        <v>26</v>
      </c>
      <c r="AC196" s="55">
        <f t="shared" ref="AC196" si="35">M196*N196*O196</f>
        <v>545.80554548520001</v>
      </c>
      <c r="AD196" s="57">
        <v>0</v>
      </c>
      <c r="AE196" s="55">
        <v>553.65927766671996</v>
      </c>
      <c r="AF196" s="55">
        <v>0</v>
      </c>
      <c r="AG196" s="52"/>
      <c r="AH196" s="51"/>
      <c r="AI196" s="52">
        <v>4.696028956576237E-2</v>
      </c>
      <c r="AJ196" s="52"/>
      <c r="AK196" s="28">
        <v>1.714285714285714</v>
      </c>
      <c r="AL196" s="28">
        <v>2.4761904761904758</v>
      </c>
      <c r="AM196" s="28">
        <v>0.76190476190476186</v>
      </c>
      <c r="AN196" s="28">
        <v>0</v>
      </c>
      <c r="AO196" s="28">
        <v>0.34615384615384609</v>
      </c>
      <c r="AP196" s="28">
        <v>0.5</v>
      </c>
      <c r="AQ196" s="28">
        <v>0.1538461538461538</v>
      </c>
      <c r="AR196" s="28">
        <v>0</v>
      </c>
      <c r="AS196" s="25">
        <v>0.93</v>
      </c>
      <c r="AT196" s="25">
        <v>3.44</v>
      </c>
      <c r="AU196" s="25">
        <v>2.5099999999999998</v>
      </c>
      <c r="AV196" s="25">
        <v>2.618095238095238</v>
      </c>
      <c r="AW196">
        <v>2.618095238095238</v>
      </c>
      <c r="AX196">
        <v>5.9615126490476191</v>
      </c>
      <c r="AY196" s="75"/>
      <c r="AZ196" s="75"/>
      <c r="BA196" s="75"/>
      <c r="BD196">
        <v>2.3480144782881181E-2</v>
      </c>
      <c r="BF196">
        <v>4.696028956576237E-2</v>
      </c>
      <c r="BG196">
        <v>2.3480144782881181E-2</v>
      </c>
      <c r="BH196">
        <v>0</v>
      </c>
      <c r="BI196" s="79" t="s">
        <v>1264</v>
      </c>
      <c r="BJ196" s="79">
        <v>1373</v>
      </c>
      <c r="BK196" s="79">
        <v>10</v>
      </c>
      <c r="BM196" s="79" t="s">
        <v>1275</v>
      </c>
      <c r="BN196" s="79" t="s">
        <v>863</v>
      </c>
      <c r="BO196" s="79">
        <v>1</v>
      </c>
      <c r="BP196" s="79">
        <v>0.36</v>
      </c>
      <c r="BQ196" s="79">
        <v>2</v>
      </c>
      <c r="BR196" s="79">
        <v>20</v>
      </c>
      <c r="BS196" s="79" t="s">
        <v>464</v>
      </c>
      <c r="BT196" s="79" t="s">
        <v>464</v>
      </c>
      <c r="BU196" s="79" t="s">
        <v>1271</v>
      </c>
      <c r="BV196" s="79">
        <v>1000</v>
      </c>
      <c r="BW196" s="79">
        <v>300</v>
      </c>
      <c r="BZ196" s="81">
        <v>113</v>
      </c>
      <c r="CA196">
        <f t="shared" si="34"/>
        <v>4.7273878187123408</v>
      </c>
    </row>
    <row r="197" spans="1:79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I197" s="2"/>
      <c r="J197" s="25">
        <v>4</v>
      </c>
      <c r="K197">
        <v>2</v>
      </c>
      <c r="L197">
        <v>0</v>
      </c>
      <c r="M197" s="2">
        <v>5.63</v>
      </c>
      <c r="N197" s="2">
        <v>5.63</v>
      </c>
      <c r="O197" s="2">
        <v>7.9509999999999996</v>
      </c>
      <c r="P197" s="2" t="s">
        <v>485</v>
      </c>
      <c r="Q197" s="2"/>
      <c r="R197" s="25">
        <v>5.6671750000000003</v>
      </c>
      <c r="S197" s="25">
        <v>9.8157737100000002</v>
      </c>
      <c r="T197" s="25">
        <v>9.8153266899999991</v>
      </c>
      <c r="U197">
        <v>5.6200999999999999</v>
      </c>
      <c r="V197">
        <v>5.6342999999999996</v>
      </c>
      <c r="W197">
        <v>7.9375</v>
      </c>
      <c r="X197">
        <v>0</v>
      </c>
      <c r="AA197" s="2"/>
      <c r="AB197">
        <v>12</v>
      </c>
      <c r="AC197" s="55">
        <f t="shared" si="11"/>
        <v>252.02205189999998</v>
      </c>
      <c r="AD197" s="57">
        <v>515.32350958904738</v>
      </c>
      <c r="AE197" s="55">
        <v>251.3435485224438</v>
      </c>
      <c r="AF197" s="55">
        <v>0</v>
      </c>
      <c r="AG197" s="52"/>
      <c r="AH197" s="51">
        <v>9.3145371998025736E-2</v>
      </c>
      <c r="AI197" s="52">
        <v>9.5486835214538698E-2</v>
      </c>
      <c r="AJ197" s="52"/>
      <c r="AK197" s="28">
        <v>2</v>
      </c>
      <c r="AL197" s="28">
        <v>2.4</v>
      </c>
      <c r="AM197" s="28">
        <v>0.9</v>
      </c>
      <c r="AN197" s="28">
        <v>1.4</v>
      </c>
      <c r="AO197" s="28">
        <v>0.29850746268656708</v>
      </c>
      <c r="AP197" s="28">
        <v>0.35820895522388058</v>
      </c>
      <c r="AQ197" s="28">
        <v>0.1343283582089552</v>
      </c>
      <c r="AR197" s="28">
        <v>0.20895522388059701</v>
      </c>
      <c r="AS197" s="25">
        <v>0.95</v>
      </c>
      <c r="AT197" s="25">
        <v>3.44</v>
      </c>
      <c r="AU197" s="25">
        <v>2.4900000000000002</v>
      </c>
      <c r="AV197" s="25">
        <v>2.5870000000000002</v>
      </c>
      <c r="AW197">
        <v>2.5870000000000002</v>
      </c>
      <c r="AX197">
        <v>5.8948612069999999</v>
      </c>
      <c r="AY197" s="75">
        <v>0.57095915761344151</v>
      </c>
      <c r="AZ197" s="75">
        <v>0.58531177478599872</v>
      </c>
      <c r="BA197" s="75"/>
      <c r="BC197">
        <v>4.6572685999012868E-2</v>
      </c>
      <c r="BD197">
        <v>4.7743417607269342E-2</v>
      </c>
      <c r="BF197">
        <v>9.4316103606282217E-2</v>
      </c>
      <c r="BG197">
        <v>4.7158051803141102E-2</v>
      </c>
      <c r="BH197">
        <v>0.57813546619972012</v>
      </c>
      <c r="BI197" s="79" t="s">
        <v>1293</v>
      </c>
      <c r="BJ197" s="79">
        <v>1273</v>
      </c>
      <c r="BK197" s="79">
        <v>12</v>
      </c>
      <c r="BM197" s="79" t="s">
        <v>1268</v>
      </c>
      <c r="BN197" s="79" t="s">
        <v>863</v>
      </c>
      <c r="BO197" s="79">
        <v>1</v>
      </c>
      <c r="BP197" s="79">
        <v>5.3</v>
      </c>
      <c r="BQ197" s="79">
        <v>1</v>
      </c>
      <c r="BR197" s="79">
        <v>0</v>
      </c>
      <c r="BS197" s="79" t="s">
        <v>1309</v>
      </c>
      <c r="BT197" s="79" t="s">
        <v>464</v>
      </c>
      <c r="BU197" s="79" t="s">
        <v>1266</v>
      </c>
      <c r="BV197" s="79">
        <v>500</v>
      </c>
      <c r="BW197" s="79">
        <v>250</v>
      </c>
      <c r="BY197" s="79">
        <v>293</v>
      </c>
      <c r="BZ197" s="81">
        <v>200</v>
      </c>
      <c r="CA197">
        <f t="shared" si="34"/>
        <v>5.2983173665480363</v>
      </c>
    </row>
    <row r="198" spans="1:79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I198" s="2">
        <v>2</v>
      </c>
      <c r="J198" s="25">
        <v>0</v>
      </c>
      <c r="K198">
        <v>0</v>
      </c>
      <c r="L198">
        <v>0</v>
      </c>
      <c r="M198" s="2">
        <v>3.9668000000000001</v>
      </c>
      <c r="N198" s="2">
        <v>3.9668000000000001</v>
      </c>
      <c r="O198" s="2">
        <v>20.597999999999999</v>
      </c>
      <c r="P198" s="2" t="s">
        <v>440</v>
      </c>
      <c r="Q198" s="2"/>
      <c r="R198" s="25">
        <v>0</v>
      </c>
      <c r="S198" s="25"/>
      <c r="T198" s="25"/>
      <c r="U198">
        <v>0</v>
      </c>
      <c r="X198">
        <v>0</v>
      </c>
      <c r="AA198" s="2"/>
      <c r="AB198">
        <v>14</v>
      </c>
      <c r="AC198" s="55">
        <f t="shared" si="11"/>
        <v>324.11987513951999</v>
      </c>
      <c r="AD198" s="57">
        <v>0</v>
      </c>
      <c r="AE198" s="55">
        <v>0</v>
      </c>
      <c r="AF198" s="55">
        <v>0</v>
      </c>
      <c r="AG198" s="52">
        <f t="shared" ref="AG198:AG199" si="36">I198*AB198/AC198</f>
        <v>8.6387790899731698E-2</v>
      </c>
      <c r="AH198" s="51"/>
      <c r="AI198" s="52"/>
      <c r="AJ198" s="52"/>
      <c r="AK198" s="28">
        <v>2</v>
      </c>
      <c r="AL198" s="28">
        <v>2.4615384615384621</v>
      </c>
      <c r="AM198" s="28">
        <v>0.69230769230769229</v>
      </c>
      <c r="AN198" s="28">
        <v>1.0769230769230771</v>
      </c>
      <c r="AO198" s="28">
        <v>0.32098765432098758</v>
      </c>
      <c r="AP198" s="28">
        <v>0.39506172839506182</v>
      </c>
      <c r="AQ198" s="28">
        <v>0.1111111111111111</v>
      </c>
      <c r="AR198" s="28">
        <v>0.1728395061728395</v>
      </c>
      <c r="AS198" s="25">
        <v>0.95</v>
      </c>
      <c r="AT198" s="25">
        <v>3.44</v>
      </c>
      <c r="AU198" s="25">
        <v>2.4900000000000002</v>
      </c>
      <c r="AV198" s="25">
        <v>2.592307692307692</v>
      </c>
      <c r="AW198">
        <v>2.5923076923076929</v>
      </c>
      <c r="AX198">
        <v>5.9154799303846159</v>
      </c>
      <c r="AY198" s="75"/>
      <c r="AZ198" s="75"/>
      <c r="BA198" s="75"/>
      <c r="BB198">
        <v>4.3193895449865849E-2</v>
      </c>
      <c r="BF198">
        <v>8.6387790899731698E-2</v>
      </c>
      <c r="BG198">
        <v>4.3193895449865849E-2</v>
      </c>
      <c r="BH198">
        <v>0</v>
      </c>
      <c r="BI198" s="79" t="s">
        <v>1293</v>
      </c>
      <c r="BJ198" s="79">
        <v>1473</v>
      </c>
      <c r="BK198" s="79">
        <v>12</v>
      </c>
      <c r="BM198" s="79" t="s">
        <v>1268</v>
      </c>
      <c r="BN198" s="79" t="s">
        <v>863</v>
      </c>
      <c r="BO198" s="79">
        <v>1</v>
      </c>
      <c r="BP198" s="79">
        <v>21.4</v>
      </c>
      <c r="BQ198" s="79">
        <v>1</v>
      </c>
      <c r="BR198" s="79">
        <v>0</v>
      </c>
      <c r="BS198" s="79" t="s">
        <v>1309</v>
      </c>
      <c r="BT198" s="79" t="s">
        <v>464</v>
      </c>
      <c r="BU198" s="79" t="s">
        <v>1266</v>
      </c>
      <c r="BV198" s="79">
        <v>500</v>
      </c>
      <c r="BW198" s="79">
        <v>250</v>
      </c>
      <c r="BY198" s="79">
        <v>293</v>
      </c>
      <c r="BZ198" s="81">
        <v>250</v>
      </c>
      <c r="CA198">
        <f t="shared" si="34"/>
        <v>5.521460917862246</v>
      </c>
    </row>
    <row r="199" spans="1:79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I199" s="2">
        <v>1</v>
      </c>
      <c r="J199" s="25">
        <v>0</v>
      </c>
      <c r="K199">
        <v>0</v>
      </c>
      <c r="L199">
        <v>0</v>
      </c>
      <c r="M199" s="2">
        <v>3.9493</v>
      </c>
      <c r="N199" s="2">
        <v>3.9493</v>
      </c>
      <c r="O199" s="2">
        <v>12.727</v>
      </c>
      <c r="P199" s="2" t="s">
        <v>440</v>
      </c>
      <c r="Q199" s="2"/>
      <c r="R199" s="25">
        <v>0</v>
      </c>
      <c r="S199" s="25"/>
      <c r="T199" s="25"/>
      <c r="U199">
        <v>0</v>
      </c>
      <c r="X199">
        <v>0</v>
      </c>
      <c r="AA199" s="2"/>
      <c r="AB199">
        <v>16</v>
      </c>
      <c r="AC199" s="55">
        <f t="shared" si="11"/>
        <v>198.50264342623001</v>
      </c>
      <c r="AD199" s="57">
        <v>0</v>
      </c>
      <c r="AE199" s="55">
        <v>0</v>
      </c>
      <c r="AF199" s="55">
        <v>0</v>
      </c>
      <c r="AG199" s="52">
        <f t="shared" si="36"/>
        <v>8.0603460608050376E-2</v>
      </c>
      <c r="AH199" s="51"/>
      <c r="AI199" s="52"/>
      <c r="AJ199" s="52"/>
      <c r="AK199" s="28">
        <v>2</v>
      </c>
      <c r="AL199" s="28">
        <v>2.4</v>
      </c>
      <c r="AM199" s="28">
        <v>0.6</v>
      </c>
      <c r="AN199" s="28">
        <v>0.93333333333333335</v>
      </c>
      <c r="AO199" s="28">
        <v>0.33707865168539319</v>
      </c>
      <c r="AP199" s="28">
        <v>0.4044943820224719</v>
      </c>
      <c r="AQ199" s="28">
        <v>0.101123595505618</v>
      </c>
      <c r="AR199" s="28">
        <v>0.15730337078651679</v>
      </c>
      <c r="AS199" s="25">
        <v>0.95</v>
      </c>
      <c r="AT199" s="25">
        <v>3.44</v>
      </c>
      <c r="AU199" s="25">
        <v>2.4900000000000002</v>
      </c>
      <c r="AV199" s="25">
        <v>2.539333333333333</v>
      </c>
      <c r="AW199">
        <v>2.539333333333333</v>
      </c>
      <c r="AX199">
        <v>5.8209523980000002</v>
      </c>
      <c r="AY199" s="75"/>
      <c r="AZ199" s="75"/>
      <c r="BA199" s="75"/>
      <c r="BB199">
        <v>4.0301730304025188E-2</v>
      </c>
      <c r="BF199">
        <v>8.0603460608050376E-2</v>
      </c>
      <c r="BG199">
        <v>4.0301730304025188E-2</v>
      </c>
      <c r="BH199">
        <v>0</v>
      </c>
      <c r="BI199" s="79" t="s">
        <v>1293</v>
      </c>
      <c r="BJ199" s="79">
        <v>1673</v>
      </c>
      <c r="BK199" s="79">
        <v>12</v>
      </c>
      <c r="BM199" s="79" t="s">
        <v>1268</v>
      </c>
      <c r="BN199" s="79" t="s">
        <v>863</v>
      </c>
      <c r="BO199" s="79">
        <v>1</v>
      </c>
      <c r="BP199" s="79">
        <v>4.5999999999999996</v>
      </c>
      <c r="BQ199" s="79">
        <v>1</v>
      </c>
      <c r="BR199" s="79">
        <v>0</v>
      </c>
      <c r="BS199" s="79" t="s">
        <v>1309</v>
      </c>
      <c r="BT199" s="79" t="s">
        <v>464</v>
      </c>
      <c r="BU199" s="79" t="s">
        <v>1266</v>
      </c>
      <c r="BV199" s="79">
        <v>500</v>
      </c>
      <c r="BW199" s="79">
        <v>250</v>
      </c>
      <c r="BY199" s="79">
        <v>293</v>
      </c>
      <c r="BZ199" s="81">
        <v>166</v>
      </c>
      <c r="CA199">
        <f t="shared" si="34"/>
        <v>5.1119877883565437</v>
      </c>
    </row>
    <row r="200" spans="1:79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I200" s="2">
        <v>4</v>
      </c>
      <c r="J200" s="25">
        <v>0</v>
      </c>
      <c r="K200">
        <v>0</v>
      </c>
      <c r="L200">
        <v>2</v>
      </c>
      <c r="M200" s="2">
        <v>12.449</v>
      </c>
      <c r="N200" s="2">
        <v>12.449</v>
      </c>
      <c r="O200" s="5">
        <v>9.1999999999999993</v>
      </c>
      <c r="P200" s="2" t="s">
        <v>486</v>
      </c>
      <c r="Q200" s="2"/>
      <c r="R200" s="25">
        <v>0</v>
      </c>
      <c r="S200" s="25"/>
      <c r="T200" s="25"/>
      <c r="U200">
        <v>0</v>
      </c>
      <c r="X200">
        <v>0</v>
      </c>
      <c r="AA200" s="29">
        <v>3</v>
      </c>
      <c r="AB200">
        <v>28.67</v>
      </c>
      <c r="AC200" s="55">
        <f>M200*N200*O200</f>
        <v>1425.7939291999999</v>
      </c>
      <c r="AD200" s="57">
        <v>0</v>
      </c>
      <c r="AE200" s="55">
        <v>0</v>
      </c>
      <c r="AF200" s="55">
        <v>603.79999999999995</v>
      </c>
      <c r="AG200" s="52">
        <f>I200*AB200/AC200</f>
        <v>8.0432380620631433E-2</v>
      </c>
      <c r="AH200" s="51"/>
      <c r="AI200" s="52"/>
      <c r="AJ200" s="67">
        <f>L200*AB200/AF200</f>
        <v>9.4965220271613124E-2</v>
      </c>
      <c r="AK200" s="28">
        <v>1.6718155361540179</v>
      </c>
      <c r="AL200" s="28">
        <v>2.567271099171704</v>
      </c>
      <c r="AM200" s="28">
        <v>0.89545556301768525</v>
      </c>
      <c r="AN200" s="28">
        <v>0</v>
      </c>
      <c r="AO200" s="28">
        <v>0.32560167422392738</v>
      </c>
      <c r="AP200" s="28">
        <v>0.5</v>
      </c>
      <c r="AQ200" s="28">
        <v>0.17439832577607259</v>
      </c>
      <c r="AR200" s="28">
        <v>0</v>
      </c>
      <c r="AS200" s="25">
        <v>0.82</v>
      </c>
      <c r="AT200" s="25">
        <v>3.44</v>
      </c>
      <c r="AU200" s="25">
        <v>2.62</v>
      </c>
      <c r="AV200" s="25">
        <v>2.680076113722857</v>
      </c>
      <c r="AW200">
        <v>2.6800761137228561</v>
      </c>
      <c r="AX200">
        <v>6.0370190189344077</v>
      </c>
      <c r="AY200" s="75"/>
      <c r="AZ200" s="75"/>
      <c r="BA200" s="75"/>
      <c r="BB200">
        <v>4.0216190310315723E-2</v>
      </c>
      <c r="BE200">
        <v>4.7482610135806562E-2</v>
      </c>
      <c r="BF200">
        <v>8.7698800446122271E-2</v>
      </c>
      <c r="BG200">
        <v>4.3849400223061143E-2</v>
      </c>
      <c r="BH200">
        <v>0</v>
      </c>
      <c r="BI200" s="79" t="s">
        <v>1264</v>
      </c>
      <c r="BJ200" s="79">
        <v>1873</v>
      </c>
      <c r="BK200" s="79">
        <v>1</v>
      </c>
      <c r="BM200" s="79" t="s">
        <v>464</v>
      </c>
      <c r="BN200" s="79" t="s">
        <v>464</v>
      </c>
      <c r="BO200" s="79">
        <v>0</v>
      </c>
      <c r="BP200" s="79">
        <v>11.6</v>
      </c>
      <c r="BQ200" s="79">
        <v>2</v>
      </c>
      <c r="BR200" s="79">
        <v>10</v>
      </c>
      <c r="BS200" s="79" t="s">
        <v>464</v>
      </c>
      <c r="BT200" s="79" t="s">
        <v>464</v>
      </c>
      <c r="BU200" s="79" t="s">
        <v>1266</v>
      </c>
      <c r="BV200" s="79">
        <v>100</v>
      </c>
      <c r="BW200" s="79">
        <v>290</v>
      </c>
      <c r="BY200" s="79">
        <v>333</v>
      </c>
      <c r="BZ200" s="81">
        <v>0</v>
      </c>
      <c r="CA200" t="e">
        <f t="shared" si="34"/>
        <v>#NUM!</v>
      </c>
    </row>
    <row r="201" spans="1:79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2">
        <v>4</v>
      </c>
      <c r="J201" s="25">
        <v>0</v>
      </c>
      <c r="K201">
        <v>0</v>
      </c>
      <c r="L201">
        <v>0</v>
      </c>
      <c r="M201" s="2">
        <v>12.449</v>
      </c>
      <c r="N201" s="2">
        <v>12.449</v>
      </c>
      <c r="O201" s="2">
        <v>8.11</v>
      </c>
      <c r="P201" s="2"/>
      <c r="Q201" s="2"/>
      <c r="R201" s="25">
        <v>0</v>
      </c>
      <c r="S201" s="25"/>
      <c r="T201" s="25"/>
      <c r="U201">
        <v>0</v>
      </c>
      <c r="X201">
        <v>0</v>
      </c>
      <c r="AA201" s="2">
        <v>3</v>
      </c>
      <c r="AB201">
        <v>28.67</v>
      </c>
      <c r="AC201" s="55">
        <f t="shared" si="11"/>
        <v>1256.86834411</v>
      </c>
      <c r="AD201" s="57">
        <v>0</v>
      </c>
      <c r="AE201" s="55">
        <v>0</v>
      </c>
      <c r="AF201" s="55">
        <v>0</v>
      </c>
      <c r="AG201" s="52">
        <f>I201*AB201/AC201</f>
        <v>9.1242651258916035E-2</v>
      </c>
      <c r="AH201" s="51"/>
      <c r="AI201" s="52"/>
      <c r="AJ201" s="52"/>
      <c r="AK201" s="28">
        <v>1.6718155361540179</v>
      </c>
      <c r="AL201" s="28">
        <v>2.567271099171704</v>
      </c>
      <c r="AM201" s="28">
        <v>0.89545556301768525</v>
      </c>
      <c r="AN201" s="28">
        <v>0</v>
      </c>
      <c r="AO201" s="28">
        <v>0.32560167422392738</v>
      </c>
      <c r="AP201" s="28">
        <v>0.5</v>
      </c>
      <c r="AQ201" s="28">
        <v>0.17439832577607259</v>
      </c>
      <c r="AR201" s="28">
        <v>0</v>
      </c>
      <c r="AS201" s="25">
        <v>0.95</v>
      </c>
      <c r="AT201" s="25">
        <v>3.44</v>
      </c>
      <c r="AU201" s="25">
        <v>2.4900000000000002</v>
      </c>
      <c r="AV201" s="25">
        <v>2.8240385045892098</v>
      </c>
      <c r="AW201">
        <v>2.8240385045892089</v>
      </c>
      <c r="AX201">
        <v>6.533110796268315</v>
      </c>
      <c r="AY201" s="75"/>
      <c r="AZ201" s="75"/>
      <c r="BA201" s="75"/>
      <c r="BB201">
        <v>4.5621325629458018E-2</v>
      </c>
      <c r="BF201">
        <v>9.1242651258916035E-2</v>
      </c>
      <c r="BG201">
        <v>4.5621325629458018E-2</v>
      </c>
      <c r="BH201">
        <v>0</v>
      </c>
      <c r="BI201" s="79" t="s">
        <v>1264</v>
      </c>
      <c r="BJ201" s="79">
        <v>1873</v>
      </c>
      <c r="BK201" s="79">
        <v>1</v>
      </c>
      <c r="BM201" s="79" t="s">
        <v>464</v>
      </c>
      <c r="BN201" s="79" t="s">
        <v>464</v>
      </c>
      <c r="BO201" s="79">
        <v>0</v>
      </c>
      <c r="BP201" s="79">
        <v>11.72</v>
      </c>
      <c r="BQ201" s="79">
        <v>2</v>
      </c>
      <c r="BR201" s="79">
        <v>10</v>
      </c>
      <c r="BS201" s="79" t="s">
        <v>464</v>
      </c>
      <c r="BT201" s="79" t="s">
        <v>464</v>
      </c>
      <c r="BU201" s="79" t="s">
        <v>1266</v>
      </c>
      <c r="BV201" s="79">
        <v>100</v>
      </c>
      <c r="BW201" s="79">
        <v>290</v>
      </c>
      <c r="BY201" s="79">
        <v>333</v>
      </c>
      <c r="BZ201" s="81">
        <v>3348</v>
      </c>
      <c r="CA201">
        <f t="shared" si="34"/>
        <v>8.1161184316093653</v>
      </c>
    </row>
    <row r="202" spans="1:79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2">
        <v>4</v>
      </c>
      <c r="J202" s="25">
        <v>0</v>
      </c>
      <c r="K202">
        <v>0</v>
      </c>
      <c r="L202">
        <v>0</v>
      </c>
      <c r="M202" s="2">
        <v>12.449</v>
      </c>
      <c r="N202" s="2">
        <v>12.449</v>
      </c>
      <c r="O202" s="2">
        <v>8.0399999999999991</v>
      </c>
      <c r="P202" s="2"/>
      <c r="Q202" s="2"/>
      <c r="R202" s="25">
        <v>0</v>
      </c>
      <c r="S202" s="25"/>
      <c r="T202" s="25"/>
      <c r="U202">
        <v>0</v>
      </c>
      <c r="X202">
        <v>0</v>
      </c>
      <c r="AA202" s="2">
        <v>3</v>
      </c>
      <c r="AB202">
        <v>28.67</v>
      </c>
      <c r="AC202" s="55">
        <f t="shared" si="11"/>
        <v>1246.0199120399998</v>
      </c>
      <c r="AD202" s="57">
        <v>0</v>
      </c>
      <c r="AE202" s="55">
        <v>0</v>
      </c>
      <c r="AF202" s="55">
        <v>0</v>
      </c>
      <c r="AG202" s="52">
        <f>I202*AB202/AC202</f>
        <v>9.2037052451468801E-2</v>
      </c>
      <c r="AH202" s="51"/>
      <c r="AI202" s="52"/>
      <c r="AJ202" s="52"/>
      <c r="AK202" s="28">
        <v>1.6718155361540179</v>
      </c>
      <c r="AL202" s="28">
        <v>2.567271099171704</v>
      </c>
      <c r="AM202" s="28">
        <v>0.89545556301768525</v>
      </c>
      <c r="AN202" s="28">
        <v>0</v>
      </c>
      <c r="AO202" s="28">
        <v>0.32560167422392738</v>
      </c>
      <c r="AP202" s="28">
        <v>0.5</v>
      </c>
      <c r="AQ202" s="28">
        <v>0.17439832577607259</v>
      </c>
      <c r="AR202" s="28">
        <v>0</v>
      </c>
      <c r="AS202" s="25">
        <v>0.95</v>
      </c>
      <c r="AT202" s="25">
        <v>3.44</v>
      </c>
      <c r="AU202" s="25">
        <v>2.4900000000000002</v>
      </c>
      <c r="AV202" s="25">
        <v>2.8240385045892098</v>
      </c>
      <c r="AW202">
        <v>2.8240385045892089</v>
      </c>
      <c r="AX202">
        <v>6.533110796268315</v>
      </c>
      <c r="AY202" s="75"/>
      <c r="AZ202" s="75"/>
      <c r="BA202" s="75"/>
      <c r="BB202">
        <v>4.60185262257344E-2</v>
      </c>
      <c r="BF202">
        <v>9.2037052451468801E-2</v>
      </c>
      <c r="BG202">
        <v>4.60185262257344E-2</v>
      </c>
      <c r="BH202">
        <v>0</v>
      </c>
      <c r="BI202" s="79" t="s">
        <v>1264</v>
      </c>
      <c r="BJ202" s="79">
        <v>1873</v>
      </c>
      <c r="BK202" s="79">
        <v>1</v>
      </c>
      <c r="BM202" s="79" t="s">
        <v>1275</v>
      </c>
      <c r="BN202" s="79" t="s">
        <v>863</v>
      </c>
      <c r="BO202" s="79">
        <v>1.1200000000000001</v>
      </c>
      <c r="BP202" s="79">
        <v>11.64</v>
      </c>
      <c r="BQ202" s="79">
        <v>2</v>
      </c>
      <c r="BR202" s="79">
        <v>10</v>
      </c>
      <c r="BS202" s="79" t="s">
        <v>464</v>
      </c>
      <c r="BT202" s="79" t="s">
        <v>464</v>
      </c>
      <c r="BU202" s="79" t="s">
        <v>1266</v>
      </c>
      <c r="BV202" s="79">
        <v>100</v>
      </c>
      <c r="BW202" s="79">
        <v>290</v>
      </c>
      <c r="BY202" s="79">
        <v>333</v>
      </c>
      <c r="BZ202" s="81">
        <v>40179</v>
      </c>
      <c r="CA202">
        <f t="shared" si="34"/>
        <v>10.601099750055232</v>
      </c>
    </row>
    <row r="203" spans="1:79" x14ac:dyDescent="0.3">
      <c r="A203" s="2" t="s">
        <v>8</v>
      </c>
      <c r="B203" s="85" t="s">
        <v>694</v>
      </c>
      <c r="C203" s="13"/>
      <c r="D203" s="2">
        <v>3</v>
      </c>
      <c r="E203" s="2" t="s">
        <v>103</v>
      </c>
      <c r="F203" s="82" t="s">
        <v>530</v>
      </c>
      <c r="G203" t="s">
        <v>612</v>
      </c>
      <c r="I203" s="2"/>
      <c r="J203" s="25"/>
      <c r="M203" s="2"/>
      <c r="N203" s="2"/>
      <c r="O203" s="2"/>
      <c r="P203" s="2"/>
      <c r="Q203" s="2"/>
      <c r="R203" s="25"/>
      <c r="S203" s="25"/>
      <c r="T203" s="25"/>
      <c r="AA203" s="2"/>
      <c r="AC203" s="55"/>
      <c r="AD203" s="57"/>
      <c r="AE203" s="55"/>
      <c r="AF203" s="55"/>
      <c r="AG203" s="52"/>
      <c r="AH203" s="51"/>
      <c r="AI203" s="52"/>
      <c r="AJ203" s="52"/>
      <c r="AK203" s="28"/>
      <c r="AL203" s="28"/>
      <c r="AM203" s="28"/>
      <c r="AN203" s="28"/>
      <c r="AO203" s="28"/>
      <c r="AP203" s="28"/>
      <c r="AQ203" s="28"/>
      <c r="AR203" s="28"/>
      <c r="AS203" s="25"/>
      <c r="AT203" s="25"/>
      <c r="AU203" s="25"/>
      <c r="AV203" s="25"/>
      <c r="AY203" s="75"/>
      <c r="AZ203" s="75"/>
      <c r="BA203" s="75"/>
      <c r="BI203" s="79" t="s">
        <v>1290</v>
      </c>
      <c r="BM203" s="79" t="s">
        <v>464</v>
      </c>
      <c r="BN203" s="79" t="s">
        <v>464</v>
      </c>
      <c r="BO203" s="79">
        <v>0</v>
      </c>
      <c r="BP203" s="79">
        <v>49</v>
      </c>
      <c r="BQ203" s="79">
        <v>2</v>
      </c>
      <c r="BR203" s="79">
        <v>10</v>
      </c>
      <c r="BS203" s="79" t="s">
        <v>464</v>
      </c>
      <c r="BT203" s="79" t="s">
        <v>464</v>
      </c>
      <c r="BU203" s="79" t="s">
        <v>1266</v>
      </c>
      <c r="BV203" s="79">
        <v>100</v>
      </c>
      <c r="BW203" s="79">
        <v>290</v>
      </c>
      <c r="BY203" s="79">
        <v>333</v>
      </c>
      <c r="BZ203" s="81">
        <v>1116</v>
      </c>
      <c r="CA203">
        <f t="shared" si="34"/>
        <v>7.0175061429412562</v>
      </c>
    </row>
    <row r="204" spans="1:79" x14ac:dyDescent="0.3">
      <c r="A204" s="2" t="s">
        <v>8</v>
      </c>
      <c r="B204" s="85" t="s">
        <v>694</v>
      </c>
      <c r="C204" s="13"/>
      <c r="D204" s="2">
        <v>3</v>
      </c>
      <c r="E204" s="2" t="s">
        <v>103</v>
      </c>
      <c r="F204" s="82" t="s">
        <v>530</v>
      </c>
      <c r="G204" t="s">
        <v>612</v>
      </c>
      <c r="H204" s="58"/>
      <c r="I204" s="2"/>
      <c r="J204" s="25"/>
      <c r="M204" s="2"/>
      <c r="N204" s="2"/>
      <c r="O204" s="2"/>
      <c r="P204" s="2"/>
      <c r="Q204" s="2"/>
      <c r="R204" s="25"/>
      <c r="S204" s="25"/>
      <c r="T204" s="25"/>
      <c r="AA204" s="2"/>
      <c r="AC204" s="55"/>
      <c r="AD204" s="57"/>
      <c r="AE204" s="55"/>
      <c r="AF204" s="55"/>
      <c r="AG204" s="52"/>
      <c r="AH204" s="51"/>
      <c r="AI204" s="52"/>
      <c r="AJ204" s="52"/>
      <c r="AK204" s="28"/>
      <c r="AL204" s="28"/>
      <c r="AM204" s="28"/>
      <c r="AN204" s="28"/>
      <c r="AO204" s="28"/>
      <c r="AP204" s="28"/>
      <c r="AQ204" s="28"/>
      <c r="AR204" s="28"/>
      <c r="AS204" s="25"/>
      <c r="AT204" s="25"/>
      <c r="AU204" s="25"/>
      <c r="AV204" s="25"/>
      <c r="AY204" s="75"/>
      <c r="AZ204" s="75"/>
      <c r="BA204" s="75"/>
      <c r="BI204" s="79" t="s">
        <v>1290</v>
      </c>
      <c r="BM204" s="79" t="s">
        <v>1275</v>
      </c>
      <c r="BN204" s="79" t="s">
        <v>863</v>
      </c>
      <c r="BO204" s="79">
        <v>1.1200000000000001</v>
      </c>
      <c r="BP204" s="79">
        <v>49</v>
      </c>
      <c r="BQ204" s="79">
        <v>2</v>
      </c>
      <c r="BR204" s="79">
        <v>10</v>
      </c>
      <c r="BS204" s="79" t="s">
        <v>464</v>
      </c>
      <c r="BT204" s="79" t="s">
        <v>464</v>
      </c>
      <c r="BU204" s="79" t="s">
        <v>1266</v>
      </c>
      <c r="BV204" s="79">
        <v>100</v>
      </c>
      <c r="BW204" s="79">
        <v>290</v>
      </c>
      <c r="BY204" s="79">
        <v>333</v>
      </c>
      <c r="BZ204" s="81">
        <v>30134</v>
      </c>
      <c r="CA204">
        <f t="shared" si="34"/>
        <v>10.313409381361234</v>
      </c>
    </row>
    <row r="205" spans="1:79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I205" s="2"/>
      <c r="J205" s="25">
        <v>4</v>
      </c>
      <c r="K205">
        <v>4</v>
      </c>
      <c r="L205">
        <v>0</v>
      </c>
      <c r="M205" s="2"/>
      <c r="N205" s="2"/>
      <c r="O205" s="2"/>
      <c r="P205" s="2"/>
      <c r="Q205" s="2"/>
      <c r="R205" s="25">
        <v>5.452661</v>
      </c>
      <c r="S205" s="25">
        <v>5.4531499999999999</v>
      </c>
      <c r="T205" s="25">
        <v>24.558717999999999</v>
      </c>
      <c r="U205">
        <v>5.44</v>
      </c>
      <c r="V205">
        <v>5.4130000000000003</v>
      </c>
      <c r="W205">
        <v>23.74</v>
      </c>
      <c r="X205">
        <v>0</v>
      </c>
      <c r="AA205" s="2"/>
      <c r="AB205">
        <v>18</v>
      </c>
      <c r="AC205" s="55">
        <f t="shared" si="11"/>
        <v>0</v>
      </c>
      <c r="AD205" s="57">
        <v>730.23330062098216</v>
      </c>
      <c r="AE205" s="55">
        <v>699.06513280000001</v>
      </c>
      <c r="AF205" s="55">
        <v>0</v>
      </c>
      <c r="AG205" s="52"/>
      <c r="AH205" s="51">
        <v>9.8598625862134762E-2</v>
      </c>
      <c r="AI205" s="52">
        <v>0.1029946948027788</v>
      </c>
      <c r="AJ205" s="52"/>
      <c r="AK205" s="28">
        <v>2</v>
      </c>
      <c r="AL205" s="28">
        <v>3.2307692307692308</v>
      </c>
      <c r="AM205" s="28">
        <v>2.1538461538461542</v>
      </c>
      <c r="AN205" s="28">
        <v>4.3076923076923066</v>
      </c>
      <c r="AO205" s="28">
        <v>0.1710526315789474</v>
      </c>
      <c r="AP205" s="28">
        <v>0.27631578947368418</v>
      </c>
      <c r="AQ205" s="28">
        <v>0.18421052631578949</v>
      </c>
      <c r="AR205" s="28">
        <v>0.36842105263157893</v>
      </c>
      <c r="AS205" s="25">
        <v>2.02</v>
      </c>
      <c r="AT205" s="25">
        <v>3.44</v>
      </c>
      <c r="AU205" s="25">
        <v>1.42</v>
      </c>
      <c r="AV205" s="25">
        <v>3.0553846153846149</v>
      </c>
      <c r="AW205">
        <v>3.0553846153846149</v>
      </c>
      <c r="AX205">
        <v>6.5203382676923072</v>
      </c>
      <c r="AY205" s="75">
        <v>0.50518012153204694</v>
      </c>
      <c r="AZ205" s="75">
        <v>0.52770382936549109</v>
      </c>
      <c r="BA205" s="75"/>
      <c r="BC205">
        <v>4.9299312931067381E-2</v>
      </c>
      <c r="BD205">
        <v>5.1497347401389379E-2</v>
      </c>
      <c r="BF205">
        <v>0.10079666033245679</v>
      </c>
      <c r="BG205">
        <v>5.0398330166228383E-2</v>
      </c>
      <c r="BH205">
        <v>0.51644197544876902</v>
      </c>
      <c r="BI205" s="79" t="s">
        <v>1264</v>
      </c>
      <c r="BJ205" s="79">
        <v>1123</v>
      </c>
      <c r="BK205" s="79">
        <v>10</v>
      </c>
      <c r="BM205" s="79" t="s">
        <v>1268</v>
      </c>
      <c r="BN205" s="79" t="s">
        <v>863</v>
      </c>
      <c r="BO205" s="79">
        <v>1</v>
      </c>
      <c r="BQ205" s="79">
        <v>2.7</v>
      </c>
      <c r="BR205" s="79">
        <v>5.4</v>
      </c>
      <c r="BS205" s="79" t="s">
        <v>464</v>
      </c>
      <c r="BT205" s="79" t="s">
        <v>464</v>
      </c>
      <c r="BU205" s="79" t="s">
        <v>1266</v>
      </c>
      <c r="BV205" s="79">
        <v>450</v>
      </c>
      <c r="BW205" s="79">
        <v>300</v>
      </c>
      <c r="BX205" s="79" t="s">
        <v>1311</v>
      </c>
      <c r="BZ205" s="81">
        <v>18</v>
      </c>
      <c r="CA205">
        <f t="shared" si="34"/>
        <v>2.8903717578961645</v>
      </c>
    </row>
    <row r="206" spans="1:79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I206" s="2"/>
      <c r="J206" s="25">
        <v>2</v>
      </c>
      <c r="K206">
        <v>4</v>
      </c>
      <c r="L206">
        <v>0</v>
      </c>
      <c r="M206" s="2"/>
      <c r="N206" s="2"/>
      <c r="O206" s="2"/>
      <c r="P206" s="2"/>
      <c r="Q206" s="2"/>
      <c r="R206" s="25">
        <v>8.3195821399999996</v>
      </c>
      <c r="S206" s="25">
        <v>8.3195821399999996</v>
      </c>
      <c r="T206" s="25">
        <v>8.2425581700000006</v>
      </c>
      <c r="U206">
        <v>5.5339970000000003</v>
      </c>
      <c r="V206">
        <v>5.4998300000000002</v>
      </c>
      <c r="W206">
        <v>16.550709999999999</v>
      </c>
      <c r="X206">
        <v>0</v>
      </c>
      <c r="AA206" s="29">
        <v>1</v>
      </c>
      <c r="AB206">
        <v>12</v>
      </c>
      <c r="AC206" s="55">
        <f t="shared" si="11"/>
        <v>0</v>
      </c>
      <c r="AD206" s="57">
        <v>248.80917443900231</v>
      </c>
      <c r="AE206" s="55">
        <v>503.73811661477208</v>
      </c>
      <c r="AF206" s="55">
        <v>0</v>
      </c>
      <c r="AG206" s="52"/>
      <c r="AH206" s="51">
        <v>9.6459465588893734E-2</v>
      </c>
      <c r="AI206" s="52">
        <v>9.5287607621536111E-2</v>
      </c>
      <c r="AJ206" s="52"/>
      <c r="AK206" s="28">
        <v>2</v>
      </c>
      <c r="AL206" s="28">
        <v>3.333333333333333</v>
      </c>
      <c r="AM206" s="28">
        <v>2.666666666666667</v>
      </c>
      <c r="AN206" s="28">
        <v>4.666666666666667</v>
      </c>
      <c r="AO206" s="28">
        <v>0.15789473684210531</v>
      </c>
      <c r="AP206" s="28">
        <v>0.26315789473684209</v>
      </c>
      <c r="AQ206" s="28">
        <v>0.2105263157894737</v>
      </c>
      <c r="AR206" s="28">
        <v>0.36842105263157898</v>
      </c>
      <c r="AS206" s="25">
        <v>2.02</v>
      </c>
      <c r="AT206" s="25">
        <v>3.44</v>
      </c>
      <c r="AU206" s="25">
        <v>1.42</v>
      </c>
      <c r="AV206" s="25">
        <v>3.0044444444444438</v>
      </c>
      <c r="AW206">
        <v>3.0044444444444438</v>
      </c>
      <c r="AX206">
        <v>6.4228342255555546</v>
      </c>
      <c r="AY206" s="75">
        <v>0.52562348257484404</v>
      </c>
      <c r="AZ206" s="75">
        <v>0.51923783589802341</v>
      </c>
      <c r="BA206" s="75"/>
      <c r="BC206">
        <v>4.8229732794446867E-2</v>
      </c>
      <c r="BD206">
        <v>4.7643803810768062E-2</v>
      </c>
      <c r="BF206">
        <v>9.5873536605214915E-2</v>
      </c>
      <c r="BG206">
        <v>4.7936768302607458E-2</v>
      </c>
      <c r="BH206">
        <v>0.52243065923643373</v>
      </c>
      <c r="BI206" s="79" t="s">
        <v>1264</v>
      </c>
      <c r="BJ206" s="79">
        <v>1073</v>
      </c>
      <c r="BK206" s="79">
        <v>24</v>
      </c>
      <c r="BM206" s="79" t="s">
        <v>1268</v>
      </c>
      <c r="BN206" s="79" t="s">
        <v>863</v>
      </c>
      <c r="BO206" s="79">
        <v>1</v>
      </c>
      <c r="BQ206" s="79">
        <v>2.7</v>
      </c>
      <c r="BR206" s="79">
        <v>5.4</v>
      </c>
      <c r="BS206" s="79" t="s">
        <v>464</v>
      </c>
      <c r="BT206" s="79" t="s">
        <v>464</v>
      </c>
      <c r="BU206" s="79" t="s">
        <v>1266</v>
      </c>
      <c r="BV206" s="79">
        <v>450</v>
      </c>
      <c r="BW206" s="79">
        <v>300</v>
      </c>
      <c r="BX206" s="79" t="s">
        <v>1311</v>
      </c>
      <c r="BZ206" s="81">
        <v>1.6</v>
      </c>
      <c r="CA206">
        <f t="shared" si="34"/>
        <v>0.47000362924573563</v>
      </c>
    </row>
    <row r="207" spans="1:79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H207" t="s">
        <v>1163</v>
      </c>
      <c r="I207" s="2"/>
      <c r="J207" s="25">
        <v>0</v>
      </c>
      <c r="K207">
        <v>0</v>
      </c>
      <c r="L207" s="5">
        <v>2.5</v>
      </c>
      <c r="M207" s="2"/>
      <c r="N207" s="2"/>
      <c r="O207" s="2"/>
      <c r="P207" s="2"/>
      <c r="Q207" s="2"/>
      <c r="R207" s="25">
        <v>0</v>
      </c>
      <c r="S207" s="25"/>
      <c r="T207" s="25"/>
      <c r="U207">
        <v>0</v>
      </c>
      <c r="X207">
        <v>12.495799999999999</v>
      </c>
      <c r="Y207">
        <v>12.495799999999999</v>
      </c>
      <c r="Z207">
        <v>11.2464</v>
      </c>
      <c r="AA207" s="2"/>
      <c r="AB207">
        <v>54</v>
      </c>
      <c r="AC207" s="55">
        <f t="shared" si="11"/>
        <v>0</v>
      </c>
      <c r="AD207" s="57">
        <v>0</v>
      </c>
      <c r="AE207" s="55">
        <v>0</v>
      </c>
      <c r="AF207" s="55">
        <v>1756.1</v>
      </c>
      <c r="AG207" s="52"/>
      <c r="AH207" s="51"/>
      <c r="AI207" s="52"/>
      <c r="AJ207" s="67">
        <f>L207*AB207/AF207</f>
        <v>7.6874893229314969E-2</v>
      </c>
      <c r="AK207" s="28">
        <v>2</v>
      </c>
      <c r="AL207" s="28">
        <v>3.4883720930232558</v>
      </c>
      <c r="AM207" s="28">
        <v>3.441860465116279</v>
      </c>
      <c r="AN207" s="28">
        <v>5.2093023255813957</v>
      </c>
      <c r="AO207" s="28">
        <v>0.1414473684210526</v>
      </c>
      <c r="AP207" s="28">
        <v>0.24671052631578949</v>
      </c>
      <c r="AQ207" s="28">
        <v>0.2434210526315789</v>
      </c>
      <c r="AR207" s="28">
        <v>0.36842105263157898</v>
      </c>
      <c r="AS207" s="25">
        <v>2.02</v>
      </c>
      <c r="AT207" s="25">
        <v>3.44</v>
      </c>
      <c r="AU207" s="25">
        <v>1.42</v>
      </c>
      <c r="AV207" s="25">
        <v>2.927441860465116</v>
      </c>
      <c r="AW207">
        <v>2.9274418604651169</v>
      </c>
      <c r="AX207">
        <v>6.2754443944186056</v>
      </c>
      <c r="AY207" s="75"/>
      <c r="AZ207" s="75"/>
      <c r="BA207" s="75">
        <v>0</v>
      </c>
      <c r="BE207">
        <v>3.8437446614657478E-2</v>
      </c>
      <c r="BF207">
        <v>7.6874893229314969E-2</v>
      </c>
      <c r="BG207">
        <v>3.8437446614657478E-2</v>
      </c>
      <c r="BH207">
        <v>0</v>
      </c>
      <c r="BI207" s="79" t="s">
        <v>1264</v>
      </c>
      <c r="BJ207" s="79">
        <v>1073</v>
      </c>
      <c r="BK207" s="79">
        <v>20</v>
      </c>
      <c r="BM207" s="79" t="s">
        <v>1268</v>
      </c>
      <c r="BN207" s="79" t="s">
        <v>863</v>
      </c>
      <c r="BO207" s="79">
        <v>1</v>
      </c>
      <c r="BQ207" s="79">
        <v>2.7</v>
      </c>
      <c r="BR207" s="79">
        <v>5.4</v>
      </c>
      <c r="BS207" s="79" t="s">
        <v>464</v>
      </c>
      <c r="BT207" s="79" t="s">
        <v>464</v>
      </c>
      <c r="BU207" s="79" t="s">
        <v>1266</v>
      </c>
      <c r="BV207" s="79">
        <v>450</v>
      </c>
      <c r="BW207" s="79">
        <v>300</v>
      </c>
      <c r="BX207" s="79" t="s">
        <v>1311</v>
      </c>
      <c r="BZ207" s="81">
        <v>0</v>
      </c>
      <c r="CA207" t="e">
        <f t="shared" si="34"/>
        <v>#NUM!</v>
      </c>
    </row>
    <row r="208" spans="1:79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I208" s="2"/>
      <c r="J208" s="25">
        <v>2</v>
      </c>
      <c r="K208">
        <v>1</v>
      </c>
      <c r="L208">
        <v>0</v>
      </c>
      <c r="M208" s="2"/>
      <c r="N208" s="2"/>
      <c r="O208" s="2"/>
      <c r="P208" s="2"/>
      <c r="Q208" s="2"/>
      <c r="R208" s="25">
        <v>7.3631707899999999</v>
      </c>
      <c r="S208" s="25">
        <v>7.363170789999999</v>
      </c>
      <c r="T208" s="25">
        <v>7.3631707899999999</v>
      </c>
      <c r="U208">
        <v>10.359069999999999</v>
      </c>
      <c r="V208">
        <v>10.359069999999999</v>
      </c>
      <c r="W208">
        <v>10.359069999999999</v>
      </c>
      <c r="X208">
        <v>0</v>
      </c>
      <c r="AA208" s="2"/>
      <c r="AB208">
        <v>14</v>
      </c>
      <c r="AC208" s="55">
        <f t="shared" si="11"/>
        <v>0</v>
      </c>
      <c r="AD208" s="57">
        <v>282.27968527629582</v>
      </c>
      <c r="AE208" s="55">
        <v>1111.635233296287</v>
      </c>
      <c r="AF208" s="55">
        <v>0</v>
      </c>
      <c r="AG208" s="52"/>
      <c r="AH208" s="51">
        <v>9.9192401934958777E-2</v>
      </c>
      <c r="AI208" s="52">
        <v>1.2594059256727909E-2</v>
      </c>
      <c r="AJ208" s="52"/>
      <c r="AK208" s="28">
        <v>2</v>
      </c>
      <c r="AL208" s="28">
        <v>3.0909090909090908</v>
      </c>
      <c r="AM208" s="28">
        <v>2.1818181818181821</v>
      </c>
      <c r="AN208" s="28">
        <v>2.545454545454545</v>
      </c>
      <c r="AO208" s="28">
        <v>0.20370370370370369</v>
      </c>
      <c r="AP208" s="28">
        <v>0.31481481481481483</v>
      </c>
      <c r="AQ208" s="28">
        <v>0.22222222222222221</v>
      </c>
      <c r="AR208" s="28">
        <v>0.25925925925925919</v>
      </c>
      <c r="AS208" s="25">
        <v>1.54</v>
      </c>
      <c r="AT208" s="25">
        <v>3.44</v>
      </c>
      <c r="AU208" s="25">
        <v>1.9</v>
      </c>
      <c r="AV208" s="25">
        <v>2.836363636363636</v>
      </c>
      <c r="AW208">
        <v>2.836363636363636</v>
      </c>
      <c r="AX208">
        <v>6.1735094709090914</v>
      </c>
      <c r="AY208" s="75">
        <v>0.53518414174009155</v>
      </c>
      <c r="AZ208" s="75"/>
      <c r="BA208" s="75"/>
      <c r="BC208">
        <v>4.9596200967479388E-2</v>
      </c>
      <c r="BD208">
        <v>6.2970296283639581E-3</v>
      </c>
      <c r="BF208">
        <v>5.5893230595843342E-2</v>
      </c>
      <c r="BG208">
        <v>2.7946615297921671E-2</v>
      </c>
      <c r="BH208">
        <v>0.53518414174009155</v>
      </c>
      <c r="BI208" s="79" t="s">
        <v>1264</v>
      </c>
      <c r="BJ208" s="79">
        <v>1473</v>
      </c>
      <c r="BK208" s="79">
        <v>10</v>
      </c>
      <c r="BM208" s="79" t="s">
        <v>1268</v>
      </c>
      <c r="BN208" s="79" t="s">
        <v>863</v>
      </c>
      <c r="BO208" s="79">
        <v>1</v>
      </c>
      <c r="BQ208" s="79">
        <v>2.7</v>
      </c>
      <c r="BR208" s="79">
        <v>5.4</v>
      </c>
      <c r="BS208" s="79" t="s">
        <v>464</v>
      </c>
      <c r="BT208" s="79" t="s">
        <v>464</v>
      </c>
      <c r="BU208" s="79" t="s">
        <v>1266</v>
      </c>
      <c r="BV208" s="79">
        <v>450</v>
      </c>
      <c r="BW208" s="79">
        <v>300</v>
      </c>
      <c r="BX208" s="79" t="s">
        <v>1311</v>
      </c>
      <c r="BZ208" s="81">
        <v>0</v>
      </c>
      <c r="CA208" t="e">
        <f t="shared" si="34"/>
        <v>#NUM!</v>
      </c>
    </row>
    <row r="209" spans="1:7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I209" s="2"/>
      <c r="J209" s="25">
        <v>1</v>
      </c>
      <c r="K209">
        <v>4</v>
      </c>
      <c r="L209">
        <v>0</v>
      </c>
      <c r="M209" s="2"/>
      <c r="N209" s="2"/>
      <c r="O209" s="2"/>
      <c r="P209" s="2"/>
      <c r="Q209" s="2"/>
      <c r="R209" s="25">
        <v>3.86469438</v>
      </c>
      <c r="S209" s="25">
        <v>3.86469438</v>
      </c>
      <c r="T209" s="25">
        <v>16.978874730000001</v>
      </c>
      <c r="U209">
        <v>32.83</v>
      </c>
      <c r="V209">
        <v>5.4109999999999996</v>
      </c>
      <c r="W209">
        <v>5.4480000000000004</v>
      </c>
      <c r="X209">
        <v>0</v>
      </c>
      <c r="AA209" s="2"/>
      <c r="AB209">
        <v>24</v>
      </c>
      <c r="AC209" s="55">
        <f t="shared" si="11"/>
        <v>0</v>
      </c>
      <c r="AD209" s="57">
        <v>251.01098912285789</v>
      </c>
      <c r="AE209" s="55">
        <v>967.79977224000004</v>
      </c>
      <c r="AF209" s="55">
        <v>0</v>
      </c>
      <c r="AG209" s="52"/>
      <c r="AH209" s="51">
        <v>9.5613343797681868E-2</v>
      </c>
      <c r="AI209" s="52">
        <v>9.919407170122109E-2</v>
      </c>
      <c r="AJ209" s="52"/>
      <c r="AK209" s="28">
        <v>2</v>
      </c>
      <c r="AL209" s="28">
        <v>3.1578947368421049</v>
      </c>
      <c r="AM209" s="28">
        <v>2.4210526315789469</v>
      </c>
      <c r="AN209" s="28">
        <v>2.947368421052631</v>
      </c>
      <c r="AO209" s="28">
        <v>0.19</v>
      </c>
      <c r="AP209" s="28">
        <v>0.3</v>
      </c>
      <c r="AQ209" s="28">
        <v>0.23</v>
      </c>
      <c r="AR209" s="28">
        <v>0.28000000000000003</v>
      </c>
      <c r="AS209" s="25">
        <v>1.54</v>
      </c>
      <c r="AT209" s="25">
        <v>3.44</v>
      </c>
      <c r="AU209" s="25">
        <v>1.9</v>
      </c>
      <c r="AV209" s="25">
        <v>2.8410526315789468</v>
      </c>
      <c r="AW209">
        <v>2.8410526315789468</v>
      </c>
      <c r="AX209">
        <v>6.1729587136842099</v>
      </c>
      <c r="AY209" s="75">
        <v>0.52818907539878324</v>
      </c>
      <c r="AZ209" s="75">
        <v>0.54796980145127927</v>
      </c>
      <c r="BA209" s="75"/>
      <c r="BC209">
        <v>4.7806671898840941E-2</v>
      </c>
      <c r="BD209">
        <v>4.9597035850610538E-2</v>
      </c>
      <c r="BF209">
        <v>9.7403707749451479E-2</v>
      </c>
      <c r="BG209">
        <v>4.870185387472574E-2</v>
      </c>
      <c r="BH209">
        <v>0.53807943842503125</v>
      </c>
      <c r="BI209" s="79" t="s">
        <v>1264</v>
      </c>
      <c r="BJ209" s="79">
        <v>1373</v>
      </c>
      <c r="BK209" s="79">
        <v>10</v>
      </c>
      <c r="BM209" s="79" t="s">
        <v>1268</v>
      </c>
      <c r="BN209" s="79" t="s">
        <v>863</v>
      </c>
      <c r="BO209" s="79">
        <v>1</v>
      </c>
      <c r="BQ209" s="79">
        <v>2.7</v>
      </c>
      <c r="BR209" s="79">
        <v>5.4</v>
      </c>
      <c r="BS209" s="79" t="s">
        <v>464</v>
      </c>
      <c r="BT209" s="79" t="s">
        <v>464</v>
      </c>
      <c r="BU209" s="79" t="s">
        <v>1266</v>
      </c>
      <c r="BV209" s="79">
        <v>450</v>
      </c>
      <c r="BW209" s="79">
        <v>300</v>
      </c>
      <c r="BX209" s="79" t="s">
        <v>1311</v>
      </c>
      <c r="BZ209" s="81">
        <v>0.6</v>
      </c>
      <c r="CA209">
        <f t="shared" si="34"/>
        <v>-0.51082562376599072</v>
      </c>
    </row>
    <row r="210" spans="1:7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I210" s="2"/>
      <c r="J210" s="25">
        <v>1</v>
      </c>
      <c r="K210">
        <v>4</v>
      </c>
      <c r="L210">
        <v>0</v>
      </c>
      <c r="M210" s="2"/>
      <c r="N210" s="2"/>
      <c r="O210" s="2"/>
      <c r="P210" s="2"/>
      <c r="Q210" s="2"/>
      <c r="R210" s="25">
        <v>12.951407789999999</v>
      </c>
      <c r="S210" s="25">
        <v>12.951407789999999</v>
      </c>
      <c r="T210" s="25">
        <v>12.951407789999999</v>
      </c>
      <c r="U210">
        <v>5.431</v>
      </c>
      <c r="V210">
        <v>5.3890000000000002</v>
      </c>
      <c r="W210">
        <v>25.049990000000001</v>
      </c>
      <c r="X210">
        <v>0</v>
      </c>
      <c r="AA210" s="2"/>
      <c r="AB210">
        <v>18</v>
      </c>
      <c r="AC210" s="55">
        <f t="shared" si="11"/>
        <v>0</v>
      </c>
      <c r="AD210" s="57">
        <v>189.23096942123021</v>
      </c>
      <c r="AE210" s="55">
        <v>733.15456527341007</v>
      </c>
      <c r="AF210" s="55">
        <v>0</v>
      </c>
      <c r="AG210" s="52"/>
      <c r="AH210" s="51">
        <v>9.5121850588482687E-2</v>
      </c>
      <c r="AI210" s="52">
        <v>9.820575825392229E-2</v>
      </c>
      <c r="AJ210" s="52"/>
      <c r="AK210" s="28">
        <v>1.928571428571429</v>
      </c>
      <c r="AL210" s="28">
        <v>3.214285714285714</v>
      </c>
      <c r="AM210" s="28">
        <v>2.5714285714285721</v>
      </c>
      <c r="AN210" s="28">
        <v>3</v>
      </c>
      <c r="AO210" s="28">
        <v>0.18</v>
      </c>
      <c r="AP210" s="28">
        <v>0.3</v>
      </c>
      <c r="AQ210" s="28">
        <v>0.24</v>
      </c>
      <c r="AR210" s="28">
        <v>0.28000000000000003</v>
      </c>
      <c r="AS210" s="25">
        <v>1.54</v>
      </c>
      <c r="AT210" s="25">
        <v>3.44</v>
      </c>
      <c r="AU210" s="25">
        <v>1.9</v>
      </c>
      <c r="AV210" s="25">
        <v>2.8685714285714292</v>
      </c>
      <c r="AW210">
        <v>2.8685714285714292</v>
      </c>
      <c r="AX210">
        <v>6.249142824642858</v>
      </c>
      <c r="AY210" s="75">
        <v>0.5245372795477049</v>
      </c>
      <c r="AZ210" s="75">
        <v>0</v>
      </c>
      <c r="BA210" s="75"/>
      <c r="BC210">
        <v>4.756092529424135E-2</v>
      </c>
      <c r="BD210">
        <v>4.9102879126961152E-2</v>
      </c>
      <c r="BF210">
        <v>9.6663804421202482E-2</v>
      </c>
      <c r="BG210">
        <v>4.8331902210601248E-2</v>
      </c>
      <c r="BH210">
        <v>0.26226863977385251</v>
      </c>
      <c r="BI210" s="79" t="s">
        <v>1264</v>
      </c>
      <c r="BJ210" s="79">
        <v>1373</v>
      </c>
      <c r="BK210" s="79">
        <v>10</v>
      </c>
      <c r="BM210" s="79" t="s">
        <v>1268</v>
      </c>
      <c r="BN210" s="79" t="s">
        <v>863</v>
      </c>
      <c r="BO210" s="79">
        <v>1</v>
      </c>
      <c r="BQ210" s="79">
        <v>2.7</v>
      </c>
      <c r="BR210" s="79">
        <v>5.4</v>
      </c>
      <c r="BS210" s="79" t="s">
        <v>464</v>
      </c>
      <c r="BT210" s="79" t="s">
        <v>464</v>
      </c>
      <c r="BU210" s="79" t="s">
        <v>1266</v>
      </c>
      <c r="BV210" s="79">
        <v>450</v>
      </c>
      <c r="BW210" s="79">
        <v>300</v>
      </c>
      <c r="BX210" s="79" t="s">
        <v>1311</v>
      </c>
      <c r="BZ210" s="81">
        <v>33</v>
      </c>
      <c r="CA210">
        <f t="shared" si="34"/>
        <v>3.4965075614664802</v>
      </c>
    </row>
    <row r="211" spans="1:7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I211" s="2"/>
      <c r="J211" s="25">
        <v>16</v>
      </c>
      <c r="K211">
        <v>16</v>
      </c>
      <c r="L211">
        <v>0</v>
      </c>
      <c r="M211" s="2"/>
      <c r="N211" s="2"/>
      <c r="O211" s="2"/>
      <c r="P211" s="2"/>
      <c r="Q211" s="2"/>
      <c r="R211" s="25">
        <v>22.855297</v>
      </c>
      <c r="S211" s="25">
        <v>5.6559619999999997</v>
      </c>
      <c r="T211" s="25">
        <v>17.48922452</v>
      </c>
      <c r="U211">
        <v>17.24399</v>
      </c>
      <c r="V211">
        <v>22.428989999999999</v>
      </c>
      <c r="W211">
        <v>5.5860000000000003</v>
      </c>
      <c r="X211">
        <v>0</v>
      </c>
      <c r="AA211" s="2"/>
      <c r="AB211">
        <v>12</v>
      </c>
      <c r="AC211" s="55">
        <f t="shared" si="11"/>
        <v>0</v>
      </c>
      <c r="AD211" s="57">
        <v>2260.7115007974689</v>
      </c>
      <c r="AE211" s="55">
        <v>2160.393128160722</v>
      </c>
      <c r="AF211" s="55">
        <v>0</v>
      </c>
      <c r="AG211" s="52"/>
      <c r="AH211" s="51">
        <v>8.4929014574514128E-2</v>
      </c>
      <c r="AI211" s="52">
        <v>8.8872713719220939E-2</v>
      </c>
      <c r="AJ211" s="52"/>
      <c r="AK211" s="28">
        <v>1.8888888888888891</v>
      </c>
      <c r="AL211" s="28">
        <v>3.333333333333333</v>
      </c>
      <c r="AM211" s="28">
        <v>2.7777777777777781</v>
      </c>
      <c r="AN211" s="28">
        <v>3.1111111111111112</v>
      </c>
      <c r="AO211" s="28">
        <v>0.17</v>
      </c>
      <c r="AP211" s="28">
        <v>0.3</v>
      </c>
      <c r="AQ211" s="28">
        <v>0.25</v>
      </c>
      <c r="AR211" s="28">
        <v>0.28000000000000003</v>
      </c>
      <c r="AS211" s="25">
        <v>2.02</v>
      </c>
      <c r="AT211" s="25">
        <v>3.44</v>
      </c>
      <c r="AU211" s="25">
        <v>1.42</v>
      </c>
      <c r="AV211" s="25">
        <v>2.9822222222222221</v>
      </c>
      <c r="AW211">
        <v>2.9822222222222221</v>
      </c>
      <c r="AX211">
        <v>6.3761376700000003</v>
      </c>
      <c r="AY211" s="75">
        <v>0.46231169000880379</v>
      </c>
      <c r="AZ211" s="75">
        <v>0.48377924412573098</v>
      </c>
      <c r="BA211" s="75"/>
      <c r="BC211">
        <v>4.2464507287257078E-2</v>
      </c>
      <c r="BD211">
        <v>4.4436356859610462E-2</v>
      </c>
      <c r="BF211">
        <v>8.690086414686754E-2</v>
      </c>
      <c r="BG211">
        <v>4.345043207343377E-2</v>
      </c>
      <c r="BH211">
        <v>0.47304546706726741</v>
      </c>
      <c r="BI211" s="79" t="s">
        <v>1290</v>
      </c>
      <c r="BM211" s="79" t="s">
        <v>1268</v>
      </c>
      <c r="BN211" s="79" t="s">
        <v>863</v>
      </c>
      <c r="BO211" s="79">
        <v>1</v>
      </c>
      <c r="BQ211" s="79">
        <v>2.7</v>
      </c>
      <c r="BR211" s="79">
        <v>5.4</v>
      </c>
      <c r="BS211" s="79" t="s">
        <v>464</v>
      </c>
      <c r="BT211" s="79" t="s">
        <v>464</v>
      </c>
      <c r="BU211" s="79" t="s">
        <v>1266</v>
      </c>
      <c r="BV211" s="79">
        <v>450</v>
      </c>
      <c r="BW211" s="79">
        <v>300</v>
      </c>
      <c r="BX211" s="79" t="s">
        <v>1311</v>
      </c>
      <c r="BZ211" s="81">
        <v>0.01</v>
      </c>
      <c r="CA211">
        <f t="shared" si="34"/>
        <v>-4.6051701859880909</v>
      </c>
    </row>
    <row r="212" spans="1:7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I212" s="2"/>
      <c r="J212" s="25">
        <v>1</v>
      </c>
      <c r="K212">
        <v>1</v>
      </c>
      <c r="L212">
        <v>0</v>
      </c>
      <c r="M212" s="2"/>
      <c r="N212" s="2"/>
      <c r="O212" s="2"/>
      <c r="P212" s="2"/>
      <c r="Q212" s="2"/>
      <c r="R212" s="25">
        <v>20.551678089999999</v>
      </c>
      <c r="S212" s="25">
        <v>20.551678089999999</v>
      </c>
      <c r="T212" s="25">
        <v>20.551678089999999</v>
      </c>
      <c r="U212">
        <v>41.856999999999999</v>
      </c>
      <c r="V212">
        <v>5.4550999999999998</v>
      </c>
      <c r="W212">
        <v>5.468</v>
      </c>
      <c r="X212">
        <v>0</v>
      </c>
      <c r="AA212" s="2"/>
      <c r="AB212">
        <v>30</v>
      </c>
      <c r="AC212" s="55">
        <f t="shared" ref="AC212:AC295" si="37">M212*N212*O212</f>
        <v>0</v>
      </c>
      <c r="AD212" s="57">
        <v>309.59189648929049</v>
      </c>
      <c r="AE212" s="55">
        <v>1248.5309719876</v>
      </c>
      <c r="AF212" s="55">
        <v>0</v>
      </c>
      <c r="AG212" s="52"/>
      <c r="AH212" s="51">
        <v>9.6901761125513727E-2</v>
      </c>
      <c r="AI212" s="52">
        <v>2.4028238524384762E-2</v>
      </c>
      <c r="AJ212" s="52"/>
      <c r="AK212" s="28">
        <v>2</v>
      </c>
      <c r="AL212" s="28">
        <v>3</v>
      </c>
      <c r="AM212" s="28">
        <v>2</v>
      </c>
      <c r="AN212" s="28">
        <v>2.333333333333333</v>
      </c>
      <c r="AO212" s="28">
        <v>0.2142857142857143</v>
      </c>
      <c r="AP212" s="28">
        <v>0.3214285714285714</v>
      </c>
      <c r="AQ212" s="28">
        <v>0.2142857142857143</v>
      </c>
      <c r="AR212" s="28">
        <v>0.25</v>
      </c>
      <c r="AS212" s="25">
        <v>0.89</v>
      </c>
      <c r="AT212" s="25">
        <v>3.44</v>
      </c>
      <c r="AU212" s="25">
        <v>2.5499999999999998</v>
      </c>
      <c r="AV212" s="25">
        <v>2.780416666666667</v>
      </c>
      <c r="AW212">
        <v>2.780416666666667</v>
      </c>
      <c r="AX212">
        <v>6.0847889087500002</v>
      </c>
      <c r="AY212" s="75">
        <v>0.55979201272496915</v>
      </c>
      <c r="AZ212" s="75"/>
      <c r="BA212" s="75"/>
      <c r="BC212">
        <v>4.8450880562756857E-2</v>
      </c>
      <c r="BD212">
        <v>1.2014119262192381E-2</v>
      </c>
      <c r="BF212">
        <v>6.0464999824949253E-2</v>
      </c>
      <c r="BG212">
        <v>3.023249991247462E-2</v>
      </c>
      <c r="BH212">
        <v>0.55979201272496915</v>
      </c>
      <c r="BI212" s="79" t="s">
        <v>1264</v>
      </c>
      <c r="BJ212" s="79">
        <v>1323</v>
      </c>
      <c r="BK212" s="79">
        <v>10</v>
      </c>
      <c r="BM212" s="79" t="s">
        <v>1268</v>
      </c>
      <c r="BN212" s="79" t="s">
        <v>863</v>
      </c>
      <c r="BO212" s="79">
        <v>1</v>
      </c>
      <c r="BQ212" s="79">
        <v>2.7</v>
      </c>
      <c r="BR212" s="79">
        <v>5.4</v>
      </c>
      <c r="BS212" s="79" t="s">
        <v>464</v>
      </c>
      <c r="BT212" s="79" t="s">
        <v>464</v>
      </c>
      <c r="BU212" s="79" t="s">
        <v>1266</v>
      </c>
      <c r="BV212" s="79">
        <v>450</v>
      </c>
      <c r="BW212" s="79">
        <v>300</v>
      </c>
      <c r="BX212" s="79" t="s">
        <v>1311</v>
      </c>
      <c r="BZ212" s="81">
        <v>8.1999999999999993</v>
      </c>
      <c r="CA212">
        <f t="shared" si="34"/>
        <v>2.1041341542702074</v>
      </c>
    </row>
    <row r="213" spans="1:7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I213" s="2"/>
      <c r="J213" s="25">
        <v>1</v>
      </c>
      <c r="K213">
        <v>4</v>
      </c>
      <c r="L213">
        <v>0</v>
      </c>
      <c r="M213" s="2">
        <v>5.4960000000000004</v>
      </c>
      <c r="N213" s="2">
        <v>5.4960000000000004</v>
      </c>
      <c r="O213" s="2">
        <v>25.55</v>
      </c>
      <c r="P213" s="2" t="s">
        <v>450</v>
      </c>
      <c r="Q213" s="2"/>
      <c r="R213" s="25">
        <v>12.868820120000001</v>
      </c>
      <c r="S213" s="25">
        <v>12.868820120000001</v>
      </c>
      <c r="T213" s="25">
        <v>12.868820120000001</v>
      </c>
      <c r="U213">
        <v>5.5453000000000001</v>
      </c>
      <c r="V213">
        <v>5.5453000000000001</v>
      </c>
      <c r="W213">
        <v>25.686699999999998</v>
      </c>
      <c r="X213">
        <v>0</v>
      </c>
      <c r="AA213" s="2"/>
      <c r="AB213">
        <v>18</v>
      </c>
      <c r="AC213" s="55">
        <f t="shared" si="37"/>
        <v>771.76370880000013</v>
      </c>
      <c r="AD213" s="57">
        <v>197.4403766939285</v>
      </c>
      <c r="AE213" s="55">
        <v>789.87506903020289</v>
      </c>
      <c r="AF213" s="55">
        <v>0</v>
      </c>
      <c r="AG213" s="52"/>
      <c r="AH213" s="51">
        <v>9.1166762854710051E-2</v>
      </c>
      <c r="AI213" s="52">
        <v>9.1153655588092616E-2</v>
      </c>
      <c r="AJ213" s="52"/>
      <c r="AK213" s="28">
        <v>1.857142857142857</v>
      </c>
      <c r="AL213" s="28">
        <v>3.1428571428571428</v>
      </c>
      <c r="AM213" s="28">
        <v>2.714285714285714</v>
      </c>
      <c r="AN213" s="28">
        <v>3</v>
      </c>
      <c r="AO213" s="28">
        <v>0.17333333333333331</v>
      </c>
      <c r="AP213" s="28">
        <v>0.29333333333333328</v>
      </c>
      <c r="AQ213" s="28">
        <v>0.25333333333333341</v>
      </c>
      <c r="AR213" s="28">
        <v>0.28000000000000003</v>
      </c>
      <c r="AS213" s="25">
        <v>1.6</v>
      </c>
      <c r="AT213" s="25">
        <v>3.44</v>
      </c>
      <c r="AU213" s="25">
        <v>1.84</v>
      </c>
      <c r="AV213" s="25">
        <v>2.895</v>
      </c>
      <c r="AW213">
        <v>2.895</v>
      </c>
      <c r="AX213">
        <v>6.260504073571429</v>
      </c>
      <c r="AY213" s="75">
        <v>0.51995616258071919</v>
      </c>
      <c r="AZ213" s="75">
        <v>0.51988140722208986</v>
      </c>
      <c r="BA213" s="75"/>
      <c r="BC213">
        <v>4.5583381427355033E-2</v>
      </c>
      <c r="BD213">
        <v>4.5576827794046308E-2</v>
      </c>
      <c r="BF213">
        <v>9.1160209221401334E-2</v>
      </c>
      <c r="BG213">
        <v>4.5580104610700667E-2</v>
      </c>
      <c r="BH213">
        <v>0.51991878490140453</v>
      </c>
      <c r="BI213" s="79" t="s">
        <v>1264</v>
      </c>
      <c r="BJ213" s="79">
        <v>1473</v>
      </c>
      <c r="BK213" s="79">
        <v>24</v>
      </c>
      <c r="BM213" s="79" t="s">
        <v>1268</v>
      </c>
      <c r="BN213" s="79" t="s">
        <v>863</v>
      </c>
      <c r="BO213" s="79">
        <v>1</v>
      </c>
      <c r="BQ213" s="79">
        <v>5</v>
      </c>
      <c r="BR213" s="79">
        <v>15</v>
      </c>
      <c r="BS213" s="79" t="s">
        <v>464</v>
      </c>
      <c r="BT213" s="79" t="s">
        <v>464</v>
      </c>
      <c r="BU213" s="79" t="s">
        <v>1315</v>
      </c>
      <c r="BV213" s="79">
        <v>450</v>
      </c>
      <c r="BW213" s="79">
        <v>420</v>
      </c>
      <c r="BX213" s="79" t="s">
        <v>1311</v>
      </c>
      <c r="BZ213" s="81">
        <v>7.6</v>
      </c>
      <c r="CA213">
        <f t="shared" si="34"/>
        <v>2.0281482472922852</v>
      </c>
    </row>
    <row r="214" spans="1:7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I214" s="2"/>
      <c r="J214" s="25">
        <v>30</v>
      </c>
      <c r="K214">
        <v>4</v>
      </c>
      <c r="L214">
        <v>0</v>
      </c>
      <c r="M214" s="2"/>
      <c r="N214" s="2"/>
      <c r="P214" s="2"/>
      <c r="Q214" s="2"/>
      <c r="R214" s="25">
        <v>10.59112378</v>
      </c>
      <c r="S214" s="25">
        <v>10.784736629999999</v>
      </c>
      <c r="T214" s="25">
        <v>10.486176179999999</v>
      </c>
      <c r="U214">
        <v>3.73</v>
      </c>
      <c r="V214">
        <v>3.73</v>
      </c>
      <c r="W214">
        <v>9.3699999999999992</v>
      </c>
      <c r="X214">
        <v>0</v>
      </c>
      <c r="AA214" s="2"/>
      <c r="AB214">
        <v>4</v>
      </c>
      <c r="AC214" s="55">
        <f t="shared" si="37"/>
        <v>0</v>
      </c>
      <c r="AD214" s="57">
        <v>1182.741260108548</v>
      </c>
      <c r="AE214" s="55">
        <v>130.36387300000001</v>
      </c>
      <c r="AF214" s="55">
        <v>0</v>
      </c>
      <c r="AG214" s="52"/>
      <c r="AH214" s="51">
        <v>0.1014592151701775</v>
      </c>
      <c r="AI214" s="52">
        <v>0.1227333894874388</v>
      </c>
      <c r="AJ214" s="52"/>
      <c r="AK214" s="28">
        <v>2</v>
      </c>
      <c r="AL214" s="28">
        <v>2.666666666666667</v>
      </c>
      <c r="AM214" s="28">
        <v>0.66666666666666663</v>
      </c>
      <c r="AN214" s="28">
        <v>0</v>
      </c>
      <c r="AO214" s="28">
        <v>0.375</v>
      </c>
      <c r="AP214" s="28">
        <v>0.5</v>
      </c>
      <c r="AQ214" s="28">
        <v>0.125</v>
      </c>
      <c r="AR214" s="28">
        <v>0</v>
      </c>
      <c r="AS214" s="25">
        <v>1.54</v>
      </c>
      <c r="AT214" s="25">
        <v>3.44</v>
      </c>
      <c r="AU214" s="25">
        <v>1.9</v>
      </c>
      <c r="AV214" s="25">
        <v>2.8066666666666671</v>
      </c>
      <c r="AW214">
        <v>2.8066666666666662</v>
      </c>
      <c r="AX214">
        <v>6.1769976</v>
      </c>
      <c r="AY214" s="75">
        <v>0.46900407026869628</v>
      </c>
      <c r="AZ214" s="75">
        <v>0.56734579634715776</v>
      </c>
      <c r="BA214" s="75"/>
      <c r="BC214">
        <v>5.072960758508873E-2</v>
      </c>
      <c r="BD214">
        <v>6.136669474371937E-2</v>
      </c>
      <c r="BF214">
        <v>0.1120963023288082</v>
      </c>
      <c r="BG214">
        <v>5.604815116440405E-2</v>
      </c>
      <c r="BH214">
        <v>0.51817493330792708</v>
      </c>
      <c r="BI214" s="79" t="s">
        <v>1290</v>
      </c>
      <c r="BL214" s="79" t="s">
        <v>1308</v>
      </c>
      <c r="BM214" s="79" t="s">
        <v>1268</v>
      </c>
      <c r="BN214" s="79" t="s">
        <v>863</v>
      </c>
      <c r="BO214" s="79">
        <v>1</v>
      </c>
      <c r="BQ214" s="79">
        <v>5</v>
      </c>
      <c r="BR214" s="79">
        <v>15</v>
      </c>
      <c r="BS214" s="79" t="s">
        <v>464</v>
      </c>
      <c r="BT214" s="79" t="s">
        <v>464</v>
      </c>
      <c r="BU214" s="79" t="s">
        <v>1315</v>
      </c>
      <c r="BV214" s="79">
        <v>450</v>
      </c>
      <c r="BW214" s="79">
        <v>420</v>
      </c>
      <c r="BX214" s="79" t="s">
        <v>1311</v>
      </c>
      <c r="BZ214" s="81">
        <v>0</v>
      </c>
      <c r="CA214" t="e">
        <f t="shared" si="34"/>
        <v>#NUM!</v>
      </c>
    </row>
    <row r="215" spans="1:7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I215" s="2">
        <v>4</v>
      </c>
      <c r="J215" s="25">
        <v>0</v>
      </c>
      <c r="K215">
        <v>0</v>
      </c>
      <c r="L215">
        <v>4</v>
      </c>
      <c r="M215" s="2">
        <v>5.492</v>
      </c>
      <c r="N215" s="2">
        <v>5.5650000000000004</v>
      </c>
      <c r="O215" s="2">
        <v>24.88</v>
      </c>
      <c r="P215" s="2" t="s">
        <v>1219</v>
      </c>
      <c r="Q215" s="1"/>
      <c r="R215" s="25">
        <v>0</v>
      </c>
      <c r="S215" s="25"/>
      <c r="T215" s="25"/>
      <c r="U215">
        <v>0</v>
      </c>
      <c r="X215">
        <v>0</v>
      </c>
      <c r="AA215" s="2"/>
      <c r="AB215">
        <v>18</v>
      </c>
      <c r="AC215" s="55">
        <f t="shared" si="37"/>
        <v>760.40694240000005</v>
      </c>
      <c r="AD215" s="57">
        <v>0</v>
      </c>
      <c r="AE215" s="55">
        <v>0</v>
      </c>
      <c r="AF215" s="55">
        <v>760.6</v>
      </c>
      <c r="AG215" s="52">
        <f>I215*AB215/AC215</f>
        <v>9.4686142360501407E-2</v>
      </c>
      <c r="AH215" s="51"/>
      <c r="AI215" s="52"/>
      <c r="AJ215" s="67">
        <f>L215*AB215/AF215</f>
        <v>9.466210886142519E-2</v>
      </c>
      <c r="AK215" s="28">
        <v>1.964285714285714</v>
      </c>
      <c r="AL215" s="28">
        <v>3</v>
      </c>
      <c r="AM215" s="28">
        <v>1.892857142857143</v>
      </c>
      <c r="AN215" s="28">
        <v>4</v>
      </c>
      <c r="AO215" s="28">
        <v>0.1809210526315789</v>
      </c>
      <c r="AP215" s="28">
        <v>0.27631578947368418</v>
      </c>
      <c r="AQ215" s="28">
        <v>0.17434210526315791</v>
      </c>
      <c r="AR215" s="28">
        <v>0.36842105263157893</v>
      </c>
      <c r="AS215" s="25">
        <v>0.82</v>
      </c>
      <c r="AT215" s="25">
        <v>3.44</v>
      </c>
      <c r="AU215" s="25">
        <v>2.62</v>
      </c>
      <c r="AV215" s="25">
        <v>2.7828571428571429</v>
      </c>
      <c r="AW215">
        <v>2.7828571428571429</v>
      </c>
      <c r="AX215">
        <v>6.1929237675000008</v>
      </c>
      <c r="AY215" s="75"/>
      <c r="AZ215" s="75"/>
      <c r="BA215" s="75">
        <v>0</v>
      </c>
      <c r="BB215">
        <v>4.7343071180250697E-2</v>
      </c>
      <c r="BE215">
        <v>4.7331054430712588E-2</v>
      </c>
      <c r="BF215">
        <v>9.4674125610963306E-2</v>
      </c>
      <c r="BG215">
        <v>4.7337062805481639E-2</v>
      </c>
      <c r="BH215">
        <v>0</v>
      </c>
      <c r="BI215" s="79" t="s">
        <v>1305</v>
      </c>
      <c r="BJ215" s="79">
        <v>1173</v>
      </c>
      <c r="BK215" s="79">
        <v>6</v>
      </c>
      <c r="BM215" s="79" t="s">
        <v>464</v>
      </c>
      <c r="BN215" s="79" t="s">
        <v>464</v>
      </c>
      <c r="BO215" s="79">
        <v>0</v>
      </c>
      <c r="BP215" s="79">
        <v>1.3</v>
      </c>
      <c r="BQ215" s="79">
        <v>3.07</v>
      </c>
      <c r="BR215" s="79">
        <v>0</v>
      </c>
      <c r="BS215" s="79" t="s">
        <v>464</v>
      </c>
      <c r="BT215" s="79" t="s">
        <v>464</v>
      </c>
      <c r="BU215" s="79" t="s">
        <v>1266</v>
      </c>
      <c r="BV215" s="79">
        <v>300</v>
      </c>
      <c r="BX215" s="79" t="s">
        <v>1287</v>
      </c>
      <c r="BY215" s="79">
        <v>293</v>
      </c>
      <c r="BZ215" s="81">
        <f>5*3.4</f>
        <v>17</v>
      </c>
      <c r="CA215">
        <f t="shared" si="34"/>
        <v>2.8332133440562162</v>
      </c>
    </row>
    <row r="216" spans="1:7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2">
        <v>4</v>
      </c>
      <c r="J216" s="25">
        <v>0</v>
      </c>
      <c r="K216">
        <v>0</v>
      </c>
      <c r="L216">
        <v>4</v>
      </c>
      <c r="M216" s="2">
        <v>5.5019999999999998</v>
      </c>
      <c r="N216" s="2">
        <v>5.5069999999999997</v>
      </c>
      <c r="O216" s="2">
        <v>25.09</v>
      </c>
      <c r="P216" s="2" t="s">
        <v>1219</v>
      </c>
      <c r="Q216" s="1"/>
      <c r="R216" s="25">
        <v>0</v>
      </c>
      <c r="S216" s="25"/>
      <c r="T216" s="25"/>
      <c r="U216">
        <v>0</v>
      </c>
      <c r="X216">
        <v>0</v>
      </c>
      <c r="AA216" s="2"/>
      <c r="AB216">
        <v>18</v>
      </c>
      <c r="AC216" s="55">
        <f t="shared" si="37"/>
        <v>760.21480625999993</v>
      </c>
      <c r="AD216" s="57">
        <v>0</v>
      </c>
      <c r="AE216" s="55">
        <v>0</v>
      </c>
      <c r="AF216" s="55">
        <v>0</v>
      </c>
      <c r="AG216" s="52">
        <f>I216*AB216/AC216</f>
        <v>9.4710073267601405E-2</v>
      </c>
      <c r="AH216" s="51"/>
      <c r="AI216" s="52"/>
      <c r="AJ216" s="52"/>
      <c r="AK216" s="28">
        <v>1.821428571428571</v>
      </c>
      <c r="AL216" s="28">
        <v>3</v>
      </c>
      <c r="AM216" s="28">
        <v>2.035714285714286</v>
      </c>
      <c r="AN216" s="28">
        <v>2</v>
      </c>
      <c r="AO216" s="28">
        <v>0.20564516129032259</v>
      </c>
      <c r="AP216" s="28">
        <v>0.33870967741935482</v>
      </c>
      <c r="AQ216" s="28">
        <v>0.22983870967741929</v>
      </c>
      <c r="AR216" s="28">
        <v>0.22580645161290319</v>
      </c>
      <c r="AS216" s="25">
        <v>0.82</v>
      </c>
      <c r="AT216" s="25">
        <v>3.44</v>
      </c>
      <c r="AU216" s="25">
        <v>2.62</v>
      </c>
      <c r="AV216" s="25">
        <v>2.7971428571428572</v>
      </c>
      <c r="AW216">
        <v>2.7971428571428572</v>
      </c>
      <c r="AX216">
        <v>6.1788927675000007</v>
      </c>
      <c r="AY216" s="75"/>
      <c r="AZ216" s="75"/>
      <c r="BA216" s="75"/>
      <c r="BB216">
        <v>4.7355036633800703E-2</v>
      </c>
      <c r="BE216" t="s">
        <v>459</v>
      </c>
      <c r="BF216">
        <v>9.4710073267601405E-2</v>
      </c>
      <c r="BG216" t="s">
        <v>459</v>
      </c>
      <c r="BH216">
        <v>0</v>
      </c>
      <c r="BI216" s="79" t="s">
        <v>1305</v>
      </c>
      <c r="BJ216" s="79">
        <v>1173</v>
      </c>
      <c r="BK216" s="79">
        <v>6</v>
      </c>
      <c r="BM216" s="79" t="s">
        <v>464</v>
      </c>
      <c r="BN216" s="79" t="s">
        <v>464</v>
      </c>
      <c r="BO216" s="79">
        <v>0</v>
      </c>
      <c r="BP216" s="79">
        <v>3.2</v>
      </c>
      <c r="BQ216" s="79">
        <v>3.07</v>
      </c>
      <c r="BR216" s="79">
        <v>0</v>
      </c>
      <c r="BS216" s="79" t="s">
        <v>464</v>
      </c>
      <c r="BT216" s="79" t="s">
        <v>464</v>
      </c>
      <c r="BU216" s="79" t="s">
        <v>1266</v>
      </c>
      <c r="BV216" s="79">
        <v>300</v>
      </c>
      <c r="BX216" s="79" t="s">
        <v>1287</v>
      </c>
      <c r="BY216" s="79">
        <v>293</v>
      </c>
      <c r="BZ216" s="81">
        <v>0</v>
      </c>
      <c r="CA216" t="e">
        <f t="shared" si="34"/>
        <v>#NUM!</v>
      </c>
    </row>
    <row r="217" spans="1:7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I217" s="2">
        <v>1</v>
      </c>
      <c r="J217" s="25">
        <v>0</v>
      </c>
      <c r="K217">
        <v>0</v>
      </c>
      <c r="L217">
        <v>0</v>
      </c>
      <c r="M217" s="2">
        <v>3.9060000000000001</v>
      </c>
      <c r="N217" s="2">
        <v>3.9060000000000001</v>
      </c>
      <c r="O217" s="2">
        <v>9.8840000000000003</v>
      </c>
      <c r="P217" s="2"/>
      <c r="Q217" s="2"/>
      <c r="R217" s="25">
        <v>0</v>
      </c>
      <c r="S217" s="25"/>
      <c r="T217" s="25"/>
      <c r="U217">
        <v>0</v>
      </c>
      <c r="X217">
        <v>0</v>
      </c>
      <c r="AA217" s="2"/>
      <c r="AB217">
        <v>14</v>
      </c>
      <c r="AC217" s="55">
        <f t="shared" si="37"/>
        <v>150.79856702400002</v>
      </c>
      <c r="AD217" s="57">
        <v>0</v>
      </c>
      <c r="AE217" s="55">
        <v>0</v>
      </c>
      <c r="AF217" s="55">
        <v>0</v>
      </c>
      <c r="AG217" s="52">
        <f>I217*AB217/AC217</f>
        <v>9.2839078489199839E-2</v>
      </c>
      <c r="AH217" s="51"/>
      <c r="AI217" s="52"/>
      <c r="AJ217" s="52"/>
      <c r="AK217" s="28">
        <v>1.8135593220338979</v>
      </c>
      <c r="AL217" s="28">
        <v>2.398305084745763</v>
      </c>
      <c r="AM217" s="28">
        <v>0.63559322033898302</v>
      </c>
      <c r="AN217" s="28">
        <v>2.4915254237288131</v>
      </c>
      <c r="AO217" s="28">
        <v>0.24711316397228639</v>
      </c>
      <c r="AP217" s="28">
        <v>0.32678983833718239</v>
      </c>
      <c r="AQ217" s="28">
        <v>8.6605080831408776E-2</v>
      </c>
      <c r="AR217" s="28">
        <v>0.33949191685912239</v>
      </c>
      <c r="AS217" s="25">
        <v>0.82</v>
      </c>
      <c r="AT217" s="25">
        <v>3.44</v>
      </c>
      <c r="AU217" s="25">
        <v>2.62</v>
      </c>
      <c r="AV217" s="25">
        <v>2.733728813559321</v>
      </c>
      <c r="AW217">
        <v>2.7337288135593218</v>
      </c>
      <c r="AX217">
        <v>6.5217336360353304</v>
      </c>
      <c r="AY217" s="75"/>
      <c r="AZ217" s="75"/>
      <c r="BA217" s="75"/>
      <c r="BB217">
        <v>4.6419539244599919E-2</v>
      </c>
      <c r="BF217">
        <v>9.2839078489199839E-2</v>
      </c>
      <c r="BG217">
        <v>4.6419539244599919E-2</v>
      </c>
      <c r="BH217">
        <v>0</v>
      </c>
      <c r="BI217" s="79" t="s">
        <v>1305</v>
      </c>
      <c r="BJ217" s="79">
        <v>1173</v>
      </c>
      <c r="BK217" s="79">
        <v>6</v>
      </c>
      <c r="BM217" s="79" t="s">
        <v>464</v>
      </c>
      <c r="BN217" s="79" t="s">
        <v>464</v>
      </c>
      <c r="BO217" s="79">
        <v>0</v>
      </c>
      <c r="BP217" s="79">
        <v>3.5</v>
      </c>
      <c r="BQ217" s="79">
        <v>3.07</v>
      </c>
      <c r="BR217" s="79">
        <v>0</v>
      </c>
      <c r="BS217" s="79" t="s">
        <v>464</v>
      </c>
      <c r="BT217" s="79" t="s">
        <v>464</v>
      </c>
      <c r="BU217" s="79" t="s">
        <v>1266</v>
      </c>
      <c r="BV217" s="79">
        <v>300</v>
      </c>
      <c r="BX217" s="79" t="s">
        <v>1287</v>
      </c>
      <c r="BY217" s="79">
        <v>293</v>
      </c>
      <c r="BZ217" s="81">
        <f>182*5</f>
        <v>910</v>
      </c>
      <c r="CA217">
        <f t="shared" si="34"/>
        <v>6.8134445995108956</v>
      </c>
    </row>
    <row r="218" spans="1:7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I218" s="2">
        <v>1</v>
      </c>
      <c r="J218" s="25">
        <v>0</v>
      </c>
      <c r="K218">
        <v>0</v>
      </c>
      <c r="L218">
        <v>0</v>
      </c>
      <c r="M218" s="2">
        <v>3.903</v>
      </c>
      <c r="N218" s="2">
        <v>3.903</v>
      </c>
      <c r="O218" s="2">
        <v>10.050000000000001</v>
      </c>
      <c r="P218" s="2"/>
      <c r="Q218" s="2"/>
      <c r="R218" s="25">
        <v>0</v>
      </c>
      <c r="S218" s="25"/>
      <c r="T218" s="25"/>
      <c r="U218">
        <v>0</v>
      </c>
      <c r="X218">
        <v>0</v>
      </c>
      <c r="AA218" s="2"/>
      <c r="AB218">
        <v>13</v>
      </c>
      <c r="AC218" s="55">
        <f t="shared" si="37"/>
        <v>153.09576045</v>
      </c>
      <c r="AD218" s="57">
        <v>0</v>
      </c>
      <c r="AE218" s="55">
        <v>0</v>
      </c>
      <c r="AF218" s="55">
        <v>0</v>
      </c>
      <c r="AG218" s="52">
        <f>I218*AB218/AC218</f>
        <v>8.4914173728838874E-2</v>
      </c>
      <c r="AH218" s="51"/>
      <c r="AI218" s="52"/>
      <c r="AJ218" s="52"/>
      <c r="AK218" s="28">
        <v>1.6448598130841121</v>
      </c>
      <c r="AL218" s="28">
        <v>2.457943925233645</v>
      </c>
      <c r="AM218" s="28">
        <v>0.86915887850467299</v>
      </c>
      <c r="AN218" s="28">
        <v>0.13084112149532709</v>
      </c>
      <c r="AO218" s="28">
        <v>0.32234432234432231</v>
      </c>
      <c r="AP218" s="28">
        <v>0.48168498168498158</v>
      </c>
      <c r="AQ218" s="28">
        <v>0.17032967032967031</v>
      </c>
      <c r="AR218" s="28">
        <v>2.564102564102564E-2</v>
      </c>
      <c r="AS218" s="25">
        <v>0.82</v>
      </c>
      <c r="AT218" s="25">
        <v>3.44</v>
      </c>
      <c r="AU218" s="25">
        <v>2.62</v>
      </c>
      <c r="AV218" s="25">
        <v>2.7828037383177571</v>
      </c>
      <c r="AW218">
        <v>2.782803738317758</v>
      </c>
      <c r="AX218">
        <v>6.5403483343235136</v>
      </c>
      <c r="AY218" s="75"/>
      <c r="AZ218" s="75"/>
      <c r="BA218" s="75"/>
      <c r="BB218">
        <v>4.2457086864419437E-2</v>
      </c>
      <c r="BF218">
        <v>8.4914173728838874E-2</v>
      </c>
      <c r="BG218">
        <v>4.2457086864419437E-2</v>
      </c>
      <c r="BH218">
        <v>0</v>
      </c>
      <c r="BI218" s="79" t="s">
        <v>1305</v>
      </c>
      <c r="BJ218" s="79">
        <v>1173</v>
      </c>
      <c r="BK218" s="79">
        <v>6</v>
      </c>
      <c r="BM218" s="79" t="s">
        <v>464</v>
      </c>
      <c r="BN218" s="79" t="s">
        <v>464</v>
      </c>
      <c r="BO218" s="79">
        <v>0</v>
      </c>
      <c r="BP218" s="79">
        <v>7.3</v>
      </c>
      <c r="BQ218" s="79">
        <v>3.07</v>
      </c>
      <c r="BR218" s="79">
        <v>0</v>
      </c>
      <c r="BS218" s="79" t="s">
        <v>464</v>
      </c>
      <c r="BT218" s="79" t="s">
        <v>464</v>
      </c>
      <c r="BU218" s="79" t="s">
        <v>1266</v>
      </c>
      <c r="BV218" s="79">
        <v>300</v>
      </c>
      <c r="BX218" s="79" t="s">
        <v>1287</v>
      </c>
      <c r="BY218" s="79">
        <v>293</v>
      </c>
      <c r="BZ218" s="81">
        <v>0</v>
      </c>
      <c r="CA218" t="e">
        <f t="shared" si="34"/>
        <v>#NUM!</v>
      </c>
    </row>
    <row r="219" spans="1:7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I219" s="2"/>
      <c r="J219" s="25">
        <v>0</v>
      </c>
      <c r="K219">
        <v>0</v>
      </c>
      <c r="L219">
        <v>2</v>
      </c>
      <c r="M219" s="2"/>
      <c r="N219" s="2"/>
      <c r="O219" s="2"/>
      <c r="P219" s="2"/>
      <c r="Q219" s="2"/>
      <c r="R219" s="25">
        <v>0</v>
      </c>
      <c r="S219" s="25"/>
      <c r="T219" s="25"/>
      <c r="U219">
        <v>0</v>
      </c>
      <c r="X219">
        <v>12.5602</v>
      </c>
      <c r="Y219">
        <v>12.5602</v>
      </c>
      <c r="Z219">
        <v>3.9214000000000002</v>
      </c>
      <c r="AA219" s="2"/>
      <c r="AB219">
        <v>34</v>
      </c>
      <c r="AC219" s="55">
        <f t="shared" si="37"/>
        <v>0</v>
      </c>
      <c r="AD219" s="57">
        <v>0</v>
      </c>
      <c r="AE219" s="55">
        <v>0</v>
      </c>
      <c r="AF219" s="55">
        <v>618.63466831045605</v>
      </c>
      <c r="AG219" s="52"/>
      <c r="AH219" s="51"/>
      <c r="AI219" s="52"/>
      <c r="AJ219" s="52">
        <v>0.10991947830165059</v>
      </c>
      <c r="AK219" s="28">
        <v>1.92</v>
      </c>
      <c r="AL219" s="28">
        <v>2.72</v>
      </c>
      <c r="AM219" s="28">
        <v>0.64</v>
      </c>
      <c r="AN219" s="28">
        <v>2.8</v>
      </c>
      <c r="AO219" s="28">
        <v>0.23762376237623761</v>
      </c>
      <c r="AP219" s="28">
        <v>0.33663366336633671</v>
      </c>
      <c r="AQ219" s="28">
        <v>7.9207920792079209E-2</v>
      </c>
      <c r="AR219" s="28">
        <v>0.34653465346534651</v>
      </c>
      <c r="AS219" s="25">
        <v>0.82</v>
      </c>
      <c r="AT219" s="25">
        <v>3.44</v>
      </c>
      <c r="AU219" s="25">
        <v>2.62</v>
      </c>
      <c r="AV219" s="25">
        <v>2.7488000000000001</v>
      </c>
      <c r="AW219">
        <v>2.7488000000000001</v>
      </c>
      <c r="AX219">
        <v>6.2305574404000001</v>
      </c>
      <c r="AY219" s="75"/>
      <c r="AZ219" s="75"/>
      <c r="BA219" s="75">
        <v>0.5553845310307659</v>
      </c>
      <c r="BE219">
        <v>4.8493887486022333E-2</v>
      </c>
      <c r="BF219">
        <v>0.10991947830165059</v>
      </c>
      <c r="BG219">
        <v>4.8493887486022333E-2</v>
      </c>
      <c r="BH219">
        <v>0.5553845310307659</v>
      </c>
      <c r="BI219" s="79" t="s">
        <v>1264</v>
      </c>
      <c r="BJ219" s="79">
        <v>1573</v>
      </c>
      <c r="BK219" s="79">
        <v>12</v>
      </c>
      <c r="BM219" s="79" t="s">
        <v>464</v>
      </c>
      <c r="BN219" s="79" t="s">
        <v>464</v>
      </c>
      <c r="BO219" s="79">
        <v>0</v>
      </c>
      <c r="BP219" s="79">
        <v>2.1</v>
      </c>
      <c r="BQ219" s="79">
        <v>3.07</v>
      </c>
      <c r="BR219" s="79">
        <v>0</v>
      </c>
      <c r="BS219" s="79" t="s">
        <v>464</v>
      </c>
      <c r="BT219" s="79" t="s">
        <v>464</v>
      </c>
      <c r="BU219" s="79" t="s">
        <v>1266</v>
      </c>
      <c r="BV219" s="79">
        <v>300</v>
      </c>
      <c r="BX219" s="79" t="s">
        <v>1287</v>
      </c>
      <c r="BY219" s="79">
        <v>293</v>
      </c>
      <c r="BZ219" s="81">
        <v>0</v>
      </c>
      <c r="CA219" t="e">
        <f t="shared" si="34"/>
        <v>#NUM!</v>
      </c>
    </row>
    <row r="220" spans="1:7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1316</v>
      </c>
      <c r="F220" s="35">
        <v>-2</v>
      </c>
      <c r="G220" s="2">
        <v>-1</v>
      </c>
      <c r="J220" s="29">
        <v>0</v>
      </c>
      <c r="K220" s="2">
        <v>0</v>
      </c>
      <c r="L220" s="2">
        <v>0</v>
      </c>
      <c r="R220" s="29">
        <v>0</v>
      </c>
      <c r="S220" s="29"/>
      <c r="T220" s="29"/>
      <c r="U220" s="2">
        <v>0</v>
      </c>
      <c r="X220" s="2">
        <v>0</v>
      </c>
      <c r="AB220" s="2">
        <v>14</v>
      </c>
      <c r="AC220" s="2">
        <f t="shared" si="37"/>
        <v>0</v>
      </c>
      <c r="AD220" s="29">
        <v>0</v>
      </c>
      <c r="AE220" s="2">
        <v>0</v>
      </c>
      <c r="AF220" s="2">
        <v>0</v>
      </c>
      <c r="AH220" s="29"/>
      <c r="AK220" s="2">
        <v>1.847457627118644</v>
      </c>
      <c r="AL220" s="2">
        <v>2.4237288135593218</v>
      </c>
      <c r="AM220" s="2">
        <v>0.67796610169491522</v>
      </c>
      <c r="AN220" s="2">
        <v>2.610169491525423</v>
      </c>
      <c r="AO220" s="2">
        <v>0.2443946188340807</v>
      </c>
      <c r="AP220" s="2">
        <v>0.32062780269058289</v>
      </c>
      <c r="AQ220" s="2">
        <v>8.9686098654708529E-2</v>
      </c>
      <c r="AR220" s="2">
        <v>0.3452914798206278</v>
      </c>
      <c r="AS220" s="29">
        <v>1</v>
      </c>
      <c r="AT220" s="29">
        <v>3.44</v>
      </c>
      <c r="AU220" s="29">
        <v>2.44</v>
      </c>
      <c r="AV220" s="29">
        <v>2.732542372881356</v>
      </c>
      <c r="AW220" s="2">
        <v>2.732542372881356</v>
      </c>
      <c r="AX220" s="2">
        <v>6.5123179483671016</v>
      </c>
      <c r="BF220" s="2">
        <v>0</v>
      </c>
      <c r="BG220" s="2">
        <v>0</v>
      </c>
      <c r="BH220" s="2">
        <v>0</v>
      </c>
      <c r="BI220" s="79" t="s">
        <v>1305</v>
      </c>
      <c r="BJ220" s="79">
        <v>1173</v>
      </c>
      <c r="BK220" s="79">
        <v>6</v>
      </c>
      <c r="BL220" s="79"/>
      <c r="BM220" s="79" t="s">
        <v>464</v>
      </c>
      <c r="BN220" s="79" t="s">
        <v>464</v>
      </c>
      <c r="BO220" s="79">
        <v>0</v>
      </c>
      <c r="BP220" s="79">
        <v>4.3499999999999996</v>
      </c>
      <c r="BQ220" s="79">
        <v>1.54</v>
      </c>
      <c r="BR220" s="79"/>
      <c r="BS220" s="79"/>
      <c r="BT220" s="79"/>
      <c r="BU220" s="79" t="s">
        <v>1266</v>
      </c>
      <c r="BV220" s="79">
        <v>250</v>
      </c>
      <c r="BW220" s="79"/>
      <c r="BX220" s="79" t="s">
        <v>1287</v>
      </c>
      <c r="BY220" s="79">
        <v>293</v>
      </c>
      <c r="BZ220" s="81">
        <f>107*10</f>
        <v>1070</v>
      </c>
      <c r="CA220">
        <f t="shared" si="34"/>
        <v>6.9754139274559517</v>
      </c>
    </row>
    <row r="221" spans="1:7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1316</v>
      </c>
      <c r="F221" s="35">
        <v>-2</v>
      </c>
      <c r="G221" s="2">
        <v>-1</v>
      </c>
      <c r="J221" s="29">
        <v>0</v>
      </c>
      <c r="K221" s="2">
        <v>0</v>
      </c>
      <c r="L221" s="2">
        <v>0</v>
      </c>
      <c r="R221" s="29">
        <v>0</v>
      </c>
      <c r="S221" s="29"/>
      <c r="T221" s="29"/>
      <c r="U221" s="2">
        <v>0</v>
      </c>
      <c r="X221" s="2">
        <v>0</v>
      </c>
      <c r="AB221" s="2">
        <v>14</v>
      </c>
      <c r="AC221" s="2">
        <f t="shared" si="37"/>
        <v>0</v>
      </c>
      <c r="AD221" s="29">
        <v>0</v>
      </c>
      <c r="AE221" s="2">
        <v>0</v>
      </c>
      <c r="AF221" s="2">
        <v>0</v>
      </c>
      <c r="AH221" s="29"/>
      <c r="AK221" s="2">
        <v>1.85</v>
      </c>
      <c r="AL221" s="2">
        <v>2.3833333333333329</v>
      </c>
      <c r="AM221" s="2">
        <v>0.66666666666666663</v>
      </c>
      <c r="AN221" s="2">
        <v>2.5666666666666669</v>
      </c>
      <c r="AO221" s="2">
        <v>0.24776785714285721</v>
      </c>
      <c r="AP221" s="2">
        <v>0.3191964285714286</v>
      </c>
      <c r="AQ221" s="2">
        <v>8.9285714285714288E-2</v>
      </c>
      <c r="AR221" s="2">
        <v>0.34375000000000011</v>
      </c>
      <c r="AS221" s="29">
        <v>0.95</v>
      </c>
      <c r="AT221" s="29">
        <v>3.44</v>
      </c>
      <c r="AU221" s="29">
        <v>2.4900000000000002</v>
      </c>
      <c r="AV221" s="29">
        <v>2.6995</v>
      </c>
      <c r="AW221" s="2">
        <v>2.6995</v>
      </c>
      <c r="AX221" s="2">
        <v>6.4386446606443171</v>
      </c>
      <c r="BF221" s="2">
        <v>0</v>
      </c>
      <c r="BG221" s="2">
        <v>0</v>
      </c>
      <c r="BH221" s="2">
        <v>0</v>
      </c>
      <c r="BI221" s="79" t="s">
        <v>1305</v>
      </c>
      <c r="BJ221" s="79">
        <v>1173</v>
      </c>
      <c r="BK221" s="79">
        <v>6</v>
      </c>
      <c r="BL221" s="79"/>
      <c r="BM221" s="79" t="s">
        <v>464</v>
      </c>
      <c r="BN221" s="79" t="s">
        <v>464</v>
      </c>
      <c r="BO221" s="79">
        <v>0</v>
      </c>
      <c r="BP221" s="86">
        <v>6.88</v>
      </c>
      <c r="BQ221" s="79">
        <v>1.54</v>
      </c>
      <c r="BR221" s="79"/>
      <c r="BS221" s="79"/>
      <c r="BT221" s="79"/>
      <c r="BU221" s="79" t="s">
        <v>1266</v>
      </c>
      <c r="BV221" s="79">
        <v>250</v>
      </c>
      <c r="BW221" s="79"/>
      <c r="BX221" s="79" t="s">
        <v>1287</v>
      </c>
      <c r="BY221" s="79">
        <v>293</v>
      </c>
      <c r="BZ221" s="81">
        <f>1627</f>
        <v>1627</v>
      </c>
      <c r="CA221">
        <f t="shared" si="34"/>
        <v>7.3944931072190379</v>
      </c>
    </row>
    <row r="222" spans="1:7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1316</v>
      </c>
      <c r="F222" s="35">
        <v>-2</v>
      </c>
      <c r="G222" s="2">
        <v>-1</v>
      </c>
      <c r="J222" s="29">
        <v>0</v>
      </c>
      <c r="K222" s="2">
        <v>0</v>
      </c>
      <c r="L222" s="2">
        <v>0</v>
      </c>
      <c r="R222" s="29">
        <v>0</v>
      </c>
      <c r="S222" s="29"/>
      <c r="T222" s="29"/>
      <c r="U222" s="2">
        <v>0</v>
      </c>
      <c r="X222" s="2">
        <v>0</v>
      </c>
      <c r="AB222" s="2">
        <v>14</v>
      </c>
      <c r="AC222" s="2">
        <f t="shared" si="37"/>
        <v>0</v>
      </c>
      <c r="AD222" s="29">
        <v>0</v>
      </c>
      <c r="AE222" s="2">
        <v>0</v>
      </c>
      <c r="AF222" s="2">
        <v>0</v>
      </c>
      <c r="AH222" s="29"/>
      <c r="AK222" s="2">
        <v>1.8389830508474569</v>
      </c>
      <c r="AL222" s="2">
        <v>2.398305084745763</v>
      </c>
      <c r="AM222" s="2">
        <v>0.59322033898305082</v>
      </c>
      <c r="AN222" s="2">
        <v>2.4915254237288131</v>
      </c>
      <c r="AO222" s="2">
        <v>0.25115740740740738</v>
      </c>
      <c r="AP222" s="2">
        <v>0.32754629629629628</v>
      </c>
      <c r="AQ222" s="2">
        <v>8.1018518518518517E-2</v>
      </c>
      <c r="AR222" s="2">
        <v>0.34027777777777768</v>
      </c>
      <c r="AS222" s="29">
        <v>0.89</v>
      </c>
      <c r="AT222" s="29">
        <v>3.44</v>
      </c>
      <c r="AU222" s="29">
        <v>2.5499999999999998</v>
      </c>
      <c r="AV222" s="29">
        <v>2.7266101694915248</v>
      </c>
      <c r="AW222" s="2">
        <v>2.7266101694915261</v>
      </c>
      <c r="AX222" s="2">
        <v>6.5117833191709238</v>
      </c>
      <c r="BF222" s="2">
        <v>0</v>
      </c>
      <c r="BG222" s="2">
        <v>0</v>
      </c>
      <c r="BH222" s="2">
        <v>0</v>
      </c>
      <c r="BI222" s="79" t="s">
        <v>1305</v>
      </c>
      <c r="BJ222" s="79">
        <v>1173</v>
      </c>
      <c r="BK222" s="79">
        <v>6</v>
      </c>
      <c r="BL222" s="79"/>
      <c r="BM222" s="79" t="s">
        <v>464</v>
      </c>
      <c r="BN222" s="79" t="s">
        <v>464</v>
      </c>
      <c r="BO222" s="79">
        <v>0</v>
      </c>
      <c r="BP222" s="86">
        <v>3.84</v>
      </c>
      <c r="BQ222" s="79">
        <v>1.54</v>
      </c>
      <c r="BR222" s="79"/>
      <c r="BS222" s="79"/>
      <c r="BT222" s="79"/>
      <c r="BU222" s="79" t="s">
        <v>1266</v>
      </c>
      <c r="BV222" s="79">
        <v>250</v>
      </c>
      <c r="BW222" s="79"/>
      <c r="BX222" s="79" t="s">
        <v>1287</v>
      </c>
      <c r="BY222" s="79">
        <v>293</v>
      </c>
      <c r="BZ222" s="81">
        <f>1893</f>
        <v>1893</v>
      </c>
      <c r="CA222">
        <f t="shared" si="34"/>
        <v>7.5459181512093227</v>
      </c>
    </row>
    <row r="223" spans="1:7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1316</v>
      </c>
      <c r="F223" s="35">
        <v>-2</v>
      </c>
      <c r="G223" s="2">
        <v>-1</v>
      </c>
      <c r="J223" s="29">
        <v>0</v>
      </c>
      <c r="K223" s="2">
        <v>0</v>
      </c>
      <c r="L223" s="2">
        <v>0</v>
      </c>
      <c r="R223" s="29">
        <v>0</v>
      </c>
      <c r="S223" s="29"/>
      <c r="T223" s="29"/>
      <c r="U223" s="2">
        <v>0</v>
      </c>
      <c r="X223" s="2">
        <v>0</v>
      </c>
      <c r="AB223" s="2">
        <v>14</v>
      </c>
      <c r="AC223" s="2">
        <f t="shared" si="37"/>
        <v>0</v>
      </c>
      <c r="AD223" s="29">
        <v>0</v>
      </c>
      <c r="AE223" s="2">
        <v>0</v>
      </c>
      <c r="AF223" s="2">
        <v>0</v>
      </c>
      <c r="AH223" s="29"/>
      <c r="AK223" s="2">
        <v>1.8135593220338979</v>
      </c>
      <c r="AL223" s="2">
        <v>2.398305084745763</v>
      </c>
      <c r="AM223" s="2">
        <v>0.63559322033898302</v>
      </c>
      <c r="AN223" s="2">
        <v>2.4915254237288131</v>
      </c>
      <c r="AO223" s="2">
        <v>0.24711316397228639</v>
      </c>
      <c r="AP223" s="2">
        <v>0.32678983833718239</v>
      </c>
      <c r="AQ223" s="2">
        <v>8.6605080831408776E-2</v>
      </c>
      <c r="AR223" s="2">
        <v>0.33949191685912239</v>
      </c>
      <c r="AS223" s="29">
        <v>0.82</v>
      </c>
      <c r="AT223" s="29">
        <v>3.44</v>
      </c>
      <c r="AU223" s="29">
        <v>2.62</v>
      </c>
      <c r="AV223" s="29">
        <v>2.733728813559321</v>
      </c>
      <c r="AW223" s="2">
        <v>2.7337288135593218</v>
      </c>
      <c r="AX223" s="2">
        <v>6.5217336360353304</v>
      </c>
      <c r="BF223" s="2">
        <v>0</v>
      </c>
      <c r="BG223" s="2">
        <v>0</v>
      </c>
      <c r="BH223" s="2">
        <v>0</v>
      </c>
      <c r="BI223" s="79" t="s">
        <v>1305</v>
      </c>
      <c r="BJ223" s="79">
        <v>1173</v>
      </c>
      <c r="BK223" s="79">
        <v>6</v>
      </c>
      <c r="BL223" s="79"/>
      <c r="BM223" s="79" t="s">
        <v>464</v>
      </c>
      <c r="BN223" s="79" t="s">
        <v>464</v>
      </c>
      <c r="BO223" s="79">
        <v>0</v>
      </c>
      <c r="BP223" s="86">
        <v>3.52</v>
      </c>
      <c r="BQ223" s="79">
        <v>1.54</v>
      </c>
      <c r="BR223" s="79"/>
      <c r="BS223" s="79"/>
      <c r="BT223" s="79"/>
      <c r="BU223" s="79" t="s">
        <v>1266</v>
      </c>
      <c r="BV223" s="79">
        <v>250</v>
      </c>
      <c r="BW223" s="79"/>
      <c r="BX223" s="79" t="s">
        <v>1287</v>
      </c>
      <c r="BY223" s="79">
        <v>293</v>
      </c>
      <c r="BZ223" s="81">
        <v>1195</v>
      </c>
      <c r="CA223">
        <f t="shared" si="34"/>
        <v>7.0859014643656106</v>
      </c>
    </row>
    <row r="224" spans="1:7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1317</v>
      </c>
      <c r="I224" s="2"/>
      <c r="J224" s="25">
        <v>0</v>
      </c>
      <c r="K224">
        <v>0</v>
      </c>
      <c r="L224">
        <v>0</v>
      </c>
      <c r="M224" s="2">
        <v>5.4930000000000003</v>
      </c>
      <c r="N224" s="2">
        <v>5.4930000000000003</v>
      </c>
      <c r="O224" s="2">
        <v>28.75</v>
      </c>
      <c r="P224" s="2"/>
      <c r="Q224" s="2">
        <f>O224/2</f>
        <v>14.375</v>
      </c>
      <c r="R224" s="25">
        <v>0</v>
      </c>
      <c r="S224" s="25"/>
      <c r="T224" s="25"/>
      <c r="U224">
        <v>0</v>
      </c>
      <c r="X224">
        <v>0</v>
      </c>
      <c r="AA224" s="2"/>
      <c r="AB224">
        <v>2</v>
      </c>
      <c r="AC224" s="55">
        <f t="shared" si="37"/>
        <v>867.47515875000011</v>
      </c>
      <c r="AD224" s="57">
        <v>0</v>
      </c>
      <c r="AE224" s="55">
        <v>0</v>
      </c>
      <c r="AF224" s="55">
        <v>0</v>
      </c>
      <c r="AG224" s="52"/>
      <c r="AH224" s="51"/>
      <c r="AI224" s="52"/>
      <c r="AJ224" s="52"/>
      <c r="AK224" s="28">
        <v>1.428571428571429</v>
      </c>
      <c r="AL224" s="28">
        <v>1.5</v>
      </c>
      <c r="AM224" s="28">
        <v>5.1428571428571432</v>
      </c>
      <c r="AN224" s="28">
        <v>4</v>
      </c>
      <c r="AO224" s="28">
        <v>0.1183431952662722</v>
      </c>
      <c r="AP224" s="28">
        <v>0.1242603550295858</v>
      </c>
      <c r="AQ224" s="28">
        <v>0.42603550295857989</v>
      </c>
      <c r="AR224" s="28">
        <v>0.33136094674556221</v>
      </c>
      <c r="AS224" s="25">
        <v>1.6</v>
      </c>
      <c r="AT224" s="25">
        <v>3.44</v>
      </c>
      <c r="AU224" s="25">
        <v>1.84</v>
      </c>
      <c r="AV224" s="25">
        <v>1.9628571428571431</v>
      </c>
      <c r="AW224">
        <v>1.9628571428571431</v>
      </c>
      <c r="AX224">
        <v>4.4993245392857144</v>
      </c>
      <c r="AY224" s="75"/>
      <c r="AZ224" s="75"/>
      <c r="BA224" s="75"/>
      <c r="BF224">
        <v>0</v>
      </c>
      <c r="BG224">
        <v>0</v>
      </c>
      <c r="BH224">
        <v>0</v>
      </c>
      <c r="BI224" s="79" t="s">
        <v>1264</v>
      </c>
      <c r="BJ224" s="79">
        <v>1173</v>
      </c>
      <c r="BK224" s="79">
        <v>20</v>
      </c>
      <c r="BM224" s="79" t="s">
        <v>1268</v>
      </c>
      <c r="BN224" s="79" t="s">
        <v>863</v>
      </c>
      <c r="BO224" s="79">
        <v>0.5</v>
      </c>
      <c r="BQ224" s="79">
        <v>0.4</v>
      </c>
      <c r="BR224" s="79">
        <v>20</v>
      </c>
      <c r="BS224" s="79" t="s">
        <v>464</v>
      </c>
      <c r="BT224" s="79" t="s">
        <v>464</v>
      </c>
      <c r="BU224" s="79" t="s">
        <v>1271</v>
      </c>
      <c r="BV224" s="79">
        <v>300</v>
      </c>
      <c r="BW224" s="79">
        <v>300</v>
      </c>
      <c r="BX224" s="79" t="s">
        <v>1311</v>
      </c>
      <c r="BZ224" s="81">
        <v>0.94</v>
      </c>
      <c r="CA224">
        <f t="shared" si="34"/>
        <v>-6.1875403718087529E-2</v>
      </c>
    </row>
    <row r="225" spans="1:79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I225" s="2"/>
      <c r="J225" s="25">
        <v>4</v>
      </c>
      <c r="K225">
        <v>4</v>
      </c>
      <c r="L225">
        <v>0</v>
      </c>
      <c r="M225" s="2"/>
      <c r="N225" s="2"/>
      <c r="O225" s="2"/>
      <c r="P225" s="2"/>
      <c r="Q225" s="2"/>
      <c r="R225" s="25">
        <v>5.5026178200000002</v>
      </c>
      <c r="S225" s="25">
        <v>5.5582516699999998</v>
      </c>
      <c r="T225" s="25">
        <v>28.882220520000001</v>
      </c>
      <c r="U225">
        <v>5.4930000000000003</v>
      </c>
      <c r="V225">
        <v>5.4960000000000004</v>
      </c>
      <c r="W225">
        <v>28.75</v>
      </c>
      <c r="X225">
        <v>0</v>
      </c>
      <c r="AA225" s="2"/>
      <c r="AB225">
        <v>16</v>
      </c>
      <c r="AC225" s="55">
        <f t="shared" si="37"/>
        <v>0</v>
      </c>
      <c r="AD225" s="57">
        <v>883.36082823090169</v>
      </c>
      <c r="AE225" s="55">
        <v>867.94893000000013</v>
      </c>
      <c r="AF225" s="55">
        <v>0</v>
      </c>
      <c r="AG225" s="52"/>
      <c r="AH225" s="51">
        <v>7.2450575070407169E-2</v>
      </c>
      <c r="AI225" s="52">
        <v>7.3737057317416116E-2</v>
      </c>
      <c r="AJ225" s="52"/>
      <c r="AK225" s="28">
        <v>1.928571428571429</v>
      </c>
      <c r="AL225" s="28">
        <v>3.5</v>
      </c>
      <c r="AM225" s="28">
        <v>3.1428571428571428</v>
      </c>
      <c r="AN225" s="28">
        <v>4</v>
      </c>
      <c r="AO225" s="28">
        <v>0.15340909090909091</v>
      </c>
      <c r="AP225" s="28">
        <v>0.27840909090909088</v>
      </c>
      <c r="AQ225" s="28">
        <v>0.25</v>
      </c>
      <c r="AR225" s="28">
        <v>0.31818181818181818</v>
      </c>
      <c r="AS225" s="25">
        <v>1.6</v>
      </c>
      <c r="AT225" s="25">
        <v>3.44</v>
      </c>
      <c r="AU225" s="25">
        <v>1.84</v>
      </c>
      <c r="AV225" s="25">
        <v>2.882857142857143</v>
      </c>
      <c r="AW225">
        <v>2.882857142857143</v>
      </c>
      <c r="AX225">
        <v>6.350050364285714</v>
      </c>
      <c r="AY225" s="75">
        <v>0.52239337321040458</v>
      </c>
      <c r="AZ225" s="75">
        <v>0.53166934928012111</v>
      </c>
      <c r="BA225" s="75"/>
      <c r="BC225">
        <v>3.6225287535203578E-2</v>
      </c>
      <c r="BD225">
        <v>3.6868528658708058E-2</v>
      </c>
      <c r="BF225">
        <v>7.3093816193911643E-2</v>
      </c>
      <c r="BG225">
        <v>3.6546908096955821E-2</v>
      </c>
      <c r="BH225">
        <v>0.52703136124526284</v>
      </c>
      <c r="BI225" s="79" t="s">
        <v>1264</v>
      </c>
      <c r="BJ225" s="79">
        <v>1073</v>
      </c>
      <c r="BK225" s="79">
        <v>24</v>
      </c>
      <c r="BM225" s="79" t="s">
        <v>1275</v>
      </c>
      <c r="BN225" s="79" t="s">
        <v>863</v>
      </c>
      <c r="BO225" s="79">
        <v>0.375</v>
      </c>
      <c r="BQ225" s="79">
        <v>3</v>
      </c>
      <c r="BR225" s="79">
        <v>20</v>
      </c>
      <c r="BS225" s="79" t="s">
        <v>464</v>
      </c>
      <c r="BT225" s="79" t="s">
        <v>464</v>
      </c>
      <c r="BU225" s="79" t="s">
        <v>1271</v>
      </c>
      <c r="BV225" s="79">
        <v>300</v>
      </c>
      <c r="BW225" s="79">
        <v>420</v>
      </c>
      <c r="BX225" s="79" t="s">
        <v>1311</v>
      </c>
      <c r="BZ225" s="81">
        <f>0.3*BZ226</f>
        <v>0.19800000000000001</v>
      </c>
      <c r="CA225">
        <f t="shared" si="34"/>
        <v>-1.6194882482876019</v>
      </c>
    </row>
    <row r="226" spans="1:79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I226" s="2"/>
      <c r="J226" s="25">
        <v>4</v>
      </c>
      <c r="K226">
        <v>0</v>
      </c>
      <c r="L226">
        <v>0</v>
      </c>
      <c r="M226" s="2"/>
      <c r="N226" s="2"/>
      <c r="O226" s="2"/>
      <c r="P226" s="2"/>
      <c r="Q226" s="2"/>
      <c r="R226" s="25">
        <v>5.5809040000000003</v>
      </c>
      <c r="S226" s="25">
        <v>5.6539380000000001</v>
      </c>
      <c r="T226" s="25">
        <v>29.812771999999999</v>
      </c>
      <c r="U226">
        <v>0</v>
      </c>
      <c r="X226">
        <v>0</v>
      </c>
      <c r="AA226" s="2"/>
      <c r="AB226">
        <v>16</v>
      </c>
      <c r="AC226" s="55">
        <f t="shared" si="37"/>
        <v>0</v>
      </c>
      <c r="AD226" s="57">
        <v>940.71474773474347</v>
      </c>
      <c r="AE226" s="55">
        <v>0</v>
      </c>
      <c r="AF226" s="55">
        <v>0</v>
      </c>
      <c r="AG226" s="52"/>
      <c r="AH226" s="51">
        <v>6.8033375849706881E-2</v>
      </c>
      <c r="AI226" s="52"/>
      <c r="AJ226" s="52"/>
      <c r="AK226" s="28">
        <v>1.928571428571429</v>
      </c>
      <c r="AL226" s="28">
        <v>3.5</v>
      </c>
      <c r="AM226" s="28">
        <v>3.8571428571428572</v>
      </c>
      <c r="AN226" s="28">
        <v>4</v>
      </c>
      <c r="AO226" s="28">
        <v>0.1451612903225806</v>
      </c>
      <c r="AP226" s="28">
        <v>0.26344086021505381</v>
      </c>
      <c r="AQ226" s="28">
        <v>0.29032258064516131</v>
      </c>
      <c r="AR226" s="28">
        <v>0.30107526881720431</v>
      </c>
      <c r="AS226" s="25">
        <v>1.6</v>
      </c>
      <c r="AT226" s="25">
        <v>3.44</v>
      </c>
      <c r="AU226" s="25">
        <v>1.84</v>
      </c>
      <c r="AV226" s="25">
        <v>2.8685714285714279</v>
      </c>
      <c r="AW226">
        <v>2.8685714285714279</v>
      </c>
      <c r="AX226">
        <v>6.299944650714286</v>
      </c>
      <c r="AY226" s="75">
        <v>0.51496474224831645</v>
      </c>
      <c r="AZ226" s="75"/>
      <c r="BA226" s="75"/>
      <c r="BC226">
        <v>3.4016687924853441E-2</v>
      </c>
      <c r="BF226">
        <v>6.8033375849706881E-2</v>
      </c>
      <c r="BG226">
        <v>3.4016687924853441E-2</v>
      </c>
      <c r="BH226">
        <v>0.51496474224831645</v>
      </c>
      <c r="BI226" s="79" t="s">
        <v>1264</v>
      </c>
      <c r="BJ226" s="79">
        <v>1073</v>
      </c>
      <c r="BK226" s="79">
        <v>24</v>
      </c>
      <c r="BM226" s="79" t="s">
        <v>1275</v>
      </c>
      <c r="BN226" s="79" t="s">
        <v>863</v>
      </c>
      <c r="BO226" s="79">
        <v>0.375</v>
      </c>
      <c r="BQ226" s="79">
        <v>3</v>
      </c>
      <c r="BR226" s="79">
        <v>20</v>
      </c>
      <c r="BS226" s="79" t="s">
        <v>464</v>
      </c>
      <c r="BT226" s="79" t="s">
        <v>464</v>
      </c>
      <c r="BU226" s="79" t="s">
        <v>1271</v>
      </c>
      <c r="BV226" s="79">
        <v>300</v>
      </c>
      <c r="BW226" s="79">
        <v>420</v>
      </c>
      <c r="BX226" s="79" t="s">
        <v>1311</v>
      </c>
      <c r="BZ226" s="81">
        <v>0.66</v>
      </c>
      <c r="CA226">
        <f t="shared" si="34"/>
        <v>-0.41551544396166579</v>
      </c>
    </row>
    <row r="227" spans="1:79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I227" s="2"/>
      <c r="J227" s="25">
        <v>1</v>
      </c>
      <c r="K227">
        <v>4</v>
      </c>
      <c r="L227">
        <v>0</v>
      </c>
      <c r="M227" s="2"/>
      <c r="N227" s="2"/>
      <c r="O227" s="2"/>
      <c r="P227" s="2"/>
      <c r="Q227" s="2"/>
      <c r="R227" s="25">
        <v>3.9070640000000001</v>
      </c>
      <c r="S227" s="25">
        <v>3.9070640000000001</v>
      </c>
      <c r="T227" s="25">
        <v>14.317354999999999</v>
      </c>
      <c r="U227">
        <v>5.4588999999999999</v>
      </c>
      <c r="V227">
        <v>5.5044000000000004</v>
      </c>
      <c r="W227">
        <v>28.6998</v>
      </c>
      <c r="X227">
        <v>0</v>
      </c>
      <c r="AA227" s="2"/>
      <c r="AB227">
        <v>16</v>
      </c>
      <c r="AC227" s="55">
        <f t="shared" si="37"/>
        <v>0</v>
      </c>
      <c r="AD227" s="57">
        <v>218.55655879400501</v>
      </c>
      <c r="AE227" s="55">
        <v>862.37070529816799</v>
      </c>
      <c r="AF227" s="55">
        <v>0</v>
      </c>
      <c r="AG227" s="52"/>
      <c r="AH227" s="51">
        <v>7.320759481338833E-2</v>
      </c>
      <c r="AI227" s="52">
        <v>7.4214023745010863E-2</v>
      </c>
      <c r="AJ227" s="52"/>
      <c r="AK227" s="28">
        <v>2</v>
      </c>
      <c r="AL227" s="28">
        <v>3.5</v>
      </c>
      <c r="AM227" s="28">
        <v>3.0714285714285721</v>
      </c>
      <c r="AN227" s="28">
        <v>5</v>
      </c>
      <c r="AO227" s="28">
        <v>0.14736842105263159</v>
      </c>
      <c r="AP227" s="28">
        <v>0.25789473684210529</v>
      </c>
      <c r="AQ227" s="28">
        <v>0.22631578947368419</v>
      </c>
      <c r="AR227" s="28">
        <v>0.36842105263157893</v>
      </c>
      <c r="AS227" s="25">
        <v>1.5</v>
      </c>
      <c r="AT227" s="25">
        <v>3.44</v>
      </c>
      <c r="AU227" s="25">
        <v>1.94</v>
      </c>
      <c r="AV227" s="25">
        <v>2.875714285714285</v>
      </c>
      <c r="AW227">
        <v>2.875714285714285</v>
      </c>
      <c r="AX227">
        <v>6.3570658642857136</v>
      </c>
      <c r="AY227" s="75">
        <v>0.52785174392365897</v>
      </c>
      <c r="AZ227" s="75">
        <v>0.53510844000890001</v>
      </c>
      <c r="BA227" s="75"/>
      <c r="BC227">
        <v>3.6603797406694158E-2</v>
      </c>
      <c r="BD227">
        <v>3.7107011872505431E-2</v>
      </c>
      <c r="BF227">
        <v>7.3710809279199596E-2</v>
      </c>
      <c r="BG227">
        <v>3.6855404639599798E-2</v>
      </c>
      <c r="BH227">
        <v>0.53148009196627943</v>
      </c>
      <c r="BI227" s="79" t="s">
        <v>1264</v>
      </c>
      <c r="BJ227" s="79">
        <v>1073</v>
      </c>
      <c r="BK227" s="79">
        <v>24</v>
      </c>
      <c r="BM227" s="79" t="s">
        <v>1275</v>
      </c>
      <c r="BN227" s="79" t="s">
        <v>863</v>
      </c>
      <c r="BO227" s="79">
        <v>0.375</v>
      </c>
      <c r="BQ227" s="79">
        <v>3</v>
      </c>
      <c r="BR227" s="79">
        <v>20</v>
      </c>
      <c r="BS227" s="79" t="s">
        <v>464</v>
      </c>
      <c r="BT227" s="79" t="s">
        <v>464</v>
      </c>
      <c r="BU227" s="79" t="s">
        <v>1271</v>
      </c>
      <c r="BV227" s="79">
        <v>300</v>
      </c>
      <c r="BW227" s="79">
        <v>420</v>
      </c>
      <c r="BX227" s="79" t="s">
        <v>1311</v>
      </c>
      <c r="BZ227" s="81">
        <f>0.2*BZ226</f>
        <v>0.13200000000000001</v>
      </c>
      <c r="CA227">
        <f t="shared" si="34"/>
        <v>-2.0249533563957662</v>
      </c>
    </row>
    <row r="228" spans="1:79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I228" s="2"/>
      <c r="J228" s="25">
        <v>4</v>
      </c>
      <c r="K228">
        <v>0</v>
      </c>
      <c r="L228">
        <v>0</v>
      </c>
      <c r="M228" s="2"/>
      <c r="N228" s="2"/>
      <c r="O228" s="2"/>
      <c r="P228" s="2"/>
      <c r="Q228" s="2"/>
      <c r="R228" s="25">
        <v>5.4952131800000004</v>
      </c>
      <c r="S228" s="25">
        <v>5.5421627200000003</v>
      </c>
      <c r="T228" s="25">
        <v>29.451395720000001</v>
      </c>
      <c r="U228">
        <v>0</v>
      </c>
      <c r="X228">
        <v>0</v>
      </c>
      <c r="AA228" s="2"/>
      <c r="AB228">
        <v>16</v>
      </c>
      <c r="AC228" s="55">
        <f t="shared" si="37"/>
        <v>0</v>
      </c>
      <c r="AD228" s="57">
        <v>896.95302480881253</v>
      </c>
      <c r="AE228" s="55">
        <v>0</v>
      </c>
      <c r="AF228" s="55">
        <v>0</v>
      </c>
      <c r="AG228" s="52"/>
      <c r="AH228" s="51">
        <v>7.1352677598296457E-2</v>
      </c>
      <c r="AI228" s="52"/>
      <c r="AJ228" s="52"/>
      <c r="AK228" s="28">
        <v>2</v>
      </c>
      <c r="AL228" s="28">
        <v>3.5</v>
      </c>
      <c r="AM228" s="28">
        <v>3.785714285714286</v>
      </c>
      <c r="AN228" s="28">
        <v>5</v>
      </c>
      <c r="AO228" s="28">
        <v>0.14000000000000001</v>
      </c>
      <c r="AP228" s="28">
        <v>0.245</v>
      </c>
      <c r="AQ228" s="28">
        <v>0.26500000000000001</v>
      </c>
      <c r="AR228" s="28">
        <v>0.35</v>
      </c>
      <c r="AS228" s="25">
        <v>1.5</v>
      </c>
      <c r="AT228" s="25">
        <v>3.44</v>
      </c>
      <c r="AU228" s="25">
        <v>1.94</v>
      </c>
      <c r="AV228" s="25">
        <v>2.8614285714285721</v>
      </c>
      <c r="AW228">
        <v>2.8614285714285712</v>
      </c>
      <c r="AX228">
        <v>6.3069601507142856</v>
      </c>
      <c r="AY228" s="75">
        <v>0.54008951884595136</v>
      </c>
      <c r="AZ228" s="75"/>
      <c r="BA228" s="75"/>
      <c r="BC228">
        <v>3.5676338799148229E-2</v>
      </c>
      <c r="BF228">
        <v>7.1352677598296457E-2</v>
      </c>
      <c r="BG228">
        <v>3.5676338799148229E-2</v>
      </c>
      <c r="BH228">
        <v>0.54008951884595136</v>
      </c>
      <c r="BI228" s="79" t="s">
        <v>1264</v>
      </c>
      <c r="BJ228" s="79">
        <v>1073</v>
      </c>
      <c r="BK228" s="79">
        <v>24</v>
      </c>
      <c r="BM228" s="79" t="s">
        <v>1275</v>
      </c>
      <c r="BN228" s="79" t="s">
        <v>863</v>
      </c>
      <c r="BO228" s="79">
        <v>0.375</v>
      </c>
      <c r="BQ228" s="79">
        <v>3</v>
      </c>
      <c r="BR228" s="79">
        <v>20</v>
      </c>
      <c r="BS228" s="79" t="s">
        <v>464</v>
      </c>
      <c r="BT228" s="79" t="s">
        <v>464</v>
      </c>
      <c r="BU228" s="79" t="s">
        <v>1271</v>
      </c>
      <c r="BV228" s="79">
        <v>300</v>
      </c>
      <c r="BW228" s="79">
        <v>420</v>
      </c>
      <c r="BX228" s="79" t="s">
        <v>1311</v>
      </c>
      <c r="BZ228" s="81">
        <f>0.1*BZ226</f>
        <v>6.6000000000000003E-2</v>
      </c>
      <c r="CA228">
        <f t="shared" si="34"/>
        <v>-2.7181005369557116</v>
      </c>
    </row>
    <row r="229" spans="1:79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88" t="s">
        <v>576</v>
      </c>
      <c r="G229">
        <v>-1</v>
      </c>
      <c r="H229" t="s">
        <v>1164</v>
      </c>
      <c r="I229" s="2"/>
      <c r="J229" s="25">
        <v>0</v>
      </c>
      <c r="K229">
        <v>0</v>
      </c>
      <c r="L229">
        <v>1</v>
      </c>
      <c r="M229" s="2">
        <v>3.89</v>
      </c>
      <c r="N229" s="2">
        <v>3.89</v>
      </c>
      <c r="O229" s="2">
        <v>10.34</v>
      </c>
      <c r="P229" s="2" t="s">
        <v>440</v>
      </c>
      <c r="Q229" s="2"/>
      <c r="R229" s="25">
        <v>0</v>
      </c>
      <c r="S229" s="25"/>
      <c r="T229" s="25"/>
      <c r="U229">
        <v>0</v>
      </c>
      <c r="X229">
        <v>3.88</v>
      </c>
      <c r="Y229">
        <v>3.88</v>
      </c>
      <c r="Z229">
        <v>10.66</v>
      </c>
      <c r="AA229" s="2">
        <v>2</v>
      </c>
      <c r="AB229">
        <v>14</v>
      </c>
      <c r="AC229" s="55">
        <f t="shared" si="37"/>
        <v>156.465914</v>
      </c>
      <c r="AD229" s="57">
        <v>0</v>
      </c>
      <c r="AE229" s="55">
        <v>0</v>
      </c>
      <c r="AF229" s="55">
        <v>160.479904</v>
      </c>
      <c r="AG229" s="52"/>
      <c r="AH229" s="51"/>
      <c r="AI229" s="52"/>
      <c r="AJ229" s="52">
        <v>8.7238337331009372E-2</v>
      </c>
      <c r="AK229" s="28">
        <v>1.9090909090909089</v>
      </c>
      <c r="AL229" s="28">
        <v>2.545454545454545</v>
      </c>
      <c r="AM229" s="28">
        <v>0.63636363636363635</v>
      </c>
      <c r="AN229" s="28">
        <v>2.545454545454545</v>
      </c>
      <c r="AO229" s="28">
        <v>0.25</v>
      </c>
      <c r="AP229" s="28">
        <v>0.33333333333333331</v>
      </c>
      <c r="AQ229" s="28">
        <v>8.3333333333333329E-2</v>
      </c>
      <c r="AR229" s="28">
        <v>0.33333333333333331</v>
      </c>
      <c r="AS229" s="25">
        <v>1.1000000000000001</v>
      </c>
      <c r="AT229" s="25">
        <v>3.44</v>
      </c>
      <c r="AU229" s="25">
        <v>2.34</v>
      </c>
      <c r="AV229" s="25">
        <v>2.7618181818181822</v>
      </c>
      <c r="AW229">
        <v>2.7618181818181822</v>
      </c>
      <c r="AX229">
        <v>6.4448628590773636</v>
      </c>
      <c r="AY229" s="75"/>
      <c r="AZ229" s="75"/>
      <c r="BA229" s="75">
        <v>0</v>
      </c>
      <c r="BE229">
        <v>4.3619168665504693E-2</v>
      </c>
      <c r="BF229">
        <v>8.7238337331009372E-2</v>
      </c>
      <c r="BG229">
        <v>4.3619168665504693E-2</v>
      </c>
      <c r="BH229">
        <v>0</v>
      </c>
      <c r="BI229" s="79" t="s">
        <v>1264</v>
      </c>
      <c r="BJ229" s="79">
        <v>1373</v>
      </c>
      <c r="BK229" s="79">
        <v>10</v>
      </c>
      <c r="BM229" s="79" t="s">
        <v>464</v>
      </c>
      <c r="BN229" s="79" t="s">
        <v>464</v>
      </c>
      <c r="BO229" s="79">
        <v>0</v>
      </c>
      <c r="BQ229" s="79">
        <v>1</v>
      </c>
      <c r="BR229" s="79">
        <v>0</v>
      </c>
      <c r="BS229" s="79" t="s">
        <v>464</v>
      </c>
      <c r="BT229" s="79" t="s">
        <v>464</v>
      </c>
      <c r="BU229" s="79" t="s">
        <v>1266</v>
      </c>
      <c r="BV229" s="79">
        <v>400</v>
      </c>
      <c r="BX229" s="79" t="s">
        <v>1287</v>
      </c>
      <c r="BZ229" s="81">
        <v>0</v>
      </c>
      <c r="CA229" t="e">
        <f t="shared" si="34"/>
        <v>#NUM!</v>
      </c>
    </row>
    <row r="230" spans="1:79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I230" s="2"/>
      <c r="J230" s="25">
        <v>1</v>
      </c>
      <c r="K230">
        <v>2</v>
      </c>
      <c r="L230">
        <v>0</v>
      </c>
      <c r="M230" s="2">
        <v>3.85</v>
      </c>
      <c r="N230" s="2">
        <v>3.85</v>
      </c>
      <c r="O230" s="2">
        <v>12.77</v>
      </c>
      <c r="P230" s="2" t="s">
        <v>440</v>
      </c>
      <c r="Q230" s="2"/>
      <c r="R230" s="25">
        <v>11.210029909999999</v>
      </c>
      <c r="S230" s="25">
        <v>11.210029909999999</v>
      </c>
      <c r="T230" s="25">
        <v>11.210029909999999</v>
      </c>
      <c r="U230">
        <v>3.8955000000000002</v>
      </c>
      <c r="V230">
        <v>3.8955000000000002</v>
      </c>
      <c r="W230">
        <v>21.436</v>
      </c>
      <c r="X230">
        <v>0</v>
      </c>
      <c r="AA230" s="2">
        <v>2</v>
      </c>
      <c r="AB230">
        <v>14</v>
      </c>
      <c r="AC230" s="55">
        <f t="shared" si="37"/>
        <v>189.28332500000002</v>
      </c>
      <c r="AD230" s="57">
        <v>167.3639996655379</v>
      </c>
      <c r="AE230" s="55">
        <v>325.28959047900003</v>
      </c>
      <c r="AF230" s="55">
        <v>0</v>
      </c>
      <c r="AG230" s="52"/>
      <c r="AH230" s="51">
        <v>8.365000853216796E-2</v>
      </c>
      <c r="AI230" s="52">
        <v>8.607714731593176E-2</v>
      </c>
      <c r="AJ230" s="52"/>
      <c r="AK230" s="28">
        <v>1.9090909090909089</v>
      </c>
      <c r="AL230" s="28">
        <v>2.545454545454545</v>
      </c>
      <c r="AM230" s="28">
        <v>0.63636363636363635</v>
      </c>
      <c r="AN230" s="28">
        <v>2.545454545454545</v>
      </c>
      <c r="AO230" s="28">
        <v>0.25</v>
      </c>
      <c r="AP230" s="28">
        <v>0.33333333333333331</v>
      </c>
      <c r="AQ230" s="28">
        <v>8.3333333333333329E-2</v>
      </c>
      <c r="AR230" s="28">
        <v>0.33333333333333331</v>
      </c>
      <c r="AS230" s="25">
        <v>0.93</v>
      </c>
      <c r="AT230" s="25">
        <v>3.44</v>
      </c>
      <c r="AU230" s="25">
        <v>2.5099999999999998</v>
      </c>
      <c r="AV230" s="25">
        <v>2.646363636363636</v>
      </c>
      <c r="AW230">
        <v>2.646363636363636</v>
      </c>
      <c r="AX230">
        <v>6.0509524322727266</v>
      </c>
      <c r="AY230" s="75">
        <v>0.45356967584663088</v>
      </c>
      <c r="AZ230" s="75">
        <v>0</v>
      </c>
      <c r="BA230" s="75"/>
      <c r="BC230">
        <v>4.1825004266083973E-2</v>
      </c>
      <c r="BD230">
        <v>4.303857365796588E-2</v>
      </c>
      <c r="BF230">
        <v>8.486357792404986E-2</v>
      </c>
      <c r="BG230">
        <v>4.243178896202493E-2</v>
      </c>
      <c r="BH230">
        <v>0.22678483792331541</v>
      </c>
      <c r="BI230" s="79" t="s">
        <v>1264</v>
      </c>
      <c r="BJ230" s="79">
        <v>1373</v>
      </c>
      <c r="BK230" s="79">
        <v>10</v>
      </c>
      <c r="BM230" s="79" t="s">
        <v>464</v>
      </c>
      <c r="BN230" s="79" t="s">
        <v>464</v>
      </c>
      <c r="BO230" s="79">
        <v>0</v>
      </c>
      <c r="BQ230" s="79">
        <v>1</v>
      </c>
      <c r="BR230" s="79">
        <v>0</v>
      </c>
      <c r="BS230" s="79" t="s">
        <v>464</v>
      </c>
      <c r="BT230" s="79" t="s">
        <v>464</v>
      </c>
      <c r="BU230" s="79" t="s">
        <v>1266</v>
      </c>
      <c r="BV230" s="79">
        <v>400</v>
      </c>
      <c r="BX230" s="79" t="s">
        <v>1287</v>
      </c>
      <c r="BZ230" s="81">
        <v>5</v>
      </c>
      <c r="CA230">
        <f t="shared" si="34"/>
        <v>1.6094379124341003</v>
      </c>
    </row>
    <row r="231" spans="1:79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I231" s="2"/>
      <c r="J231" s="25">
        <v>1</v>
      </c>
      <c r="K231">
        <v>0</v>
      </c>
      <c r="L231">
        <v>0</v>
      </c>
      <c r="M231" s="2">
        <v>3.88</v>
      </c>
      <c r="N231" s="2">
        <v>3.88</v>
      </c>
      <c r="O231" s="2">
        <v>11.07</v>
      </c>
      <c r="P231" s="2" t="s">
        <v>439</v>
      </c>
      <c r="Q231" s="2"/>
      <c r="R231" s="25">
        <v>3.9103940000000001</v>
      </c>
      <c r="S231" s="25">
        <v>3.9103940000000001</v>
      </c>
      <c r="T231" s="25">
        <v>11.314458</v>
      </c>
      <c r="U231">
        <v>0</v>
      </c>
      <c r="X231">
        <v>0</v>
      </c>
      <c r="AA231" s="2">
        <v>2</v>
      </c>
      <c r="AB231">
        <v>14</v>
      </c>
      <c r="AC231" s="55">
        <f t="shared" si="37"/>
        <v>166.652208</v>
      </c>
      <c r="AD231" s="57">
        <v>173.0114278564659</v>
      </c>
      <c r="AE231" s="55">
        <v>0</v>
      </c>
      <c r="AF231" s="55">
        <v>0</v>
      </c>
      <c r="AG231" s="52"/>
      <c r="AH231" s="51">
        <v>8.0919510193365449E-2</v>
      </c>
      <c r="AI231" s="52"/>
      <c r="AJ231" s="52"/>
      <c r="AK231" s="28">
        <v>1.9090909090909089</v>
      </c>
      <c r="AL231" s="28">
        <v>2.545454545454545</v>
      </c>
      <c r="AM231" s="28">
        <v>0.63636363636363635</v>
      </c>
      <c r="AN231" s="28">
        <v>2.545454545454545</v>
      </c>
      <c r="AO231" s="28">
        <v>0.25</v>
      </c>
      <c r="AP231" s="28">
        <v>0.33333333333333331</v>
      </c>
      <c r="AQ231" s="28">
        <v>8.3333333333333329E-2</v>
      </c>
      <c r="AR231" s="28">
        <v>0.33333333333333331</v>
      </c>
      <c r="AS231" s="25">
        <v>0.82</v>
      </c>
      <c r="AT231" s="25">
        <v>3.44</v>
      </c>
      <c r="AU231" s="25">
        <v>2.62</v>
      </c>
      <c r="AV231" s="25">
        <v>2.6363636363636358</v>
      </c>
      <c r="AW231">
        <v>2.6363636363636371</v>
      </c>
      <c r="AX231">
        <v>6.0044088459090901</v>
      </c>
      <c r="AY231" s="75">
        <v>0.5117218936152963</v>
      </c>
      <c r="AZ231" s="75"/>
      <c r="BA231" s="75"/>
      <c r="BC231">
        <v>4.0459755096682717E-2</v>
      </c>
      <c r="BF231">
        <v>8.0919510193365449E-2</v>
      </c>
      <c r="BG231">
        <v>4.0459755096682717E-2</v>
      </c>
      <c r="BH231">
        <v>0.5117218936152963</v>
      </c>
      <c r="BI231" s="79" t="s">
        <v>1264</v>
      </c>
      <c r="BJ231" s="79">
        <v>1373</v>
      </c>
      <c r="BK231" s="79">
        <v>10</v>
      </c>
      <c r="BM231" s="79" t="s">
        <v>464</v>
      </c>
      <c r="BN231" s="79" t="s">
        <v>464</v>
      </c>
      <c r="BO231" s="79">
        <v>0</v>
      </c>
      <c r="BQ231" s="79">
        <v>1</v>
      </c>
      <c r="BR231" s="79">
        <v>0</v>
      </c>
      <c r="BS231" s="79" t="s">
        <v>464</v>
      </c>
      <c r="BT231" s="79" t="s">
        <v>464</v>
      </c>
      <c r="BU231" s="79" t="s">
        <v>1266</v>
      </c>
      <c r="BV231" s="79">
        <v>400</v>
      </c>
      <c r="BX231" s="79" t="s">
        <v>1287</v>
      </c>
      <c r="BZ231" s="81">
        <v>10</v>
      </c>
      <c r="CA231">
        <f t="shared" si="34"/>
        <v>2.3025850929940459</v>
      </c>
    </row>
    <row r="232" spans="1:79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88" t="s">
        <v>576</v>
      </c>
      <c r="G232">
        <v>-1</v>
      </c>
      <c r="H232" t="s">
        <v>1165</v>
      </c>
      <c r="I232" s="2"/>
      <c r="J232" s="25">
        <v>0</v>
      </c>
      <c r="K232">
        <v>0</v>
      </c>
      <c r="L232">
        <v>1</v>
      </c>
      <c r="M232" s="2">
        <v>3.88</v>
      </c>
      <c r="N232" s="2">
        <v>3.88</v>
      </c>
      <c r="O232" s="2">
        <v>11.07</v>
      </c>
      <c r="P232" s="2" t="s">
        <v>439</v>
      </c>
      <c r="Q232" s="2"/>
      <c r="R232" s="25">
        <v>0</v>
      </c>
      <c r="S232" s="25"/>
      <c r="T232" s="25"/>
      <c r="U232">
        <v>0</v>
      </c>
      <c r="X232">
        <v>3.899</v>
      </c>
      <c r="Y232">
        <v>3.899</v>
      </c>
      <c r="Z232">
        <v>11.292</v>
      </c>
      <c r="AA232" s="2">
        <v>2</v>
      </c>
      <c r="AB232">
        <v>14</v>
      </c>
      <c r="AC232" s="55">
        <f t="shared" si="37"/>
        <v>166.652208</v>
      </c>
      <c r="AD232" s="57">
        <v>0</v>
      </c>
      <c r="AE232" s="55">
        <v>0</v>
      </c>
      <c r="AF232" s="55">
        <v>171.66325369200001</v>
      </c>
      <c r="AG232" s="52"/>
      <c r="AH232" s="51"/>
      <c r="AI232" s="52"/>
      <c r="AJ232" s="52">
        <v>8.1555019486691915E-2</v>
      </c>
      <c r="AK232" s="28">
        <v>1.9090909090909089</v>
      </c>
      <c r="AL232" s="28">
        <v>2.545454545454545</v>
      </c>
      <c r="AM232" s="28">
        <v>0.63636363636363635</v>
      </c>
      <c r="AN232" s="28">
        <v>2.545454545454545</v>
      </c>
      <c r="AO232" s="28">
        <v>0.25</v>
      </c>
      <c r="AP232" s="28">
        <v>0.33333333333333331</v>
      </c>
      <c r="AQ232" s="28">
        <v>8.3333333333333329E-2</v>
      </c>
      <c r="AR232" s="28">
        <v>0.33333333333333331</v>
      </c>
      <c r="AS232" s="25">
        <v>0.79</v>
      </c>
      <c r="AT232" s="25">
        <v>3.44</v>
      </c>
      <c r="AU232" s="25">
        <v>2.65</v>
      </c>
      <c r="AV232" s="25">
        <v>2.6336363636363629</v>
      </c>
      <c r="AW232">
        <v>2.6336363636363642</v>
      </c>
      <c r="AX232">
        <v>5.9908857398831818</v>
      </c>
      <c r="AY232" s="75"/>
      <c r="AZ232" s="75"/>
      <c r="BA232" s="75">
        <v>0.54881524259093173</v>
      </c>
      <c r="BE232">
        <v>4.0777509743345958E-2</v>
      </c>
      <c r="BF232">
        <v>8.1555019486691915E-2</v>
      </c>
      <c r="BG232">
        <v>4.0777509743345958E-2</v>
      </c>
      <c r="BH232">
        <v>0.54881524259093173</v>
      </c>
      <c r="BI232" s="79" t="s">
        <v>1264</v>
      </c>
      <c r="BJ232" s="79">
        <v>1373</v>
      </c>
      <c r="BK232" s="79">
        <v>10</v>
      </c>
      <c r="BM232" s="79" t="s">
        <v>464</v>
      </c>
      <c r="BN232" s="79" t="s">
        <v>464</v>
      </c>
      <c r="BO232" s="79">
        <v>0</v>
      </c>
      <c r="BQ232" s="79">
        <v>1</v>
      </c>
      <c r="BR232" s="79">
        <v>0</v>
      </c>
      <c r="BS232" s="79" t="s">
        <v>464</v>
      </c>
      <c r="BT232" s="79" t="s">
        <v>464</v>
      </c>
      <c r="BU232" s="79" t="s">
        <v>1266</v>
      </c>
      <c r="BV232" s="79">
        <v>400</v>
      </c>
      <c r="BX232" s="79" t="s">
        <v>1287</v>
      </c>
      <c r="BZ232" s="81">
        <v>15</v>
      </c>
      <c r="CA232">
        <f t="shared" si="34"/>
        <v>2.7080502011022101</v>
      </c>
    </row>
    <row r="233" spans="1:79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8" t="s">
        <v>576</v>
      </c>
      <c r="G233">
        <v>-1</v>
      </c>
      <c r="I233" s="2">
        <v>1</v>
      </c>
      <c r="J233" s="25">
        <v>0</v>
      </c>
      <c r="K233">
        <v>0</v>
      </c>
      <c r="L233">
        <v>0</v>
      </c>
      <c r="M233" s="2">
        <v>3.9</v>
      </c>
      <c r="N233" s="2">
        <v>3.9</v>
      </c>
      <c r="O233" s="2">
        <v>11.07</v>
      </c>
      <c r="P233" s="2" t="s">
        <v>519</v>
      </c>
      <c r="Q233" s="2"/>
      <c r="R233" s="25">
        <v>0</v>
      </c>
      <c r="S233" s="25"/>
      <c r="T233" s="25"/>
      <c r="U233">
        <v>0</v>
      </c>
      <c r="X233">
        <v>0</v>
      </c>
      <c r="AA233" s="2">
        <v>2</v>
      </c>
      <c r="AB233">
        <v>14</v>
      </c>
      <c r="AC233" s="55">
        <f t="shared" si="37"/>
        <v>168.37469999999999</v>
      </c>
      <c r="AD233" s="57">
        <v>0</v>
      </c>
      <c r="AE233" s="55">
        <v>0</v>
      </c>
      <c r="AF233" s="55">
        <v>0</v>
      </c>
      <c r="AG233" s="52">
        <f>I233*AB233/AC233</f>
        <v>8.3147883856660179E-2</v>
      </c>
      <c r="AH233" s="51"/>
      <c r="AI233" s="52"/>
      <c r="AJ233" s="52"/>
      <c r="AK233" s="28">
        <v>1.9090909090909089</v>
      </c>
      <c r="AL233" s="28">
        <v>2.545454545454545</v>
      </c>
      <c r="AM233" s="28">
        <v>0.54545454545454541</v>
      </c>
      <c r="AN233" s="28">
        <v>2.8181818181818179</v>
      </c>
      <c r="AO233" s="28">
        <v>0.2441860465116279</v>
      </c>
      <c r="AP233" s="28">
        <v>0.32558139534883718</v>
      </c>
      <c r="AQ233" s="28">
        <v>6.9767441860465115E-2</v>
      </c>
      <c r="AR233" s="28">
        <v>0.3604651162790698</v>
      </c>
      <c r="AS233" s="25">
        <v>1.1299999999999999</v>
      </c>
      <c r="AT233" s="25">
        <v>3.44</v>
      </c>
      <c r="AU233" s="25">
        <v>2.31</v>
      </c>
      <c r="AV233" s="25">
        <v>2.7645454545454542</v>
      </c>
      <c r="AW233">
        <v>2.7645454545454551</v>
      </c>
      <c r="AX233">
        <v>6.4196350590773639</v>
      </c>
      <c r="AY233" s="75"/>
      <c r="AZ233" s="75"/>
      <c r="BA233" s="75"/>
      <c r="BB233">
        <v>4.157394192833009E-2</v>
      </c>
      <c r="BF233">
        <v>8.3147883856660179E-2</v>
      </c>
      <c r="BG233">
        <v>4.157394192833009E-2</v>
      </c>
      <c r="BH233">
        <v>0</v>
      </c>
      <c r="BI233" s="79" t="s">
        <v>1264</v>
      </c>
      <c r="BJ233" s="79">
        <v>1373</v>
      </c>
      <c r="BK233" s="79">
        <v>10</v>
      </c>
      <c r="BM233" s="79" t="s">
        <v>464</v>
      </c>
      <c r="BN233" s="79" t="s">
        <v>464</v>
      </c>
      <c r="BO233" s="79">
        <v>0</v>
      </c>
      <c r="BQ233" s="79">
        <v>1</v>
      </c>
      <c r="BR233" s="79">
        <v>0</v>
      </c>
      <c r="BS233" s="79" t="s">
        <v>464</v>
      </c>
      <c r="BT233" s="79" t="s">
        <v>464</v>
      </c>
      <c r="BU233" s="79" t="s">
        <v>1266</v>
      </c>
      <c r="BV233" s="79">
        <v>400</v>
      </c>
      <c r="BX233" s="79" t="s">
        <v>1287</v>
      </c>
      <c r="BZ233" s="81">
        <v>5</v>
      </c>
      <c r="CA233">
        <f t="shared" si="34"/>
        <v>1.6094379124341003</v>
      </c>
    </row>
    <row r="234" spans="1:79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8" t="s">
        <v>576</v>
      </c>
      <c r="G234">
        <v>-1</v>
      </c>
      <c r="I234" s="2">
        <v>1</v>
      </c>
      <c r="J234" s="25">
        <v>0</v>
      </c>
      <c r="K234">
        <v>0</v>
      </c>
      <c r="L234">
        <v>0</v>
      </c>
      <c r="M234" s="2">
        <v>3.88</v>
      </c>
      <c r="N234" s="2">
        <v>3.88</v>
      </c>
      <c r="O234" s="2">
        <v>11.297000000000001</v>
      </c>
      <c r="P234" s="2" t="s">
        <v>439</v>
      </c>
      <c r="Q234" s="2"/>
      <c r="R234" s="25">
        <v>0</v>
      </c>
      <c r="S234" s="25"/>
      <c r="T234" s="25"/>
      <c r="U234">
        <v>0</v>
      </c>
      <c r="X234">
        <v>0</v>
      </c>
      <c r="AA234" s="2">
        <v>2</v>
      </c>
      <c r="AB234">
        <v>14</v>
      </c>
      <c r="AC234" s="55">
        <f t="shared" si="37"/>
        <v>170.06955680000002</v>
      </c>
      <c r="AD234" s="57">
        <v>0</v>
      </c>
      <c r="AE234" s="55">
        <v>0</v>
      </c>
      <c r="AF234" s="55">
        <v>0</v>
      </c>
      <c r="AG234" s="52">
        <f>I234*AB234/AC234</f>
        <v>8.2319259621896068E-2</v>
      </c>
      <c r="AH234" s="51"/>
      <c r="AI234" s="52"/>
      <c r="AJ234" s="52"/>
      <c r="AK234" s="28">
        <v>1.9090909090909089</v>
      </c>
      <c r="AL234" s="28">
        <v>2.545454545454545</v>
      </c>
      <c r="AM234" s="28">
        <v>0.54545454545454541</v>
      </c>
      <c r="AN234" s="28">
        <v>2.8181818181818179</v>
      </c>
      <c r="AO234" s="28">
        <v>0.2441860465116279</v>
      </c>
      <c r="AP234" s="28">
        <v>0.32558139534883718</v>
      </c>
      <c r="AQ234" s="28">
        <v>6.9767441860465115E-2</v>
      </c>
      <c r="AR234" s="28">
        <v>0.3604651162790698</v>
      </c>
      <c r="AS234" s="25">
        <v>0.93</v>
      </c>
      <c r="AT234" s="25">
        <v>3.44</v>
      </c>
      <c r="AU234" s="25">
        <v>2.5099999999999998</v>
      </c>
      <c r="AV234" s="25">
        <v>2.6490909090909089</v>
      </c>
      <c r="AW234">
        <v>2.6490909090909081</v>
      </c>
      <c r="AX234">
        <v>6.0257246322727269</v>
      </c>
      <c r="AY234" s="75"/>
      <c r="AZ234" s="75"/>
      <c r="BA234" s="75"/>
      <c r="BB234">
        <v>4.1159629810948027E-2</v>
      </c>
      <c r="BF234">
        <v>8.2319259621896068E-2</v>
      </c>
      <c r="BG234">
        <v>4.1159629810948027E-2</v>
      </c>
      <c r="BH234">
        <v>0</v>
      </c>
      <c r="BI234" s="79" t="s">
        <v>1264</v>
      </c>
      <c r="BJ234" s="79">
        <v>1373</v>
      </c>
      <c r="BK234" s="79">
        <v>10</v>
      </c>
      <c r="BM234" s="79" t="s">
        <v>464</v>
      </c>
      <c r="BN234" s="79" t="s">
        <v>464</v>
      </c>
      <c r="BO234" s="79">
        <v>0</v>
      </c>
      <c r="BQ234" s="79">
        <v>1</v>
      </c>
      <c r="BR234" s="79">
        <v>0</v>
      </c>
      <c r="BS234" s="79" t="s">
        <v>464</v>
      </c>
      <c r="BT234" s="79" t="s">
        <v>464</v>
      </c>
      <c r="BU234" s="79" t="s">
        <v>1266</v>
      </c>
      <c r="BV234" s="79">
        <v>400</v>
      </c>
      <c r="BX234" s="79" t="s">
        <v>1287</v>
      </c>
      <c r="BZ234" s="81">
        <v>5</v>
      </c>
      <c r="CA234">
        <f t="shared" si="34"/>
        <v>1.6094379124341003</v>
      </c>
    </row>
    <row r="235" spans="1:79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8" t="s">
        <v>576</v>
      </c>
      <c r="G235">
        <v>-1</v>
      </c>
      <c r="H235" t="s">
        <v>1144</v>
      </c>
      <c r="I235" s="2">
        <v>1</v>
      </c>
      <c r="J235" s="25">
        <v>0</v>
      </c>
      <c r="K235">
        <v>0</v>
      </c>
      <c r="L235">
        <v>1</v>
      </c>
      <c r="M235" s="2">
        <v>3.88</v>
      </c>
      <c r="N235" s="2">
        <v>3.88</v>
      </c>
      <c r="O235" s="2">
        <v>10.647</v>
      </c>
      <c r="P235" s="2" t="s">
        <v>439</v>
      </c>
      <c r="Q235" s="2"/>
      <c r="R235" s="25">
        <v>0</v>
      </c>
      <c r="S235" s="25"/>
      <c r="T235" s="25"/>
      <c r="U235">
        <v>0</v>
      </c>
      <c r="X235">
        <v>3.8653</v>
      </c>
      <c r="Y235">
        <v>3.8653</v>
      </c>
      <c r="Z235">
        <v>11.0131</v>
      </c>
      <c r="AA235" s="2">
        <v>2</v>
      </c>
      <c r="AB235">
        <v>14</v>
      </c>
      <c r="AC235" s="55">
        <f t="shared" si="37"/>
        <v>160.28419679999999</v>
      </c>
      <c r="AD235" s="57">
        <v>0</v>
      </c>
      <c r="AE235" s="55">
        <v>0</v>
      </c>
      <c r="AF235" s="55">
        <v>164.541706117579</v>
      </c>
      <c r="AG235" s="52">
        <f>I235*AB235/AC235</f>
        <v>8.7344855447408651E-2</v>
      </c>
      <c r="AH235" s="51"/>
      <c r="AI235" s="52"/>
      <c r="AJ235" s="52">
        <v>8.5084811202795069E-2</v>
      </c>
      <c r="AK235" s="28">
        <v>1.9090909090909089</v>
      </c>
      <c r="AL235" s="28">
        <v>2.545454545454545</v>
      </c>
      <c r="AM235" s="28">
        <v>0.54545454545454541</v>
      </c>
      <c r="AN235" s="28">
        <v>2.8181818181818179</v>
      </c>
      <c r="AO235" s="28">
        <v>0.2441860465116279</v>
      </c>
      <c r="AP235" s="28">
        <v>0.32558139534883718</v>
      </c>
      <c r="AQ235" s="28">
        <v>6.9767441860465115E-2</v>
      </c>
      <c r="AR235" s="28">
        <v>0.3604651162790698</v>
      </c>
      <c r="AS235" s="25">
        <v>0.82</v>
      </c>
      <c r="AT235" s="25">
        <v>3.44</v>
      </c>
      <c r="AU235" s="25">
        <v>2.62</v>
      </c>
      <c r="AV235" s="25">
        <v>2.6390909090909092</v>
      </c>
      <c r="AW235">
        <v>2.6390909090909092</v>
      </c>
      <c r="AX235">
        <v>5.9791810459090904</v>
      </c>
      <c r="AY235" s="75"/>
      <c r="AZ235" s="75"/>
      <c r="BA235" s="75">
        <v>0.53381265134868672</v>
      </c>
      <c r="BB235">
        <v>4.3672427723704332E-2</v>
      </c>
      <c r="BE235">
        <v>4.2542405601397527E-2</v>
      </c>
      <c r="BF235">
        <v>8.6214833325101853E-2</v>
      </c>
      <c r="BG235">
        <v>4.3107416662550933E-2</v>
      </c>
      <c r="BH235">
        <v>0.53381265134868672</v>
      </c>
      <c r="BI235" s="79" t="s">
        <v>1264</v>
      </c>
      <c r="BJ235" s="79">
        <v>1373</v>
      </c>
      <c r="BK235" s="79">
        <v>10</v>
      </c>
      <c r="BM235" s="79" t="s">
        <v>464</v>
      </c>
      <c r="BN235" s="79" t="s">
        <v>464</v>
      </c>
      <c r="BO235" s="79">
        <v>0</v>
      </c>
      <c r="BQ235" s="79">
        <v>1</v>
      </c>
      <c r="BR235" s="79">
        <v>0</v>
      </c>
      <c r="BS235" s="79" t="s">
        <v>464</v>
      </c>
      <c r="BT235" s="79" t="s">
        <v>464</v>
      </c>
      <c r="BU235" s="79" t="s">
        <v>1266</v>
      </c>
      <c r="BV235" s="79">
        <v>400</v>
      </c>
      <c r="BX235" s="79" t="s">
        <v>1287</v>
      </c>
      <c r="BZ235" s="81">
        <v>5</v>
      </c>
      <c r="CA235">
        <f t="shared" si="34"/>
        <v>1.6094379124341003</v>
      </c>
    </row>
    <row r="236" spans="1:79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8" t="s">
        <v>576</v>
      </c>
      <c r="G236">
        <v>-1</v>
      </c>
      <c r="I236" s="2">
        <v>1</v>
      </c>
      <c r="J236" s="25">
        <v>0</v>
      </c>
      <c r="K236">
        <v>0</v>
      </c>
      <c r="L236">
        <v>0</v>
      </c>
      <c r="M236" s="2">
        <v>3.88</v>
      </c>
      <c r="N236" s="2">
        <v>3.88</v>
      </c>
      <c r="O236" s="2">
        <v>11.066000000000001</v>
      </c>
      <c r="P236" s="2" t="s">
        <v>439</v>
      </c>
      <c r="Q236" s="2"/>
      <c r="R236" s="25">
        <v>0</v>
      </c>
      <c r="S236" s="25"/>
      <c r="T236" s="25"/>
      <c r="U236">
        <v>0</v>
      </c>
      <c r="X236">
        <v>0</v>
      </c>
      <c r="AA236" s="2">
        <v>2</v>
      </c>
      <c r="AB236">
        <v>14</v>
      </c>
      <c r="AC236" s="55">
        <f t="shared" si="37"/>
        <v>166.59199040000001</v>
      </c>
      <c r="AD236" s="57">
        <v>0</v>
      </c>
      <c r="AE236" s="55">
        <v>0</v>
      </c>
      <c r="AF236" s="55">
        <v>0</v>
      </c>
      <c r="AG236" s="52">
        <f>I236*AB236/AC236</f>
        <v>8.4037653709430671E-2</v>
      </c>
      <c r="AH236" s="51"/>
      <c r="AI236" s="52"/>
      <c r="AJ236" s="52"/>
      <c r="AK236" s="28">
        <v>1.9090909090909089</v>
      </c>
      <c r="AL236" s="28">
        <v>2.545454545454545</v>
      </c>
      <c r="AM236" s="28">
        <v>0.54545454545454541</v>
      </c>
      <c r="AN236" s="28">
        <v>2.8181818181818179</v>
      </c>
      <c r="AO236" s="28">
        <v>0.2441860465116279</v>
      </c>
      <c r="AP236" s="28">
        <v>0.32558139534883718</v>
      </c>
      <c r="AQ236" s="28">
        <v>6.9767441860465115E-2</v>
      </c>
      <c r="AR236" s="28">
        <v>0.3604651162790698</v>
      </c>
      <c r="AS236" s="25">
        <v>0.79</v>
      </c>
      <c r="AT236" s="25">
        <v>3.44</v>
      </c>
      <c r="AU236" s="25">
        <v>2.65</v>
      </c>
      <c r="AV236" s="25">
        <v>2.6363636363636358</v>
      </c>
      <c r="AW236">
        <v>2.6363636363636358</v>
      </c>
      <c r="AX236">
        <v>5.9656579398831813</v>
      </c>
      <c r="AY236" s="75"/>
      <c r="AZ236" s="75"/>
      <c r="BA236" s="75"/>
      <c r="BB236">
        <v>4.2018826854715342E-2</v>
      </c>
      <c r="BF236">
        <v>8.4037653709430671E-2</v>
      </c>
      <c r="BG236">
        <v>4.2018826854715342E-2</v>
      </c>
      <c r="BH236">
        <v>0</v>
      </c>
      <c r="BI236" s="79" t="s">
        <v>1264</v>
      </c>
      <c r="BJ236" s="79">
        <v>1373</v>
      </c>
      <c r="BK236" s="79">
        <v>10</v>
      </c>
      <c r="BM236" s="79" t="s">
        <v>464</v>
      </c>
      <c r="BN236" s="79" t="s">
        <v>464</v>
      </c>
      <c r="BO236" s="79">
        <v>0</v>
      </c>
      <c r="BQ236" s="79">
        <v>1</v>
      </c>
      <c r="BR236" s="79">
        <v>0</v>
      </c>
      <c r="BS236" s="79" t="s">
        <v>464</v>
      </c>
      <c r="BT236" s="79" t="s">
        <v>464</v>
      </c>
      <c r="BU236" s="79" t="s">
        <v>1266</v>
      </c>
      <c r="BV236" s="79">
        <v>400</v>
      </c>
      <c r="BX236" s="79" t="s">
        <v>1287</v>
      </c>
      <c r="BZ236" s="81">
        <v>5</v>
      </c>
      <c r="CA236">
        <f t="shared" si="34"/>
        <v>1.6094379124341003</v>
      </c>
    </row>
    <row r="237" spans="1:79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8" t="s">
        <v>576</v>
      </c>
      <c r="G237">
        <v>-1</v>
      </c>
      <c r="I237" s="2">
        <v>1</v>
      </c>
      <c r="J237" s="25">
        <v>0</v>
      </c>
      <c r="K237">
        <v>0</v>
      </c>
      <c r="L237">
        <v>0</v>
      </c>
      <c r="M237" s="2">
        <v>3.92</v>
      </c>
      <c r="N237" s="2">
        <v>3.92</v>
      </c>
      <c r="O237" s="2">
        <v>11.065</v>
      </c>
      <c r="P237" s="2" t="s">
        <v>439</v>
      </c>
      <c r="Q237" s="2"/>
      <c r="R237" s="25">
        <v>0</v>
      </c>
      <c r="S237" s="25"/>
      <c r="T237" s="25"/>
      <c r="U237">
        <v>0</v>
      </c>
      <c r="X237">
        <v>0</v>
      </c>
      <c r="AA237" s="2">
        <v>2</v>
      </c>
      <c r="AB237">
        <v>14</v>
      </c>
      <c r="AC237" s="55">
        <f t="shared" si="37"/>
        <v>170.02921599999999</v>
      </c>
      <c r="AD237" s="57">
        <v>0</v>
      </c>
      <c r="AE237" s="55">
        <v>0</v>
      </c>
      <c r="AF237" s="55">
        <v>0</v>
      </c>
      <c r="AG237" s="52">
        <f t="shared" ref="AG237:AG244" si="38">I237*AB237/AC237</f>
        <v>8.2338790528799485E-2</v>
      </c>
      <c r="AH237" s="51"/>
      <c r="AI237" s="52"/>
      <c r="AJ237" s="52"/>
      <c r="AK237" s="28">
        <v>1.9090909090909089</v>
      </c>
      <c r="AL237" s="28">
        <v>2.545454545454545</v>
      </c>
      <c r="AM237" s="28">
        <v>0.54545454545454541</v>
      </c>
      <c r="AN237" s="28">
        <v>2.9090909090909092</v>
      </c>
      <c r="AO237" s="28">
        <v>0.2413793103448276</v>
      </c>
      <c r="AP237" s="28">
        <v>0.32183908045977011</v>
      </c>
      <c r="AQ237" s="28">
        <v>6.8965517241379309E-2</v>
      </c>
      <c r="AR237" s="28">
        <v>0.36781609195402298</v>
      </c>
      <c r="AS237" s="25">
        <v>1.1399999999999999</v>
      </c>
      <c r="AT237" s="25">
        <v>3.44</v>
      </c>
      <c r="AU237" s="25">
        <v>2.2999999999999998</v>
      </c>
      <c r="AV237" s="25">
        <v>2.7654545454545452</v>
      </c>
      <c r="AW237">
        <v>2.7654545454545461</v>
      </c>
      <c r="AX237">
        <v>6.4215922727137267</v>
      </c>
      <c r="AY237" s="75"/>
      <c r="AZ237" s="75"/>
      <c r="BA237" s="75"/>
      <c r="BB237">
        <v>4.1169395264399743E-2</v>
      </c>
      <c r="BF237">
        <v>8.2338790528799485E-2</v>
      </c>
      <c r="BG237">
        <v>4.1169395264399743E-2</v>
      </c>
      <c r="BH237">
        <v>0</v>
      </c>
      <c r="BI237" s="79" t="s">
        <v>1264</v>
      </c>
      <c r="BJ237" s="79">
        <v>1373</v>
      </c>
      <c r="BK237" s="79">
        <v>10</v>
      </c>
      <c r="BM237" s="79" t="s">
        <v>464</v>
      </c>
      <c r="BN237" s="79" t="s">
        <v>464</v>
      </c>
      <c r="BO237" s="79">
        <v>0</v>
      </c>
      <c r="BQ237" s="79">
        <v>1</v>
      </c>
      <c r="BR237" s="79">
        <v>0</v>
      </c>
      <c r="BS237" s="79" t="s">
        <v>464</v>
      </c>
      <c r="BT237" s="79" t="s">
        <v>464</v>
      </c>
      <c r="BU237" s="79" t="s">
        <v>1266</v>
      </c>
      <c r="BV237" s="79">
        <v>400</v>
      </c>
      <c r="BX237" s="79" t="s">
        <v>1287</v>
      </c>
      <c r="BZ237" s="81">
        <v>10</v>
      </c>
      <c r="CA237">
        <f t="shared" si="34"/>
        <v>2.3025850929940459</v>
      </c>
    </row>
    <row r="238" spans="1:79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8" t="s">
        <v>576</v>
      </c>
      <c r="G238">
        <v>-1</v>
      </c>
      <c r="I238" s="2">
        <v>1</v>
      </c>
      <c r="J238" s="25">
        <v>0</v>
      </c>
      <c r="K238">
        <v>0</v>
      </c>
      <c r="L238">
        <v>0</v>
      </c>
      <c r="M238" s="2">
        <v>3.92</v>
      </c>
      <c r="N238" s="2">
        <v>3.92</v>
      </c>
      <c r="O238" s="2">
        <v>11.7911</v>
      </c>
      <c r="P238" s="2" t="s">
        <v>439</v>
      </c>
      <c r="Q238" s="2"/>
      <c r="R238" s="25">
        <v>0</v>
      </c>
      <c r="S238" s="25"/>
      <c r="T238" s="25"/>
      <c r="U238">
        <v>0</v>
      </c>
      <c r="X238">
        <v>0</v>
      </c>
      <c r="AA238" s="2">
        <v>2</v>
      </c>
      <c r="AB238">
        <v>14</v>
      </c>
      <c r="AC238" s="55">
        <f t="shared" si="37"/>
        <v>181.18675904</v>
      </c>
      <c r="AD238" s="57">
        <v>0</v>
      </c>
      <c r="AE238" s="55">
        <v>0</v>
      </c>
      <c r="AF238" s="55">
        <v>0</v>
      </c>
      <c r="AG238" s="52">
        <f t="shared" si="38"/>
        <v>7.7268339442559744E-2</v>
      </c>
      <c r="AH238" s="51"/>
      <c r="AI238" s="52"/>
      <c r="AJ238" s="52"/>
      <c r="AK238" s="28">
        <v>1.9090909090909089</v>
      </c>
      <c r="AL238" s="28">
        <v>2.545454545454545</v>
      </c>
      <c r="AM238" s="28">
        <v>0.54545454545454541</v>
      </c>
      <c r="AN238" s="28">
        <v>2.9090909090909092</v>
      </c>
      <c r="AO238" s="28">
        <v>0.2413793103448276</v>
      </c>
      <c r="AP238" s="28">
        <v>0.32183908045977011</v>
      </c>
      <c r="AQ238" s="28">
        <v>6.8965517241379309E-2</v>
      </c>
      <c r="AR238" s="28">
        <v>0.36781609195402298</v>
      </c>
      <c r="AS238" s="25">
        <v>0.93</v>
      </c>
      <c r="AT238" s="25">
        <v>3.44</v>
      </c>
      <c r="AU238" s="25">
        <v>2.5099999999999998</v>
      </c>
      <c r="AV238" s="25">
        <v>2.65</v>
      </c>
      <c r="AW238">
        <v>2.649999999999999</v>
      </c>
      <c r="AX238">
        <v>6.0276818459090906</v>
      </c>
      <c r="AY238" s="75"/>
      <c r="AZ238" s="75"/>
      <c r="BA238" s="75"/>
      <c r="BB238">
        <v>3.8634169721279872E-2</v>
      </c>
      <c r="BF238">
        <v>7.7268339442559744E-2</v>
      </c>
      <c r="BG238">
        <v>3.8634169721279872E-2</v>
      </c>
      <c r="BH238">
        <v>0</v>
      </c>
      <c r="BI238" s="79" t="s">
        <v>1264</v>
      </c>
      <c r="BJ238" s="79">
        <v>1373</v>
      </c>
      <c r="BK238" s="79">
        <v>10</v>
      </c>
      <c r="BM238" s="79" t="s">
        <v>464</v>
      </c>
      <c r="BN238" s="79" t="s">
        <v>464</v>
      </c>
      <c r="BO238" s="79">
        <v>0</v>
      </c>
      <c r="BQ238" s="79">
        <v>1</v>
      </c>
      <c r="BR238" s="79">
        <v>0</v>
      </c>
      <c r="BS238" s="79" t="s">
        <v>464</v>
      </c>
      <c r="BT238" s="79" t="s">
        <v>464</v>
      </c>
      <c r="BU238" s="79" t="s">
        <v>1266</v>
      </c>
      <c r="BV238" s="79">
        <v>400</v>
      </c>
      <c r="BX238" s="79" t="s">
        <v>1287</v>
      </c>
      <c r="BZ238" s="81">
        <v>15</v>
      </c>
      <c r="CA238">
        <f t="shared" si="34"/>
        <v>2.7080502011022101</v>
      </c>
    </row>
    <row r="239" spans="1:79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8" t="s">
        <v>576</v>
      </c>
      <c r="G239">
        <v>-1</v>
      </c>
      <c r="I239" s="2">
        <v>1</v>
      </c>
      <c r="J239" s="25">
        <v>0</v>
      </c>
      <c r="K239">
        <v>0</v>
      </c>
      <c r="L239">
        <v>0</v>
      </c>
      <c r="M239" s="2">
        <v>3.92</v>
      </c>
      <c r="N239" s="2">
        <v>3.92</v>
      </c>
      <c r="O239" s="2">
        <v>11.5395</v>
      </c>
      <c r="P239" s="2" t="s">
        <v>439</v>
      </c>
      <c r="Q239" s="2"/>
      <c r="R239" s="25">
        <v>0</v>
      </c>
      <c r="S239" s="25"/>
      <c r="T239" s="25"/>
      <c r="U239">
        <v>0</v>
      </c>
      <c r="X239">
        <v>0</v>
      </c>
      <c r="AA239" s="2">
        <v>2</v>
      </c>
      <c r="AB239">
        <v>14</v>
      </c>
      <c r="AC239" s="55">
        <f t="shared" si="37"/>
        <v>177.32057279999998</v>
      </c>
      <c r="AD239" s="57">
        <v>0</v>
      </c>
      <c r="AE239" s="55">
        <v>0</v>
      </c>
      <c r="AF239" s="55">
        <v>0</v>
      </c>
      <c r="AG239" s="52">
        <f t="shared" si="38"/>
        <v>7.8953049716293272E-2</v>
      </c>
      <c r="AH239" s="51"/>
      <c r="AI239" s="52"/>
      <c r="AJ239" s="52"/>
      <c r="AK239" s="28">
        <v>1.9090909090909089</v>
      </c>
      <c r="AL239" s="28">
        <v>2.545454545454545</v>
      </c>
      <c r="AM239" s="28">
        <v>0.54545454545454541</v>
      </c>
      <c r="AN239" s="28">
        <v>2.9090909090909092</v>
      </c>
      <c r="AO239" s="28">
        <v>0.2413793103448276</v>
      </c>
      <c r="AP239" s="28">
        <v>0.32183908045977011</v>
      </c>
      <c r="AQ239" s="28">
        <v>6.8965517241379309E-2</v>
      </c>
      <c r="AR239" s="28">
        <v>0.36781609195402298</v>
      </c>
      <c r="AS239" s="25">
        <v>0.82</v>
      </c>
      <c r="AT239" s="25">
        <v>3.44</v>
      </c>
      <c r="AU239" s="25">
        <v>2.62</v>
      </c>
      <c r="AV239" s="25">
        <v>2.64</v>
      </c>
      <c r="AW239">
        <v>2.64</v>
      </c>
      <c r="AX239">
        <v>5.9811382595454541</v>
      </c>
      <c r="AY239" s="75"/>
      <c r="AZ239" s="75"/>
      <c r="BA239" s="75"/>
      <c r="BB239">
        <v>3.9476524858146643E-2</v>
      </c>
      <c r="BF239">
        <v>7.8953049716293272E-2</v>
      </c>
      <c r="BG239">
        <v>3.9476524858146643E-2</v>
      </c>
      <c r="BH239">
        <v>0</v>
      </c>
      <c r="BI239" s="79" t="s">
        <v>1264</v>
      </c>
      <c r="BJ239" s="79">
        <v>1373</v>
      </c>
      <c r="BK239" s="79">
        <v>10</v>
      </c>
      <c r="BM239" s="79" t="s">
        <v>464</v>
      </c>
      <c r="BN239" s="79" t="s">
        <v>464</v>
      </c>
      <c r="BO239" s="79">
        <v>0</v>
      </c>
      <c r="BQ239" s="79">
        <v>1</v>
      </c>
      <c r="BR239" s="79">
        <v>0</v>
      </c>
      <c r="BS239" s="79" t="s">
        <v>464</v>
      </c>
      <c r="BT239" s="79" t="s">
        <v>464</v>
      </c>
      <c r="BU239" s="79" t="s">
        <v>1266</v>
      </c>
      <c r="BV239" s="79">
        <v>400</v>
      </c>
      <c r="BX239" s="79" t="s">
        <v>1287</v>
      </c>
      <c r="BZ239" s="81">
        <v>235</v>
      </c>
      <c r="CA239">
        <f t="shared" si="34"/>
        <v>5.4595855141441589</v>
      </c>
    </row>
    <row r="240" spans="1:79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8" t="s">
        <v>576</v>
      </c>
      <c r="G240">
        <v>-1</v>
      </c>
      <c r="I240" s="2">
        <v>1</v>
      </c>
      <c r="J240" s="25">
        <v>0</v>
      </c>
      <c r="K240">
        <v>0</v>
      </c>
      <c r="L240">
        <v>0</v>
      </c>
      <c r="M240" s="2">
        <v>3.84</v>
      </c>
      <c r="N240" s="2">
        <v>3.84</v>
      </c>
      <c r="O240" s="2">
        <v>11.5395</v>
      </c>
      <c r="P240" s="2" t="s">
        <v>439</v>
      </c>
      <c r="Q240" s="2"/>
      <c r="R240" s="25">
        <v>0</v>
      </c>
      <c r="S240" s="25"/>
      <c r="T240" s="25"/>
      <c r="U240">
        <v>0</v>
      </c>
      <c r="X240">
        <v>0</v>
      </c>
      <c r="AA240" s="2">
        <v>2</v>
      </c>
      <c r="AB240">
        <v>14</v>
      </c>
      <c r="AC240" s="55">
        <f t="shared" si="37"/>
        <v>170.15685120000001</v>
      </c>
      <c r="AD240" s="57">
        <v>0</v>
      </c>
      <c r="AE240" s="55">
        <v>0</v>
      </c>
      <c r="AF240" s="55">
        <v>0</v>
      </c>
      <c r="AG240" s="52">
        <f t="shared" si="38"/>
        <v>8.2277027937855962E-2</v>
      </c>
      <c r="AH240" s="51"/>
      <c r="AI240" s="52"/>
      <c r="AJ240" s="52"/>
      <c r="AK240" s="28">
        <v>1.9090909090909089</v>
      </c>
      <c r="AL240" s="28">
        <v>2.545454545454545</v>
      </c>
      <c r="AM240" s="28">
        <v>0.54545454545454541</v>
      </c>
      <c r="AN240" s="28">
        <v>2.9090909090909092</v>
      </c>
      <c r="AO240" s="28">
        <v>0.2413793103448276</v>
      </c>
      <c r="AP240" s="28">
        <v>0.32183908045977011</v>
      </c>
      <c r="AQ240" s="28">
        <v>6.8965517241379309E-2</v>
      </c>
      <c r="AR240" s="28">
        <v>0.36781609195402298</v>
      </c>
      <c r="AS240" s="25">
        <v>0.79</v>
      </c>
      <c r="AT240" s="25">
        <v>3.44</v>
      </c>
      <c r="AU240" s="25">
        <v>2.65</v>
      </c>
      <c r="AV240" s="25">
        <v>2.6372727272727272</v>
      </c>
      <c r="AW240">
        <v>2.6372727272727272</v>
      </c>
      <c r="AX240">
        <v>5.967615153519545</v>
      </c>
      <c r="AY240" s="75"/>
      <c r="AZ240" s="75"/>
      <c r="BA240" s="75"/>
      <c r="BB240">
        <v>4.1138513968927981E-2</v>
      </c>
      <c r="BF240">
        <v>8.2277027937855962E-2</v>
      </c>
      <c r="BG240">
        <v>4.1138513968927981E-2</v>
      </c>
      <c r="BH240">
        <v>0</v>
      </c>
      <c r="BI240" s="79" t="s">
        <v>1264</v>
      </c>
      <c r="BJ240" s="79">
        <v>1373</v>
      </c>
      <c r="BK240" s="79">
        <v>10</v>
      </c>
      <c r="BM240" s="79" t="s">
        <v>464</v>
      </c>
      <c r="BN240" s="79" t="s">
        <v>464</v>
      </c>
      <c r="BO240" s="79">
        <v>0</v>
      </c>
      <c r="BQ240" s="79">
        <v>1</v>
      </c>
      <c r="BR240" s="79">
        <v>0</v>
      </c>
      <c r="BS240" s="79" t="s">
        <v>464</v>
      </c>
      <c r="BT240" s="79" t="s">
        <v>464</v>
      </c>
      <c r="BU240" s="79" t="s">
        <v>1266</v>
      </c>
      <c r="BV240" s="79">
        <v>400</v>
      </c>
      <c r="BX240" s="79" t="s">
        <v>1287</v>
      </c>
      <c r="BZ240" s="81">
        <v>70</v>
      </c>
      <c r="CA240">
        <f t="shared" si="34"/>
        <v>4.2484952420493594</v>
      </c>
    </row>
    <row r="241" spans="1:79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8" t="s">
        <v>576</v>
      </c>
      <c r="G241">
        <v>-1</v>
      </c>
      <c r="I241" s="2">
        <v>1</v>
      </c>
      <c r="J241" s="25">
        <v>0</v>
      </c>
      <c r="K241">
        <v>0</v>
      </c>
      <c r="L241">
        <v>0</v>
      </c>
      <c r="M241" s="2">
        <v>3.85</v>
      </c>
      <c r="N241" s="2">
        <v>3.85</v>
      </c>
      <c r="O241" s="2">
        <v>10.95</v>
      </c>
      <c r="P241" s="2" t="s">
        <v>439</v>
      </c>
      <c r="Q241" s="2"/>
      <c r="R241" s="25">
        <v>0</v>
      </c>
      <c r="S241" s="25"/>
      <c r="T241" s="25"/>
      <c r="U241">
        <v>0</v>
      </c>
      <c r="X241">
        <v>0</v>
      </c>
      <c r="AA241" s="2">
        <v>2</v>
      </c>
      <c r="AB241">
        <v>14</v>
      </c>
      <c r="AC241" s="55">
        <f t="shared" si="37"/>
        <v>162.306375</v>
      </c>
      <c r="AD241" s="57">
        <v>0</v>
      </c>
      <c r="AE241" s="55">
        <v>0</v>
      </c>
      <c r="AF241" s="55">
        <v>0</v>
      </c>
      <c r="AG241" s="52">
        <f t="shared" si="38"/>
        <v>8.6256624239189617E-2</v>
      </c>
      <c r="AH241" s="51"/>
      <c r="AI241" s="52"/>
      <c r="AJ241" s="52"/>
      <c r="AK241" s="28">
        <v>1.9090909090909089</v>
      </c>
      <c r="AL241" s="28">
        <v>2.545454545454545</v>
      </c>
      <c r="AM241" s="28">
        <v>0.54545454545454541</v>
      </c>
      <c r="AN241" s="28">
        <v>3.0909090909090908</v>
      </c>
      <c r="AO241" s="28">
        <v>0.2359550561797753</v>
      </c>
      <c r="AP241" s="28">
        <v>0.3146067415730337</v>
      </c>
      <c r="AQ241" s="28">
        <v>6.7415730337078636E-2</v>
      </c>
      <c r="AR241" s="28">
        <v>0.38202247191011229</v>
      </c>
      <c r="AS241" s="25">
        <v>1.17</v>
      </c>
      <c r="AT241" s="25">
        <v>3.44</v>
      </c>
      <c r="AU241" s="25">
        <v>2.27</v>
      </c>
      <c r="AV241" s="25">
        <v>2.7681818181818181</v>
      </c>
      <c r="AW241">
        <v>2.768181818181819</v>
      </c>
      <c r="AX241">
        <v>6.4299203045319091</v>
      </c>
      <c r="AY241" s="75"/>
      <c r="AZ241" s="75"/>
      <c r="BA241" s="75"/>
      <c r="BB241">
        <v>4.3128312119594808E-2</v>
      </c>
      <c r="BF241">
        <v>8.6256624239189617E-2</v>
      </c>
      <c r="BG241">
        <v>4.3128312119594808E-2</v>
      </c>
      <c r="BH241">
        <v>0</v>
      </c>
      <c r="BI241" s="79" t="s">
        <v>1264</v>
      </c>
      <c r="BJ241" s="79">
        <v>1373</v>
      </c>
      <c r="BK241" s="79">
        <v>10</v>
      </c>
      <c r="BM241" s="79" t="s">
        <v>464</v>
      </c>
      <c r="BN241" s="79" t="s">
        <v>464</v>
      </c>
      <c r="BO241" s="79">
        <v>0</v>
      </c>
      <c r="BQ241" s="79">
        <v>1</v>
      </c>
      <c r="BR241" s="79">
        <v>0</v>
      </c>
      <c r="BS241" s="79" t="s">
        <v>464</v>
      </c>
      <c r="BT241" s="79" t="s">
        <v>464</v>
      </c>
      <c r="BU241" s="79" t="s">
        <v>1266</v>
      </c>
      <c r="BV241" s="79">
        <v>400</v>
      </c>
      <c r="BX241" s="79" t="s">
        <v>1287</v>
      </c>
      <c r="BZ241" s="81">
        <v>5</v>
      </c>
      <c r="CA241">
        <f t="shared" si="34"/>
        <v>1.6094379124341003</v>
      </c>
    </row>
    <row r="242" spans="1:79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8" t="s">
        <v>576</v>
      </c>
      <c r="G242">
        <v>-1</v>
      </c>
      <c r="I242" s="2">
        <v>1</v>
      </c>
      <c r="J242" s="25">
        <v>0</v>
      </c>
      <c r="K242">
        <v>0</v>
      </c>
      <c r="L242">
        <v>0</v>
      </c>
      <c r="M242" s="2">
        <v>3.88</v>
      </c>
      <c r="N242" s="2">
        <v>3.88</v>
      </c>
      <c r="O242" s="2">
        <v>11.54</v>
      </c>
      <c r="P242" s="2" t="s">
        <v>439</v>
      </c>
      <c r="Q242" s="2"/>
      <c r="R242" s="25">
        <v>0</v>
      </c>
      <c r="S242" s="25"/>
      <c r="T242" s="25"/>
      <c r="U242">
        <v>0</v>
      </c>
      <c r="X242">
        <v>0</v>
      </c>
      <c r="AA242" s="2">
        <v>2</v>
      </c>
      <c r="AB242">
        <v>14</v>
      </c>
      <c r="AC242" s="55">
        <f t="shared" si="37"/>
        <v>173.72777599999998</v>
      </c>
      <c r="AD242" s="57">
        <v>0</v>
      </c>
      <c r="AE242" s="55">
        <v>0</v>
      </c>
      <c r="AF242" s="55">
        <v>0</v>
      </c>
      <c r="AG242" s="52">
        <f t="shared" si="38"/>
        <v>8.0585847135923747E-2</v>
      </c>
      <c r="AH242" s="51"/>
      <c r="AI242" s="52"/>
      <c r="AJ242" s="52"/>
      <c r="AK242" s="28">
        <v>1.9090909090909089</v>
      </c>
      <c r="AL242" s="28">
        <v>2.545454545454545</v>
      </c>
      <c r="AM242" s="28">
        <v>0.54545454545454541</v>
      </c>
      <c r="AN242" s="28">
        <v>3.0909090909090908</v>
      </c>
      <c r="AO242" s="28">
        <v>0.2359550561797753</v>
      </c>
      <c r="AP242" s="28">
        <v>0.3146067415730337</v>
      </c>
      <c r="AQ242" s="28">
        <v>6.7415730337078636E-2</v>
      </c>
      <c r="AR242" s="28">
        <v>0.38202247191011229</v>
      </c>
      <c r="AS242" s="25">
        <v>0.93</v>
      </c>
      <c r="AT242" s="25">
        <v>3.44</v>
      </c>
      <c r="AU242" s="25">
        <v>2.5099999999999998</v>
      </c>
      <c r="AV242" s="25">
        <v>2.6527272727272728</v>
      </c>
      <c r="AW242">
        <v>2.6527272727272719</v>
      </c>
      <c r="AX242">
        <v>6.0360098777272722</v>
      </c>
      <c r="AY242" s="75"/>
      <c r="AZ242" s="75"/>
      <c r="BA242" s="75"/>
      <c r="BB242">
        <v>4.0292923567961873E-2</v>
      </c>
      <c r="BF242">
        <v>8.0585847135923747E-2</v>
      </c>
      <c r="BG242">
        <v>4.0292923567961873E-2</v>
      </c>
      <c r="BH242">
        <v>0</v>
      </c>
      <c r="BI242" s="79" t="s">
        <v>1264</v>
      </c>
      <c r="BJ242" s="79">
        <v>1373</v>
      </c>
      <c r="BK242" s="79">
        <v>10</v>
      </c>
      <c r="BM242" s="79" t="s">
        <v>464</v>
      </c>
      <c r="BN242" s="79" t="s">
        <v>464</v>
      </c>
      <c r="BO242" s="79">
        <v>0</v>
      </c>
      <c r="BQ242" s="79">
        <v>1</v>
      </c>
      <c r="BR242" s="79">
        <v>0</v>
      </c>
      <c r="BS242" s="79" t="s">
        <v>464</v>
      </c>
      <c r="BT242" s="79" t="s">
        <v>464</v>
      </c>
      <c r="BU242" s="79" t="s">
        <v>1266</v>
      </c>
      <c r="BV242" s="79">
        <v>400</v>
      </c>
      <c r="BX242" s="79" t="s">
        <v>1287</v>
      </c>
      <c r="BZ242" s="81">
        <v>10</v>
      </c>
      <c r="CA242">
        <f t="shared" si="34"/>
        <v>2.3025850929940459</v>
      </c>
    </row>
    <row r="243" spans="1:79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8" t="s">
        <v>576</v>
      </c>
      <c r="G243">
        <v>-1</v>
      </c>
      <c r="I243" s="2">
        <v>1</v>
      </c>
      <c r="J243" s="25">
        <v>0</v>
      </c>
      <c r="K243">
        <v>0</v>
      </c>
      <c r="L243">
        <v>0</v>
      </c>
      <c r="M243" s="2">
        <v>3.85</v>
      </c>
      <c r="N243" s="2">
        <v>3.85</v>
      </c>
      <c r="O243" s="2">
        <v>11.3</v>
      </c>
      <c r="P243" s="2" t="s">
        <v>439</v>
      </c>
      <c r="Q243" s="2"/>
      <c r="R243" s="25">
        <v>0</v>
      </c>
      <c r="S243" s="25"/>
      <c r="T243" s="25"/>
      <c r="U243">
        <v>0</v>
      </c>
      <c r="X243">
        <v>0</v>
      </c>
      <c r="AA243" s="2">
        <v>2</v>
      </c>
      <c r="AB243">
        <v>14</v>
      </c>
      <c r="AC243" s="55">
        <f t="shared" si="37"/>
        <v>167.49425000000002</v>
      </c>
      <c r="AD243" s="57">
        <v>0</v>
      </c>
      <c r="AE243" s="55">
        <v>0</v>
      </c>
      <c r="AF243" s="55">
        <v>0</v>
      </c>
      <c r="AG243" s="52">
        <f t="shared" si="38"/>
        <v>8.3584958886648339E-2</v>
      </c>
      <c r="AH243" s="51"/>
      <c r="AI243" s="52"/>
      <c r="AJ243" s="52"/>
      <c r="AK243" s="28">
        <v>1.9090909090909089</v>
      </c>
      <c r="AL243" s="28">
        <v>2.545454545454545</v>
      </c>
      <c r="AM243" s="28">
        <v>0.54545454545454541</v>
      </c>
      <c r="AN243" s="28">
        <v>3.0909090909090908</v>
      </c>
      <c r="AO243" s="28">
        <v>0.2359550561797753</v>
      </c>
      <c r="AP243" s="28">
        <v>0.3146067415730337</v>
      </c>
      <c r="AQ243" s="28">
        <v>6.7415730337078636E-2</v>
      </c>
      <c r="AR243" s="28">
        <v>0.38202247191011229</v>
      </c>
      <c r="AS243" s="25">
        <v>0.82</v>
      </c>
      <c r="AT243" s="25">
        <v>3.44</v>
      </c>
      <c r="AU243" s="25">
        <v>2.62</v>
      </c>
      <c r="AV243" s="25">
        <v>2.642727272727273</v>
      </c>
      <c r="AW243">
        <v>2.642727272727273</v>
      </c>
      <c r="AX243">
        <v>5.9894662913636356</v>
      </c>
      <c r="AY243" s="75"/>
      <c r="AZ243" s="75"/>
      <c r="BA243" s="75"/>
      <c r="BB243">
        <v>4.1792479443324169E-2</v>
      </c>
      <c r="BF243">
        <v>8.3584958886648339E-2</v>
      </c>
      <c r="BG243">
        <v>4.1792479443324169E-2</v>
      </c>
      <c r="BH243">
        <v>0</v>
      </c>
      <c r="BI243" s="79" t="s">
        <v>1264</v>
      </c>
      <c r="BJ243" s="79">
        <v>1373</v>
      </c>
      <c r="BK243" s="79">
        <v>10</v>
      </c>
      <c r="BM243" s="79" t="s">
        <v>464</v>
      </c>
      <c r="BN243" s="79" t="s">
        <v>464</v>
      </c>
      <c r="BO243" s="79">
        <v>0</v>
      </c>
      <c r="BQ243" s="79">
        <v>1</v>
      </c>
      <c r="BR243" s="79">
        <v>0</v>
      </c>
      <c r="BS243" s="79" t="s">
        <v>464</v>
      </c>
      <c r="BT243" s="79" t="s">
        <v>464</v>
      </c>
      <c r="BU243" s="79" t="s">
        <v>1266</v>
      </c>
      <c r="BV243" s="79">
        <v>400</v>
      </c>
      <c r="BX243" s="79" t="s">
        <v>1287</v>
      </c>
      <c r="BZ243" s="81">
        <v>60</v>
      </c>
      <c r="CA243">
        <f t="shared" si="34"/>
        <v>4.0943445622221004</v>
      </c>
    </row>
    <row r="244" spans="1:79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8" t="s">
        <v>576</v>
      </c>
      <c r="G244">
        <v>-1</v>
      </c>
      <c r="I244" s="2">
        <v>1</v>
      </c>
      <c r="J244" s="25">
        <v>0</v>
      </c>
      <c r="K244">
        <v>0</v>
      </c>
      <c r="L244">
        <v>0</v>
      </c>
      <c r="M244" s="2">
        <v>3.76</v>
      </c>
      <c r="N244" s="2">
        <v>3.76</v>
      </c>
      <c r="O244" s="2">
        <v>11.41</v>
      </c>
      <c r="P244" s="2" t="s">
        <v>439</v>
      </c>
      <c r="Q244" s="2"/>
      <c r="R244" s="25">
        <v>0</v>
      </c>
      <c r="S244" s="25"/>
      <c r="T244" s="25"/>
      <c r="U244">
        <v>0</v>
      </c>
      <c r="X244">
        <v>0</v>
      </c>
      <c r="AA244" s="2">
        <v>2</v>
      </c>
      <c r="AB244">
        <v>14</v>
      </c>
      <c r="AC244" s="55">
        <f t="shared" si="37"/>
        <v>161.31001599999999</v>
      </c>
      <c r="AD244" s="57">
        <v>0</v>
      </c>
      <c r="AE244" s="55">
        <v>0</v>
      </c>
      <c r="AF244" s="55">
        <v>0</v>
      </c>
      <c r="AG244" s="52">
        <f t="shared" si="38"/>
        <v>8.678940308331505E-2</v>
      </c>
      <c r="AH244" s="51"/>
      <c r="AI244" s="52"/>
      <c r="AJ244" s="52"/>
      <c r="AK244" s="28">
        <v>1.9090909090909089</v>
      </c>
      <c r="AL244" s="28">
        <v>2.545454545454545</v>
      </c>
      <c r="AM244" s="28">
        <v>0.54545454545454541</v>
      </c>
      <c r="AN244" s="28">
        <v>3.0909090909090908</v>
      </c>
      <c r="AO244" s="28">
        <v>0.2359550561797753</v>
      </c>
      <c r="AP244" s="28">
        <v>0.3146067415730337</v>
      </c>
      <c r="AQ244" s="28">
        <v>6.7415730337078636E-2</v>
      </c>
      <c r="AR244" s="28">
        <v>0.38202247191011229</v>
      </c>
      <c r="AS244" s="25">
        <v>0.79</v>
      </c>
      <c r="AT244" s="25">
        <v>3.44</v>
      </c>
      <c r="AU244" s="25">
        <v>2.65</v>
      </c>
      <c r="AV244" s="25">
        <v>2.64</v>
      </c>
      <c r="AW244">
        <v>2.64</v>
      </c>
      <c r="AX244">
        <v>5.9759431853377274</v>
      </c>
      <c r="AY244" s="75"/>
      <c r="AZ244" s="75"/>
      <c r="BA244" s="75"/>
      <c r="BB244">
        <v>4.3394701541657532E-2</v>
      </c>
      <c r="BF244">
        <v>8.678940308331505E-2</v>
      </c>
      <c r="BG244">
        <v>4.3394701541657532E-2</v>
      </c>
      <c r="BH244">
        <v>0</v>
      </c>
      <c r="BI244" s="79" t="s">
        <v>1264</v>
      </c>
      <c r="BJ244" s="79">
        <v>1373</v>
      </c>
      <c r="BK244" s="79">
        <v>10</v>
      </c>
      <c r="BM244" s="79" t="s">
        <v>464</v>
      </c>
      <c r="BN244" s="79" t="s">
        <v>464</v>
      </c>
      <c r="BO244" s="79">
        <v>0</v>
      </c>
      <c r="BQ244" s="79">
        <v>1</v>
      </c>
      <c r="BR244" s="79">
        <v>0</v>
      </c>
      <c r="BS244" s="79" t="s">
        <v>464</v>
      </c>
      <c r="BT244" s="79" t="s">
        <v>464</v>
      </c>
      <c r="BU244" s="79" t="s">
        <v>1266</v>
      </c>
      <c r="BV244" s="79">
        <v>400</v>
      </c>
      <c r="BX244" s="79" t="s">
        <v>1287</v>
      </c>
      <c r="BZ244" s="81">
        <v>10</v>
      </c>
      <c r="CA244">
        <f t="shared" si="34"/>
        <v>2.3025850929940459</v>
      </c>
    </row>
    <row r="245" spans="1:79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88" t="s">
        <v>576</v>
      </c>
      <c r="G245">
        <v>-1</v>
      </c>
      <c r="H245" t="s">
        <v>1164</v>
      </c>
      <c r="I245" s="2"/>
      <c r="J245" s="25">
        <v>0</v>
      </c>
      <c r="K245">
        <v>0</v>
      </c>
      <c r="L245">
        <v>1</v>
      </c>
      <c r="M245" s="2">
        <v>3.89</v>
      </c>
      <c r="N245" s="2">
        <v>3.89</v>
      </c>
      <c r="O245" s="2">
        <v>10.34</v>
      </c>
      <c r="P245" s="2" t="s">
        <v>440</v>
      </c>
      <c r="Q245" s="2"/>
      <c r="R245" s="25">
        <v>0</v>
      </c>
      <c r="S245" s="25"/>
      <c r="T245" s="25"/>
      <c r="U245">
        <v>0</v>
      </c>
      <c r="X245">
        <v>3.88</v>
      </c>
      <c r="Y245">
        <v>3.88</v>
      </c>
      <c r="Z245">
        <v>10.66</v>
      </c>
      <c r="AA245" s="2">
        <v>2</v>
      </c>
      <c r="AB245">
        <v>14</v>
      </c>
      <c r="AC245" s="55">
        <f t="shared" ref="AC245:AC247" si="39">M245*N245*O245</f>
        <v>156.465914</v>
      </c>
      <c r="AD245" s="57">
        <v>0</v>
      </c>
      <c r="AE245" s="55">
        <v>0</v>
      </c>
      <c r="AF245" s="55">
        <v>160.479904</v>
      </c>
      <c r="AG245" s="52"/>
      <c r="AH245" s="51"/>
      <c r="AI245" s="52"/>
      <c r="AJ245" s="52">
        <v>8.7238337331009372E-2</v>
      </c>
      <c r="AK245" s="28">
        <v>1.9090909090909089</v>
      </c>
      <c r="AL245" s="28">
        <v>2.545454545454545</v>
      </c>
      <c r="AM245" s="28">
        <v>0.63636363636363635</v>
      </c>
      <c r="AN245" s="28">
        <v>2.545454545454545</v>
      </c>
      <c r="AO245" s="28">
        <v>0.25</v>
      </c>
      <c r="AP245" s="28">
        <v>0.33333333333333331</v>
      </c>
      <c r="AQ245" s="28">
        <v>8.3333333333333329E-2</v>
      </c>
      <c r="AR245" s="28">
        <v>0.33333333333333331</v>
      </c>
      <c r="AS245" s="25">
        <v>1.1000000000000001</v>
      </c>
      <c r="AT245" s="25">
        <v>3.44</v>
      </c>
      <c r="AU245" s="25">
        <v>2.34</v>
      </c>
      <c r="AV245" s="25">
        <v>2.7618181818181822</v>
      </c>
      <c r="AW245">
        <v>2.7618181818181822</v>
      </c>
      <c r="AX245">
        <v>6.4448628590773636</v>
      </c>
      <c r="AY245" s="75"/>
      <c r="AZ245" s="75"/>
      <c r="BA245" s="75">
        <v>0</v>
      </c>
      <c r="BE245">
        <v>4.3619168665504693E-2</v>
      </c>
      <c r="BF245">
        <v>8.7238337331009372E-2</v>
      </c>
      <c r="BG245">
        <v>4.3619168665504693E-2</v>
      </c>
      <c r="BH245">
        <v>0</v>
      </c>
      <c r="BI245" s="79" t="s">
        <v>1264</v>
      </c>
      <c r="BJ245" s="79">
        <v>1373</v>
      </c>
      <c r="BK245" s="79">
        <v>10</v>
      </c>
      <c r="BM245" s="79" t="s">
        <v>1275</v>
      </c>
      <c r="BN245" s="79" t="s">
        <v>56</v>
      </c>
      <c r="BO245" s="79">
        <v>0.5</v>
      </c>
      <c r="BQ245" s="79">
        <v>1</v>
      </c>
      <c r="BR245" s="79">
        <v>0</v>
      </c>
      <c r="BS245" s="79" t="s">
        <v>464</v>
      </c>
      <c r="BT245" s="79" t="s">
        <v>464</v>
      </c>
      <c r="BU245" s="79" t="s">
        <v>1266</v>
      </c>
      <c r="BV245" s="79">
        <v>400</v>
      </c>
      <c r="BX245" s="79" t="s">
        <v>1287</v>
      </c>
      <c r="BZ245" s="81">
        <f>5.3*5</f>
        <v>26.5</v>
      </c>
      <c r="CA245">
        <f t="shared" si="34"/>
        <v>3.2771447329921766</v>
      </c>
    </row>
    <row r="246" spans="1:79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/>
      <c r="J246" s="25">
        <v>1</v>
      </c>
      <c r="K246">
        <v>2</v>
      </c>
      <c r="L246">
        <v>0</v>
      </c>
      <c r="M246" s="2">
        <v>3.85</v>
      </c>
      <c r="N246" s="2">
        <v>3.85</v>
      </c>
      <c r="O246" s="2">
        <v>12.77</v>
      </c>
      <c r="P246" s="2" t="s">
        <v>440</v>
      </c>
      <c r="Q246" s="2"/>
      <c r="R246" s="25">
        <v>11.210029909999999</v>
      </c>
      <c r="S246" s="25">
        <v>11.210029909999999</v>
      </c>
      <c r="T246" s="25">
        <v>11.210029909999999</v>
      </c>
      <c r="U246">
        <v>3.8955000000000002</v>
      </c>
      <c r="V246">
        <v>3.8955000000000002</v>
      </c>
      <c r="W246">
        <v>21.436</v>
      </c>
      <c r="X246">
        <v>0</v>
      </c>
      <c r="AA246" s="2">
        <v>2</v>
      </c>
      <c r="AB246">
        <v>14</v>
      </c>
      <c r="AC246" s="55">
        <f t="shared" si="39"/>
        <v>189.28332500000002</v>
      </c>
      <c r="AD246" s="57">
        <v>167.3639996655379</v>
      </c>
      <c r="AE246" s="55">
        <v>325.28959047900003</v>
      </c>
      <c r="AF246" s="55">
        <v>0</v>
      </c>
      <c r="AG246" s="52"/>
      <c r="AH246" s="51">
        <v>8.365000853216796E-2</v>
      </c>
      <c r="AI246" s="52">
        <v>8.607714731593176E-2</v>
      </c>
      <c r="AJ246" s="52"/>
      <c r="AK246" s="28">
        <v>1.9090909090909089</v>
      </c>
      <c r="AL246" s="28">
        <v>2.545454545454545</v>
      </c>
      <c r="AM246" s="28">
        <v>0.63636363636363635</v>
      </c>
      <c r="AN246" s="28">
        <v>2.545454545454545</v>
      </c>
      <c r="AO246" s="28">
        <v>0.25</v>
      </c>
      <c r="AP246" s="28">
        <v>0.33333333333333331</v>
      </c>
      <c r="AQ246" s="28">
        <v>8.3333333333333329E-2</v>
      </c>
      <c r="AR246" s="28">
        <v>0.33333333333333331</v>
      </c>
      <c r="AS246" s="25">
        <v>0.93</v>
      </c>
      <c r="AT246" s="25">
        <v>3.44</v>
      </c>
      <c r="AU246" s="25">
        <v>2.5099999999999998</v>
      </c>
      <c r="AV246" s="25">
        <v>2.646363636363636</v>
      </c>
      <c r="AW246">
        <v>2.646363636363636</v>
      </c>
      <c r="AX246">
        <v>6.0509524322727266</v>
      </c>
      <c r="AY246" s="75">
        <v>0.45356967584663088</v>
      </c>
      <c r="AZ246" s="75">
        <v>0</v>
      </c>
      <c r="BA246" s="75"/>
      <c r="BC246">
        <v>4.1825004266083973E-2</v>
      </c>
      <c r="BD246">
        <v>4.303857365796588E-2</v>
      </c>
      <c r="BF246">
        <v>8.486357792404986E-2</v>
      </c>
      <c r="BG246">
        <v>4.243178896202493E-2</v>
      </c>
      <c r="BH246">
        <v>0.22678483792331541</v>
      </c>
      <c r="BI246" s="79" t="s">
        <v>1264</v>
      </c>
      <c r="BJ246" s="79">
        <v>1373</v>
      </c>
      <c r="BK246" s="79">
        <v>10</v>
      </c>
      <c r="BM246" s="79" t="s">
        <v>1275</v>
      </c>
      <c r="BN246" s="79" t="s">
        <v>56</v>
      </c>
      <c r="BO246" s="79">
        <v>0.5</v>
      </c>
      <c r="BQ246" s="79">
        <v>1</v>
      </c>
      <c r="BR246" s="79">
        <v>0</v>
      </c>
      <c r="BS246" s="79" t="s">
        <v>464</v>
      </c>
      <c r="BT246" s="79" t="s">
        <v>464</v>
      </c>
      <c r="BU246" s="79" t="s">
        <v>1266</v>
      </c>
      <c r="BV246" s="79">
        <v>400</v>
      </c>
      <c r="BX246" s="79" t="s">
        <v>1287</v>
      </c>
      <c r="BZ246" s="81">
        <f>55.3*5</f>
        <v>276.5</v>
      </c>
      <c r="CA246">
        <f t="shared" si="34"/>
        <v>5.6222108209623896</v>
      </c>
    </row>
    <row r="247" spans="1:79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I247" s="2"/>
      <c r="J247" s="25">
        <v>1</v>
      </c>
      <c r="K247">
        <v>0</v>
      </c>
      <c r="L247">
        <v>0</v>
      </c>
      <c r="M247" s="2">
        <v>3.88</v>
      </c>
      <c r="N247" s="2">
        <v>3.88</v>
      </c>
      <c r="O247" s="2">
        <v>11.07</v>
      </c>
      <c r="P247" s="2" t="s">
        <v>439</v>
      </c>
      <c r="Q247" s="2"/>
      <c r="R247" s="25">
        <v>3.9103940000000001</v>
      </c>
      <c r="S247" s="25">
        <v>3.9103940000000001</v>
      </c>
      <c r="T247" s="25">
        <v>11.314458</v>
      </c>
      <c r="U247">
        <v>0</v>
      </c>
      <c r="X247">
        <v>0</v>
      </c>
      <c r="AA247" s="2">
        <v>2</v>
      </c>
      <c r="AB247">
        <v>14</v>
      </c>
      <c r="AC247" s="55">
        <f t="shared" si="39"/>
        <v>166.652208</v>
      </c>
      <c r="AD247" s="57">
        <v>173.0114278564659</v>
      </c>
      <c r="AE247" s="55">
        <v>0</v>
      </c>
      <c r="AF247" s="55">
        <v>0</v>
      </c>
      <c r="AG247" s="52"/>
      <c r="AH247" s="51">
        <v>8.0919510193365449E-2</v>
      </c>
      <c r="AI247" s="52"/>
      <c r="AJ247" s="52"/>
      <c r="AK247" s="28">
        <v>1.9090909090909089</v>
      </c>
      <c r="AL247" s="28">
        <v>2.545454545454545</v>
      </c>
      <c r="AM247" s="28">
        <v>0.63636363636363635</v>
      </c>
      <c r="AN247" s="28">
        <v>2.545454545454545</v>
      </c>
      <c r="AO247" s="28">
        <v>0.25</v>
      </c>
      <c r="AP247" s="28">
        <v>0.33333333333333331</v>
      </c>
      <c r="AQ247" s="28">
        <v>8.3333333333333329E-2</v>
      </c>
      <c r="AR247" s="28">
        <v>0.33333333333333331</v>
      </c>
      <c r="AS247" s="25">
        <v>0.82</v>
      </c>
      <c r="AT247" s="25">
        <v>3.44</v>
      </c>
      <c r="AU247" s="25">
        <v>2.62</v>
      </c>
      <c r="AV247" s="25">
        <v>2.6363636363636358</v>
      </c>
      <c r="AW247">
        <v>2.6363636363636371</v>
      </c>
      <c r="AX247">
        <v>6.0044088459090901</v>
      </c>
      <c r="AY247" s="75">
        <v>0.5117218936152963</v>
      </c>
      <c r="AZ247" s="75"/>
      <c r="BA247" s="75"/>
      <c r="BC247">
        <v>4.0459755096682717E-2</v>
      </c>
      <c r="BF247">
        <v>8.0919510193365449E-2</v>
      </c>
      <c r="BG247">
        <v>4.0459755096682717E-2</v>
      </c>
      <c r="BH247">
        <v>0.5117218936152963</v>
      </c>
      <c r="BI247" s="79" t="s">
        <v>1264</v>
      </c>
      <c r="BJ247" s="79">
        <v>1373</v>
      </c>
      <c r="BK247" s="79">
        <v>10</v>
      </c>
      <c r="BM247" s="79" t="s">
        <v>1275</v>
      </c>
      <c r="BN247" s="79" t="s">
        <v>56</v>
      </c>
      <c r="BO247" s="79">
        <v>0.5</v>
      </c>
      <c r="BQ247" s="79">
        <v>1</v>
      </c>
      <c r="BR247" s="79">
        <v>0</v>
      </c>
      <c r="BS247" s="79" t="s">
        <v>464</v>
      </c>
      <c r="BT247" s="79" t="s">
        <v>464</v>
      </c>
      <c r="BU247" s="79" t="s">
        <v>1266</v>
      </c>
      <c r="BV247" s="79">
        <v>400</v>
      </c>
      <c r="BX247" s="79" t="s">
        <v>1287</v>
      </c>
      <c r="BZ247" s="81">
        <f>55.5*5</f>
        <v>277.5</v>
      </c>
      <c r="CA247">
        <f t="shared" si="34"/>
        <v>5.625820933186489</v>
      </c>
    </row>
    <row r="248" spans="1:79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I248" s="2"/>
      <c r="J248" s="25">
        <v>1</v>
      </c>
      <c r="K248">
        <v>2</v>
      </c>
      <c r="L248">
        <v>0</v>
      </c>
      <c r="M248" s="2">
        <v>3.85</v>
      </c>
      <c r="N248" s="2">
        <v>3.85</v>
      </c>
      <c r="O248" s="2">
        <v>28.361999999999998</v>
      </c>
      <c r="P248" s="2" t="s">
        <v>440</v>
      </c>
      <c r="Q248" s="2"/>
      <c r="R248" s="25">
        <v>14.183127929999999</v>
      </c>
      <c r="S248" s="25">
        <v>14.183127929999999</v>
      </c>
      <c r="T248" s="25">
        <v>14.183127929999999</v>
      </c>
      <c r="U248">
        <v>3.8515000000000001</v>
      </c>
      <c r="V248">
        <v>3.8515000000000001</v>
      </c>
      <c r="W248">
        <v>28.338999999999999</v>
      </c>
      <c r="X248">
        <v>0</v>
      </c>
      <c r="AA248" s="2"/>
      <c r="AB248">
        <v>20</v>
      </c>
      <c r="AC248" s="55">
        <f t="shared" si="37"/>
        <v>420.39574500000003</v>
      </c>
      <c r="AD248" s="57">
        <v>215.8165104701838</v>
      </c>
      <c r="AE248" s="55">
        <v>420.38220671275002</v>
      </c>
      <c r="AF248" s="55">
        <v>0</v>
      </c>
      <c r="AG248" s="52"/>
      <c r="AH248" s="51">
        <v>9.2671315815585423E-2</v>
      </c>
      <c r="AI248" s="52">
        <v>9.5151505846992876E-2</v>
      </c>
      <c r="AJ248" s="52"/>
      <c r="AK248" s="28">
        <v>1.9375</v>
      </c>
      <c r="AL248" s="28">
        <v>2.5</v>
      </c>
      <c r="AM248" s="28">
        <v>0.5625</v>
      </c>
      <c r="AN248" s="28">
        <v>2.625</v>
      </c>
      <c r="AO248" s="28">
        <v>0.25409836065573771</v>
      </c>
      <c r="AP248" s="28">
        <v>0.32786885245901642</v>
      </c>
      <c r="AQ248" s="28">
        <v>7.3770491803278687E-2</v>
      </c>
      <c r="AR248" s="28">
        <v>0.34426229508196721</v>
      </c>
      <c r="AS248" s="25">
        <v>0.98</v>
      </c>
      <c r="AT248" s="25">
        <v>3.44</v>
      </c>
      <c r="AU248" s="25">
        <v>2.46</v>
      </c>
      <c r="AV248" s="25">
        <v>2.6175000000000002</v>
      </c>
      <c r="AW248">
        <v>2.6175000000000002</v>
      </c>
      <c r="AX248">
        <v>6.0217141611250007</v>
      </c>
      <c r="AY248" s="75">
        <v>0.48754533225959679</v>
      </c>
      <c r="AZ248" s="75">
        <v>0</v>
      </c>
      <c r="BA248" s="75"/>
      <c r="BC248">
        <v>4.6335657907792711E-2</v>
      </c>
      <c r="BD248">
        <v>4.7575752923496438E-2</v>
      </c>
      <c r="BF248">
        <v>9.3911410831289149E-2</v>
      </c>
      <c r="BG248">
        <v>4.6955705415644568E-2</v>
      </c>
      <c r="BH248">
        <v>0.24377266612979839</v>
      </c>
      <c r="BI248" s="79" t="s">
        <v>1264</v>
      </c>
      <c r="BJ248" s="79">
        <v>1273</v>
      </c>
      <c r="BM248" s="79" t="s">
        <v>1275</v>
      </c>
      <c r="BN248" s="79" t="s">
        <v>56</v>
      </c>
      <c r="BO248" s="79">
        <v>0.5</v>
      </c>
      <c r="BP248" s="79">
        <v>5</v>
      </c>
      <c r="BQ248" s="79">
        <v>1</v>
      </c>
      <c r="BR248" s="79">
        <v>0</v>
      </c>
      <c r="BS248" s="79" t="s">
        <v>464</v>
      </c>
      <c r="BT248" s="79" t="s">
        <v>464</v>
      </c>
      <c r="BU248" s="79" t="s">
        <v>1266</v>
      </c>
      <c r="BV248" s="79">
        <v>400</v>
      </c>
      <c r="BX248" s="79" t="s">
        <v>1287</v>
      </c>
      <c r="BZ248" s="81">
        <f>356*5</f>
        <v>1780</v>
      </c>
      <c r="CA248">
        <f t="shared" si="34"/>
        <v>7.4843686432861309</v>
      </c>
    </row>
    <row r="249" spans="1:79" x14ac:dyDescent="0.3">
      <c r="A249" s="2" t="s">
        <v>1318</v>
      </c>
      <c r="B249" s="13"/>
      <c r="C249" s="13"/>
      <c r="D249" s="2">
        <v>4.2</v>
      </c>
      <c r="E249" s="2" t="s">
        <v>149</v>
      </c>
      <c r="F249" s="9"/>
      <c r="I249" s="2"/>
      <c r="J249" s="25"/>
      <c r="M249" s="2"/>
      <c r="N249" s="2"/>
      <c r="O249" s="2"/>
      <c r="P249" s="2"/>
      <c r="Q249" s="2"/>
      <c r="R249" s="25"/>
      <c r="S249" s="25"/>
      <c r="T249" s="25"/>
      <c r="AA249" s="2"/>
      <c r="AC249" s="55"/>
      <c r="AD249" s="57"/>
      <c r="AE249" s="55"/>
      <c r="AF249" s="55"/>
      <c r="AG249" s="52"/>
      <c r="AH249" s="51"/>
      <c r="AI249" s="52"/>
      <c r="AJ249" s="52"/>
      <c r="AK249" s="28"/>
      <c r="AL249" s="28"/>
      <c r="AM249" s="28"/>
      <c r="AN249" s="28"/>
      <c r="AO249" s="28"/>
      <c r="AP249" s="28"/>
      <c r="AQ249" s="28"/>
      <c r="AR249" s="28"/>
      <c r="AS249" s="25"/>
      <c r="AT249" s="25"/>
      <c r="AU249" s="25"/>
      <c r="AV249" s="25"/>
      <c r="AY249" s="75"/>
      <c r="AZ249" s="75"/>
      <c r="BA249" s="75"/>
      <c r="BI249" s="79" t="s">
        <v>1264</v>
      </c>
      <c r="BJ249" s="79">
        <v>1273</v>
      </c>
      <c r="BM249" s="79" t="s">
        <v>1275</v>
      </c>
      <c r="BN249" s="79" t="s">
        <v>56</v>
      </c>
      <c r="BO249" s="79">
        <v>0.5</v>
      </c>
      <c r="BP249" s="79">
        <v>5</v>
      </c>
      <c r="BQ249" s="79">
        <v>1</v>
      </c>
      <c r="BR249" s="79">
        <v>0</v>
      </c>
      <c r="BS249" s="79" t="s">
        <v>464</v>
      </c>
      <c r="BT249" s="79" t="s">
        <v>464</v>
      </c>
      <c r="BU249" s="79" t="s">
        <v>1266</v>
      </c>
      <c r="BV249" s="79">
        <v>400</v>
      </c>
      <c r="BX249" s="79" t="s">
        <v>1287</v>
      </c>
      <c r="BZ249" s="81">
        <f>293*5</f>
        <v>1465</v>
      </c>
      <c r="CA249">
        <f t="shared" si="34"/>
        <v>7.2896105214511673</v>
      </c>
    </row>
    <row r="250" spans="1:79" x14ac:dyDescent="0.3">
      <c r="A250" s="2" t="s">
        <v>308</v>
      </c>
      <c r="B250" s="13"/>
      <c r="C250" s="13"/>
      <c r="D250" s="2">
        <v>4.2</v>
      </c>
      <c r="E250" s="2" t="s">
        <v>149</v>
      </c>
      <c r="F250" s="9"/>
      <c r="I250" s="2"/>
      <c r="J250" s="25"/>
      <c r="M250" s="2"/>
      <c r="N250" s="2"/>
      <c r="O250" s="2"/>
      <c r="P250" s="2"/>
      <c r="Q250" s="2"/>
      <c r="R250" s="25"/>
      <c r="S250" s="25"/>
      <c r="T250" s="25"/>
      <c r="AA250" s="2"/>
      <c r="AC250" s="55"/>
      <c r="AD250" s="57"/>
      <c r="AE250" s="55"/>
      <c r="AF250" s="55"/>
      <c r="AG250" s="52"/>
      <c r="AH250" s="51"/>
      <c r="AI250" s="52"/>
      <c r="AJ250" s="52"/>
      <c r="AK250" s="28"/>
      <c r="AL250" s="28"/>
      <c r="AM250" s="28"/>
      <c r="AN250" s="28"/>
      <c r="AO250" s="28"/>
      <c r="AP250" s="28"/>
      <c r="AQ250" s="28"/>
      <c r="AR250" s="28"/>
      <c r="AS250" s="25"/>
      <c r="AT250" s="25"/>
      <c r="AU250" s="25"/>
      <c r="AV250" s="25"/>
      <c r="AY250" s="75"/>
      <c r="AZ250" s="75"/>
      <c r="BA250" s="75"/>
      <c r="BI250" s="79" t="s">
        <v>1264</v>
      </c>
      <c r="BJ250" s="79">
        <v>1273</v>
      </c>
      <c r="BM250" s="79" t="s">
        <v>1275</v>
      </c>
      <c r="BN250" s="79" t="s">
        <v>56</v>
      </c>
      <c r="BO250" s="79">
        <v>0.5</v>
      </c>
      <c r="BP250" s="79">
        <v>5</v>
      </c>
      <c r="BQ250" s="79">
        <v>1</v>
      </c>
      <c r="BR250" s="79">
        <v>0</v>
      </c>
      <c r="BS250" s="79" t="s">
        <v>464</v>
      </c>
      <c r="BT250" s="79" t="s">
        <v>464</v>
      </c>
      <c r="BU250" s="79" t="s">
        <v>1266</v>
      </c>
      <c r="BV250" s="79">
        <v>400</v>
      </c>
      <c r="BX250" s="79" t="s">
        <v>1287</v>
      </c>
      <c r="BZ250" s="81">
        <f>177*5</f>
        <v>885</v>
      </c>
      <c r="CA250">
        <f t="shared" si="34"/>
        <v>6.7855876450079293</v>
      </c>
    </row>
    <row r="251" spans="1:79" x14ac:dyDescent="0.3">
      <c r="A251" s="2" t="s">
        <v>203</v>
      </c>
      <c r="B251" s="13"/>
      <c r="C251" s="13"/>
      <c r="D251" s="2">
        <v>4.2</v>
      </c>
      <c r="E251" s="2" t="s">
        <v>149</v>
      </c>
      <c r="F251" s="9"/>
      <c r="I251" s="2"/>
      <c r="J251" s="25"/>
      <c r="M251" s="2"/>
      <c r="N251" s="2"/>
      <c r="O251" s="2"/>
      <c r="P251" s="2"/>
      <c r="Q251" s="2"/>
      <c r="R251" s="25"/>
      <c r="S251" s="25"/>
      <c r="T251" s="25"/>
      <c r="AA251" s="2"/>
      <c r="AC251" s="55"/>
      <c r="AD251" s="57"/>
      <c r="AE251" s="55"/>
      <c r="AF251" s="55"/>
      <c r="AG251" s="52"/>
      <c r="AH251" s="51"/>
      <c r="AI251" s="52"/>
      <c r="AJ251" s="52"/>
      <c r="AK251" s="28"/>
      <c r="AL251" s="28"/>
      <c r="AM251" s="28"/>
      <c r="AN251" s="28"/>
      <c r="AO251" s="28"/>
      <c r="AP251" s="28"/>
      <c r="AQ251" s="28"/>
      <c r="AR251" s="28"/>
      <c r="AS251" s="25"/>
      <c r="AT251" s="25"/>
      <c r="AU251" s="25"/>
      <c r="AV251" s="25"/>
      <c r="AY251" s="75"/>
      <c r="AZ251" s="75"/>
      <c r="BA251" s="75"/>
      <c r="BI251" s="79" t="s">
        <v>1264</v>
      </c>
      <c r="BJ251" s="79">
        <v>1273</v>
      </c>
      <c r="BM251" s="79" t="s">
        <v>1275</v>
      </c>
      <c r="BN251" s="79" t="s">
        <v>56</v>
      </c>
      <c r="BO251" s="79">
        <v>0.5</v>
      </c>
      <c r="BP251" s="79">
        <v>5</v>
      </c>
      <c r="BQ251" s="79">
        <v>1</v>
      </c>
      <c r="BR251" s="79">
        <v>0</v>
      </c>
      <c r="BS251" s="79" t="s">
        <v>464</v>
      </c>
      <c r="BT251" s="79" t="s">
        <v>464</v>
      </c>
      <c r="BU251" s="79" t="s">
        <v>1266</v>
      </c>
      <c r="BV251" s="79">
        <v>400</v>
      </c>
      <c r="BX251" s="79" t="s">
        <v>1287</v>
      </c>
      <c r="BZ251" s="81">
        <f>180*5</f>
        <v>900</v>
      </c>
      <c r="CA251">
        <f t="shared" si="34"/>
        <v>6.8023947633243109</v>
      </c>
    </row>
    <row r="252" spans="1:79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/>
      <c r="I252" s="2"/>
      <c r="J252" s="25"/>
      <c r="M252" s="2"/>
      <c r="N252" s="2"/>
      <c r="O252" s="2"/>
      <c r="P252" s="2"/>
      <c r="Q252" s="2"/>
      <c r="R252" s="25"/>
      <c r="S252" s="25"/>
      <c r="T252" s="25"/>
      <c r="AA252" s="2"/>
      <c r="AC252" s="55"/>
      <c r="AD252" s="57"/>
      <c r="AE252" s="55"/>
      <c r="AF252" s="55"/>
      <c r="AG252" s="52"/>
      <c r="AH252" s="51"/>
      <c r="AI252" s="52"/>
      <c r="AJ252" s="52"/>
      <c r="AK252" s="28"/>
      <c r="AL252" s="28"/>
      <c r="AM252" s="28"/>
      <c r="AN252" s="28"/>
      <c r="AO252" s="28"/>
      <c r="AP252" s="28"/>
      <c r="AQ252" s="28"/>
      <c r="AR252" s="28"/>
      <c r="AS252" s="25"/>
      <c r="AT252" s="25"/>
      <c r="AU252" s="25"/>
      <c r="AV252" s="25"/>
      <c r="AY252" s="75"/>
      <c r="AZ252" s="75"/>
      <c r="BA252" s="75"/>
      <c r="BI252" s="79" t="s">
        <v>1264</v>
      </c>
      <c r="BJ252" s="79">
        <v>1273</v>
      </c>
      <c r="BM252" s="79" t="s">
        <v>1275</v>
      </c>
      <c r="BN252" s="79" t="s">
        <v>56</v>
      </c>
      <c r="BO252" s="79">
        <v>0.5</v>
      </c>
      <c r="BP252" s="79">
        <v>5</v>
      </c>
      <c r="BQ252" s="79">
        <v>1</v>
      </c>
      <c r="BR252" s="79">
        <v>0</v>
      </c>
      <c r="BS252" s="79" t="s">
        <v>464</v>
      </c>
      <c r="BT252" s="79" t="s">
        <v>464</v>
      </c>
      <c r="BU252" s="79" t="s">
        <v>1266</v>
      </c>
      <c r="BV252" s="79">
        <v>400</v>
      </c>
      <c r="BX252" s="79" t="s">
        <v>1287</v>
      </c>
      <c r="BZ252" s="81">
        <f>89*5</f>
        <v>445</v>
      </c>
      <c r="CA252">
        <f t="shared" si="34"/>
        <v>6.0980742821662401</v>
      </c>
    </row>
    <row r="253" spans="1:79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I253" s="2"/>
      <c r="J253" s="25">
        <v>1</v>
      </c>
      <c r="K253">
        <v>2</v>
      </c>
      <c r="L253">
        <v>0</v>
      </c>
      <c r="M253" s="2">
        <v>3.85</v>
      </c>
      <c r="N253" s="2">
        <v>3.85</v>
      </c>
      <c r="O253" s="2">
        <f>14.1*2</f>
        <v>28.2</v>
      </c>
      <c r="P253" s="2" t="s">
        <v>440</v>
      </c>
      <c r="Q253" s="2"/>
      <c r="R253" s="25"/>
      <c r="S253" s="25"/>
      <c r="T253" s="25"/>
      <c r="AA253" s="2"/>
      <c r="AC253" s="55"/>
      <c r="AD253" s="57"/>
      <c r="AE253" s="55"/>
      <c r="AF253" s="55"/>
      <c r="AG253" s="52"/>
      <c r="AH253" s="51"/>
      <c r="AI253" s="52"/>
      <c r="AJ253" s="52"/>
      <c r="AK253" s="28"/>
      <c r="AL253" s="28"/>
      <c r="AM253" s="28"/>
      <c r="AN253" s="28"/>
      <c r="AO253" s="28"/>
      <c r="AP253" s="28"/>
      <c r="AQ253" s="28"/>
      <c r="AR253" s="28"/>
      <c r="AS253" s="25"/>
      <c r="AT253" s="25"/>
      <c r="AU253" s="25"/>
      <c r="AV253" s="25"/>
      <c r="AY253" s="75"/>
      <c r="AZ253" s="75"/>
      <c r="BA253" s="75"/>
      <c r="BI253" s="79" t="s">
        <v>1264</v>
      </c>
      <c r="BJ253" s="79">
        <v>1273</v>
      </c>
      <c r="BM253" s="79" t="s">
        <v>1275</v>
      </c>
      <c r="BN253" s="79" t="s">
        <v>56</v>
      </c>
      <c r="BO253" s="79">
        <v>0.5</v>
      </c>
      <c r="BP253" s="79">
        <v>5</v>
      </c>
      <c r="BQ253" s="79">
        <v>1</v>
      </c>
      <c r="BR253" s="79">
        <v>0</v>
      </c>
      <c r="BS253" s="79" t="s">
        <v>464</v>
      </c>
      <c r="BT253" s="79" t="s">
        <v>464</v>
      </c>
      <c r="BU253" s="79" t="s">
        <v>1266</v>
      </c>
      <c r="BV253" s="79">
        <v>400</v>
      </c>
      <c r="BX253" s="79" t="s">
        <v>1287</v>
      </c>
      <c r="BZ253" s="81">
        <v>2860</v>
      </c>
      <c r="CA253">
        <f t="shared" si="34"/>
        <v>7.9585769038138983</v>
      </c>
    </row>
    <row r="254" spans="1:79" x14ac:dyDescent="0.3">
      <c r="A254" s="2" t="s">
        <v>1319</v>
      </c>
      <c r="B254" s="13"/>
      <c r="C254" s="13"/>
      <c r="D254" s="2">
        <v>4.2</v>
      </c>
      <c r="E254" s="2" t="s">
        <v>149</v>
      </c>
      <c r="F254" s="9"/>
      <c r="I254" s="2"/>
      <c r="J254" s="25"/>
      <c r="M254" s="2"/>
      <c r="N254" s="2"/>
      <c r="O254" s="2">
        <f>14.2*2</f>
        <v>28.4</v>
      </c>
      <c r="P254" s="2"/>
      <c r="Q254" s="2"/>
      <c r="R254" s="25"/>
      <c r="S254" s="25"/>
      <c r="T254" s="25"/>
      <c r="AA254" s="2"/>
      <c r="AC254" s="55"/>
      <c r="AD254" s="57"/>
      <c r="AE254" s="55"/>
      <c r="AF254" s="55"/>
      <c r="AG254" s="52"/>
      <c r="AH254" s="51"/>
      <c r="AI254" s="52"/>
      <c r="AJ254" s="52"/>
      <c r="AK254" s="28"/>
      <c r="AL254" s="28"/>
      <c r="AM254" s="28"/>
      <c r="AN254" s="28"/>
      <c r="AO254" s="28"/>
      <c r="AP254" s="28"/>
      <c r="AQ254" s="28"/>
      <c r="AR254" s="28"/>
      <c r="AS254" s="25"/>
      <c r="AT254" s="25"/>
      <c r="AU254" s="25"/>
      <c r="AV254" s="25"/>
      <c r="AY254" s="75"/>
      <c r="AZ254" s="75"/>
      <c r="BA254" s="75"/>
      <c r="BI254" s="79" t="s">
        <v>1264</v>
      </c>
      <c r="BJ254" s="79">
        <v>1274</v>
      </c>
      <c r="BM254" s="79" t="s">
        <v>1275</v>
      </c>
      <c r="BN254" s="79" t="s">
        <v>56</v>
      </c>
      <c r="BO254" s="79">
        <v>0.5</v>
      </c>
      <c r="BP254" s="79">
        <v>5</v>
      </c>
      <c r="BQ254" s="79">
        <v>1</v>
      </c>
      <c r="BR254" s="79">
        <v>0</v>
      </c>
      <c r="BS254" s="79" t="s">
        <v>464</v>
      </c>
      <c r="BT254" s="79" t="s">
        <v>464</v>
      </c>
      <c r="BU254" s="79" t="s">
        <v>1266</v>
      </c>
      <c r="BV254" s="79">
        <v>400</v>
      </c>
      <c r="BX254" s="79" t="s">
        <v>1287</v>
      </c>
      <c r="BZ254" s="81">
        <v>5780</v>
      </c>
      <c r="CA254">
        <f t="shared" si="34"/>
        <v>8.6621589616664227</v>
      </c>
    </row>
    <row r="255" spans="1:79" x14ac:dyDescent="0.3">
      <c r="A255" s="2" t="s">
        <v>1320</v>
      </c>
      <c r="B255" s="13"/>
      <c r="C255" s="13"/>
      <c r="D255" s="2">
        <v>4.2</v>
      </c>
      <c r="E255" s="2" t="s">
        <v>149</v>
      </c>
      <c r="F255" s="9"/>
      <c r="I255" s="2"/>
      <c r="J255" s="25"/>
      <c r="M255" s="2"/>
      <c r="N255" s="2"/>
      <c r="O255" s="2">
        <f>14.5*2</f>
        <v>29</v>
      </c>
      <c r="P255" s="2"/>
      <c r="Q255" s="2"/>
      <c r="R255" s="25"/>
      <c r="S255" s="25"/>
      <c r="T255" s="25"/>
      <c r="AA255" s="2"/>
      <c r="AC255" s="55"/>
      <c r="AD255" s="57"/>
      <c r="AE255" s="55"/>
      <c r="AF255" s="55"/>
      <c r="AG255" s="52"/>
      <c r="AH255" s="51"/>
      <c r="AI255" s="52"/>
      <c r="AJ255" s="52"/>
      <c r="AK255" s="28"/>
      <c r="AL255" s="28"/>
      <c r="AM255" s="28"/>
      <c r="AN255" s="28"/>
      <c r="AO255" s="28"/>
      <c r="AP255" s="28"/>
      <c r="AQ255" s="28"/>
      <c r="AR255" s="28"/>
      <c r="AS255" s="25"/>
      <c r="AT255" s="25"/>
      <c r="AU255" s="25"/>
      <c r="AV255" s="25"/>
      <c r="AY255" s="75"/>
      <c r="AZ255" s="75"/>
      <c r="BA255" s="75"/>
      <c r="BI255" s="79" t="s">
        <v>1264</v>
      </c>
      <c r="BJ255" s="79">
        <v>1275</v>
      </c>
      <c r="BM255" s="79" t="s">
        <v>1275</v>
      </c>
      <c r="BN255" s="79" t="s">
        <v>56</v>
      </c>
      <c r="BO255" s="79">
        <v>0.5</v>
      </c>
      <c r="BP255" s="79">
        <v>5</v>
      </c>
      <c r="BQ255" s="79">
        <v>1</v>
      </c>
      <c r="BR255" s="79">
        <v>0</v>
      </c>
      <c r="BS255" s="79" t="s">
        <v>464</v>
      </c>
      <c r="BT255" s="79" t="s">
        <v>464</v>
      </c>
      <c r="BU255" s="79" t="s">
        <v>1266</v>
      </c>
      <c r="BV255" s="79">
        <v>400</v>
      </c>
      <c r="BX255" s="79" t="s">
        <v>1287</v>
      </c>
      <c r="BZ255" s="81">
        <v>6380</v>
      </c>
      <c r="CA255">
        <f t="shared" si="34"/>
        <v>8.7609233763388357</v>
      </c>
    </row>
    <row r="256" spans="1:79" x14ac:dyDescent="0.3">
      <c r="A256" s="2" t="s">
        <v>1321</v>
      </c>
      <c r="B256" s="13"/>
      <c r="C256" s="13"/>
      <c r="D256" s="2">
        <v>4.2</v>
      </c>
      <c r="E256" s="2" t="s">
        <v>149</v>
      </c>
      <c r="F256" s="9"/>
      <c r="I256" s="2"/>
      <c r="J256" s="25"/>
      <c r="M256" s="2"/>
      <c r="N256" s="2"/>
      <c r="O256" s="2">
        <f>14.8*2</f>
        <v>29.6</v>
      </c>
      <c r="P256" s="2"/>
      <c r="Q256" s="2"/>
      <c r="R256" s="25"/>
      <c r="S256" s="25"/>
      <c r="T256" s="25"/>
      <c r="AA256" s="2"/>
      <c r="AC256" s="55"/>
      <c r="AD256" s="57"/>
      <c r="AE256" s="55"/>
      <c r="AF256" s="55"/>
      <c r="AG256" s="52"/>
      <c r="AH256" s="51"/>
      <c r="AI256" s="52"/>
      <c r="AJ256" s="52"/>
      <c r="AK256" s="28"/>
      <c r="AL256" s="28"/>
      <c r="AM256" s="28"/>
      <c r="AN256" s="28"/>
      <c r="AO256" s="28"/>
      <c r="AP256" s="28"/>
      <c r="AQ256" s="28"/>
      <c r="AR256" s="28"/>
      <c r="AS256" s="25"/>
      <c r="AT256" s="25"/>
      <c r="AU256" s="25"/>
      <c r="AV256" s="25"/>
      <c r="AY256" s="75"/>
      <c r="AZ256" s="75"/>
      <c r="BA256" s="75"/>
      <c r="BI256" s="79" t="s">
        <v>1264</v>
      </c>
      <c r="BJ256" s="79">
        <v>1277</v>
      </c>
      <c r="BM256" s="79" t="s">
        <v>1275</v>
      </c>
      <c r="BN256" s="79" t="s">
        <v>56</v>
      </c>
      <c r="BO256" s="79">
        <v>0.5</v>
      </c>
      <c r="BP256" s="79">
        <v>5</v>
      </c>
      <c r="BQ256" s="79">
        <v>1</v>
      </c>
      <c r="BR256" s="79">
        <v>0</v>
      </c>
      <c r="BS256" s="79" t="s">
        <v>464</v>
      </c>
      <c r="BT256" s="79" t="s">
        <v>464</v>
      </c>
      <c r="BU256" s="79" t="s">
        <v>1266</v>
      </c>
      <c r="BV256" s="79">
        <v>400</v>
      </c>
      <c r="BX256" s="79" t="s">
        <v>1287</v>
      </c>
      <c r="BZ256" s="81">
        <v>7080</v>
      </c>
      <c r="CA256">
        <f t="shared" si="34"/>
        <v>8.8650291866877655</v>
      </c>
    </row>
    <row r="257" spans="1:79" x14ac:dyDescent="0.3">
      <c r="A257" s="2" t="s">
        <v>1322</v>
      </c>
      <c r="B257" s="13"/>
      <c r="C257" s="13"/>
      <c r="D257" s="2">
        <v>4.2</v>
      </c>
      <c r="E257" s="2" t="s">
        <v>149</v>
      </c>
      <c r="F257" s="9"/>
      <c r="I257" s="2"/>
      <c r="J257" s="25"/>
      <c r="M257" s="2"/>
      <c r="N257" s="2"/>
      <c r="O257" s="2">
        <f>15.1*2</f>
        <v>30.2</v>
      </c>
      <c r="P257" s="2"/>
      <c r="Q257" s="2"/>
      <c r="R257" s="25"/>
      <c r="S257" s="25"/>
      <c r="T257" s="25"/>
      <c r="AA257" s="2"/>
      <c r="AC257" s="55"/>
      <c r="AD257" s="57"/>
      <c r="AE257" s="55"/>
      <c r="AF257" s="55"/>
      <c r="AG257" s="52"/>
      <c r="AH257" s="51"/>
      <c r="AI257" s="52"/>
      <c r="AJ257" s="52"/>
      <c r="AK257" s="28"/>
      <c r="AL257" s="28"/>
      <c r="AM257" s="28"/>
      <c r="AN257" s="28"/>
      <c r="AO257" s="28"/>
      <c r="AP257" s="28"/>
      <c r="AQ257" s="28"/>
      <c r="AR257" s="28"/>
      <c r="AS257" s="25"/>
      <c r="AT257" s="25"/>
      <c r="AU257" s="25"/>
      <c r="AV257" s="25"/>
      <c r="AY257" s="75"/>
      <c r="AZ257" s="75"/>
      <c r="BA257" s="75"/>
      <c r="BI257" s="79" t="s">
        <v>1264</v>
      </c>
      <c r="BJ257" s="79">
        <v>1278</v>
      </c>
      <c r="BM257" s="79" t="s">
        <v>1275</v>
      </c>
      <c r="BN257" s="79" t="s">
        <v>56</v>
      </c>
      <c r="BO257" s="79">
        <v>0.5</v>
      </c>
      <c r="BP257" s="79">
        <v>5</v>
      </c>
      <c r="BQ257" s="79">
        <v>1</v>
      </c>
      <c r="BR257" s="79">
        <v>0</v>
      </c>
      <c r="BS257" s="79" t="s">
        <v>464</v>
      </c>
      <c r="BT257" s="79" t="s">
        <v>464</v>
      </c>
      <c r="BU257" s="79" t="s">
        <v>1266</v>
      </c>
      <c r="BV257" s="79">
        <v>400</v>
      </c>
      <c r="BX257" s="79" t="s">
        <v>1287</v>
      </c>
      <c r="BZ257" s="81">
        <v>4940</v>
      </c>
      <c r="CA257">
        <f t="shared" si="34"/>
        <v>8.5051206101819687</v>
      </c>
    </row>
    <row r="258" spans="1:79" x14ac:dyDescent="0.3">
      <c r="A258" s="2" t="s">
        <v>1323</v>
      </c>
      <c r="B258" s="13"/>
      <c r="C258" s="13"/>
      <c r="D258" s="2">
        <v>4.2</v>
      </c>
      <c r="E258" s="2" t="s">
        <v>149</v>
      </c>
      <c r="F258" s="9"/>
      <c r="I258" s="2"/>
      <c r="J258" s="25"/>
      <c r="M258" s="2"/>
      <c r="N258" s="2"/>
      <c r="O258" s="2">
        <f>14.4*2</f>
        <v>28.8</v>
      </c>
      <c r="P258" s="2"/>
      <c r="Q258" s="2"/>
      <c r="R258" s="25"/>
      <c r="S258" s="25"/>
      <c r="T258" s="25"/>
      <c r="AA258" s="2"/>
      <c r="AC258" s="55"/>
      <c r="AD258" s="57"/>
      <c r="AE258" s="55"/>
      <c r="AF258" s="55"/>
      <c r="AG258" s="52"/>
      <c r="AH258" s="51"/>
      <c r="AI258" s="52"/>
      <c r="AJ258" s="52"/>
      <c r="AK258" s="28"/>
      <c r="AL258" s="28"/>
      <c r="AM258" s="28"/>
      <c r="AN258" s="28"/>
      <c r="AO258" s="28"/>
      <c r="AP258" s="28"/>
      <c r="AQ258" s="28"/>
      <c r="AR258" s="28"/>
      <c r="AS258" s="25"/>
      <c r="AT258" s="25"/>
      <c r="AU258" s="25"/>
      <c r="AV258" s="25"/>
      <c r="AY258" s="75"/>
      <c r="AZ258" s="75"/>
      <c r="BA258" s="75"/>
      <c r="BI258" s="79" t="s">
        <v>1264</v>
      </c>
      <c r="BJ258" s="79">
        <v>1279</v>
      </c>
      <c r="BM258" s="79" t="s">
        <v>1275</v>
      </c>
      <c r="BN258" s="79" t="s">
        <v>56</v>
      </c>
      <c r="BO258" s="79">
        <v>0.5</v>
      </c>
      <c r="BP258" s="79">
        <v>5</v>
      </c>
      <c r="BQ258" s="79">
        <v>1</v>
      </c>
      <c r="BR258" s="79">
        <v>0</v>
      </c>
      <c r="BS258" s="79" t="s">
        <v>464</v>
      </c>
      <c r="BT258" s="79" t="s">
        <v>464</v>
      </c>
      <c r="BU258" s="79" t="s">
        <v>1266</v>
      </c>
      <c r="BV258" s="79">
        <v>400</v>
      </c>
      <c r="BX258" s="79" t="s">
        <v>1287</v>
      </c>
      <c r="BZ258" s="81">
        <v>5310</v>
      </c>
      <c r="CA258">
        <f t="shared" si="34"/>
        <v>8.5773471142359838</v>
      </c>
    </row>
    <row r="259" spans="1:79" x14ac:dyDescent="0.3">
      <c r="A259" s="2" t="s">
        <v>1324</v>
      </c>
      <c r="B259" s="13"/>
      <c r="C259" s="13"/>
      <c r="D259" s="2">
        <v>4.2</v>
      </c>
      <c r="E259" s="2" t="s">
        <v>149</v>
      </c>
      <c r="F259" s="9"/>
      <c r="I259" s="2"/>
      <c r="J259" s="25"/>
      <c r="M259" s="2"/>
      <c r="N259" s="2"/>
      <c r="O259" s="2">
        <f>14.7*2</f>
        <v>29.4</v>
      </c>
      <c r="P259" s="2"/>
      <c r="Q259" s="2"/>
      <c r="R259" s="25"/>
      <c r="S259" s="25"/>
      <c r="T259" s="25"/>
      <c r="AA259" s="2"/>
      <c r="AC259" s="55"/>
      <c r="AD259" s="57"/>
      <c r="AE259" s="55"/>
      <c r="AF259" s="55"/>
      <c r="AG259" s="52"/>
      <c r="AH259" s="51"/>
      <c r="AI259" s="52"/>
      <c r="AJ259" s="52"/>
      <c r="AK259" s="28"/>
      <c r="AL259" s="28"/>
      <c r="AM259" s="28"/>
      <c r="AN259" s="28"/>
      <c r="AO259" s="28"/>
      <c r="AP259" s="28"/>
      <c r="AQ259" s="28"/>
      <c r="AR259" s="28"/>
      <c r="AS259" s="25"/>
      <c r="AT259" s="25"/>
      <c r="AU259" s="25"/>
      <c r="AV259" s="25"/>
      <c r="AY259" s="75"/>
      <c r="AZ259" s="75"/>
      <c r="BA259" s="75"/>
      <c r="BI259" s="79" t="s">
        <v>1264</v>
      </c>
      <c r="BJ259" s="79">
        <v>1280</v>
      </c>
      <c r="BM259" s="79" t="s">
        <v>1275</v>
      </c>
      <c r="BN259" s="79" t="s">
        <v>56</v>
      </c>
      <c r="BO259" s="79">
        <v>0.5</v>
      </c>
      <c r="BP259" s="79">
        <v>5</v>
      </c>
      <c r="BQ259" s="79">
        <v>1</v>
      </c>
      <c r="BR259" s="79">
        <v>0</v>
      </c>
      <c r="BS259" s="79" t="s">
        <v>464</v>
      </c>
      <c r="BT259" s="79" t="s">
        <v>464</v>
      </c>
      <c r="BU259" s="79" t="s">
        <v>1266</v>
      </c>
      <c r="BV259" s="79">
        <v>400</v>
      </c>
      <c r="BX259" s="79" t="s">
        <v>1287</v>
      </c>
      <c r="BZ259" s="81">
        <v>6320</v>
      </c>
      <c r="CA259">
        <f t="shared" ref="CA259:CA322" si="40">LN(BZ259)</f>
        <v>8.7514744871409036</v>
      </c>
    </row>
    <row r="260" spans="1:79" x14ac:dyDescent="0.3">
      <c r="A260" s="2" t="s">
        <v>1325</v>
      </c>
      <c r="B260" s="13"/>
      <c r="C260" s="13"/>
      <c r="D260" s="2">
        <v>4.2</v>
      </c>
      <c r="E260" s="2" t="s">
        <v>149</v>
      </c>
      <c r="F260" s="9"/>
      <c r="I260" s="2"/>
      <c r="J260" s="25"/>
      <c r="M260" s="2"/>
      <c r="N260" s="2"/>
      <c r="O260" s="2">
        <f>14.9*2</f>
        <v>29.8</v>
      </c>
      <c r="P260" s="2"/>
      <c r="Q260" s="2"/>
      <c r="R260" s="25"/>
      <c r="S260" s="25"/>
      <c r="T260" s="25"/>
      <c r="AA260" s="2"/>
      <c r="AC260" s="55"/>
      <c r="AD260" s="57"/>
      <c r="AE260" s="55"/>
      <c r="AF260" s="55"/>
      <c r="AG260" s="52"/>
      <c r="AH260" s="51"/>
      <c r="AI260" s="52"/>
      <c r="AJ260" s="52"/>
      <c r="AK260" s="28"/>
      <c r="AL260" s="28"/>
      <c r="AM260" s="28"/>
      <c r="AN260" s="28"/>
      <c r="AO260" s="28"/>
      <c r="AP260" s="28"/>
      <c r="AQ260" s="28"/>
      <c r="AR260" s="28"/>
      <c r="AS260" s="25"/>
      <c r="AT260" s="25"/>
      <c r="AU260" s="25"/>
      <c r="AV260" s="25"/>
      <c r="AY260" s="75"/>
      <c r="AZ260" s="75"/>
      <c r="BA260" s="75"/>
      <c r="BI260" s="79" t="s">
        <v>1264</v>
      </c>
      <c r="BJ260" s="79">
        <v>1281</v>
      </c>
      <c r="BM260" s="79" t="s">
        <v>1275</v>
      </c>
      <c r="BN260" s="79" t="s">
        <v>56</v>
      </c>
      <c r="BO260" s="79">
        <v>0.5</v>
      </c>
      <c r="BP260" s="79">
        <v>5</v>
      </c>
      <c r="BQ260" s="79">
        <v>1</v>
      </c>
      <c r="BR260" s="79">
        <v>0</v>
      </c>
      <c r="BS260" s="79" t="s">
        <v>464</v>
      </c>
      <c r="BT260" s="79" t="s">
        <v>464</v>
      </c>
      <c r="BU260" s="79" t="s">
        <v>1266</v>
      </c>
      <c r="BV260" s="79">
        <v>400</v>
      </c>
      <c r="BX260" s="79" t="s">
        <v>1287</v>
      </c>
      <c r="BZ260" s="81">
        <v>4240</v>
      </c>
      <c r="CA260">
        <f t="shared" si="40"/>
        <v>8.3523185482260036</v>
      </c>
    </row>
    <row r="261" spans="1:79" x14ac:dyDescent="0.3">
      <c r="A261" s="2" t="s">
        <v>1326</v>
      </c>
      <c r="B261" s="13"/>
      <c r="C261" s="13"/>
      <c r="D261" s="2">
        <v>4.2</v>
      </c>
      <c r="E261" s="2" t="s">
        <v>149</v>
      </c>
      <c r="F261" s="9"/>
      <c r="I261" s="2"/>
      <c r="J261" s="25"/>
      <c r="M261" s="2"/>
      <c r="N261" s="2"/>
      <c r="O261" s="2">
        <f>15*2</f>
        <v>30</v>
      </c>
      <c r="P261" s="2"/>
      <c r="Q261" s="2"/>
      <c r="R261" s="25"/>
      <c r="S261" s="25"/>
      <c r="T261" s="25"/>
      <c r="AA261" s="2"/>
      <c r="AC261" s="55"/>
      <c r="AD261" s="57"/>
      <c r="AE261" s="55"/>
      <c r="AF261" s="55"/>
      <c r="AG261" s="52"/>
      <c r="AH261" s="51"/>
      <c r="AI261" s="52"/>
      <c r="AJ261" s="52"/>
      <c r="AK261" s="28"/>
      <c r="AL261" s="28"/>
      <c r="AM261" s="28"/>
      <c r="AN261" s="28"/>
      <c r="AO261" s="28"/>
      <c r="AP261" s="28"/>
      <c r="AQ261" s="28"/>
      <c r="AR261" s="28"/>
      <c r="AS261" s="25"/>
      <c r="AT261" s="25"/>
      <c r="AU261" s="25"/>
      <c r="AV261" s="25"/>
      <c r="AY261" s="75"/>
      <c r="AZ261" s="75"/>
      <c r="BA261" s="75"/>
      <c r="BI261" s="79" t="s">
        <v>1264</v>
      </c>
      <c r="BJ261" s="79">
        <v>1282</v>
      </c>
      <c r="BM261" s="79" t="s">
        <v>1275</v>
      </c>
      <c r="BN261" s="79" t="s">
        <v>56</v>
      </c>
      <c r="BO261" s="79">
        <v>0.5</v>
      </c>
      <c r="BP261" s="79">
        <v>5</v>
      </c>
      <c r="BQ261" s="79">
        <v>1</v>
      </c>
      <c r="BR261" s="79">
        <v>0</v>
      </c>
      <c r="BS261" s="79" t="s">
        <v>464</v>
      </c>
      <c r="BT261" s="79" t="s">
        <v>464</v>
      </c>
      <c r="BU261" s="79" t="s">
        <v>1266</v>
      </c>
      <c r="BV261" s="79">
        <v>400</v>
      </c>
      <c r="BX261" s="79" t="s">
        <v>1287</v>
      </c>
      <c r="BZ261" s="81">
        <v>5070</v>
      </c>
      <c r="CA261">
        <f t="shared" si="40"/>
        <v>8.5310960965852285</v>
      </c>
    </row>
    <row r="262" spans="1:79" x14ac:dyDescent="0.3">
      <c r="A262" s="2" t="s">
        <v>1327</v>
      </c>
      <c r="B262" s="13"/>
      <c r="C262" s="13"/>
      <c r="D262" s="2">
        <v>4.2</v>
      </c>
      <c r="E262" s="2" t="s">
        <v>149</v>
      </c>
      <c r="F262" s="9"/>
      <c r="I262" s="2"/>
      <c r="J262" s="25"/>
      <c r="M262" s="2"/>
      <c r="N262" s="2"/>
      <c r="O262" s="2">
        <f>14.5*2</f>
        <v>29</v>
      </c>
      <c r="P262" s="2"/>
      <c r="Q262" s="2"/>
      <c r="R262" s="25"/>
      <c r="S262" s="25"/>
      <c r="T262" s="25"/>
      <c r="AA262" s="2"/>
      <c r="AC262" s="55"/>
      <c r="AD262" s="57"/>
      <c r="AE262" s="55"/>
      <c r="AF262" s="55"/>
      <c r="AG262" s="52"/>
      <c r="AH262" s="51"/>
      <c r="AI262" s="52"/>
      <c r="AJ262" s="52"/>
      <c r="AK262" s="28"/>
      <c r="AL262" s="28"/>
      <c r="AM262" s="28"/>
      <c r="AN262" s="28"/>
      <c r="AO262" s="28"/>
      <c r="AP262" s="28"/>
      <c r="AQ262" s="28"/>
      <c r="AR262" s="28"/>
      <c r="AS262" s="25"/>
      <c r="AT262" s="25"/>
      <c r="AU262" s="25"/>
      <c r="AV262" s="25"/>
      <c r="AY262" s="75"/>
      <c r="AZ262" s="75"/>
      <c r="BA262" s="75"/>
      <c r="BI262" s="79" t="s">
        <v>1264</v>
      </c>
      <c r="BJ262" s="79">
        <v>1283</v>
      </c>
      <c r="BM262" s="79" t="s">
        <v>1275</v>
      </c>
      <c r="BN262" s="79" t="s">
        <v>56</v>
      </c>
      <c r="BO262" s="79">
        <v>0.5</v>
      </c>
      <c r="BP262" s="79">
        <v>5</v>
      </c>
      <c r="BQ262" s="79">
        <v>1</v>
      </c>
      <c r="BR262" s="79">
        <v>0</v>
      </c>
      <c r="BS262" s="79" t="s">
        <v>464</v>
      </c>
      <c r="BT262" s="79" t="s">
        <v>464</v>
      </c>
      <c r="BU262" s="79" t="s">
        <v>1266</v>
      </c>
      <c r="BV262" s="79">
        <v>400</v>
      </c>
      <c r="BX262" s="79" t="s">
        <v>1287</v>
      </c>
      <c r="BZ262" s="81">
        <v>6660</v>
      </c>
      <c r="CA262">
        <f t="shared" si="40"/>
        <v>8.8038747635344343</v>
      </c>
    </row>
    <row r="263" spans="1:79" x14ac:dyDescent="0.3">
      <c r="A263" s="2" t="s">
        <v>1328</v>
      </c>
      <c r="B263" s="13"/>
      <c r="C263" s="13"/>
      <c r="D263" s="2">
        <v>4.2</v>
      </c>
      <c r="E263" s="2" t="s">
        <v>149</v>
      </c>
      <c r="F263" s="9"/>
      <c r="I263" s="2"/>
      <c r="J263" s="25"/>
      <c r="M263" s="2"/>
      <c r="N263" s="2"/>
      <c r="O263" s="2">
        <f>14.9*2</f>
        <v>29.8</v>
      </c>
      <c r="P263" s="2"/>
      <c r="Q263" s="2"/>
      <c r="R263" s="25"/>
      <c r="S263" s="25"/>
      <c r="T263" s="25"/>
      <c r="AA263" s="2"/>
      <c r="AC263" s="55"/>
      <c r="AD263" s="57"/>
      <c r="AE263" s="55"/>
      <c r="AF263" s="55"/>
      <c r="AG263" s="52"/>
      <c r="AH263" s="51"/>
      <c r="AI263" s="52"/>
      <c r="AJ263" s="52"/>
      <c r="AK263" s="28"/>
      <c r="AL263" s="28"/>
      <c r="AM263" s="28"/>
      <c r="AN263" s="28"/>
      <c r="AO263" s="28"/>
      <c r="AP263" s="28"/>
      <c r="AQ263" s="28"/>
      <c r="AR263" s="28"/>
      <c r="AS263" s="25"/>
      <c r="AT263" s="25"/>
      <c r="AU263" s="25"/>
      <c r="AV263" s="25"/>
      <c r="AY263" s="75"/>
      <c r="AZ263" s="75"/>
      <c r="BA263" s="75"/>
      <c r="BI263" s="79" t="s">
        <v>1264</v>
      </c>
      <c r="BJ263" s="79">
        <v>1284</v>
      </c>
      <c r="BM263" s="79" t="s">
        <v>1275</v>
      </c>
      <c r="BN263" s="79" t="s">
        <v>56</v>
      </c>
      <c r="BO263" s="79">
        <v>0.5</v>
      </c>
      <c r="BP263" s="79">
        <v>5</v>
      </c>
      <c r="BQ263" s="79">
        <v>1</v>
      </c>
      <c r="BR263" s="79">
        <v>0</v>
      </c>
      <c r="BS263" s="79" t="s">
        <v>464</v>
      </c>
      <c r="BT263" s="79" t="s">
        <v>464</v>
      </c>
      <c r="BU263" s="79" t="s">
        <v>1266</v>
      </c>
      <c r="BV263" s="79">
        <v>400</v>
      </c>
      <c r="BX263" s="79" t="s">
        <v>1287</v>
      </c>
      <c r="BZ263" s="81">
        <v>5090</v>
      </c>
      <c r="CA263">
        <f t="shared" si="40"/>
        <v>8.5350331095445693</v>
      </c>
    </row>
    <row r="264" spans="1:79" x14ac:dyDescent="0.3">
      <c r="A264" s="2" t="s">
        <v>1329</v>
      </c>
      <c r="B264" s="13"/>
      <c r="C264" s="13"/>
      <c r="D264" s="2">
        <v>4.2</v>
      </c>
      <c r="E264" s="2" t="s">
        <v>149</v>
      </c>
      <c r="F264" s="9"/>
      <c r="I264" s="2"/>
      <c r="J264" s="25"/>
      <c r="M264" s="2"/>
      <c r="N264" s="2"/>
      <c r="O264" s="2">
        <f>15.2*2</f>
        <v>30.4</v>
      </c>
      <c r="P264" s="2"/>
      <c r="Q264" s="2"/>
      <c r="R264" s="25"/>
      <c r="S264" s="25"/>
      <c r="T264" s="25"/>
      <c r="AA264" s="2"/>
      <c r="AC264" s="55"/>
      <c r="AD264" s="57"/>
      <c r="AE264" s="55"/>
      <c r="AF264" s="55"/>
      <c r="AG264" s="52"/>
      <c r="AH264" s="51"/>
      <c r="AI264" s="52"/>
      <c r="AJ264" s="52"/>
      <c r="AK264" s="28"/>
      <c r="AL264" s="28"/>
      <c r="AM264" s="28"/>
      <c r="AN264" s="28"/>
      <c r="AO264" s="28"/>
      <c r="AP264" s="28"/>
      <c r="AQ264" s="28"/>
      <c r="AR264" s="28"/>
      <c r="AS264" s="25"/>
      <c r="AT264" s="25"/>
      <c r="AU264" s="25"/>
      <c r="AV264" s="25"/>
      <c r="AY264" s="75"/>
      <c r="AZ264" s="75"/>
      <c r="BA264" s="75"/>
      <c r="BI264" s="79" t="s">
        <v>1264</v>
      </c>
      <c r="BJ264" s="79">
        <v>1285</v>
      </c>
      <c r="BM264" s="79" t="s">
        <v>1275</v>
      </c>
      <c r="BN264" s="79" t="s">
        <v>56</v>
      </c>
      <c r="BO264" s="79">
        <v>0.5</v>
      </c>
      <c r="BP264" s="79">
        <v>5</v>
      </c>
      <c r="BQ264" s="79">
        <v>1</v>
      </c>
      <c r="BR264" s="79">
        <v>0</v>
      </c>
      <c r="BS264" s="79" t="s">
        <v>464</v>
      </c>
      <c r="BT264" s="79" t="s">
        <v>464</v>
      </c>
      <c r="BU264" s="79" t="s">
        <v>1266</v>
      </c>
      <c r="BV264" s="79">
        <v>400</v>
      </c>
      <c r="BX264" s="79" t="s">
        <v>1287</v>
      </c>
      <c r="BZ264" s="81">
        <v>2870</v>
      </c>
      <c r="CA264">
        <f t="shared" si="40"/>
        <v>7.9620673087536664</v>
      </c>
    </row>
    <row r="265" spans="1:79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9">
        <v>-1</v>
      </c>
      <c r="G265">
        <v>-1</v>
      </c>
      <c r="H265" t="s">
        <v>1144</v>
      </c>
      <c r="I265" s="2"/>
      <c r="J265" s="25">
        <v>0</v>
      </c>
      <c r="K265">
        <v>0</v>
      </c>
      <c r="L265">
        <v>1</v>
      </c>
      <c r="M265" s="2">
        <v>3.85</v>
      </c>
      <c r="N265" s="2">
        <v>3.85</v>
      </c>
      <c r="O265" s="2">
        <v>29.296700000000001</v>
      </c>
      <c r="P265" s="2" t="s">
        <v>519</v>
      </c>
      <c r="R265" s="25">
        <v>0</v>
      </c>
      <c r="S265" s="25"/>
      <c r="T265" s="25"/>
      <c r="U265">
        <v>0</v>
      </c>
      <c r="X265">
        <v>3.8653</v>
      </c>
      <c r="Y265">
        <v>3.8653</v>
      </c>
      <c r="Z265">
        <v>11.0131</v>
      </c>
      <c r="AA265" s="2"/>
      <c r="AB265">
        <v>20</v>
      </c>
      <c r="AC265" s="55">
        <f t="shared" si="37"/>
        <v>434.25033575000009</v>
      </c>
      <c r="AD265" s="57">
        <v>0</v>
      </c>
      <c r="AE265" s="55">
        <v>0</v>
      </c>
      <c r="AF265" s="55">
        <v>164.541706117579</v>
      </c>
      <c r="AG265" s="52"/>
      <c r="AH265" s="51"/>
      <c r="AI265" s="52"/>
      <c r="AJ265" s="52">
        <v>0.12154973028970729</v>
      </c>
      <c r="AK265" s="28">
        <v>1.75</v>
      </c>
      <c r="AL265" s="28">
        <v>2.5</v>
      </c>
      <c r="AM265" s="28">
        <v>0.75</v>
      </c>
      <c r="AN265" s="28">
        <v>0</v>
      </c>
      <c r="AO265" s="28">
        <v>0.35</v>
      </c>
      <c r="AP265" s="28">
        <v>0.5</v>
      </c>
      <c r="AQ265" s="28">
        <v>0.15</v>
      </c>
      <c r="AR265" s="28">
        <v>0</v>
      </c>
      <c r="AS265" s="25">
        <v>1</v>
      </c>
      <c r="AT265" s="25">
        <v>3.44</v>
      </c>
      <c r="AU265" s="25">
        <v>2.44</v>
      </c>
      <c r="AV265" s="25">
        <v>2.7124999999999999</v>
      </c>
      <c r="AW265">
        <v>2.7124999999999999</v>
      </c>
      <c r="AX265">
        <v>6.264025610615688</v>
      </c>
      <c r="AY265" s="75"/>
      <c r="AZ265" s="75"/>
      <c r="BA265" s="75">
        <v>0.53381265134868672</v>
      </c>
      <c r="BE265">
        <v>6.0774865144853633E-2</v>
      </c>
      <c r="BF265">
        <v>0.12154973028970729</v>
      </c>
      <c r="BG265">
        <v>6.0774865144853633E-2</v>
      </c>
      <c r="BH265">
        <v>0.53381265134868672</v>
      </c>
      <c r="BI265" s="79" t="s">
        <v>1264</v>
      </c>
      <c r="BJ265" s="79">
        <f>1250+273</f>
        <v>1523</v>
      </c>
      <c r="BK265" s="79">
        <v>2</v>
      </c>
      <c r="BM265" s="79" t="s">
        <v>1268</v>
      </c>
      <c r="BN265" s="79" t="s">
        <v>863</v>
      </c>
      <c r="BO265" s="79">
        <v>0.3</v>
      </c>
      <c r="BP265" s="79">
        <v>50</v>
      </c>
      <c r="BQ265" s="79">
        <v>2.5</v>
      </c>
      <c r="BR265" s="79">
        <v>7</v>
      </c>
      <c r="BS265" s="79" t="s">
        <v>464</v>
      </c>
      <c r="BT265" s="79" t="s">
        <v>464</v>
      </c>
      <c r="BU265" s="79" t="s">
        <v>1271</v>
      </c>
      <c r="BV265" s="79">
        <v>300</v>
      </c>
      <c r="BW265" s="79">
        <v>300</v>
      </c>
      <c r="BX265" s="79" t="s">
        <v>1311</v>
      </c>
      <c r="BZ265" s="81">
        <f>4.2*200</f>
        <v>840</v>
      </c>
      <c r="CA265">
        <f t="shared" si="40"/>
        <v>6.7334018918373593</v>
      </c>
    </row>
    <row r="266" spans="1:79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9">
        <v>-1</v>
      </c>
      <c r="G266">
        <v>-1</v>
      </c>
      <c r="I266" s="2">
        <v>2</v>
      </c>
      <c r="J266" s="25">
        <v>0</v>
      </c>
      <c r="K266">
        <v>0</v>
      </c>
      <c r="L266">
        <v>0</v>
      </c>
      <c r="M266" s="2">
        <v>3.89</v>
      </c>
      <c r="N266" s="2">
        <v>3.89</v>
      </c>
      <c r="O266" s="2">
        <v>33.299999999999997</v>
      </c>
      <c r="P266" s="2" t="s">
        <v>519</v>
      </c>
      <c r="Q266" s="2"/>
      <c r="R266" s="25">
        <v>0</v>
      </c>
      <c r="S266" s="25"/>
      <c r="T266" s="25"/>
      <c r="U266">
        <v>0</v>
      </c>
      <c r="X266">
        <v>0</v>
      </c>
      <c r="AA266" s="2"/>
      <c r="AB266">
        <v>20</v>
      </c>
      <c r="AC266" s="55">
        <f t="shared" si="37"/>
        <v>503.89893000000001</v>
      </c>
      <c r="AD266" s="57">
        <v>0</v>
      </c>
      <c r="AE266" s="55">
        <v>0</v>
      </c>
      <c r="AF266" s="55">
        <v>0</v>
      </c>
      <c r="AG266" s="52">
        <f t="shared" ref="AG266:AG304" si="41">I266*AB266/AC266</f>
        <v>7.9380998090232108E-2</v>
      </c>
      <c r="AH266" s="51"/>
      <c r="AI266" s="52"/>
      <c r="AJ266" s="52"/>
      <c r="AK266" s="28">
        <v>1.75</v>
      </c>
      <c r="AL266" s="28">
        <v>2.5</v>
      </c>
      <c r="AM266" s="28">
        <v>0.75</v>
      </c>
      <c r="AN266" s="28">
        <v>0</v>
      </c>
      <c r="AO266" s="28">
        <v>0.35</v>
      </c>
      <c r="AP266" s="28">
        <v>0.5</v>
      </c>
      <c r="AQ266" s="28">
        <v>0.15</v>
      </c>
      <c r="AR266" s="28">
        <v>0</v>
      </c>
      <c r="AS266" s="25">
        <v>0.95</v>
      </c>
      <c r="AT266" s="25">
        <v>3.44</v>
      </c>
      <c r="AU266" s="25">
        <v>2.4900000000000002</v>
      </c>
      <c r="AV266" s="25">
        <v>2.7062499999999998</v>
      </c>
      <c r="AW266">
        <v>2.7062499999999998</v>
      </c>
      <c r="AX266">
        <v>6.2396022968656872</v>
      </c>
      <c r="AY266" s="75"/>
      <c r="AZ266" s="75"/>
      <c r="BA266" s="75"/>
      <c r="BB266">
        <v>3.9690499045116047E-2</v>
      </c>
      <c r="BF266">
        <v>7.9380998090232108E-2</v>
      </c>
      <c r="BG266">
        <v>3.9690499045116047E-2</v>
      </c>
      <c r="BH266">
        <v>0</v>
      </c>
      <c r="BI266" s="79" t="s">
        <v>1264</v>
      </c>
      <c r="BJ266" s="79">
        <f>1250+273</f>
        <v>1523</v>
      </c>
      <c r="BK266" s="79">
        <v>2</v>
      </c>
      <c r="BM266" s="79" t="s">
        <v>1268</v>
      </c>
      <c r="BN266" s="79" t="s">
        <v>863</v>
      </c>
      <c r="BO266" s="79">
        <v>0.3</v>
      </c>
      <c r="BP266" s="79">
        <v>56</v>
      </c>
      <c r="BQ266" s="79">
        <v>2.5</v>
      </c>
      <c r="BR266" s="79">
        <v>7</v>
      </c>
      <c r="BS266" s="79" t="s">
        <v>464</v>
      </c>
      <c r="BT266" s="79" t="s">
        <v>464</v>
      </c>
      <c r="BU266" s="79" t="s">
        <v>1271</v>
      </c>
      <c r="BV266" s="79">
        <v>300</v>
      </c>
      <c r="BW266" s="79">
        <v>300</v>
      </c>
      <c r="BX266" s="79" t="s">
        <v>1311</v>
      </c>
      <c r="BZ266" s="81">
        <f>4.5*200</f>
        <v>900</v>
      </c>
      <c r="CA266">
        <f t="shared" si="40"/>
        <v>6.8023947633243109</v>
      </c>
    </row>
    <row r="267" spans="1:79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9" t="s">
        <v>578</v>
      </c>
      <c r="G267">
        <v>-1</v>
      </c>
      <c r="H267" t="s">
        <v>1166</v>
      </c>
      <c r="I267" s="2"/>
      <c r="J267" s="25">
        <v>1</v>
      </c>
      <c r="K267">
        <v>0</v>
      </c>
      <c r="L267">
        <v>1</v>
      </c>
      <c r="M267" s="2">
        <v>3.89</v>
      </c>
      <c r="N267" s="2">
        <v>3.89</v>
      </c>
      <c r="O267" s="2">
        <v>21.29</v>
      </c>
      <c r="P267" s="2" t="s">
        <v>519</v>
      </c>
      <c r="Q267" s="2"/>
      <c r="R267" s="25">
        <v>3.9263319999999999</v>
      </c>
      <c r="S267" s="25">
        <v>3.9263319999999999</v>
      </c>
      <c r="T267" s="25">
        <v>10.74639</v>
      </c>
      <c r="U267">
        <v>0</v>
      </c>
      <c r="X267">
        <v>3.8913000000000002</v>
      </c>
      <c r="Y267">
        <v>3.8913000000000002</v>
      </c>
      <c r="Z267">
        <v>10.47</v>
      </c>
      <c r="AA267" s="2"/>
      <c r="AB267">
        <v>14</v>
      </c>
      <c r="AC267" s="55">
        <f t="shared" si="37"/>
        <v>322.16240900000003</v>
      </c>
      <c r="AD267" s="57">
        <v>165.66723991337099</v>
      </c>
      <c r="AE267" s="55">
        <v>0</v>
      </c>
      <c r="AF267" s="55">
        <v>158.53899827430001</v>
      </c>
      <c r="AG267" s="52"/>
      <c r="AH267" s="51">
        <v>8.4506749839743392E-2</v>
      </c>
      <c r="AI267" s="52"/>
      <c r="AJ267" s="52">
        <v>8.8306348295310685E-2</v>
      </c>
      <c r="AK267" s="28">
        <v>1.7272727272727271</v>
      </c>
      <c r="AL267" s="28">
        <v>2.545454545454545</v>
      </c>
      <c r="AM267" s="28">
        <v>0.81818181818181823</v>
      </c>
      <c r="AN267" s="28">
        <v>0</v>
      </c>
      <c r="AO267" s="28">
        <v>0.3392857142857143</v>
      </c>
      <c r="AP267" s="28">
        <v>0.5</v>
      </c>
      <c r="AQ267" s="28">
        <v>0.1607142857142857</v>
      </c>
      <c r="AR267" s="28">
        <v>0</v>
      </c>
      <c r="AS267" s="25">
        <v>1.1000000000000001</v>
      </c>
      <c r="AT267" s="25">
        <v>3.44</v>
      </c>
      <c r="AU267" s="25">
        <v>2.34</v>
      </c>
      <c r="AV267" s="25">
        <v>2.78</v>
      </c>
      <c r="AW267">
        <v>2.78</v>
      </c>
      <c r="AX267">
        <v>6.4270052227137269</v>
      </c>
      <c r="AY267" s="75">
        <v>0.41874886813759421</v>
      </c>
      <c r="AZ267" s="75"/>
      <c r="BA267" s="75">
        <v>0</v>
      </c>
      <c r="BC267">
        <v>4.2253374919871717E-2</v>
      </c>
      <c r="BE267">
        <v>4.4153174147655357E-2</v>
      </c>
      <c r="BF267">
        <v>8.6406549067527039E-2</v>
      </c>
      <c r="BG267">
        <v>4.3203274533763533E-2</v>
      </c>
      <c r="BH267">
        <v>0.20937443406879711</v>
      </c>
      <c r="BI267" s="79" t="s">
        <v>1264</v>
      </c>
      <c r="BJ267" s="79">
        <f>1150+273</f>
        <v>1423</v>
      </c>
      <c r="BK267" s="79">
        <f>48</f>
        <v>48</v>
      </c>
      <c r="BM267" s="79" t="s">
        <v>1268</v>
      </c>
      <c r="BN267" s="79" t="s">
        <v>863</v>
      </c>
      <c r="BO267" s="79">
        <v>0.3</v>
      </c>
      <c r="BP267" s="79">
        <v>68</v>
      </c>
      <c r="BQ267" s="79">
        <v>2.5</v>
      </c>
      <c r="BR267" s="79">
        <v>7</v>
      </c>
      <c r="BS267" s="79" t="s">
        <v>464</v>
      </c>
      <c r="BT267" s="79" t="s">
        <v>464</v>
      </c>
      <c r="BU267" s="79" t="s">
        <v>1271</v>
      </c>
      <c r="BV267" s="79">
        <v>300</v>
      </c>
      <c r="BW267" s="79">
        <v>300</v>
      </c>
      <c r="BX267" s="79" t="s">
        <v>1311</v>
      </c>
      <c r="BZ267" s="81">
        <f>0.3*200</f>
        <v>60</v>
      </c>
      <c r="CA267">
        <f t="shared" si="40"/>
        <v>4.0943445622221004</v>
      </c>
    </row>
    <row r="268" spans="1:79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9">
        <v>-1</v>
      </c>
      <c r="G268">
        <v>-1</v>
      </c>
      <c r="I268" s="2">
        <v>8</v>
      </c>
      <c r="J268" s="25">
        <v>0</v>
      </c>
      <c r="K268">
        <v>0</v>
      </c>
      <c r="L268">
        <v>0</v>
      </c>
      <c r="M268" s="2">
        <v>7.8209999999999997</v>
      </c>
      <c r="N268" s="2">
        <v>7.7649999999999997</v>
      </c>
      <c r="O268" s="2">
        <v>30.08</v>
      </c>
      <c r="P268" t="s">
        <v>495</v>
      </c>
      <c r="R268" s="25">
        <v>0</v>
      </c>
      <c r="S268" s="25"/>
      <c r="T268" s="25"/>
      <c r="U268">
        <v>0</v>
      </c>
      <c r="X268">
        <v>0</v>
      </c>
      <c r="AA268" s="2"/>
      <c r="AB268">
        <v>20</v>
      </c>
      <c r="AC268" s="55">
        <f t="shared" si="37"/>
        <v>1826.7603551999998</v>
      </c>
      <c r="AD268" s="57">
        <v>0</v>
      </c>
      <c r="AE268" s="55">
        <v>0</v>
      </c>
      <c r="AF268" s="55">
        <v>0</v>
      </c>
      <c r="AG268" s="52">
        <f t="shared" si="41"/>
        <v>8.7586748609115E-2</v>
      </c>
      <c r="AH268" s="51"/>
      <c r="AI268" s="52"/>
      <c r="AJ268" s="52"/>
      <c r="AK268" s="28">
        <v>1.75</v>
      </c>
      <c r="AL268" s="28">
        <v>2.5</v>
      </c>
      <c r="AM268" s="28">
        <v>0.75</v>
      </c>
      <c r="AN268" s="28">
        <v>0</v>
      </c>
      <c r="AO268" s="28">
        <v>0.35</v>
      </c>
      <c r="AP268" s="28">
        <v>0.5</v>
      </c>
      <c r="AQ268" s="28">
        <v>0.15</v>
      </c>
      <c r="AR268" s="28">
        <v>0</v>
      </c>
      <c r="AS268" s="25">
        <v>0.82</v>
      </c>
      <c r="AT268" s="25">
        <v>3.44</v>
      </c>
      <c r="AU268" s="25">
        <v>2.62</v>
      </c>
      <c r="AV268" s="25">
        <v>2.62</v>
      </c>
      <c r="AW268">
        <v>2.62</v>
      </c>
      <c r="AX268">
        <v>5.9423863675000002</v>
      </c>
      <c r="AY268" s="75"/>
      <c r="AZ268" s="75"/>
      <c r="BA268" s="75"/>
      <c r="BB268">
        <v>4.37933743045575E-2</v>
      </c>
      <c r="BF268">
        <v>8.7586748609115E-2</v>
      </c>
      <c r="BG268">
        <v>4.37933743045575E-2</v>
      </c>
      <c r="BH268">
        <v>0</v>
      </c>
      <c r="BI268" s="79" t="s">
        <v>1264</v>
      </c>
      <c r="BJ268" s="79">
        <v>1423</v>
      </c>
      <c r="BK268" s="79">
        <v>24</v>
      </c>
      <c r="BM268" s="79" t="s">
        <v>464</v>
      </c>
      <c r="BN268" s="79" t="s">
        <v>464</v>
      </c>
      <c r="BO268" s="79">
        <v>0</v>
      </c>
      <c r="BP268" s="79">
        <v>11.22</v>
      </c>
      <c r="BQ268" s="79">
        <v>2</v>
      </c>
      <c r="BR268" s="79">
        <v>10</v>
      </c>
      <c r="BS268" s="79" t="s">
        <v>464</v>
      </c>
      <c r="BT268" s="79" t="s">
        <v>464</v>
      </c>
      <c r="BU268" s="79" t="s">
        <v>1266</v>
      </c>
      <c r="BV268" s="79">
        <v>100</v>
      </c>
      <c r="BW268" s="79">
        <v>400</v>
      </c>
      <c r="BX268" s="79" t="s">
        <v>1311</v>
      </c>
      <c r="BY268" s="79">
        <v>333</v>
      </c>
      <c r="CA268" t="e">
        <f t="shared" si="40"/>
        <v>#NUM!</v>
      </c>
    </row>
    <row r="269" spans="1:79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9">
        <v>-1</v>
      </c>
      <c r="G269">
        <v>-1</v>
      </c>
      <c r="I269" s="2">
        <v>8</v>
      </c>
      <c r="J269" s="25">
        <v>0</v>
      </c>
      <c r="K269">
        <v>0</v>
      </c>
      <c r="L269">
        <v>0</v>
      </c>
      <c r="M269" s="2">
        <v>7.8209999999999997</v>
      </c>
      <c r="N269" s="2">
        <v>7.7649999999999997</v>
      </c>
      <c r="O269" s="2">
        <v>30.96</v>
      </c>
      <c r="P269" t="s">
        <v>495</v>
      </c>
      <c r="R269" s="25">
        <v>0</v>
      </c>
      <c r="S269" s="25"/>
      <c r="T269" s="25"/>
      <c r="U269">
        <v>0</v>
      </c>
      <c r="X269">
        <v>0</v>
      </c>
      <c r="AA269" s="2"/>
      <c r="AB269">
        <v>20</v>
      </c>
      <c r="AC269" s="55">
        <f t="shared" si="37"/>
        <v>1880.2028123999999</v>
      </c>
      <c r="AD269" s="57">
        <v>0</v>
      </c>
      <c r="AE269" s="55">
        <v>0</v>
      </c>
      <c r="AF269" s="55">
        <v>0</v>
      </c>
      <c r="AG269" s="52">
        <f t="shared" si="41"/>
        <v>8.5097202783016121E-2</v>
      </c>
      <c r="AH269" s="51"/>
      <c r="AI269" s="52"/>
      <c r="AJ269" s="52"/>
      <c r="AK269" s="28">
        <v>1.8125</v>
      </c>
      <c r="AL269" s="28">
        <v>2.5</v>
      </c>
      <c r="AM269" s="28">
        <v>0.6875</v>
      </c>
      <c r="AN269" s="28">
        <v>0.875</v>
      </c>
      <c r="AO269" s="28">
        <v>0.30851063829787229</v>
      </c>
      <c r="AP269" s="28">
        <v>0.42553191489361702</v>
      </c>
      <c r="AQ269" s="28">
        <v>0.1170212765957447</v>
      </c>
      <c r="AR269" s="28">
        <v>0.14893617021276601</v>
      </c>
      <c r="AS269" s="25">
        <v>0.82</v>
      </c>
      <c r="AT269" s="25">
        <v>3.44</v>
      </c>
      <c r="AU269" s="25">
        <v>2.62</v>
      </c>
      <c r="AV269" s="25">
        <v>2.61375</v>
      </c>
      <c r="AW269">
        <v>2.61375</v>
      </c>
      <c r="AX269">
        <v>5.9485249299999996</v>
      </c>
      <c r="AY269" s="75"/>
      <c r="AZ269" s="75"/>
      <c r="BA269" s="75"/>
      <c r="BB269">
        <v>4.254860139150806E-2</v>
      </c>
      <c r="BF269">
        <v>8.5097202783016121E-2</v>
      </c>
      <c r="BG269">
        <v>4.254860139150806E-2</v>
      </c>
      <c r="BH269">
        <v>0</v>
      </c>
      <c r="BI269" s="79" t="s">
        <v>1264</v>
      </c>
      <c r="BJ269" s="79">
        <v>1423</v>
      </c>
      <c r="BK269" s="79">
        <v>24</v>
      </c>
      <c r="BM269" s="79" t="s">
        <v>464</v>
      </c>
      <c r="BN269" s="79" t="s">
        <v>464</v>
      </c>
      <c r="BO269" s="79">
        <v>0</v>
      </c>
      <c r="BP269" s="79">
        <v>11.6</v>
      </c>
      <c r="BQ269" s="79">
        <v>2</v>
      </c>
      <c r="BR269" s="79">
        <v>10</v>
      </c>
      <c r="BS269" s="79" t="s">
        <v>464</v>
      </c>
      <c r="BT269" s="79" t="s">
        <v>464</v>
      </c>
      <c r="BU269" s="79" t="s">
        <v>1266</v>
      </c>
      <c r="BV269" s="79">
        <v>100</v>
      </c>
      <c r="BW269" s="79">
        <v>400</v>
      </c>
      <c r="BX269" s="79" t="s">
        <v>1311</v>
      </c>
      <c r="BY269" s="79">
        <v>333</v>
      </c>
      <c r="CA269" t="e">
        <f t="shared" si="40"/>
        <v>#NUM!</v>
      </c>
    </row>
    <row r="270" spans="1:79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9">
        <v>-1</v>
      </c>
      <c r="G270">
        <v>-1</v>
      </c>
      <c r="I270" s="2">
        <v>8</v>
      </c>
      <c r="J270" s="25">
        <v>0</v>
      </c>
      <c r="K270">
        <v>0</v>
      </c>
      <c r="L270">
        <v>0</v>
      </c>
      <c r="M270" s="2">
        <v>7.8209999999999997</v>
      </c>
      <c r="N270" s="2">
        <v>7.7649999999999997</v>
      </c>
      <c r="O270" s="2">
        <v>29.84</v>
      </c>
      <c r="P270" t="s">
        <v>495</v>
      </c>
      <c r="R270" s="25">
        <v>0</v>
      </c>
      <c r="S270" s="25"/>
      <c r="T270" s="25"/>
      <c r="U270">
        <v>0</v>
      </c>
      <c r="X270">
        <v>0</v>
      </c>
      <c r="AA270" s="2"/>
      <c r="AB270">
        <v>20</v>
      </c>
      <c r="AC270" s="55">
        <f t="shared" si="37"/>
        <v>1812.1851396</v>
      </c>
      <c r="AD270" s="57">
        <v>0</v>
      </c>
      <c r="AE270" s="55">
        <v>0</v>
      </c>
      <c r="AF270" s="55">
        <v>0</v>
      </c>
      <c r="AG270" s="52">
        <f t="shared" si="41"/>
        <v>8.8291199670314305E-2</v>
      </c>
      <c r="AH270" s="51"/>
      <c r="AI270" s="52"/>
      <c r="AJ270" s="52"/>
      <c r="AK270" s="28">
        <v>1.8666666666666669</v>
      </c>
      <c r="AL270" s="28">
        <v>2.666666666666667</v>
      </c>
      <c r="AM270" s="28">
        <v>0.46666666666666667</v>
      </c>
      <c r="AN270" s="28">
        <v>0.93333333333333335</v>
      </c>
      <c r="AO270" s="28">
        <v>0.3146067415730337</v>
      </c>
      <c r="AP270" s="28">
        <v>0.44943820224719089</v>
      </c>
      <c r="AQ270" s="28">
        <v>7.8651685393258425E-2</v>
      </c>
      <c r="AR270" s="28">
        <v>0.15730337078651679</v>
      </c>
      <c r="AS270" s="25">
        <v>0.82</v>
      </c>
      <c r="AT270" s="25">
        <v>3.44</v>
      </c>
      <c r="AU270" s="25">
        <v>2.62</v>
      </c>
      <c r="AV270" s="25">
        <v>2.6813333333333329</v>
      </c>
      <c r="AW270">
        <v>2.6813333333333329</v>
      </c>
      <c r="AX270">
        <v>6.0892180253333326</v>
      </c>
      <c r="AY270" s="75"/>
      <c r="AZ270" s="75"/>
      <c r="BA270" s="75"/>
      <c r="BB270">
        <v>4.4145599835157152E-2</v>
      </c>
      <c r="BF270">
        <v>8.8291199670314305E-2</v>
      </c>
      <c r="BG270">
        <v>4.4145599835157152E-2</v>
      </c>
      <c r="BH270">
        <v>0</v>
      </c>
      <c r="BI270" s="79" t="s">
        <v>1264</v>
      </c>
      <c r="BJ270" s="79">
        <v>1423</v>
      </c>
      <c r="BK270" s="79">
        <v>24</v>
      </c>
      <c r="BM270" s="79" t="s">
        <v>464</v>
      </c>
      <c r="BN270" s="79" t="s">
        <v>464</v>
      </c>
      <c r="BO270" s="79">
        <v>0</v>
      </c>
      <c r="BP270" s="79">
        <v>10.76</v>
      </c>
      <c r="BQ270" s="79">
        <v>2</v>
      </c>
      <c r="BR270" s="79">
        <v>10</v>
      </c>
      <c r="BS270" s="79" t="s">
        <v>464</v>
      </c>
      <c r="BT270" s="79" t="s">
        <v>464</v>
      </c>
      <c r="BU270" s="79" t="s">
        <v>1266</v>
      </c>
      <c r="BV270" s="79">
        <v>100</v>
      </c>
      <c r="BW270" s="79">
        <v>400</v>
      </c>
      <c r="BX270" s="79" t="s">
        <v>1311</v>
      </c>
      <c r="BY270" s="79">
        <v>333</v>
      </c>
      <c r="CA270" t="e">
        <f t="shared" si="40"/>
        <v>#NUM!</v>
      </c>
    </row>
    <row r="271" spans="1:79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9">
        <v>-1</v>
      </c>
      <c r="G271">
        <v>-1</v>
      </c>
      <c r="I271" s="2">
        <v>8</v>
      </c>
      <c r="J271" s="25">
        <v>0</v>
      </c>
      <c r="K271">
        <v>0</v>
      </c>
      <c r="L271">
        <v>0</v>
      </c>
      <c r="M271" s="2">
        <v>7.8209999999999997</v>
      </c>
      <c r="N271" s="2">
        <v>7.7649999999999997</v>
      </c>
      <c r="O271" s="2">
        <v>30.08</v>
      </c>
      <c r="P271" t="s">
        <v>495</v>
      </c>
      <c r="R271" s="25">
        <v>0</v>
      </c>
      <c r="S271" s="25"/>
      <c r="T271" s="25"/>
      <c r="U271">
        <v>0</v>
      </c>
      <c r="X271">
        <v>0</v>
      </c>
      <c r="AA271" s="2"/>
      <c r="AB271">
        <v>20</v>
      </c>
      <c r="AC271" s="55">
        <f t="shared" si="37"/>
        <v>1826.7603551999998</v>
      </c>
      <c r="AD271" s="57">
        <v>0</v>
      </c>
      <c r="AE271" s="55">
        <v>0</v>
      </c>
      <c r="AF271" s="55">
        <v>0</v>
      </c>
      <c r="AG271" s="52">
        <f t="shared" si="41"/>
        <v>8.7586748609115E-2</v>
      </c>
      <c r="AH271" s="51"/>
      <c r="AI271" s="52"/>
      <c r="AJ271" s="52"/>
      <c r="AK271" s="28">
        <v>1.875</v>
      </c>
      <c r="AL271" s="28">
        <v>2.5</v>
      </c>
      <c r="AM271" s="28">
        <v>0.625</v>
      </c>
      <c r="AN271" s="28">
        <v>1.75</v>
      </c>
      <c r="AO271" s="28">
        <v>0.27777777777777779</v>
      </c>
      <c r="AP271" s="28">
        <v>0.37037037037037029</v>
      </c>
      <c r="AQ271" s="28">
        <v>9.2592592592592587E-2</v>
      </c>
      <c r="AR271" s="28">
        <v>0.25925925925925919</v>
      </c>
      <c r="AS271" s="25">
        <v>0.82</v>
      </c>
      <c r="AT271" s="25">
        <v>3.44</v>
      </c>
      <c r="AU271" s="25">
        <v>2.62</v>
      </c>
      <c r="AV271" s="25">
        <v>2.6074999999999999</v>
      </c>
      <c r="AW271">
        <v>2.6074999999999999</v>
      </c>
      <c r="AX271">
        <v>5.9546634925000008</v>
      </c>
      <c r="AY271" s="75"/>
      <c r="AZ271" s="75"/>
      <c r="BA271" s="75"/>
      <c r="BB271">
        <v>4.37933743045575E-2</v>
      </c>
      <c r="BF271">
        <v>8.7586748609115E-2</v>
      </c>
      <c r="BG271">
        <v>4.37933743045575E-2</v>
      </c>
      <c r="BH271">
        <v>0</v>
      </c>
      <c r="BI271" s="79" t="s">
        <v>1264</v>
      </c>
      <c r="BJ271" s="79">
        <v>1423</v>
      </c>
      <c r="BK271" s="79">
        <v>24</v>
      </c>
      <c r="BM271" s="79" t="s">
        <v>464</v>
      </c>
      <c r="BN271" s="79" t="s">
        <v>464</v>
      </c>
      <c r="BO271" s="79">
        <v>0</v>
      </c>
      <c r="BP271" s="79">
        <v>11.35</v>
      </c>
      <c r="BQ271" s="79">
        <v>2</v>
      </c>
      <c r="BR271" s="79">
        <v>10</v>
      </c>
      <c r="BS271" s="79" t="s">
        <v>464</v>
      </c>
      <c r="BT271" s="79" t="s">
        <v>464</v>
      </c>
      <c r="BU271" s="79" t="s">
        <v>1266</v>
      </c>
      <c r="BV271" s="79">
        <v>100</v>
      </c>
      <c r="BW271" s="79">
        <v>400</v>
      </c>
      <c r="BX271" s="79" t="s">
        <v>1311</v>
      </c>
      <c r="BY271" s="79">
        <v>333</v>
      </c>
      <c r="CA271" t="e">
        <f t="shared" si="40"/>
        <v>#NUM!</v>
      </c>
    </row>
    <row r="272" spans="1:79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9">
        <v>-1</v>
      </c>
      <c r="G272">
        <v>-1</v>
      </c>
      <c r="I272" s="2">
        <v>8</v>
      </c>
      <c r="J272" s="25">
        <v>0</v>
      </c>
      <c r="K272">
        <v>0</v>
      </c>
      <c r="L272">
        <v>0</v>
      </c>
      <c r="M272" s="2">
        <v>7.8440000000000003</v>
      </c>
      <c r="N272" s="2">
        <v>7.7690000000000001</v>
      </c>
      <c r="O272" s="2">
        <v>29.72</v>
      </c>
      <c r="P272" t="s">
        <v>495</v>
      </c>
      <c r="R272" s="25">
        <v>0</v>
      </c>
      <c r="S272" s="25"/>
      <c r="T272" s="25"/>
      <c r="U272">
        <v>0</v>
      </c>
      <c r="X272">
        <v>0</v>
      </c>
      <c r="AA272" s="2"/>
      <c r="AB272">
        <v>20</v>
      </c>
      <c r="AC272" s="55">
        <f t="shared" si="37"/>
        <v>1811.1378699200002</v>
      </c>
      <c r="AD272" s="57">
        <v>0</v>
      </c>
      <c r="AE272" s="55">
        <v>0</v>
      </c>
      <c r="AF272" s="55">
        <v>0</v>
      </c>
      <c r="AG272" s="52">
        <f t="shared" si="41"/>
        <v>8.8342253042871535E-2</v>
      </c>
      <c r="AH272" s="51"/>
      <c r="AI272" s="52"/>
      <c r="AJ272" s="52"/>
      <c r="AK272" s="28">
        <v>1.9375</v>
      </c>
      <c r="AL272" s="28">
        <v>2.5</v>
      </c>
      <c r="AM272" s="28">
        <v>0.5625</v>
      </c>
      <c r="AN272" s="28">
        <v>2.625</v>
      </c>
      <c r="AO272" s="28">
        <v>0.25409836065573771</v>
      </c>
      <c r="AP272" s="28">
        <v>0.32786885245901642</v>
      </c>
      <c r="AQ272" s="28">
        <v>7.3770491803278687E-2</v>
      </c>
      <c r="AR272" s="28">
        <v>0.34426229508196721</v>
      </c>
      <c r="AS272" s="25">
        <v>0.82</v>
      </c>
      <c r="AT272" s="25">
        <v>3.44</v>
      </c>
      <c r="AU272" s="25">
        <v>2.62</v>
      </c>
      <c r="AV272" s="25">
        <v>2.6012499999999998</v>
      </c>
      <c r="AW272">
        <v>2.6012499999999998</v>
      </c>
      <c r="AX272">
        <v>5.9608020550000003</v>
      </c>
      <c r="AY272" s="75"/>
      <c r="AZ272" s="75"/>
      <c r="BA272" s="75"/>
      <c r="BB272">
        <v>4.4171126521435768E-2</v>
      </c>
      <c r="BF272">
        <v>8.8342253042871535E-2</v>
      </c>
      <c r="BG272">
        <v>4.4171126521435768E-2</v>
      </c>
      <c r="BH272">
        <v>0</v>
      </c>
      <c r="BI272" s="79" t="s">
        <v>1264</v>
      </c>
      <c r="BJ272" s="79">
        <v>1423</v>
      </c>
      <c r="BK272" s="79">
        <v>24</v>
      </c>
      <c r="BM272" s="79" t="s">
        <v>464</v>
      </c>
      <c r="BN272" s="79" t="s">
        <v>464</v>
      </c>
      <c r="BO272" s="79">
        <v>0</v>
      </c>
      <c r="BP272" s="79">
        <v>11.24</v>
      </c>
      <c r="BQ272" s="79">
        <v>2</v>
      </c>
      <c r="BR272" s="79">
        <v>10</v>
      </c>
      <c r="BS272" s="79" t="s">
        <v>464</v>
      </c>
      <c r="BT272" s="79" t="s">
        <v>464</v>
      </c>
      <c r="BU272" s="79" t="s">
        <v>1266</v>
      </c>
      <c r="BV272" s="79">
        <v>100</v>
      </c>
      <c r="BW272" s="79">
        <v>400</v>
      </c>
      <c r="BX272" s="79" t="s">
        <v>1311</v>
      </c>
      <c r="BY272" s="79">
        <v>333</v>
      </c>
      <c r="CA272" t="e">
        <f t="shared" si="40"/>
        <v>#NUM!</v>
      </c>
    </row>
    <row r="273" spans="1:79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9">
        <v>-1</v>
      </c>
      <c r="G273">
        <v>-1</v>
      </c>
      <c r="I273" s="2">
        <v>8</v>
      </c>
      <c r="J273" s="25">
        <v>0</v>
      </c>
      <c r="K273">
        <v>0</v>
      </c>
      <c r="L273">
        <v>0</v>
      </c>
      <c r="M273" s="2">
        <f>3.907*2</f>
        <v>7.8140000000000001</v>
      </c>
      <c r="N273" s="2">
        <f>3.907*2</f>
        <v>7.8140000000000001</v>
      </c>
      <c r="O273" s="2">
        <v>33.06</v>
      </c>
      <c r="P273" s="2"/>
      <c r="Q273" s="2"/>
      <c r="R273" s="25">
        <v>0</v>
      </c>
      <c r="S273" s="25"/>
      <c r="T273" s="25"/>
      <c r="U273">
        <v>0</v>
      </c>
      <c r="X273">
        <v>0</v>
      </c>
      <c r="AA273" s="2"/>
      <c r="AB273">
        <v>20</v>
      </c>
      <c r="AC273" s="55">
        <f t="shared" si="37"/>
        <v>2018.5971837600002</v>
      </c>
      <c r="AD273" s="57">
        <v>0</v>
      </c>
      <c r="AE273" s="55">
        <v>0</v>
      </c>
      <c r="AF273" s="55">
        <v>0</v>
      </c>
      <c r="AG273" s="52">
        <f t="shared" si="41"/>
        <v>7.9262966027710005E-2</v>
      </c>
      <c r="AH273" s="51"/>
      <c r="AI273" s="52"/>
      <c r="AJ273" s="52"/>
      <c r="AK273" s="28">
        <v>1.75</v>
      </c>
      <c r="AL273" s="28">
        <v>2.5</v>
      </c>
      <c r="AM273" s="28">
        <v>0.75</v>
      </c>
      <c r="AN273" s="28">
        <v>0</v>
      </c>
      <c r="AO273" s="28">
        <v>0.35</v>
      </c>
      <c r="AP273" s="28">
        <v>0.5</v>
      </c>
      <c r="AQ273" s="28">
        <v>0.15</v>
      </c>
      <c r="AR273" s="28">
        <v>0</v>
      </c>
      <c r="AS273" s="25">
        <v>0.95</v>
      </c>
      <c r="AT273" s="25">
        <v>3.44</v>
      </c>
      <c r="AU273" s="25">
        <v>2.4900000000000002</v>
      </c>
      <c r="AV273" s="25">
        <v>2.7062499999999998</v>
      </c>
      <c r="AW273">
        <v>2.7062499999999998</v>
      </c>
      <c r="AX273">
        <v>6.2396022968656872</v>
      </c>
      <c r="AY273" s="75"/>
      <c r="AZ273" s="75"/>
      <c r="BA273" s="75"/>
      <c r="BB273">
        <v>3.9631483013855003E-2</v>
      </c>
      <c r="BF273">
        <v>7.9262966027710005E-2</v>
      </c>
      <c r="BG273">
        <v>3.9631483013855003E-2</v>
      </c>
      <c r="BH273">
        <v>0</v>
      </c>
      <c r="BI273" s="79" t="s">
        <v>1264</v>
      </c>
      <c r="BJ273" s="79">
        <v>1423</v>
      </c>
      <c r="BK273" s="79">
        <v>24</v>
      </c>
      <c r="BM273" s="79" t="s">
        <v>464</v>
      </c>
      <c r="BN273" s="79" t="s">
        <v>464</v>
      </c>
      <c r="BO273" s="79">
        <v>0</v>
      </c>
      <c r="BP273" s="79">
        <v>12.12</v>
      </c>
      <c r="BQ273" s="79">
        <v>2</v>
      </c>
      <c r="BR273" s="79">
        <v>10</v>
      </c>
      <c r="BS273" s="79" t="s">
        <v>464</v>
      </c>
      <c r="BT273" s="79" t="s">
        <v>464</v>
      </c>
      <c r="BU273" s="79" t="s">
        <v>1266</v>
      </c>
      <c r="BV273" s="79">
        <v>100</v>
      </c>
      <c r="BW273" s="79">
        <v>400</v>
      </c>
      <c r="BX273" s="79" t="s">
        <v>1311</v>
      </c>
      <c r="BY273" s="79">
        <v>333</v>
      </c>
      <c r="BZ273" s="81">
        <v>1017.8571428571429</v>
      </c>
      <c r="CA273">
        <f t="shared" si="40"/>
        <v>6.9254548560815383</v>
      </c>
    </row>
    <row r="274" spans="1:79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9">
        <v>-1</v>
      </c>
      <c r="G274">
        <v>-1</v>
      </c>
      <c r="I274" s="2">
        <v>8</v>
      </c>
      <c r="J274" s="25">
        <v>0</v>
      </c>
      <c r="K274">
        <v>0</v>
      </c>
      <c r="L274">
        <v>0</v>
      </c>
      <c r="M274" s="2">
        <f t="shared" ref="M274:N277" si="42">3.907*2</f>
        <v>7.8140000000000001</v>
      </c>
      <c r="N274" s="2">
        <f t="shared" si="42"/>
        <v>7.8140000000000001</v>
      </c>
      <c r="O274" s="2">
        <v>32.86</v>
      </c>
      <c r="P274" s="2"/>
      <c r="Q274" s="2"/>
      <c r="R274" s="25">
        <v>0</v>
      </c>
      <c r="S274" s="25"/>
      <c r="T274" s="25"/>
      <c r="U274">
        <v>0</v>
      </c>
      <c r="X274">
        <v>0</v>
      </c>
      <c r="AA274" s="2"/>
      <c r="AB274">
        <v>20</v>
      </c>
      <c r="AC274" s="55">
        <f t="shared" si="37"/>
        <v>2006.3854645599999</v>
      </c>
      <c r="AD274" s="57">
        <v>0</v>
      </c>
      <c r="AE274" s="55">
        <v>0</v>
      </c>
      <c r="AF274" s="55">
        <v>0</v>
      </c>
      <c r="AG274" s="52">
        <f t="shared" si="41"/>
        <v>7.9745394305419756E-2</v>
      </c>
      <c r="AH274" s="51"/>
      <c r="AI274" s="52"/>
      <c r="AJ274" s="52"/>
      <c r="AK274" s="28">
        <v>1.8125</v>
      </c>
      <c r="AL274" s="28">
        <v>2.5</v>
      </c>
      <c r="AM274" s="28">
        <v>0.6875</v>
      </c>
      <c r="AN274" s="28">
        <v>0.875</v>
      </c>
      <c r="AO274" s="28">
        <v>0.30851063829787229</v>
      </c>
      <c r="AP274" s="28">
        <v>0.42553191489361702</v>
      </c>
      <c r="AQ274" s="28">
        <v>0.1170212765957447</v>
      </c>
      <c r="AR274" s="28">
        <v>0.14893617021276601</v>
      </c>
      <c r="AS274" s="25">
        <v>0.95</v>
      </c>
      <c r="AT274" s="25">
        <v>3.44</v>
      </c>
      <c r="AU274" s="25">
        <v>2.4900000000000002</v>
      </c>
      <c r="AV274" s="25">
        <v>2.7</v>
      </c>
      <c r="AW274">
        <v>2.7</v>
      </c>
      <c r="AX274">
        <v>6.2457408593656876</v>
      </c>
      <c r="AY274" s="75"/>
      <c r="AZ274" s="75"/>
      <c r="BA274" s="75"/>
      <c r="BB274">
        <v>3.9872697152709878E-2</v>
      </c>
      <c r="BF274">
        <v>7.9745394305419756E-2</v>
      </c>
      <c r="BG274">
        <v>3.9872697152709878E-2</v>
      </c>
      <c r="BH274">
        <v>0</v>
      </c>
      <c r="BI274" s="79" t="s">
        <v>1264</v>
      </c>
      <c r="BJ274" s="79">
        <v>1423</v>
      </c>
      <c r="BK274" s="79">
        <v>24</v>
      </c>
      <c r="BM274" s="79" t="s">
        <v>464</v>
      </c>
      <c r="BN274" s="79" t="s">
        <v>464</v>
      </c>
      <c r="BO274" s="79">
        <v>0</v>
      </c>
      <c r="BP274" s="79">
        <v>10.54</v>
      </c>
      <c r="BQ274" s="79">
        <v>2</v>
      </c>
      <c r="BR274" s="79">
        <v>10</v>
      </c>
      <c r="BS274" s="79" t="s">
        <v>464</v>
      </c>
      <c r="BT274" s="79" t="s">
        <v>464</v>
      </c>
      <c r="BU274" s="79" t="s">
        <v>1266</v>
      </c>
      <c r="BV274" s="79">
        <v>100</v>
      </c>
      <c r="BW274" s="79">
        <v>400</v>
      </c>
      <c r="BX274" s="79" t="s">
        <v>1311</v>
      </c>
      <c r="BY274" s="79">
        <v>333</v>
      </c>
      <c r="BZ274" s="81">
        <v>276.78571428571428</v>
      </c>
      <c r="CA274">
        <f t="shared" si="40"/>
        <v>5.6232436121721889</v>
      </c>
    </row>
    <row r="275" spans="1:79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9">
        <v>-1</v>
      </c>
      <c r="G275">
        <v>-1</v>
      </c>
      <c r="I275" s="2">
        <v>8</v>
      </c>
      <c r="J275" s="25">
        <v>0</v>
      </c>
      <c r="K275">
        <v>0</v>
      </c>
      <c r="L275">
        <v>0</v>
      </c>
      <c r="M275" s="2">
        <f t="shared" si="42"/>
        <v>7.8140000000000001</v>
      </c>
      <c r="N275" s="2">
        <f t="shared" si="42"/>
        <v>7.8140000000000001</v>
      </c>
      <c r="O275" s="2">
        <v>32.42</v>
      </c>
      <c r="P275" s="2"/>
      <c r="Q275" s="2"/>
      <c r="R275" s="25">
        <v>0</v>
      </c>
      <c r="S275" s="25"/>
      <c r="T275" s="25"/>
      <c r="U275">
        <v>0</v>
      </c>
      <c r="X275">
        <v>0</v>
      </c>
      <c r="AA275" s="2"/>
      <c r="AB275">
        <v>20</v>
      </c>
      <c r="AC275" s="55">
        <f t="shared" si="37"/>
        <v>1979.5196823200001</v>
      </c>
      <c r="AD275" s="57">
        <v>0</v>
      </c>
      <c r="AE275" s="55">
        <v>0</v>
      </c>
      <c r="AF275" s="55">
        <v>0</v>
      </c>
      <c r="AG275" s="52">
        <f t="shared" si="41"/>
        <v>8.082768836755376E-2</v>
      </c>
      <c r="AH275" s="51"/>
      <c r="AI275" s="52"/>
      <c r="AJ275" s="52"/>
      <c r="AK275" s="28">
        <v>1.8666666666666669</v>
      </c>
      <c r="AL275" s="28">
        <v>2.666666666666667</v>
      </c>
      <c r="AM275" s="28">
        <v>0.46666666666666667</v>
      </c>
      <c r="AN275" s="28">
        <v>0.93333333333333335</v>
      </c>
      <c r="AO275" s="28">
        <v>0.3146067415730337</v>
      </c>
      <c r="AP275" s="28">
        <v>0.44943820224719089</v>
      </c>
      <c r="AQ275" s="28">
        <v>7.8651685393258425E-2</v>
      </c>
      <c r="AR275" s="28">
        <v>0.15730337078651679</v>
      </c>
      <c r="AS275" s="25">
        <v>0.95</v>
      </c>
      <c r="AT275" s="25">
        <v>3.44</v>
      </c>
      <c r="AU275" s="25">
        <v>2.4900000000000002</v>
      </c>
      <c r="AV275" s="25">
        <v>2.773333333333333</v>
      </c>
      <c r="AW275">
        <v>2.773333333333333</v>
      </c>
      <c r="AX275">
        <v>6.4062483499900669</v>
      </c>
      <c r="AY275" s="75"/>
      <c r="AZ275" s="75"/>
      <c r="BA275" s="75"/>
      <c r="BB275">
        <v>4.041384418377688E-2</v>
      </c>
      <c r="BF275">
        <v>8.082768836755376E-2</v>
      </c>
      <c r="BG275">
        <v>4.041384418377688E-2</v>
      </c>
      <c r="BH275">
        <v>0</v>
      </c>
      <c r="BI275" s="79" t="s">
        <v>1264</v>
      </c>
      <c r="BJ275" s="79">
        <v>1423</v>
      </c>
      <c r="BK275" s="79">
        <v>24</v>
      </c>
      <c r="BM275" s="79" t="s">
        <v>464</v>
      </c>
      <c r="BN275" s="79" t="s">
        <v>464</v>
      </c>
      <c r="BO275" s="79">
        <v>0</v>
      </c>
      <c r="BP275" s="79">
        <v>11.82</v>
      </c>
      <c r="BQ275" s="79">
        <v>2</v>
      </c>
      <c r="BR275" s="79">
        <v>10</v>
      </c>
      <c r="BS275" s="79" t="s">
        <v>464</v>
      </c>
      <c r="BT275" s="79" t="s">
        <v>464</v>
      </c>
      <c r="BU275" s="79" t="s">
        <v>1266</v>
      </c>
      <c r="BV275" s="79">
        <v>100</v>
      </c>
      <c r="BW275" s="79">
        <v>400</v>
      </c>
      <c r="BX275" s="79" t="s">
        <v>1311</v>
      </c>
      <c r="BY275" s="79">
        <v>333</v>
      </c>
      <c r="BZ275" s="81">
        <v>928.57142857142867</v>
      </c>
      <c r="CA275">
        <f t="shared" si="40"/>
        <v>6.8336473068284151</v>
      </c>
    </row>
    <row r="276" spans="1:79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9">
        <v>-1</v>
      </c>
      <c r="G276">
        <v>-1</v>
      </c>
      <c r="I276" s="2">
        <v>8</v>
      </c>
      <c r="J276" s="25">
        <v>0</v>
      </c>
      <c r="K276">
        <v>0</v>
      </c>
      <c r="L276">
        <v>0</v>
      </c>
      <c r="M276" s="2">
        <f t="shared" si="42"/>
        <v>7.8140000000000001</v>
      </c>
      <c r="N276" s="2">
        <f t="shared" si="42"/>
        <v>7.8140000000000001</v>
      </c>
      <c r="O276" s="2">
        <v>32.58</v>
      </c>
      <c r="P276" s="2"/>
      <c r="Q276" s="2"/>
      <c r="R276" s="25">
        <v>0</v>
      </c>
      <c r="S276" s="25"/>
      <c r="T276" s="25"/>
      <c r="U276">
        <v>0</v>
      </c>
      <c r="X276">
        <v>0</v>
      </c>
      <c r="AA276" s="2"/>
      <c r="AB276">
        <v>20</v>
      </c>
      <c r="AC276" s="55">
        <f t="shared" si="37"/>
        <v>1989.28905768</v>
      </c>
      <c r="AD276" s="57">
        <v>0</v>
      </c>
      <c r="AE276" s="55">
        <v>0</v>
      </c>
      <c r="AF276" s="55">
        <v>0</v>
      </c>
      <c r="AG276" s="52">
        <f t="shared" si="41"/>
        <v>8.0430744532722323E-2</v>
      </c>
      <c r="AH276" s="51"/>
      <c r="AI276" s="52"/>
      <c r="AJ276" s="52"/>
      <c r="AK276" s="28">
        <v>1.875</v>
      </c>
      <c r="AL276" s="28">
        <v>2.5</v>
      </c>
      <c r="AM276" s="28">
        <v>0.625</v>
      </c>
      <c r="AN276" s="28">
        <v>1.75</v>
      </c>
      <c r="AO276" s="28">
        <v>0.27777777777777779</v>
      </c>
      <c r="AP276" s="28">
        <v>0.37037037037037029</v>
      </c>
      <c r="AQ276" s="28">
        <v>9.2592592592592587E-2</v>
      </c>
      <c r="AR276" s="28">
        <v>0.25925925925925919</v>
      </c>
      <c r="AS276" s="25">
        <v>0.95</v>
      </c>
      <c r="AT276" s="25">
        <v>3.44</v>
      </c>
      <c r="AU276" s="25">
        <v>2.4900000000000002</v>
      </c>
      <c r="AV276" s="25">
        <v>2.6937500000000001</v>
      </c>
      <c r="AW276">
        <v>2.6937500000000001</v>
      </c>
      <c r="AX276">
        <v>6.2518794218656879</v>
      </c>
      <c r="AY276" s="75"/>
      <c r="AZ276" s="75"/>
      <c r="BA276" s="75"/>
      <c r="BB276">
        <v>4.0215372266361162E-2</v>
      </c>
      <c r="BF276">
        <v>8.0430744532722323E-2</v>
      </c>
      <c r="BG276">
        <v>4.0215372266361162E-2</v>
      </c>
      <c r="BH276">
        <v>0</v>
      </c>
      <c r="BI276" s="79" t="s">
        <v>1264</v>
      </c>
      <c r="BJ276" s="79">
        <v>1423</v>
      </c>
      <c r="BK276" s="79">
        <v>24</v>
      </c>
      <c r="BM276" s="79" t="s">
        <v>464</v>
      </c>
      <c r="BN276" s="79" t="s">
        <v>464</v>
      </c>
      <c r="BO276" s="79">
        <v>0</v>
      </c>
      <c r="BP276" s="79">
        <v>11.08</v>
      </c>
      <c r="BQ276" s="79">
        <v>2</v>
      </c>
      <c r="BR276" s="79">
        <v>10</v>
      </c>
      <c r="BS276" s="79" t="s">
        <v>464</v>
      </c>
      <c r="BT276" s="79" t="s">
        <v>464</v>
      </c>
      <c r="BU276" s="79" t="s">
        <v>1266</v>
      </c>
      <c r="BV276" s="79">
        <v>100</v>
      </c>
      <c r="BW276" s="79">
        <v>400</v>
      </c>
      <c r="BX276" s="79" t="s">
        <v>1311</v>
      </c>
      <c r="BY276" s="79">
        <v>333</v>
      </c>
      <c r="BZ276" s="81">
        <v>901.78571428571433</v>
      </c>
      <c r="CA276">
        <f t="shared" si="40"/>
        <v>6.8043769245283023</v>
      </c>
    </row>
    <row r="277" spans="1:79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9">
        <v>-1</v>
      </c>
      <c r="G277">
        <v>-1</v>
      </c>
      <c r="I277" s="2">
        <v>8</v>
      </c>
      <c r="J277" s="25">
        <v>0</v>
      </c>
      <c r="K277">
        <v>0</v>
      </c>
      <c r="L277">
        <v>0</v>
      </c>
      <c r="M277" s="2">
        <f t="shared" si="42"/>
        <v>7.8140000000000001</v>
      </c>
      <c r="N277" s="2">
        <f t="shared" si="42"/>
        <v>7.8140000000000001</v>
      </c>
      <c r="O277" s="2">
        <v>31.54</v>
      </c>
      <c r="P277" s="2"/>
      <c r="Q277" s="2"/>
      <c r="R277" s="25">
        <v>0</v>
      </c>
      <c r="S277" s="25"/>
      <c r="T277" s="25"/>
      <c r="U277">
        <v>0</v>
      </c>
      <c r="X277">
        <v>0</v>
      </c>
      <c r="AA277" s="2"/>
      <c r="AB277">
        <v>20</v>
      </c>
      <c r="AC277" s="55">
        <f t="shared" si="37"/>
        <v>1925.78811784</v>
      </c>
      <c r="AD277" s="57">
        <v>0</v>
      </c>
      <c r="AE277" s="55">
        <v>0</v>
      </c>
      <c r="AF277" s="55">
        <v>0</v>
      </c>
      <c r="AG277" s="52">
        <f t="shared" si="41"/>
        <v>8.3082868004949059E-2</v>
      </c>
      <c r="AH277" s="51"/>
      <c r="AI277" s="52"/>
      <c r="AJ277" s="52"/>
      <c r="AK277" s="28">
        <v>1.9375</v>
      </c>
      <c r="AL277" s="28">
        <v>2.5</v>
      </c>
      <c r="AM277" s="28">
        <v>0.5625</v>
      </c>
      <c r="AN277" s="28">
        <v>2.625</v>
      </c>
      <c r="AO277" s="28">
        <v>0.25409836065573771</v>
      </c>
      <c r="AP277" s="28">
        <v>0.32786885245901642</v>
      </c>
      <c r="AQ277" s="28">
        <v>7.3770491803278687E-2</v>
      </c>
      <c r="AR277" s="28">
        <v>0.34426229508196721</v>
      </c>
      <c r="AS277" s="25">
        <v>0.95</v>
      </c>
      <c r="AT277" s="25">
        <v>3.44</v>
      </c>
      <c r="AU277" s="25">
        <v>2.4900000000000002</v>
      </c>
      <c r="AV277" s="25">
        <v>2.6875</v>
      </c>
      <c r="AW277">
        <v>2.6875</v>
      </c>
      <c r="AX277">
        <v>6.2580179843656882</v>
      </c>
      <c r="AY277" s="75"/>
      <c r="AZ277" s="75"/>
      <c r="BA277" s="75"/>
      <c r="BB277">
        <v>4.154143400247453E-2</v>
      </c>
      <c r="BF277">
        <v>8.3082868004949059E-2</v>
      </c>
      <c r="BG277">
        <v>4.154143400247453E-2</v>
      </c>
      <c r="BH277">
        <v>0</v>
      </c>
      <c r="BI277" s="79" t="s">
        <v>1264</v>
      </c>
      <c r="BJ277" s="79">
        <v>1423</v>
      </c>
      <c r="BK277" s="79">
        <v>24</v>
      </c>
      <c r="BM277" s="79" t="s">
        <v>464</v>
      </c>
      <c r="BN277" s="79" t="s">
        <v>464</v>
      </c>
      <c r="BO277" s="79">
        <v>0</v>
      </c>
      <c r="BP277" s="79">
        <v>12.1</v>
      </c>
      <c r="BQ277" s="79">
        <v>2</v>
      </c>
      <c r="BR277" s="79">
        <v>10</v>
      </c>
      <c r="BS277" s="79" t="s">
        <v>464</v>
      </c>
      <c r="BT277" s="79" t="s">
        <v>464</v>
      </c>
      <c r="BU277" s="79" t="s">
        <v>1266</v>
      </c>
      <c r="BV277" s="79">
        <v>100</v>
      </c>
      <c r="BW277" s="79">
        <v>400</v>
      </c>
      <c r="BX277" s="79" t="s">
        <v>1311</v>
      </c>
      <c r="BY277" s="79">
        <v>333</v>
      </c>
      <c r="BZ277" s="81">
        <v>370.53571428571433</v>
      </c>
      <c r="CA277">
        <f t="shared" si="40"/>
        <v>5.9149498349236955</v>
      </c>
    </row>
    <row r="278" spans="1:79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9">
        <v>-1</v>
      </c>
      <c r="G278">
        <v>-1</v>
      </c>
      <c r="I278" s="2">
        <v>8</v>
      </c>
      <c r="J278" s="25">
        <v>0</v>
      </c>
      <c r="K278">
        <v>0</v>
      </c>
      <c r="L278">
        <v>0</v>
      </c>
      <c r="M278" s="2">
        <f>3.88*2</f>
        <v>7.76</v>
      </c>
      <c r="N278" s="2">
        <f>3.88*2</f>
        <v>7.76</v>
      </c>
      <c r="O278" s="2">
        <v>33</v>
      </c>
      <c r="P278" s="2"/>
      <c r="Q278" s="2"/>
      <c r="R278" s="25">
        <v>0</v>
      </c>
      <c r="S278" s="25"/>
      <c r="T278" s="25"/>
      <c r="U278">
        <v>0</v>
      </c>
      <c r="X278">
        <v>0</v>
      </c>
      <c r="AA278" s="2"/>
      <c r="AB278">
        <v>20</v>
      </c>
      <c r="AC278" s="55">
        <f t="shared" si="37"/>
        <v>1987.1807999999999</v>
      </c>
      <c r="AD278" s="57">
        <v>0</v>
      </c>
      <c r="AE278" s="55">
        <v>0</v>
      </c>
      <c r="AF278" s="55">
        <v>0</v>
      </c>
      <c r="AG278" s="52">
        <f t="shared" si="41"/>
        <v>8.0516075839702161E-2</v>
      </c>
      <c r="AH278" s="51"/>
      <c r="AI278" s="52"/>
      <c r="AJ278" s="52"/>
      <c r="AK278" s="28">
        <v>1.75</v>
      </c>
      <c r="AL278" s="28">
        <v>2.5</v>
      </c>
      <c r="AM278" s="28">
        <v>0.75</v>
      </c>
      <c r="AN278" s="28">
        <v>0</v>
      </c>
      <c r="AO278" s="28">
        <v>0.35</v>
      </c>
      <c r="AP278" s="28">
        <v>0.5</v>
      </c>
      <c r="AQ278" s="28">
        <v>0.15</v>
      </c>
      <c r="AR278" s="28">
        <v>0</v>
      </c>
      <c r="AS278" s="25">
        <v>0.95</v>
      </c>
      <c r="AT278" s="25">
        <v>3.44</v>
      </c>
      <c r="AU278" s="25">
        <v>2.4900000000000002</v>
      </c>
      <c r="AV278" s="25">
        <v>2.7062499999999998</v>
      </c>
      <c r="AW278">
        <v>2.7062499999999998</v>
      </c>
      <c r="AX278">
        <v>6.2396022968656872</v>
      </c>
      <c r="AY278" s="75"/>
      <c r="AZ278" s="75"/>
      <c r="BA278" s="75"/>
      <c r="BB278">
        <v>4.0258037919851081E-2</v>
      </c>
      <c r="BF278">
        <v>8.0516075839702161E-2</v>
      </c>
      <c r="BG278">
        <v>4.0258037919851081E-2</v>
      </c>
      <c r="BH278">
        <v>0</v>
      </c>
      <c r="BI278" s="79" t="s">
        <v>1264</v>
      </c>
      <c r="BJ278" s="79">
        <v>1423</v>
      </c>
      <c r="BK278" s="79">
        <v>24</v>
      </c>
      <c r="BM278" s="79" t="s">
        <v>1275</v>
      </c>
      <c r="BN278" s="79" t="s">
        <v>863</v>
      </c>
      <c r="BO278" s="79">
        <v>4</v>
      </c>
      <c r="BP278" s="79">
        <v>11.84</v>
      </c>
      <c r="BQ278" s="79">
        <v>2</v>
      </c>
      <c r="BR278" s="79">
        <v>10</v>
      </c>
      <c r="BS278" s="79" t="s">
        <v>464</v>
      </c>
      <c r="BT278" s="79" t="s">
        <v>464</v>
      </c>
      <c r="BU278" s="79" t="s">
        <v>1266</v>
      </c>
      <c r="BV278" s="79">
        <v>100</v>
      </c>
      <c r="BW278" s="79">
        <v>400</v>
      </c>
      <c r="BX278" s="79" t="s">
        <v>1311</v>
      </c>
      <c r="BY278" s="79">
        <v>333</v>
      </c>
      <c r="BZ278" s="81">
        <v>6785.7142857142862</v>
      </c>
      <c r="CA278">
        <f t="shared" si="40"/>
        <v>8.8225748409674196</v>
      </c>
    </row>
    <row r="279" spans="1:79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9">
        <v>-1</v>
      </c>
      <c r="G279">
        <v>-1</v>
      </c>
      <c r="I279" s="2">
        <v>8</v>
      </c>
      <c r="J279" s="25">
        <v>0</v>
      </c>
      <c r="K279">
        <v>0</v>
      </c>
      <c r="L279">
        <v>0</v>
      </c>
      <c r="M279" s="2">
        <f t="shared" ref="M279:N282" si="43">3.88*2</f>
        <v>7.76</v>
      </c>
      <c r="N279" s="2">
        <f t="shared" si="43"/>
        <v>7.76</v>
      </c>
      <c r="O279" s="2">
        <v>33.08</v>
      </c>
      <c r="P279" s="2"/>
      <c r="Q279" s="2"/>
      <c r="R279" s="25">
        <v>0</v>
      </c>
      <c r="S279" s="25"/>
      <c r="T279" s="25"/>
      <c r="U279">
        <v>0</v>
      </c>
      <c r="X279">
        <v>0</v>
      </c>
      <c r="AA279" s="2"/>
      <c r="AB279">
        <v>20</v>
      </c>
      <c r="AC279" s="55">
        <f t="shared" si="37"/>
        <v>1991.9982079999997</v>
      </c>
      <c r="AD279" s="57">
        <v>0</v>
      </c>
      <c r="AE279" s="55">
        <v>0</v>
      </c>
      <c r="AF279" s="55">
        <v>0</v>
      </c>
      <c r="AG279" s="52">
        <f t="shared" si="41"/>
        <v>8.0321357397526341E-2</v>
      </c>
      <c r="AH279" s="51"/>
      <c r="AI279" s="52"/>
      <c r="AJ279" s="52"/>
      <c r="AK279" s="28">
        <v>1.8125</v>
      </c>
      <c r="AL279" s="28">
        <v>2.5</v>
      </c>
      <c r="AM279" s="28">
        <v>0.6875</v>
      </c>
      <c r="AN279" s="28">
        <v>0.875</v>
      </c>
      <c r="AO279" s="28">
        <v>0.30851063829787229</v>
      </c>
      <c r="AP279" s="28">
        <v>0.42553191489361702</v>
      </c>
      <c r="AQ279" s="28">
        <v>0.1170212765957447</v>
      </c>
      <c r="AR279" s="28">
        <v>0.14893617021276601</v>
      </c>
      <c r="AS279" s="25">
        <v>0.95</v>
      </c>
      <c r="AT279" s="25">
        <v>3.44</v>
      </c>
      <c r="AU279" s="25">
        <v>2.4900000000000002</v>
      </c>
      <c r="AV279" s="25">
        <v>2.7</v>
      </c>
      <c r="AW279">
        <v>2.7</v>
      </c>
      <c r="AX279">
        <v>6.2457408593656876</v>
      </c>
      <c r="AY279" s="75"/>
      <c r="AZ279" s="75"/>
      <c r="BA279" s="75"/>
      <c r="BB279">
        <v>4.0160678698763171E-2</v>
      </c>
      <c r="BF279">
        <v>8.0321357397526341E-2</v>
      </c>
      <c r="BG279">
        <v>4.0160678698763171E-2</v>
      </c>
      <c r="BH279">
        <v>0</v>
      </c>
      <c r="BI279" s="79" t="s">
        <v>1264</v>
      </c>
      <c r="BJ279" s="79">
        <v>1423</v>
      </c>
      <c r="BK279" s="79">
        <v>24</v>
      </c>
      <c r="BM279" s="79" t="s">
        <v>1275</v>
      </c>
      <c r="BN279" s="79" t="s">
        <v>863</v>
      </c>
      <c r="BO279" s="79">
        <v>4</v>
      </c>
      <c r="BP279" s="79">
        <v>11.25</v>
      </c>
      <c r="BQ279" s="79">
        <v>2</v>
      </c>
      <c r="BR279" s="79">
        <v>10</v>
      </c>
      <c r="BS279" s="79" t="s">
        <v>464</v>
      </c>
      <c r="BT279" s="79" t="s">
        <v>464</v>
      </c>
      <c r="BU279" s="79" t="s">
        <v>1266</v>
      </c>
      <c r="BV279" s="79">
        <v>100</v>
      </c>
      <c r="BW279" s="79">
        <v>400</v>
      </c>
      <c r="BX279" s="79" t="s">
        <v>1311</v>
      </c>
      <c r="BY279" s="79">
        <v>333</v>
      </c>
      <c r="BZ279" s="81">
        <v>9285.7142857142862</v>
      </c>
      <c r="CA279">
        <f t="shared" si="40"/>
        <v>9.136232399822461</v>
      </c>
    </row>
    <row r="280" spans="1:79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9">
        <v>-1</v>
      </c>
      <c r="G280">
        <v>-1</v>
      </c>
      <c r="I280" s="2">
        <v>8</v>
      </c>
      <c r="J280" s="25">
        <v>0</v>
      </c>
      <c r="K280">
        <v>0</v>
      </c>
      <c r="L280">
        <v>0</v>
      </c>
      <c r="M280" s="2">
        <f t="shared" si="43"/>
        <v>7.76</v>
      </c>
      <c r="N280" s="2">
        <f t="shared" si="43"/>
        <v>7.76</v>
      </c>
      <c r="O280" s="2">
        <v>33.24</v>
      </c>
      <c r="P280" s="2"/>
      <c r="Q280" s="2"/>
      <c r="R280" s="25">
        <v>0</v>
      </c>
      <c r="S280" s="25"/>
      <c r="T280" s="25"/>
      <c r="U280">
        <v>0</v>
      </c>
      <c r="X280">
        <v>0</v>
      </c>
      <c r="AA280" s="2"/>
      <c r="AB280">
        <v>20</v>
      </c>
      <c r="AC280" s="55">
        <f t="shared" si="37"/>
        <v>2001.633024</v>
      </c>
      <c r="AD280" s="57">
        <v>0</v>
      </c>
      <c r="AE280" s="55">
        <v>0</v>
      </c>
      <c r="AF280" s="55">
        <v>0</v>
      </c>
      <c r="AG280" s="52">
        <f t="shared" si="41"/>
        <v>7.9934732331834277E-2</v>
      </c>
      <c r="AH280" s="51"/>
      <c r="AI280" s="52"/>
      <c r="AJ280" s="52"/>
      <c r="AK280" s="28">
        <v>1.8666666666666669</v>
      </c>
      <c r="AL280" s="28">
        <v>2.666666666666667</v>
      </c>
      <c r="AM280" s="28">
        <v>0.46666666666666667</v>
      </c>
      <c r="AN280" s="28">
        <v>0.93333333333333335</v>
      </c>
      <c r="AO280" s="28">
        <v>0.3146067415730337</v>
      </c>
      <c r="AP280" s="28">
        <v>0.44943820224719089</v>
      </c>
      <c r="AQ280" s="28">
        <v>7.8651685393258425E-2</v>
      </c>
      <c r="AR280" s="28">
        <v>0.15730337078651679</v>
      </c>
      <c r="AS280" s="25">
        <v>0.95</v>
      </c>
      <c r="AT280" s="25">
        <v>3.44</v>
      </c>
      <c r="AU280" s="25">
        <v>2.4900000000000002</v>
      </c>
      <c r="AV280" s="25">
        <v>2.773333333333333</v>
      </c>
      <c r="AW280">
        <v>2.773333333333333</v>
      </c>
      <c r="AX280">
        <v>6.4062483499900669</v>
      </c>
      <c r="AY280" s="75"/>
      <c r="AZ280" s="75"/>
      <c r="BA280" s="75"/>
      <c r="BB280">
        <v>3.9967366165917138E-2</v>
      </c>
      <c r="BF280">
        <v>7.9934732331834277E-2</v>
      </c>
      <c r="BG280">
        <v>3.9967366165917138E-2</v>
      </c>
      <c r="BH280">
        <v>0</v>
      </c>
      <c r="BI280" s="79" t="s">
        <v>1264</v>
      </c>
      <c r="BJ280" s="79">
        <v>1423</v>
      </c>
      <c r="BK280" s="79">
        <v>24</v>
      </c>
      <c r="BM280" s="79" t="s">
        <v>1275</v>
      </c>
      <c r="BN280" s="79" t="s">
        <v>863</v>
      </c>
      <c r="BO280" s="79">
        <v>4</v>
      </c>
      <c r="BP280" s="79">
        <v>10.97</v>
      </c>
      <c r="BQ280" s="79">
        <v>2</v>
      </c>
      <c r="BR280" s="79">
        <v>10</v>
      </c>
      <c r="BS280" s="79" t="s">
        <v>464</v>
      </c>
      <c r="BT280" s="79" t="s">
        <v>464</v>
      </c>
      <c r="BU280" s="79" t="s">
        <v>1266</v>
      </c>
      <c r="BV280" s="79">
        <v>100</v>
      </c>
      <c r="BW280" s="79">
        <v>400</v>
      </c>
      <c r="BX280" s="79" t="s">
        <v>1311</v>
      </c>
      <c r="BY280" s="79">
        <v>333</v>
      </c>
      <c r="BZ280" s="81">
        <v>2767.8571428571431</v>
      </c>
      <c r="CA280">
        <f t="shared" si="40"/>
        <v>7.9258287051662348</v>
      </c>
    </row>
    <row r="281" spans="1:79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9">
        <v>-1</v>
      </c>
      <c r="G281">
        <v>-1</v>
      </c>
      <c r="I281" s="2">
        <v>8</v>
      </c>
      <c r="J281" s="25">
        <v>0</v>
      </c>
      <c r="K281">
        <v>0</v>
      </c>
      <c r="L281">
        <v>0</v>
      </c>
      <c r="M281" s="2">
        <f t="shared" si="43"/>
        <v>7.76</v>
      </c>
      <c r="N281" s="2">
        <f t="shared" si="43"/>
        <v>7.76</v>
      </c>
      <c r="O281" s="2">
        <v>33</v>
      </c>
      <c r="P281" s="2"/>
      <c r="Q281" s="2"/>
      <c r="R281" s="25">
        <v>0</v>
      </c>
      <c r="S281" s="25"/>
      <c r="T281" s="25"/>
      <c r="U281">
        <v>0</v>
      </c>
      <c r="X281">
        <v>0</v>
      </c>
      <c r="AA281" s="2"/>
      <c r="AB281">
        <v>20</v>
      </c>
      <c r="AC281" s="55">
        <f t="shared" si="37"/>
        <v>1987.1807999999999</v>
      </c>
      <c r="AD281" s="57">
        <v>0</v>
      </c>
      <c r="AE281" s="55">
        <v>0</v>
      </c>
      <c r="AF281" s="55">
        <v>0</v>
      </c>
      <c r="AG281" s="52">
        <f t="shared" si="41"/>
        <v>8.0516075839702161E-2</v>
      </c>
      <c r="AH281" s="51"/>
      <c r="AI281" s="52"/>
      <c r="AJ281" s="52"/>
      <c r="AK281" s="28">
        <v>1.875</v>
      </c>
      <c r="AL281" s="28">
        <v>2.5</v>
      </c>
      <c r="AM281" s="28">
        <v>0.625</v>
      </c>
      <c r="AN281" s="28">
        <v>1.75</v>
      </c>
      <c r="AO281" s="28">
        <v>0.27777777777777779</v>
      </c>
      <c r="AP281" s="28">
        <v>0.37037037037037029</v>
      </c>
      <c r="AQ281" s="28">
        <v>9.2592592592592587E-2</v>
      </c>
      <c r="AR281" s="28">
        <v>0.25925925925925919</v>
      </c>
      <c r="AS281" s="25">
        <v>0.95</v>
      </c>
      <c r="AT281" s="25">
        <v>3.44</v>
      </c>
      <c r="AU281" s="25">
        <v>2.4900000000000002</v>
      </c>
      <c r="AV281" s="25">
        <v>2.6937500000000001</v>
      </c>
      <c r="AW281">
        <v>2.6937500000000001</v>
      </c>
      <c r="AX281">
        <v>6.2518794218656879</v>
      </c>
      <c r="AY281" s="75"/>
      <c r="AZ281" s="75"/>
      <c r="BA281" s="75"/>
      <c r="BB281">
        <v>4.0258037919851081E-2</v>
      </c>
      <c r="BF281">
        <v>8.0516075839702161E-2</v>
      </c>
      <c r="BG281">
        <v>4.0258037919851081E-2</v>
      </c>
      <c r="BH281">
        <v>0</v>
      </c>
      <c r="BI281" s="79" t="s">
        <v>1264</v>
      </c>
      <c r="BJ281" s="79">
        <v>1423</v>
      </c>
      <c r="BK281" s="79">
        <v>24</v>
      </c>
      <c r="BM281" s="79" t="s">
        <v>1275</v>
      </c>
      <c r="BN281" s="79" t="s">
        <v>863</v>
      </c>
      <c r="BO281" s="79">
        <v>4</v>
      </c>
      <c r="BP281" s="79">
        <v>11.41</v>
      </c>
      <c r="BQ281" s="79">
        <v>2</v>
      </c>
      <c r="BR281" s="79">
        <v>10</v>
      </c>
      <c r="BS281" s="79" t="s">
        <v>464</v>
      </c>
      <c r="BT281" s="79" t="s">
        <v>464</v>
      </c>
      <c r="BU281" s="79" t="s">
        <v>1266</v>
      </c>
      <c r="BV281" s="79">
        <v>100</v>
      </c>
      <c r="BW281" s="79">
        <v>400</v>
      </c>
      <c r="BX281" s="79" t="s">
        <v>1311</v>
      </c>
      <c r="BY281" s="79">
        <v>333</v>
      </c>
      <c r="BZ281" s="81">
        <v>1473.2142857142858</v>
      </c>
      <c r="CA281">
        <f t="shared" si="40"/>
        <v>7.2952018815876229</v>
      </c>
    </row>
    <row r="282" spans="1:79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9">
        <v>-1</v>
      </c>
      <c r="G282">
        <v>-1</v>
      </c>
      <c r="I282" s="2">
        <v>8</v>
      </c>
      <c r="J282" s="25">
        <v>0</v>
      </c>
      <c r="K282">
        <v>0</v>
      </c>
      <c r="L282">
        <v>0</v>
      </c>
      <c r="M282" s="2">
        <f t="shared" si="43"/>
        <v>7.76</v>
      </c>
      <c r="N282" s="2">
        <f t="shared" si="43"/>
        <v>7.76</v>
      </c>
      <c r="O282" s="2">
        <v>29.18</v>
      </c>
      <c r="P282" s="2"/>
      <c r="Q282" s="2"/>
      <c r="R282" s="25">
        <v>0</v>
      </c>
      <c r="S282" s="25"/>
      <c r="T282" s="25"/>
      <c r="U282">
        <v>0</v>
      </c>
      <c r="X282">
        <v>0</v>
      </c>
      <c r="AA282" s="2"/>
      <c r="AB282">
        <v>20</v>
      </c>
      <c r="AC282" s="55">
        <f t="shared" si="37"/>
        <v>1757.1495679999998</v>
      </c>
      <c r="AD282" s="57">
        <v>0</v>
      </c>
      <c r="AE282" s="55">
        <v>0</v>
      </c>
      <c r="AF282" s="55">
        <v>0</v>
      </c>
      <c r="AG282" s="52">
        <f t="shared" si="41"/>
        <v>9.1056562807065505E-2</v>
      </c>
      <c r="AH282" s="51"/>
      <c r="AI282" s="52"/>
      <c r="AJ282" s="52"/>
      <c r="AK282" s="28">
        <v>1.9375</v>
      </c>
      <c r="AL282" s="28">
        <v>2.5</v>
      </c>
      <c r="AM282" s="28">
        <v>0.5625</v>
      </c>
      <c r="AN282" s="28">
        <v>2.625</v>
      </c>
      <c r="AO282" s="28">
        <v>0.25409836065573771</v>
      </c>
      <c r="AP282" s="28">
        <v>0.32786885245901642</v>
      </c>
      <c r="AQ282" s="28">
        <v>7.3770491803278687E-2</v>
      </c>
      <c r="AR282" s="28">
        <v>0.34426229508196721</v>
      </c>
      <c r="AS282" s="25">
        <v>0.95</v>
      </c>
      <c r="AT282" s="25">
        <v>3.44</v>
      </c>
      <c r="AU282" s="25">
        <v>2.4900000000000002</v>
      </c>
      <c r="AV282" s="25">
        <v>2.6875</v>
      </c>
      <c r="AW282">
        <v>2.6875</v>
      </c>
      <c r="AX282">
        <v>6.2580179843656882</v>
      </c>
      <c r="AY282" s="75"/>
      <c r="AZ282" s="75"/>
      <c r="BA282" s="75"/>
      <c r="BB282">
        <v>4.5528281403532753E-2</v>
      </c>
      <c r="BF282">
        <v>9.1056562807065505E-2</v>
      </c>
      <c r="BG282">
        <v>4.5528281403532753E-2</v>
      </c>
      <c r="BH282">
        <v>0</v>
      </c>
      <c r="BI282" s="79" t="s">
        <v>1264</v>
      </c>
      <c r="BJ282" s="79">
        <v>1423</v>
      </c>
      <c r="BK282" s="79">
        <v>24</v>
      </c>
      <c r="BM282" s="79" t="s">
        <v>1275</v>
      </c>
      <c r="BN282" s="79" t="s">
        <v>863</v>
      </c>
      <c r="BO282" s="79">
        <v>4</v>
      </c>
      <c r="BP282" s="79">
        <v>11.97</v>
      </c>
      <c r="BQ282" s="79">
        <v>2</v>
      </c>
      <c r="BR282" s="79">
        <v>10</v>
      </c>
      <c r="BS282" s="79" t="s">
        <v>464</v>
      </c>
      <c r="BT282" s="79" t="s">
        <v>464</v>
      </c>
      <c r="BU282" s="79" t="s">
        <v>1266</v>
      </c>
      <c r="BV282" s="79">
        <v>100</v>
      </c>
      <c r="BW282" s="79">
        <v>400</v>
      </c>
      <c r="BX282" s="79" t="s">
        <v>1311</v>
      </c>
      <c r="BY282" s="79">
        <v>333</v>
      </c>
      <c r="BZ282" s="81">
        <v>401.78571428571433</v>
      </c>
      <c r="CA282">
        <f t="shared" si="40"/>
        <v>5.9959188974573623</v>
      </c>
    </row>
    <row r="283" spans="1:79" x14ac:dyDescent="0.3">
      <c r="A283" s="2" t="s">
        <v>8</v>
      </c>
      <c r="B283" s="17"/>
      <c r="C283" s="13"/>
      <c r="D283" s="2"/>
      <c r="E283" s="2" t="s">
        <v>154</v>
      </c>
      <c r="F283" s="82" t="s">
        <v>530</v>
      </c>
      <c r="G283" t="s">
        <v>612</v>
      </c>
      <c r="I283" s="2"/>
      <c r="J283" s="25"/>
      <c r="M283" s="2"/>
      <c r="N283" s="2"/>
      <c r="O283" s="2"/>
      <c r="P283" s="2"/>
      <c r="Q283" s="2"/>
      <c r="R283" s="25"/>
      <c r="S283" s="25"/>
      <c r="T283" s="25"/>
      <c r="AA283" s="2"/>
      <c r="AC283" s="55"/>
      <c r="AD283" s="57"/>
      <c r="AE283" s="55"/>
      <c r="AF283" s="55"/>
      <c r="AG283" s="52"/>
      <c r="AH283" s="51"/>
      <c r="AI283" s="52"/>
      <c r="AJ283" s="52"/>
      <c r="AK283" s="28"/>
      <c r="AL283" s="28"/>
      <c r="AM283" s="28"/>
      <c r="AN283" s="28"/>
      <c r="AO283" s="28"/>
      <c r="AP283" s="28"/>
      <c r="AQ283" s="28"/>
      <c r="AR283" s="28"/>
      <c r="AS283" s="25"/>
      <c r="AT283" s="25"/>
      <c r="AU283" s="25"/>
      <c r="AV283" s="25"/>
      <c r="AY283" s="75"/>
      <c r="AZ283" s="75"/>
      <c r="BA283" s="75"/>
      <c r="BI283" s="79" t="s">
        <v>1264</v>
      </c>
      <c r="BJ283" s="79">
        <v>1423</v>
      </c>
      <c r="BK283" s="79">
        <v>24</v>
      </c>
      <c r="BM283" s="79" t="s">
        <v>464</v>
      </c>
      <c r="BN283" s="79" t="s">
        <v>464</v>
      </c>
      <c r="BO283" s="79">
        <v>0</v>
      </c>
      <c r="BP283" s="79">
        <v>49</v>
      </c>
      <c r="BQ283" s="79">
        <v>2</v>
      </c>
      <c r="BR283" s="79">
        <v>10</v>
      </c>
      <c r="BS283" s="79" t="s">
        <v>464</v>
      </c>
      <c r="BT283" s="79" t="s">
        <v>464</v>
      </c>
      <c r="BU283" s="79" t="s">
        <v>1266</v>
      </c>
      <c r="BV283" s="79">
        <v>100</v>
      </c>
      <c r="BW283" s="79">
        <v>400</v>
      </c>
      <c r="BX283" s="79" t="s">
        <v>1311</v>
      </c>
      <c r="BY283" s="79">
        <v>333</v>
      </c>
      <c r="BZ283" s="81">
        <v>1.7857142857142858</v>
      </c>
      <c r="CA283">
        <f t="shared" si="40"/>
        <v>0.57981849525294216</v>
      </c>
    </row>
    <row r="284" spans="1:79" x14ac:dyDescent="0.3">
      <c r="A284" s="2" t="s">
        <v>8</v>
      </c>
      <c r="B284" s="17"/>
      <c r="C284" s="13"/>
      <c r="D284" s="2"/>
      <c r="E284" s="2" t="s">
        <v>154</v>
      </c>
      <c r="F284" s="82" t="s">
        <v>530</v>
      </c>
      <c r="G284" t="s">
        <v>612</v>
      </c>
      <c r="I284" s="2"/>
      <c r="J284" s="25"/>
      <c r="M284" s="2"/>
      <c r="N284" s="2"/>
      <c r="O284" s="2"/>
      <c r="P284" s="2"/>
      <c r="Q284" s="2"/>
      <c r="R284" s="25"/>
      <c r="S284" s="25"/>
      <c r="T284" s="25"/>
      <c r="AA284" s="2"/>
      <c r="AC284" s="55"/>
      <c r="AD284" s="57"/>
      <c r="AE284" s="55"/>
      <c r="AF284" s="55"/>
      <c r="AG284" s="52"/>
      <c r="AH284" s="51"/>
      <c r="AI284" s="52"/>
      <c r="AJ284" s="52"/>
      <c r="AK284" s="28"/>
      <c r="AL284" s="28"/>
      <c r="AM284" s="28"/>
      <c r="AN284" s="28"/>
      <c r="AO284" s="28"/>
      <c r="AP284" s="28"/>
      <c r="AQ284" s="28"/>
      <c r="AR284" s="28"/>
      <c r="AS284" s="25"/>
      <c r="AT284" s="25"/>
      <c r="AU284" s="25"/>
      <c r="AV284" s="25"/>
      <c r="AY284" s="75"/>
      <c r="AZ284" s="75"/>
      <c r="BA284" s="75"/>
      <c r="BI284" s="79" t="s">
        <v>1264</v>
      </c>
      <c r="BJ284" s="79">
        <v>1423</v>
      </c>
      <c r="BK284" s="79">
        <v>24</v>
      </c>
      <c r="BM284" s="79" t="s">
        <v>1275</v>
      </c>
      <c r="BN284" s="79" t="s">
        <v>863</v>
      </c>
      <c r="BO284" s="79">
        <v>4</v>
      </c>
      <c r="BP284" s="79">
        <v>49</v>
      </c>
      <c r="BQ284" s="79">
        <v>2</v>
      </c>
      <c r="BR284" s="79">
        <v>10</v>
      </c>
      <c r="BS284" s="79" t="s">
        <v>464</v>
      </c>
      <c r="BT284" s="79" t="s">
        <v>464</v>
      </c>
      <c r="BU284" s="79" t="s">
        <v>1266</v>
      </c>
      <c r="BV284" s="79">
        <v>100</v>
      </c>
      <c r="BW284" s="79">
        <v>400</v>
      </c>
      <c r="BX284" s="79" t="s">
        <v>1311</v>
      </c>
      <c r="BY284" s="79">
        <v>333</v>
      </c>
      <c r="BZ284" s="81">
        <v>58.928571428571431</v>
      </c>
      <c r="CA284">
        <f t="shared" si="40"/>
        <v>4.0763260567194228</v>
      </c>
    </row>
    <row r="285" spans="1:79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I285" s="2"/>
      <c r="J285" s="25"/>
      <c r="M285" s="2"/>
      <c r="N285" s="2"/>
      <c r="O285" s="2"/>
      <c r="P285" s="2"/>
      <c r="Q285" s="2"/>
      <c r="R285" s="25"/>
      <c r="S285" s="25"/>
      <c r="T285" s="25"/>
      <c r="AA285" s="2"/>
      <c r="AC285" s="55"/>
      <c r="AD285" s="57"/>
      <c r="AE285" s="55"/>
      <c r="AF285" s="55"/>
      <c r="AG285" s="52"/>
      <c r="AH285" s="51"/>
      <c r="AI285" s="52"/>
      <c r="AJ285" s="52"/>
      <c r="AK285" s="28"/>
      <c r="AL285" s="28"/>
      <c r="AM285" s="28"/>
      <c r="AN285" s="28"/>
      <c r="AO285" s="28"/>
      <c r="AP285" s="28"/>
      <c r="AQ285" s="28"/>
      <c r="AR285" s="28"/>
      <c r="AS285" s="25"/>
      <c r="AT285" s="25"/>
      <c r="AU285" s="25"/>
      <c r="AV285" s="25"/>
      <c r="AY285" s="75"/>
      <c r="AZ285" s="75"/>
      <c r="BA285" s="75"/>
      <c r="BI285" s="79" t="s">
        <v>1264</v>
      </c>
      <c r="BJ285" s="79">
        <v>1423</v>
      </c>
      <c r="BK285" s="79">
        <v>10</v>
      </c>
      <c r="BM285" s="79" t="s">
        <v>1275</v>
      </c>
      <c r="BN285" s="79" t="s">
        <v>863</v>
      </c>
      <c r="BO285" s="79">
        <v>0</v>
      </c>
      <c r="BP285" s="79">
        <v>30</v>
      </c>
      <c r="BQ285" s="79">
        <v>0.5</v>
      </c>
      <c r="BR285" s="79">
        <v>0</v>
      </c>
      <c r="BS285" s="79" t="s">
        <v>1335</v>
      </c>
      <c r="BT285" s="79" t="s">
        <v>464</v>
      </c>
      <c r="BU285" s="79" t="s">
        <v>1271</v>
      </c>
      <c r="BV285" s="79">
        <v>300</v>
      </c>
      <c r="BW285" s="79">
        <v>300</v>
      </c>
      <c r="BX285" s="79" t="s">
        <v>1311</v>
      </c>
      <c r="BZ285" s="81">
        <v>4</v>
      </c>
      <c r="CA285">
        <f t="shared" si="40"/>
        <v>1.3862943611198906</v>
      </c>
    </row>
    <row r="286" spans="1:79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I286" s="2"/>
      <c r="J286" s="25"/>
      <c r="M286" s="2"/>
      <c r="N286" s="2"/>
      <c r="O286" s="2"/>
      <c r="P286" s="2"/>
      <c r="Q286" s="2"/>
      <c r="R286" s="25"/>
      <c r="S286" s="25"/>
      <c r="T286" s="25"/>
      <c r="AA286" s="2"/>
      <c r="AC286" s="55"/>
      <c r="AD286" s="57"/>
      <c r="AE286" s="55"/>
      <c r="AF286" s="55"/>
      <c r="AG286" s="52"/>
      <c r="AH286" s="51"/>
      <c r="AI286" s="52"/>
      <c r="AJ286" s="52"/>
      <c r="AK286" s="28"/>
      <c r="AL286" s="28"/>
      <c r="AM286" s="28"/>
      <c r="AN286" s="28"/>
      <c r="AO286" s="28"/>
      <c r="AP286" s="28"/>
      <c r="AQ286" s="28"/>
      <c r="AR286" s="28"/>
      <c r="AS286" s="25"/>
      <c r="AT286" s="25"/>
      <c r="AU286" s="25"/>
      <c r="AV286" s="25"/>
      <c r="AY286" s="75"/>
      <c r="AZ286" s="75"/>
      <c r="BA286" s="75"/>
      <c r="BI286" s="79" t="s">
        <v>1264</v>
      </c>
      <c r="BJ286" s="79">
        <v>1423</v>
      </c>
      <c r="BK286" s="79">
        <v>10</v>
      </c>
      <c r="BM286" s="79" t="s">
        <v>1275</v>
      </c>
      <c r="BN286" s="79" t="s">
        <v>863</v>
      </c>
      <c r="BO286" s="79">
        <v>0.2</v>
      </c>
      <c r="BP286" s="79">
        <v>30</v>
      </c>
      <c r="BQ286" s="79">
        <v>0.5</v>
      </c>
      <c r="BR286" s="79">
        <v>0</v>
      </c>
      <c r="BS286" s="79" t="s">
        <v>1335</v>
      </c>
      <c r="BT286" s="79" t="s">
        <v>464</v>
      </c>
      <c r="BU286" s="79" t="s">
        <v>1271</v>
      </c>
      <c r="BV286" s="79">
        <v>300</v>
      </c>
      <c r="BW286" s="79">
        <v>300</v>
      </c>
      <c r="BX286" s="79" t="s">
        <v>1311</v>
      </c>
      <c r="BZ286" s="81">
        <v>64</v>
      </c>
      <c r="CA286">
        <f t="shared" si="40"/>
        <v>4.1588830833596715</v>
      </c>
    </row>
    <row r="287" spans="1:79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I287" s="2"/>
      <c r="J287" s="25"/>
      <c r="M287" s="2"/>
      <c r="N287" s="2"/>
      <c r="O287" s="2"/>
      <c r="P287" s="2"/>
      <c r="Q287" s="2"/>
      <c r="R287" s="25"/>
      <c r="S287" s="25"/>
      <c r="T287" s="25"/>
      <c r="AA287" s="2"/>
      <c r="AC287" s="55"/>
      <c r="AD287" s="57"/>
      <c r="AE287" s="55"/>
      <c r="AF287" s="55"/>
      <c r="AG287" s="52"/>
      <c r="AH287" s="51"/>
      <c r="AI287" s="52"/>
      <c r="AJ287" s="52"/>
      <c r="AK287" s="28"/>
      <c r="AL287" s="28"/>
      <c r="AM287" s="28"/>
      <c r="AN287" s="28"/>
      <c r="AO287" s="28"/>
      <c r="AP287" s="28"/>
      <c r="AQ287" s="28"/>
      <c r="AR287" s="28"/>
      <c r="AS287" s="25"/>
      <c r="AT287" s="25"/>
      <c r="AU287" s="25"/>
      <c r="AV287" s="25"/>
      <c r="AY287" s="75"/>
      <c r="AZ287" s="75"/>
      <c r="BA287" s="75"/>
      <c r="BI287" s="79" t="s">
        <v>1264</v>
      </c>
      <c r="BJ287" s="79">
        <v>1423</v>
      </c>
      <c r="BK287" s="79">
        <v>10</v>
      </c>
      <c r="BM287" s="79" t="s">
        <v>1275</v>
      </c>
      <c r="BN287" s="79" t="s">
        <v>863</v>
      </c>
      <c r="BO287" s="79">
        <v>0.4</v>
      </c>
      <c r="BP287" s="79">
        <v>30</v>
      </c>
      <c r="BQ287" s="79">
        <v>0.5</v>
      </c>
      <c r="BR287" s="79">
        <v>0</v>
      </c>
      <c r="BS287" s="79" t="s">
        <v>1335</v>
      </c>
      <c r="BT287" s="79" t="s">
        <v>464</v>
      </c>
      <c r="BU287" s="79" t="s">
        <v>1271</v>
      </c>
      <c r="BV287" s="79">
        <v>300</v>
      </c>
      <c r="BW287" s="79">
        <v>300</v>
      </c>
      <c r="BX287" s="79" t="s">
        <v>1311</v>
      </c>
      <c r="BZ287" s="81">
        <v>92</v>
      </c>
      <c r="CA287">
        <f t="shared" si="40"/>
        <v>4.5217885770490405</v>
      </c>
    </row>
    <row r="288" spans="1:79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I288" s="2"/>
      <c r="J288" s="25"/>
      <c r="M288" s="2"/>
      <c r="N288" s="2"/>
      <c r="O288" s="2"/>
      <c r="P288" s="2"/>
      <c r="Q288" s="2"/>
      <c r="R288" s="25"/>
      <c r="S288" s="25"/>
      <c r="T288" s="25"/>
      <c r="AA288" s="2"/>
      <c r="AC288" s="55"/>
      <c r="AD288" s="57"/>
      <c r="AE288" s="55"/>
      <c r="AF288" s="55"/>
      <c r="AG288" s="52"/>
      <c r="AH288" s="51"/>
      <c r="AI288" s="52"/>
      <c r="AJ288" s="52"/>
      <c r="AK288" s="28"/>
      <c r="AL288" s="28"/>
      <c r="AM288" s="28"/>
      <c r="AN288" s="28"/>
      <c r="AO288" s="28"/>
      <c r="AP288" s="28"/>
      <c r="AQ288" s="28"/>
      <c r="AR288" s="28"/>
      <c r="AS288" s="25"/>
      <c r="AT288" s="25"/>
      <c r="AU288" s="25"/>
      <c r="AV288" s="25"/>
      <c r="AY288" s="75"/>
      <c r="AZ288" s="75"/>
      <c r="BA288" s="75"/>
      <c r="BI288" s="79" t="s">
        <v>1264</v>
      </c>
      <c r="BJ288" s="79">
        <v>1423</v>
      </c>
      <c r="BK288" s="79">
        <v>10</v>
      </c>
      <c r="BM288" s="79" t="s">
        <v>1275</v>
      </c>
      <c r="BN288" s="79" t="s">
        <v>863</v>
      </c>
      <c r="BO288" s="79">
        <v>0.6</v>
      </c>
      <c r="BP288" s="79">
        <v>30</v>
      </c>
      <c r="BQ288" s="79">
        <v>0.5</v>
      </c>
      <c r="BR288" s="79">
        <v>0</v>
      </c>
      <c r="BS288" s="79" t="s">
        <v>1335</v>
      </c>
      <c r="BT288" s="79" t="s">
        <v>464</v>
      </c>
      <c r="BU288" s="79" t="s">
        <v>1271</v>
      </c>
      <c r="BV288" s="79">
        <v>300</v>
      </c>
      <c r="BW288" s="79">
        <v>300</v>
      </c>
      <c r="BX288" s="79" t="s">
        <v>1311</v>
      </c>
      <c r="BZ288" s="81">
        <v>140</v>
      </c>
      <c r="CA288">
        <f t="shared" si="40"/>
        <v>4.9416424226093039</v>
      </c>
    </row>
    <row r="289" spans="1:79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I289" s="2"/>
      <c r="J289" s="25"/>
      <c r="M289" s="2"/>
      <c r="N289" s="2"/>
      <c r="O289" s="2"/>
      <c r="P289" s="2"/>
      <c r="Q289" s="2"/>
      <c r="R289" s="25"/>
      <c r="S289" s="25"/>
      <c r="T289" s="25"/>
      <c r="AA289" s="2"/>
      <c r="AC289" s="55"/>
      <c r="AD289" s="57"/>
      <c r="AE289" s="55"/>
      <c r="AF289" s="55"/>
      <c r="AG289" s="52"/>
      <c r="AH289" s="51"/>
      <c r="AI289" s="52"/>
      <c r="AJ289" s="52"/>
      <c r="AK289" s="28"/>
      <c r="AL289" s="28"/>
      <c r="AM289" s="28"/>
      <c r="AN289" s="28"/>
      <c r="AO289" s="28"/>
      <c r="AP289" s="28"/>
      <c r="AQ289" s="28"/>
      <c r="AR289" s="28"/>
      <c r="AS289" s="25"/>
      <c r="AT289" s="25"/>
      <c r="AU289" s="25"/>
      <c r="AV289" s="25"/>
      <c r="AY289" s="75"/>
      <c r="AZ289" s="75"/>
      <c r="BA289" s="75"/>
      <c r="BI289" s="79" t="s">
        <v>1264</v>
      </c>
      <c r="BJ289" s="79">
        <v>1423</v>
      </c>
      <c r="BK289" s="79">
        <v>10</v>
      </c>
      <c r="BM289" s="79" t="s">
        <v>1275</v>
      </c>
      <c r="BN289" s="79" t="s">
        <v>863</v>
      </c>
      <c r="BO289" s="79">
        <v>0.8</v>
      </c>
      <c r="BP289" s="79">
        <v>30</v>
      </c>
      <c r="BQ289" s="79">
        <v>0.5</v>
      </c>
      <c r="BR289" s="79">
        <v>0</v>
      </c>
      <c r="BS289" s="79" t="s">
        <v>1335</v>
      </c>
      <c r="BT289" s="79" t="s">
        <v>464</v>
      </c>
      <c r="BU289" s="79" t="s">
        <v>1271</v>
      </c>
      <c r="BV289" s="79">
        <v>300</v>
      </c>
      <c r="BW289" s="79">
        <v>300</v>
      </c>
      <c r="BX289" s="79" t="s">
        <v>1311</v>
      </c>
      <c r="BZ289" s="81">
        <v>150</v>
      </c>
      <c r="CA289">
        <f t="shared" si="40"/>
        <v>5.0106352940962555</v>
      </c>
    </row>
    <row r="290" spans="1:79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I290" s="2"/>
      <c r="J290" s="25"/>
      <c r="M290" s="2"/>
      <c r="N290" s="2"/>
      <c r="O290" s="2"/>
      <c r="P290" s="2"/>
      <c r="Q290" s="2"/>
      <c r="R290" s="25"/>
      <c r="S290" s="25"/>
      <c r="T290" s="25"/>
      <c r="AA290" s="2"/>
      <c r="AC290" s="55"/>
      <c r="AD290" s="57"/>
      <c r="AE290" s="55"/>
      <c r="AF290" s="55"/>
      <c r="AG290" s="52"/>
      <c r="AH290" s="51"/>
      <c r="AI290" s="52"/>
      <c r="AJ290" s="52"/>
      <c r="AK290" s="28"/>
      <c r="AL290" s="28"/>
      <c r="AM290" s="28"/>
      <c r="AN290" s="28"/>
      <c r="AO290" s="28"/>
      <c r="AP290" s="28"/>
      <c r="AQ290" s="28"/>
      <c r="AR290" s="28"/>
      <c r="AS290" s="25"/>
      <c r="AT290" s="25"/>
      <c r="AU290" s="25"/>
      <c r="AV290" s="25"/>
      <c r="AY290" s="75"/>
      <c r="AZ290" s="75"/>
      <c r="BA290" s="75"/>
      <c r="BI290" s="79" t="s">
        <v>1264</v>
      </c>
      <c r="BJ290" s="79">
        <v>1423</v>
      </c>
      <c r="BK290" s="79">
        <v>10</v>
      </c>
      <c r="BM290" s="79" t="s">
        <v>1275</v>
      </c>
      <c r="BN290" s="79" t="s">
        <v>863</v>
      </c>
      <c r="BO290" s="79">
        <v>1</v>
      </c>
      <c r="BP290" s="79">
        <v>30</v>
      </c>
      <c r="BQ290" s="79">
        <v>0.5</v>
      </c>
      <c r="BR290" s="79">
        <v>0</v>
      </c>
      <c r="BS290" s="79" t="s">
        <v>1335</v>
      </c>
      <c r="BT290" s="79" t="s">
        <v>464</v>
      </c>
      <c r="BU290" s="79" t="s">
        <v>1271</v>
      </c>
      <c r="BV290" s="79">
        <v>300</v>
      </c>
      <c r="BW290" s="79">
        <v>300</v>
      </c>
      <c r="BX290" s="79" t="s">
        <v>1311</v>
      </c>
      <c r="BZ290" s="81">
        <v>146</v>
      </c>
      <c r="CA290">
        <f t="shared" si="40"/>
        <v>4.9836066217083363</v>
      </c>
    </row>
    <row r="291" spans="1:79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I291" s="2"/>
      <c r="J291" s="25"/>
      <c r="M291" s="2"/>
      <c r="N291" s="2"/>
      <c r="O291" s="2"/>
      <c r="P291" s="2"/>
      <c r="Q291" s="2"/>
      <c r="R291" s="25"/>
      <c r="S291" s="25"/>
      <c r="T291" s="25"/>
      <c r="AA291" s="2"/>
      <c r="AC291" s="55"/>
      <c r="AD291" s="57"/>
      <c r="AE291" s="55"/>
      <c r="AF291" s="55"/>
      <c r="AG291" s="52"/>
      <c r="AH291" s="51"/>
      <c r="AI291" s="52"/>
      <c r="AJ291" s="52"/>
      <c r="AK291" s="28"/>
      <c r="AL291" s="28"/>
      <c r="AM291" s="28"/>
      <c r="AN291" s="28"/>
      <c r="AO291" s="28"/>
      <c r="AP291" s="28"/>
      <c r="AQ291" s="28"/>
      <c r="AR291" s="28"/>
      <c r="AS291" s="25"/>
      <c r="AT291" s="25"/>
      <c r="AU291" s="25"/>
      <c r="AV291" s="25"/>
      <c r="AY291" s="75"/>
      <c r="AZ291" s="75"/>
      <c r="BA291" s="75"/>
      <c r="BI291" s="79" t="s">
        <v>1264</v>
      </c>
      <c r="BJ291" s="79">
        <v>1423</v>
      </c>
      <c r="BK291" s="79">
        <v>10</v>
      </c>
      <c r="BM291" s="79" t="s">
        <v>1275</v>
      </c>
      <c r="BN291" s="79" t="s">
        <v>863</v>
      </c>
      <c r="BO291" s="79">
        <v>1.2</v>
      </c>
      <c r="BP291" s="79">
        <v>30</v>
      </c>
      <c r="BQ291" s="79">
        <v>0.5</v>
      </c>
      <c r="BR291" s="79">
        <v>0</v>
      </c>
      <c r="BS291" s="79" t="s">
        <v>1335</v>
      </c>
      <c r="BT291" s="79" t="s">
        <v>464</v>
      </c>
      <c r="BU291" s="79" t="s">
        <v>1271</v>
      </c>
      <c r="BV291" s="79">
        <v>300</v>
      </c>
      <c r="BW291" s="79">
        <v>300</v>
      </c>
      <c r="BX291" s="79" t="s">
        <v>1311</v>
      </c>
      <c r="BZ291" s="81">
        <v>128</v>
      </c>
      <c r="CA291">
        <f t="shared" si="40"/>
        <v>4.8520302639196169</v>
      </c>
    </row>
    <row r="292" spans="1:79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I292" s="2"/>
      <c r="J292" s="25"/>
      <c r="M292" s="2"/>
      <c r="N292" s="2"/>
      <c r="O292" s="2"/>
      <c r="P292" s="2"/>
      <c r="Q292" s="2"/>
      <c r="R292" s="25"/>
      <c r="S292" s="25"/>
      <c r="T292" s="25"/>
      <c r="AA292" s="2"/>
      <c r="AC292" s="55"/>
      <c r="AD292" s="57"/>
      <c r="AE292" s="55"/>
      <c r="AF292" s="55"/>
      <c r="AG292" s="52"/>
      <c r="AH292" s="51"/>
      <c r="AI292" s="52"/>
      <c r="AJ292" s="52"/>
      <c r="AK292" s="28"/>
      <c r="AL292" s="28"/>
      <c r="AM292" s="28"/>
      <c r="AN292" s="28"/>
      <c r="AO292" s="28"/>
      <c r="AP292" s="28"/>
      <c r="AQ292" s="28"/>
      <c r="AR292" s="28"/>
      <c r="AS292" s="25"/>
      <c r="AT292" s="25"/>
      <c r="AU292" s="25"/>
      <c r="AV292" s="25"/>
      <c r="AY292" s="75"/>
      <c r="AZ292" s="75"/>
      <c r="BA292" s="75"/>
      <c r="BI292" s="79" t="s">
        <v>1264</v>
      </c>
      <c r="BJ292" s="79">
        <v>1423</v>
      </c>
      <c r="BK292" s="79">
        <v>10</v>
      </c>
      <c r="BM292" s="79" t="s">
        <v>1275</v>
      </c>
      <c r="BN292" s="79" t="s">
        <v>863</v>
      </c>
      <c r="BO292" s="79">
        <v>3</v>
      </c>
      <c r="BP292" s="79">
        <v>30</v>
      </c>
      <c r="BQ292" s="79">
        <v>0.5</v>
      </c>
      <c r="BR292" s="79">
        <v>0</v>
      </c>
      <c r="BS292" s="79" t="s">
        <v>1335</v>
      </c>
      <c r="BT292" s="79" t="s">
        <v>464</v>
      </c>
      <c r="BU292" s="79" t="s">
        <v>1271</v>
      </c>
      <c r="BV292" s="79">
        <v>300</v>
      </c>
      <c r="BW292" s="79">
        <v>300</v>
      </c>
      <c r="BX292" s="79" t="s">
        <v>1311</v>
      </c>
      <c r="BZ292" s="81">
        <v>56</v>
      </c>
      <c r="CA292">
        <f t="shared" si="40"/>
        <v>4.0253516907351496</v>
      </c>
    </row>
    <row r="293" spans="1:79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I293" s="2"/>
      <c r="J293" s="25"/>
      <c r="M293" s="2"/>
      <c r="N293" s="2"/>
      <c r="O293" s="2"/>
      <c r="P293" s="2"/>
      <c r="Q293" s="2"/>
      <c r="R293" s="25"/>
      <c r="S293" s="25"/>
      <c r="T293" s="25"/>
      <c r="AA293" s="2"/>
      <c r="AC293" s="55"/>
      <c r="AD293" s="57"/>
      <c r="AE293" s="55"/>
      <c r="AF293" s="55"/>
      <c r="AG293" s="52"/>
      <c r="AH293" s="51"/>
      <c r="AI293" s="52"/>
      <c r="AJ293" s="52"/>
      <c r="AK293" s="28"/>
      <c r="AL293" s="28"/>
      <c r="AM293" s="28"/>
      <c r="AN293" s="28"/>
      <c r="AO293" s="28"/>
      <c r="AP293" s="28"/>
      <c r="AQ293" s="28"/>
      <c r="AR293" s="28"/>
      <c r="AS293" s="25"/>
      <c r="AT293" s="25"/>
      <c r="AU293" s="25"/>
      <c r="AV293" s="25"/>
      <c r="AY293" s="75"/>
      <c r="AZ293" s="75"/>
      <c r="BA293" s="75"/>
      <c r="BI293" s="79" t="s">
        <v>1264</v>
      </c>
      <c r="BJ293" s="79">
        <v>1423</v>
      </c>
      <c r="BK293" s="79">
        <v>10</v>
      </c>
      <c r="BM293" s="79" t="s">
        <v>1275</v>
      </c>
      <c r="BN293" s="79" t="s">
        <v>863</v>
      </c>
      <c r="BO293" s="79">
        <v>4</v>
      </c>
      <c r="BP293" s="79">
        <v>30</v>
      </c>
      <c r="BQ293" s="79">
        <v>0.5</v>
      </c>
      <c r="BR293" s="79">
        <v>0</v>
      </c>
      <c r="BS293" s="79" t="s">
        <v>1335</v>
      </c>
      <c r="BT293" s="79" t="s">
        <v>464</v>
      </c>
      <c r="BU293" s="79" t="s">
        <v>1271</v>
      </c>
      <c r="BV293" s="79">
        <v>300</v>
      </c>
      <c r="BW293" s="79">
        <v>300</v>
      </c>
      <c r="BX293" s="79" t="s">
        <v>1311</v>
      </c>
      <c r="BZ293" s="81">
        <v>20</v>
      </c>
      <c r="CA293">
        <f t="shared" si="40"/>
        <v>2.9957322735539909</v>
      </c>
    </row>
    <row r="294" spans="1:79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I294" s="2">
        <v>2</v>
      </c>
      <c r="J294" s="25">
        <v>0</v>
      </c>
      <c r="K294">
        <v>0</v>
      </c>
      <c r="L294">
        <v>0</v>
      </c>
      <c r="M294" s="2"/>
      <c r="N294" s="2"/>
      <c r="O294" s="2"/>
      <c r="P294" s="2"/>
      <c r="Q294" s="2"/>
      <c r="R294" s="25">
        <v>0</v>
      </c>
      <c r="S294" s="25"/>
      <c r="T294" s="25"/>
      <c r="U294">
        <v>0</v>
      </c>
      <c r="X294">
        <v>0</v>
      </c>
      <c r="AA294" s="2"/>
      <c r="AB294">
        <v>18</v>
      </c>
      <c r="AC294" s="55">
        <f t="shared" si="37"/>
        <v>0</v>
      </c>
      <c r="AD294" s="57">
        <v>0</v>
      </c>
      <c r="AE294" s="55">
        <v>0</v>
      </c>
      <c r="AF294" s="55">
        <v>0</v>
      </c>
      <c r="AG294" s="52" t="e">
        <f t="shared" si="41"/>
        <v>#DIV/0!</v>
      </c>
      <c r="AH294" s="51"/>
      <c r="AI294" s="52"/>
      <c r="AJ294" s="52"/>
      <c r="AK294" s="28">
        <v>1.8</v>
      </c>
      <c r="AL294" s="28">
        <v>2.4</v>
      </c>
      <c r="AM294" s="28">
        <v>1.1333333333333331</v>
      </c>
      <c r="AN294" s="28">
        <v>0</v>
      </c>
      <c r="AO294" s="28">
        <v>0.33750000000000002</v>
      </c>
      <c r="AP294" s="28">
        <v>0.45</v>
      </c>
      <c r="AQ294" s="28">
        <v>0.21249999999999999</v>
      </c>
      <c r="AR294" s="28">
        <v>0</v>
      </c>
      <c r="AS294" s="25">
        <v>0.93</v>
      </c>
      <c r="AT294" s="25">
        <v>3.44</v>
      </c>
      <c r="AU294" s="25">
        <v>2.5099999999999998</v>
      </c>
      <c r="AV294" s="25">
        <v>2.6033333333333331</v>
      </c>
      <c r="AW294">
        <v>2.6033333333333331</v>
      </c>
      <c r="AX294">
        <v>5.9143459586666669</v>
      </c>
      <c r="AY294" s="75"/>
      <c r="AZ294" s="75"/>
      <c r="BA294" s="75"/>
      <c r="BB294">
        <v>5.0758522673197588E-2</v>
      </c>
      <c r="BF294">
        <v>0.1015170453463952</v>
      </c>
      <c r="BG294">
        <v>5.0758522673197588E-2</v>
      </c>
      <c r="BH294">
        <v>0</v>
      </c>
      <c r="BI294" s="79" t="s">
        <v>1264</v>
      </c>
      <c r="BJ294" s="79">
        <v>1573</v>
      </c>
      <c r="BK294" s="79">
        <v>10</v>
      </c>
      <c r="BM294" s="79" t="s">
        <v>1268</v>
      </c>
      <c r="BN294" s="79" t="s">
        <v>863</v>
      </c>
      <c r="BO294" s="79">
        <v>0.5</v>
      </c>
      <c r="BP294" s="79">
        <v>1.3</v>
      </c>
      <c r="BQ294" s="79">
        <v>1.35</v>
      </c>
      <c r="BR294" s="79">
        <v>13.3</v>
      </c>
      <c r="BS294" s="79" t="s">
        <v>464</v>
      </c>
      <c r="BT294" s="79" t="s">
        <v>464</v>
      </c>
      <c r="BU294" s="79" t="s">
        <v>1266</v>
      </c>
      <c r="BV294" s="79">
        <v>400</v>
      </c>
      <c r="BX294" s="79" t="s">
        <v>1311</v>
      </c>
      <c r="BZ294" s="81">
        <v>330</v>
      </c>
      <c r="CA294">
        <f t="shared" si="40"/>
        <v>5.7990926544605257</v>
      </c>
    </row>
    <row r="295" spans="1:79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I295" s="2">
        <v>2</v>
      </c>
      <c r="J295" s="25">
        <v>0</v>
      </c>
      <c r="K295">
        <v>0</v>
      </c>
      <c r="L295">
        <v>0</v>
      </c>
      <c r="M295" s="2">
        <v>3.97</v>
      </c>
      <c r="N295" s="2">
        <v>3.97</v>
      </c>
      <c r="O295" s="2">
        <v>22.5</v>
      </c>
      <c r="P295" s="2"/>
      <c r="Q295" s="2"/>
      <c r="R295" s="25">
        <v>0</v>
      </c>
      <c r="S295" s="25"/>
      <c r="T295" s="25"/>
      <c r="U295">
        <v>0</v>
      </c>
      <c r="X295">
        <v>0</v>
      </c>
      <c r="AA295" s="2">
        <v>3</v>
      </c>
      <c r="AB295">
        <v>18</v>
      </c>
      <c r="AC295" s="55">
        <f t="shared" si="37"/>
        <v>354.62025000000006</v>
      </c>
      <c r="AD295" s="57">
        <v>0</v>
      </c>
      <c r="AE295" s="55">
        <v>0</v>
      </c>
      <c r="AF295" s="55">
        <v>0</v>
      </c>
      <c r="AG295" s="52">
        <f t="shared" si="41"/>
        <v>0.10151704534639518</v>
      </c>
      <c r="AH295" s="51"/>
      <c r="AI295" s="52"/>
      <c r="AJ295" s="52"/>
      <c r="AK295" s="28">
        <v>1.8</v>
      </c>
      <c r="AL295" s="28">
        <v>2.4</v>
      </c>
      <c r="AM295" s="28">
        <v>1.1333333333333331</v>
      </c>
      <c r="AN295" s="28">
        <v>0</v>
      </c>
      <c r="AO295" s="28">
        <v>0.33750000000000002</v>
      </c>
      <c r="AP295" s="28">
        <v>0.45</v>
      </c>
      <c r="AQ295" s="28">
        <v>0.21249999999999999</v>
      </c>
      <c r="AR295" s="28">
        <v>0</v>
      </c>
      <c r="AS295" s="25">
        <v>0.79</v>
      </c>
      <c r="AT295" s="25">
        <v>3.44</v>
      </c>
      <c r="AU295" s="25">
        <v>2.65</v>
      </c>
      <c r="AV295" s="25">
        <v>2.5939999999999999</v>
      </c>
      <c r="AW295">
        <v>2.5939999999999999</v>
      </c>
      <c r="AX295">
        <v>5.870297050914334</v>
      </c>
      <c r="AY295" s="75"/>
      <c r="AZ295" s="75"/>
      <c r="BA295" s="75"/>
      <c r="BB295">
        <v>5.0758522673197588E-2</v>
      </c>
      <c r="BF295">
        <v>0.1015170453463952</v>
      </c>
      <c r="BG295">
        <v>5.0758522673197588E-2</v>
      </c>
      <c r="BH295">
        <v>0</v>
      </c>
      <c r="BI295" s="79" t="s">
        <v>1264</v>
      </c>
      <c r="BJ295" s="79">
        <v>1573</v>
      </c>
      <c r="BK295" s="79">
        <v>10</v>
      </c>
      <c r="BM295" s="79" t="s">
        <v>1268</v>
      </c>
      <c r="BN295" s="79" t="s">
        <v>863</v>
      </c>
      <c r="BO295" s="79">
        <v>0.5</v>
      </c>
      <c r="BP295" s="79">
        <v>6.1</v>
      </c>
      <c r="BQ295" s="79">
        <v>1.35</v>
      </c>
      <c r="BR295" s="79">
        <v>13.3</v>
      </c>
      <c r="BS295" s="79" t="s">
        <v>464</v>
      </c>
      <c r="BT295" s="79" t="s">
        <v>464</v>
      </c>
      <c r="BU295" s="79" t="s">
        <v>1266</v>
      </c>
      <c r="BV295" s="79">
        <v>400</v>
      </c>
      <c r="BX295" s="79" t="s">
        <v>1311</v>
      </c>
      <c r="BZ295" s="81">
        <v>1242</v>
      </c>
      <c r="CA295">
        <f t="shared" si="40"/>
        <v>7.1244782624934242</v>
      </c>
    </row>
    <row r="296" spans="1:79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41">
        <v>0</v>
      </c>
      <c r="K296">
        <v>0</v>
      </c>
      <c r="L296">
        <v>0</v>
      </c>
      <c r="M296" s="5"/>
      <c r="N296" s="5"/>
      <c r="O296" s="5"/>
      <c r="P296" s="5"/>
      <c r="Q296" s="5"/>
      <c r="R296" s="41">
        <v>0</v>
      </c>
      <c r="S296" s="41"/>
      <c r="T296" s="41"/>
      <c r="U296">
        <v>0</v>
      </c>
      <c r="X296">
        <v>0</v>
      </c>
      <c r="AA296" s="5"/>
      <c r="AB296" s="5">
        <v>18</v>
      </c>
      <c r="AC296" s="55">
        <f t="shared" ref="AC296:AC362" si="44">M296*N296*O296</f>
        <v>0</v>
      </c>
      <c r="AD296" s="57">
        <v>0</v>
      </c>
      <c r="AE296" s="55">
        <v>0</v>
      </c>
      <c r="AF296" s="55">
        <v>0</v>
      </c>
      <c r="AG296" s="52"/>
      <c r="AH296" s="51"/>
      <c r="AI296" s="52"/>
      <c r="AJ296" s="52"/>
      <c r="AK296" s="5">
        <v>1.8</v>
      </c>
      <c r="AL296" s="5">
        <v>2.4</v>
      </c>
      <c r="AM296" s="5">
        <v>1.1333333333333331</v>
      </c>
      <c r="AN296" s="5">
        <v>0</v>
      </c>
      <c r="AO296" s="5">
        <v>0.33750000000000002</v>
      </c>
      <c r="AP296" s="5">
        <v>0.45</v>
      </c>
      <c r="AQ296" s="5">
        <v>0.21249999999999999</v>
      </c>
      <c r="AR296" s="5">
        <v>0</v>
      </c>
      <c r="AS296" s="41">
        <v>0.95</v>
      </c>
      <c r="AT296" s="41">
        <v>3.44</v>
      </c>
      <c r="AU296" s="41">
        <v>2.4900000000000002</v>
      </c>
      <c r="AV296" s="41">
        <v>2.6880000000000011</v>
      </c>
      <c r="AW296" s="5">
        <v>2.6880000000000002</v>
      </c>
      <c r="AX296" s="5">
        <v>6.2032136049900668</v>
      </c>
      <c r="AY296" s="75"/>
      <c r="AZ296" s="75"/>
      <c r="BA296" s="75"/>
      <c r="BF296">
        <v>0</v>
      </c>
      <c r="BG296">
        <v>0</v>
      </c>
      <c r="BH296">
        <v>0</v>
      </c>
      <c r="BI296" s="79" t="s">
        <v>1264</v>
      </c>
      <c r="BJ296" s="79">
        <v>1573</v>
      </c>
      <c r="BK296" s="79">
        <v>10</v>
      </c>
      <c r="BM296" s="79" t="s">
        <v>1268</v>
      </c>
      <c r="BN296" s="79" t="s">
        <v>863</v>
      </c>
      <c r="BO296" s="79">
        <v>0.5</v>
      </c>
      <c r="BP296" s="79">
        <v>26.7</v>
      </c>
      <c r="BQ296" s="79">
        <v>1.35</v>
      </c>
      <c r="BR296" s="79">
        <v>13.3</v>
      </c>
      <c r="BS296" s="79" t="s">
        <v>464</v>
      </c>
      <c r="BT296" s="79" t="s">
        <v>464</v>
      </c>
      <c r="BU296" s="79" t="s">
        <v>1266</v>
      </c>
      <c r="BV296" s="79">
        <v>400</v>
      </c>
      <c r="BX296" s="79" t="s">
        <v>1311</v>
      </c>
      <c r="BZ296" s="81">
        <v>15000</v>
      </c>
      <c r="CA296">
        <f t="shared" si="40"/>
        <v>9.6158054800843473</v>
      </c>
    </row>
    <row r="297" spans="1:79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I297" s="2">
        <v>2</v>
      </c>
      <c r="J297" s="25">
        <v>0</v>
      </c>
      <c r="K297">
        <v>0</v>
      </c>
      <c r="L297">
        <v>0</v>
      </c>
      <c r="M297" s="2"/>
      <c r="N297" s="2"/>
      <c r="O297" s="2"/>
      <c r="P297" s="2"/>
      <c r="Q297" s="2"/>
      <c r="R297" s="25">
        <v>0</v>
      </c>
      <c r="S297" s="25"/>
      <c r="T297" s="25"/>
      <c r="U297">
        <v>0</v>
      </c>
      <c r="X297">
        <v>0</v>
      </c>
      <c r="AA297" s="2"/>
      <c r="AB297">
        <v>18</v>
      </c>
      <c r="AC297" s="55">
        <f t="shared" si="44"/>
        <v>0</v>
      </c>
      <c r="AD297" s="57">
        <v>0</v>
      </c>
      <c r="AE297" s="55">
        <v>0</v>
      </c>
      <c r="AF297" s="55">
        <v>0</v>
      </c>
      <c r="AG297" s="52" t="e">
        <f t="shared" ref="AG297:AG299" si="45">I297*AB297/AC297</f>
        <v>#DIV/0!</v>
      </c>
      <c r="AH297" s="51"/>
      <c r="AI297" s="52"/>
      <c r="AJ297" s="52"/>
      <c r="AK297" s="28">
        <v>1.8</v>
      </c>
      <c r="AL297" s="28">
        <v>2.4</v>
      </c>
      <c r="AM297" s="28">
        <v>1.1333333333333331</v>
      </c>
      <c r="AN297" s="28">
        <v>0</v>
      </c>
      <c r="AO297" s="28">
        <v>0.33750000000000002</v>
      </c>
      <c r="AP297" s="28">
        <v>0.45</v>
      </c>
      <c r="AQ297" s="28">
        <v>0.21249999999999999</v>
      </c>
      <c r="AR297" s="28">
        <v>0</v>
      </c>
      <c r="AS297" s="25">
        <v>0.93</v>
      </c>
      <c r="AT297" s="25">
        <v>3.44</v>
      </c>
      <c r="AU297" s="25">
        <v>2.5099999999999998</v>
      </c>
      <c r="AV297" s="25">
        <v>2.6033333333333331</v>
      </c>
      <c r="AW297">
        <v>2.6033333333333331</v>
      </c>
      <c r="AX297">
        <v>5.9143459586666669</v>
      </c>
      <c r="AY297" s="75"/>
      <c r="AZ297" s="75"/>
      <c r="BA297" s="75"/>
      <c r="BB297">
        <v>5.0758522673197588E-2</v>
      </c>
      <c r="BF297">
        <v>0.1015170453463952</v>
      </c>
      <c r="BG297">
        <v>5.0758522673197588E-2</v>
      </c>
      <c r="BH297">
        <v>0</v>
      </c>
      <c r="BI297" s="79" t="s">
        <v>1264</v>
      </c>
      <c r="BJ297" s="79">
        <v>1573</v>
      </c>
      <c r="BK297" s="79">
        <v>10</v>
      </c>
      <c r="BM297" s="79" t="s">
        <v>1268</v>
      </c>
      <c r="BN297" s="79" t="s">
        <v>863</v>
      </c>
      <c r="BO297" s="79">
        <v>0.5</v>
      </c>
      <c r="BP297" s="79">
        <v>1.3</v>
      </c>
      <c r="BQ297" s="79">
        <v>1.35</v>
      </c>
      <c r="BR297" s="79">
        <v>13.3</v>
      </c>
      <c r="BS297" s="79" t="s">
        <v>464</v>
      </c>
      <c r="BT297" s="79" t="s">
        <v>464</v>
      </c>
      <c r="BU297" s="79" t="s">
        <v>1271</v>
      </c>
      <c r="BV297" s="79">
        <v>300</v>
      </c>
      <c r="BW297" s="79">
        <v>420</v>
      </c>
      <c r="BX297" s="79" t="s">
        <v>1311</v>
      </c>
      <c r="BZ297" s="81">
        <v>0</v>
      </c>
      <c r="CA297" t="e">
        <f t="shared" si="40"/>
        <v>#NUM!</v>
      </c>
    </row>
    <row r="298" spans="1:79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I298" s="2">
        <v>2</v>
      </c>
      <c r="J298" s="25">
        <v>0</v>
      </c>
      <c r="K298">
        <v>0</v>
      </c>
      <c r="L298">
        <v>0</v>
      </c>
      <c r="M298" s="2">
        <v>3.97</v>
      </c>
      <c r="N298" s="2">
        <v>3.97</v>
      </c>
      <c r="O298" s="2">
        <v>22.5</v>
      </c>
      <c r="P298" s="2"/>
      <c r="Q298" s="2"/>
      <c r="R298" s="25">
        <v>0</v>
      </c>
      <c r="S298" s="25"/>
      <c r="T298" s="25"/>
      <c r="U298">
        <v>0</v>
      </c>
      <c r="X298">
        <v>0</v>
      </c>
      <c r="AA298" s="2">
        <v>3</v>
      </c>
      <c r="AB298">
        <v>18</v>
      </c>
      <c r="AC298" s="55">
        <f t="shared" si="44"/>
        <v>354.62025000000006</v>
      </c>
      <c r="AD298" s="57">
        <v>0</v>
      </c>
      <c r="AE298" s="55">
        <v>0</v>
      </c>
      <c r="AF298" s="55">
        <v>0</v>
      </c>
      <c r="AG298" s="52">
        <f t="shared" si="45"/>
        <v>0.10151704534639518</v>
      </c>
      <c r="AH298" s="51"/>
      <c r="AI298" s="52"/>
      <c r="AJ298" s="52"/>
      <c r="AK298" s="28">
        <v>1.8</v>
      </c>
      <c r="AL298" s="28">
        <v>2.4</v>
      </c>
      <c r="AM298" s="28">
        <v>1.1333333333333331</v>
      </c>
      <c r="AN298" s="28">
        <v>0</v>
      </c>
      <c r="AO298" s="28">
        <v>0.33750000000000002</v>
      </c>
      <c r="AP298" s="28">
        <v>0.45</v>
      </c>
      <c r="AQ298" s="28">
        <v>0.21249999999999999</v>
      </c>
      <c r="AR298" s="28">
        <v>0</v>
      </c>
      <c r="AS298" s="25">
        <v>0.79</v>
      </c>
      <c r="AT298" s="25">
        <v>3.44</v>
      </c>
      <c r="AU298" s="25">
        <v>2.65</v>
      </c>
      <c r="AV298" s="25">
        <v>2.5939999999999999</v>
      </c>
      <c r="AW298">
        <v>2.5939999999999999</v>
      </c>
      <c r="AX298">
        <v>5.870297050914334</v>
      </c>
      <c r="AY298" s="75"/>
      <c r="AZ298" s="75"/>
      <c r="BA298" s="75"/>
      <c r="BB298">
        <v>5.0758522673197588E-2</v>
      </c>
      <c r="BF298">
        <v>0.1015170453463952</v>
      </c>
      <c r="BG298">
        <v>5.0758522673197588E-2</v>
      </c>
      <c r="BH298">
        <v>0</v>
      </c>
      <c r="BI298" s="79" t="s">
        <v>1264</v>
      </c>
      <c r="BJ298" s="79">
        <v>1573</v>
      </c>
      <c r="BK298" s="79">
        <v>10</v>
      </c>
      <c r="BM298" s="79" t="s">
        <v>1268</v>
      </c>
      <c r="BN298" s="79" t="s">
        <v>863</v>
      </c>
      <c r="BO298" s="79">
        <v>0.5</v>
      </c>
      <c r="BP298" s="79">
        <v>6.1</v>
      </c>
      <c r="BQ298" s="79">
        <v>1.35</v>
      </c>
      <c r="BR298" s="79">
        <v>13.3</v>
      </c>
      <c r="BS298" s="79" t="s">
        <v>464</v>
      </c>
      <c r="BT298" s="79" t="s">
        <v>464</v>
      </c>
      <c r="BU298" s="79" t="s">
        <v>1271</v>
      </c>
      <c r="BV298" s="79">
        <v>300</v>
      </c>
      <c r="BW298" s="79">
        <v>420</v>
      </c>
      <c r="BX298" s="79" t="s">
        <v>1311</v>
      </c>
      <c r="BZ298" s="81">
        <v>0.6</v>
      </c>
      <c r="CA298">
        <f t="shared" si="40"/>
        <v>-0.51082562376599072</v>
      </c>
    </row>
    <row r="299" spans="1:79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41">
        <v>0</v>
      </c>
      <c r="K299">
        <v>0</v>
      </c>
      <c r="L299">
        <v>0</v>
      </c>
      <c r="M299" s="5"/>
      <c r="N299" s="5"/>
      <c r="O299" s="5"/>
      <c r="P299" s="5"/>
      <c r="Q299" s="5"/>
      <c r="R299" s="41">
        <v>0</v>
      </c>
      <c r="S299" s="41"/>
      <c r="T299" s="41"/>
      <c r="U299">
        <v>0</v>
      </c>
      <c r="X299">
        <v>0</v>
      </c>
      <c r="AA299" s="5"/>
      <c r="AB299" s="5">
        <v>18</v>
      </c>
      <c r="AC299" s="55">
        <f t="shared" ref="AC299" si="46">M299*N299*O299</f>
        <v>0</v>
      </c>
      <c r="AD299" s="57">
        <v>0</v>
      </c>
      <c r="AE299" s="55">
        <v>0</v>
      </c>
      <c r="AF299" s="55">
        <v>0</v>
      </c>
      <c r="AG299" s="52"/>
      <c r="AH299" s="51"/>
      <c r="AI299" s="52"/>
      <c r="AJ299" s="52"/>
      <c r="AK299" s="5">
        <v>1.8</v>
      </c>
      <c r="AL299" s="5">
        <v>2.4</v>
      </c>
      <c r="AM299" s="5">
        <v>1.1333333333333331</v>
      </c>
      <c r="AN299" s="5">
        <v>0</v>
      </c>
      <c r="AO299" s="5">
        <v>0.33750000000000002</v>
      </c>
      <c r="AP299" s="5">
        <v>0.45</v>
      </c>
      <c r="AQ299" s="5">
        <v>0.21249999999999999</v>
      </c>
      <c r="AR299" s="5">
        <v>0</v>
      </c>
      <c r="AS299" s="41">
        <v>0.95</v>
      </c>
      <c r="AT299" s="41">
        <v>3.44</v>
      </c>
      <c r="AU299" s="41">
        <v>2.4900000000000002</v>
      </c>
      <c r="AV299" s="41">
        <v>2.6880000000000011</v>
      </c>
      <c r="AW299" s="5">
        <v>2.6880000000000002</v>
      </c>
      <c r="AX299" s="5">
        <v>6.2032136049900668</v>
      </c>
      <c r="AY299" s="75"/>
      <c r="AZ299" s="75"/>
      <c r="BA299" s="75"/>
      <c r="BF299">
        <v>0</v>
      </c>
      <c r="BG299">
        <v>0</v>
      </c>
      <c r="BH299">
        <v>0</v>
      </c>
      <c r="BI299" s="79" t="s">
        <v>1264</v>
      </c>
      <c r="BJ299" s="79">
        <v>1573</v>
      </c>
      <c r="BK299" s="79">
        <v>10</v>
      </c>
      <c r="BM299" s="79" t="s">
        <v>1268</v>
      </c>
      <c r="BN299" s="79" t="s">
        <v>863</v>
      </c>
      <c r="BO299" s="79">
        <v>0.5</v>
      </c>
      <c r="BP299" s="79">
        <v>26.7</v>
      </c>
      <c r="BQ299" s="79">
        <v>1.35</v>
      </c>
      <c r="BR299" s="79">
        <v>13.3</v>
      </c>
      <c r="BS299" s="79" t="s">
        <v>464</v>
      </c>
      <c r="BT299" s="79" t="s">
        <v>464</v>
      </c>
      <c r="BU299" s="79" t="s">
        <v>1271</v>
      </c>
      <c r="BV299" s="79">
        <v>300</v>
      </c>
      <c r="BW299" s="79">
        <v>420</v>
      </c>
      <c r="BX299" s="79" t="s">
        <v>1311</v>
      </c>
      <c r="BZ299" s="81">
        <v>3</v>
      </c>
      <c r="CA299">
        <f t="shared" si="40"/>
        <v>1.0986122886681098</v>
      </c>
    </row>
    <row r="300" spans="1:79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32" t="s">
        <v>601</v>
      </c>
      <c r="G300" s="1" t="s">
        <v>672</v>
      </c>
      <c r="I300" s="2">
        <v>2</v>
      </c>
      <c r="J300" s="25">
        <v>0</v>
      </c>
      <c r="K300">
        <v>0</v>
      </c>
      <c r="L300">
        <v>0</v>
      </c>
      <c r="M300" s="2">
        <v>3.8530000000000002</v>
      </c>
      <c r="N300" s="2">
        <v>3.8530000000000002</v>
      </c>
      <c r="O300" s="2">
        <v>29</v>
      </c>
      <c r="R300" s="25">
        <v>0</v>
      </c>
      <c r="S300" s="25"/>
      <c r="T300" s="25"/>
      <c r="U300">
        <v>0</v>
      </c>
      <c r="X300">
        <v>0</v>
      </c>
      <c r="AA300" s="2">
        <v>3</v>
      </c>
      <c r="AB300">
        <v>20</v>
      </c>
      <c r="AC300" s="55">
        <f t="shared" si="44"/>
        <v>430.52266100000003</v>
      </c>
      <c r="AD300" s="57">
        <v>0</v>
      </c>
      <c r="AE300" s="55">
        <v>0</v>
      </c>
      <c r="AF300" s="55">
        <v>0</v>
      </c>
      <c r="AG300" s="52">
        <f t="shared" si="41"/>
        <v>9.2910324179195758E-2</v>
      </c>
      <c r="AH300" s="51"/>
      <c r="AI300" s="52"/>
      <c r="AJ300" s="52"/>
      <c r="AK300" s="28">
        <v>1.75</v>
      </c>
      <c r="AL300" s="28">
        <v>2.5</v>
      </c>
      <c r="AM300" s="28">
        <v>0.75</v>
      </c>
      <c r="AN300" s="28">
        <v>0</v>
      </c>
      <c r="AO300" s="28">
        <v>0.35</v>
      </c>
      <c r="AP300" s="28">
        <v>0.5</v>
      </c>
      <c r="AQ300" s="28">
        <v>0.15</v>
      </c>
      <c r="AR300" s="28">
        <v>0</v>
      </c>
      <c r="AS300" s="25">
        <v>1</v>
      </c>
      <c r="AT300" s="25">
        <v>3.44</v>
      </c>
      <c r="AU300" s="25">
        <v>2.44</v>
      </c>
      <c r="AV300" s="25">
        <v>2.7124999999999999</v>
      </c>
      <c r="AW300">
        <v>2.7124999999999999</v>
      </c>
      <c r="AX300">
        <v>6.264025610615688</v>
      </c>
      <c r="AY300" s="75"/>
      <c r="AZ300" s="75"/>
      <c r="BA300" s="75"/>
      <c r="BB300">
        <v>4.6455162089597879E-2</v>
      </c>
      <c r="BF300">
        <v>9.2910324179195758E-2</v>
      </c>
      <c r="BG300">
        <v>4.6455162089597879E-2</v>
      </c>
      <c r="BH300">
        <v>0</v>
      </c>
      <c r="BI300" s="79" t="s">
        <v>1264</v>
      </c>
      <c r="BJ300" s="79">
        <f>1150+273</f>
        <v>1423</v>
      </c>
      <c r="BK300" s="79">
        <v>24</v>
      </c>
      <c r="BM300" s="79" t="s">
        <v>464</v>
      </c>
      <c r="BN300" s="79" t="s">
        <v>464</v>
      </c>
      <c r="BO300" s="79">
        <v>0</v>
      </c>
      <c r="BP300" s="79">
        <v>2.83</v>
      </c>
      <c r="BQ300" s="79">
        <v>2</v>
      </c>
      <c r="BR300" s="79">
        <v>10</v>
      </c>
      <c r="BS300" s="79" t="s">
        <v>464</v>
      </c>
      <c r="BT300" s="79" t="s">
        <v>464</v>
      </c>
      <c r="BU300" s="79" t="s">
        <v>1266</v>
      </c>
      <c r="BV300" s="79">
        <v>100</v>
      </c>
      <c r="BW300" s="79">
        <v>290</v>
      </c>
      <c r="BX300" s="79" t="s">
        <v>1311</v>
      </c>
      <c r="BY300" s="79">
        <f>273+60</f>
        <v>333</v>
      </c>
      <c r="BZ300" s="81">
        <v>928</v>
      </c>
      <c r="CA300">
        <f t="shared" si="40"/>
        <v>6.8330317327862007</v>
      </c>
    </row>
    <row r="301" spans="1:79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s="2">
        <v>2</v>
      </c>
      <c r="J301" s="25">
        <v>0</v>
      </c>
      <c r="K301">
        <v>0</v>
      </c>
      <c r="L301">
        <v>0</v>
      </c>
      <c r="M301" s="2">
        <v>3.8530000000000002</v>
      </c>
      <c r="N301" s="2">
        <v>3.8530000000000002</v>
      </c>
      <c r="O301" s="2">
        <v>31.24</v>
      </c>
      <c r="P301" s="2"/>
      <c r="Q301" s="2"/>
      <c r="R301" s="25">
        <v>0</v>
      </c>
      <c r="S301" s="25"/>
      <c r="T301" s="25"/>
      <c r="U301">
        <v>0</v>
      </c>
      <c r="X301">
        <v>0</v>
      </c>
      <c r="AA301" s="2">
        <v>3</v>
      </c>
      <c r="AB301">
        <v>20</v>
      </c>
      <c r="AC301" s="55">
        <f t="shared" si="44"/>
        <v>463.77682516000004</v>
      </c>
      <c r="AD301" s="57">
        <v>0</v>
      </c>
      <c r="AE301" s="55">
        <v>0</v>
      </c>
      <c r="AF301" s="55">
        <v>0</v>
      </c>
      <c r="AG301" s="52">
        <f t="shared" si="41"/>
        <v>8.6248380319996057E-2</v>
      </c>
      <c r="AH301" s="51"/>
      <c r="AI301" s="52"/>
      <c r="AJ301" s="52"/>
      <c r="AK301" s="28">
        <v>1.8125</v>
      </c>
      <c r="AL301" s="28">
        <v>2.5</v>
      </c>
      <c r="AM301" s="28">
        <v>0.6875</v>
      </c>
      <c r="AN301" s="28">
        <v>0.875</v>
      </c>
      <c r="AO301" s="28">
        <v>0.30851063829787229</v>
      </c>
      <c r="AP301" s="28">
        <v>0.42553191489361702</v>
      </c>
      <c r="AQ301" s="28">
        <v>0.1170212765957447</v>
      </c>
      <c r="AR301" s="28">
        <v>0.14893617021276601</v>
      </c>
      <c r="AS301" s="25">
        <v>1</v>
      </c>
      <c r="AT301" s="25">
        <v>3.44</v>
      </c>
      <c r="AU301" s="25">
        <v>2.44</v>
      </c>
      <c r="AV301" s="25">
        <v>2.7062499999999998</v>
      </c>
      <c r="AW301">
        <v>2.7062499999999998</v>
      </c>
      <c r="AX301">
        <v>6.2701641731156874</v>
      </c>
      <c r="AY301" s="75"/>
      <c r="AZ301" s="75"/>
      <c r="BA301" s="75"/>
      <c r="BB301">
        <v>4.3124190159998028E-2</v>
      </c>
      <c r="BF301">
        <v>8.6248380319996057E-2</v>
      </c>
      <c r="BG301">
        <v>4.3124190159998028E-2</v>
      </c>
      <c r="BH301">
        <v>0</v>
      </c>
      <c r="BI301" s="79" t="s">
        <v>1264</v>
      </c>
      <c r="BJ301" s="79">
        <f>1150+273</f>
        <v>1423</v>
      </c>
      <c r="BK301" s="79">
        <v>24</v>
      </c>
      <c r="BM301" s="79" t="s">
        <v>464</v>
      </c>
      <c r="BN301" s="79" t="s">
        <v>464</v>
      </c>
      <c r="BO301" s="79">
        <v>0</v>
      </c>
      <c r="BP301" s="79">
        <v>6.46</v>
      </c>
      <c r="BQ301" s="79">
        <v>2</v>
      </c>
      <c r="BR301" s="79">
        <v>10</v>
      </c>
      <c r="BS301" s="79" t="s">
        <v>464</v>
      </c>
      <c r="BT301" s="79" t="s">
        <v>464</v>
      </c>
      <c r="BU301" s="79" t="s">
        <v>1266</v>
      </c>
      <c r="BV301" s="79">
        <v>100</v>
      </c>
      <c r="BW301" s="79">
        <v>290</v>
      </c>
      <c r="BX301" s="79" t="s">
        <v>1311</v>
      </c>
      <c r="BY301" s="79">
        <f>273+60</f>
        <v>333</v>
      </c>
      <c r="BZ301" s="81">
        <v>8500</v>
      </c>
      <c r="CA301">
        <f t="shared" si="40"/>
        <v>9.0478214424784085</v>
      </c>
    </row>
    <row r="302" spans="1:79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s="2">
        <v>2</v>
      </c>
      <c r="J302" s="25">
        <v>0</v>
      </c>
      <c r="K302">
        <v>0</v>
      </c>
      <c r="L302">
        <v>0</v>
      </c>
      <c r="M302" s="2">
        <v>3.8530000000000002</v>
      </c>
      <c r="N302" s="2">
        <v>3.8530000000000002</v>
      </c>
      <c r="O302" s="2">
        <v>31.54</v>
      </c>
      <c r="P302" s="2"/>
      <c r="Q302" s="2"/>
      <c r="R302" s="25">
        <v>0</v>
      </c>
      <c r="S302" s="25"/>
      <c r="T302" s="25"/>
      <c r="U302">
        <v>0</v>
      </c>
      <c r="X302">
        <v>0</v>
      </c>
      <c r="AA302" s="2">
        <v>3</v>
      </c>
      <c r="AB302">
        <v>20</v>
      </c>
      <c r="AC302" s="55">
        <f t="shared" si="44"/>
        <v>468.23050786000005</v>
      </c>
      <c r="AD302" s="57">
        <v>0</v>
      </c>
      <c r="AE302" s="55">
        <v>0</v>
      </c>
      <c r="AF302" s="55">
        <v>0</v>
      </c>
      <c r="AG302" s="52">
        <f t="shared" si="41"/>
        <v>8.5428008915557282E-2</v>
      </c>
      <c r="AH302" s="51"/>
      <c r="AI302" s="52"/>
      <c r="AJ302" s="52"/>
      <c r="AK302" s="28">
        <v>1.84375</v>
      </c>
      <c r="AL302" s="28">
        <v>2.5</v>
      </c>
      <c r="AM302" s="28">
        <v>0.65625</v>
      </c>
      <c r="AN302" s="28">
        <v>1.3125</v>
      </c>
      <c r="AO302" s="28">
        <v>0.29207920792079212</v>
      </c>
      <c r="AP302" s="28">
        <v>0.39603960396039611</v>
      </c>
      <c r="AQ302" s="28">
        <v>0.103960396039604</v>
      </c>
      <c r="AR302" s="28">
        <v>0.20792079207920791</v>
      </c>
      <c r="AS302" s="25">
        <v>1</v>
      </c>
      <c r="AT302" s="25">
        <v>3.44</v>
      </c>
      <c r="AU302" s="25">
        <v>2.44</v>
      </c>
      <c r="AV302" s="25">
        <v>2.703125</v>
      </c>
      <c r="AW302">
        <v>2.703125</v>
      </c>
      <c r="AX302">
        <v>6.2732334543656876</v>
      </c>
      <c r="AY302" s="75"/>
      <c r="AZ302" s="75"/>
      <c r="BA302" s="75"/>
      <c r="BB302">
        <v>4.2714004457778641E-2</v>
      </c>
      <c r="BF302">
        <v>8.5428008915557282E-2</v>
      </c>
      <c r="BG302">
        <v>4.2714004457778641E-2</v>
      </c>
      <c r="BH302">
        <v>0</v>
      </c>
      <c r="BI302" s="79" t="s">
        <v>1264</v>
      </c>
      <c r="BJ302" s="79">
        <f>1150+273</f>
        <v>1423</v>
      </c>
      <c r="BK302" s="79">
        <v>24</v>
      </c>
      <c r="BM302" s="79" t="s">
        <v>464</v>
      </c>
      <c r="BN302" s="79" t="s">
        <v>464</v>
      </c>
      <c r="BO302" s="79">
        <v>0</v>
      </c>
      <c r="BP302" s="79">
        <v>6.64</v>
      </c>
      <c r="BQ302" s="79">
        <v>2</v>
      </c>
      <c r="BR302" s="79">
        <v>10</v>
      </c>
      <c r="BS302" s="79" t="s">
        <v>464</v>
      </c>
      <c r="BT302" s="79" t="s">
        <v>464</v>
      </c>
      <c r="BU302" s="79" t="s">
        <v>1266</v>
      </c>
      <c r="BV302" s="79">
        <v>100</v>
      </c>
      <c r="BW302" s="79">
        <v>290</v>
      </c>
      <c r="BX302" s="79" t="s">
        <v>1311</v>
      </c>
      <c r="BY302" s="79">
        <f>273+60</f>
        <v>333</v>
      </c>
      <c r="BZ302" s="81">
        <v>4016</v>
      </c>
      <c r="CA302">
        <f t="shared" si="40"/>
        <v>8.2980416613715651</v>
      </c>
    </row>
    <row r="303" spans="1:79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s="2">
        <v>2</v>
      </c>
      <c r="J303" s="25">
        <v>0</v>
      </c>
      <c r="K303">
        <v>0</v>
      </c>
      <c r="L303">
        <v>0</v>
      </c>
      <c r="M303" s="2">
        <v>3.8530000000000002</v>
      </c>
      <c r="N303" s="2">
        <v>3.8530000000000002</v>
      </c>
      <c r="O303" s="2">
        <v>32.4</v>
      </c>
      <c r="P303" s="2"/>
      <c r="Q303" s="2"/>
      <c r="R303" s="25">
        <v>0</v>
      </c>
      <c r="S303" s="25"/>
      <c r="T303" s="25"/>
      <c r="U303">
        <v>0</v>
      </c>
      <c r="X303">
        <v>0</v>
      </c>
      <c r="AA303" s="2">
        <v>3</v>
      </c>
      <c r="AB303">
        <v>20</v>
      </c>
      <c r="AC303" s="55">
        <f t="shared" si="44"/>
        <v>480.99773160000001</v>
      </c>
      <c r="AD303" s="57">
        <v>0</v>
      </c>
      <c r="AE303" s="55">
        <v>0</v>
      </c>
      <c r="AF303" s="55">
        <v>0</v>
      </c>
      <c r="AG303" s="52">
        <f t="shared" si="41"/>
        <v>8.3160475345576454E-2</v>
      </c>
      <c r="AH303" s="51"/>
      <c r="AI303" s="52"/>
      <c r="AJ303" s="52"/>
      <c r="AK303" s="28">
        <v>1.875</v>
      </c>
      <c r="AL303" s="28">
        <v>2.5</v>
      </c>
      <c r="AM303" s="28">
        <v>0.625</v>
      </c>
      <c r="AN303" s="28">
        <v>1.75</v>
      </c>
      <c r="AO303" s="28">
        <v>0.27777777777777779</v>
      </c>
      <c r="AP303" s="28">
        <v>0.37037037037037029</v>
      </c>
      <c r="AQ303" s="28">
        <v>9.2592592592592587E-2</v>
      </c>
      <c r="AR303" s="28">
        <v>0.25925925925925919</v>
      </c>
      <c r="AS303" s="25">
        <v>1</v>
      </c>
      <c r="AT303" s="25">
        <v>3.44</v>
      </c>
      <c r="AU303" s="25">
        <v>2.44</v>
      </c>
      <c r="AV303" s="25">
        <v>2.7</v>
      </c>
      <c r="AW303">
        <v>2.7</v>
      </c>
      <c r="AX303">
        <v>6.2763027356156877</v>
      </c>
      <c r="AY303" s="75"/>
      <c r="AZ303" s="75"/>
      <c r="BA303" s="75"/>
      <c r="BB303">
        <v>4.1580237672788227E-2</v>
      </c>
      <c r="BF303">
        <v>8.3160475345576454E-2</v>
      </c>
      <c r="BG303">
        <v>4.1580237672788227E-2</v>
      </c>
      <c r="BH303">
        <v>0</v>
      </c>
      <c r="BI303" s="79" t="s">
        <v>1264</v>
      </c>
      <c r="BJ303" s="79">
        <f>1150+273</f>
        <v>1423</v>
      </c>
      <c r="BK303" s="79">
        <v>24</v>
      </c>
      <c r="BM303" s="79" t="s">
        <v>464</v>
      </c>
      <c r="BN303" s="79" t="s">
        <v>464</v>
      </c>
      <c r="BO303" s="79">
        <v>0</v>
      </c>
      <c r="BP303" s="79">
        <v>5.75</v>
      </c>
      <c r="BQ303" s="79">
        <v>2</v>
      </c>
      <c r="BR303" s="79">
        <v>10</v>
      </c>
      <c r="BS303" s="79" t="s">
        <v>464</v>
      </c>
      <c r="BT303" s="79" t="s">
        <v>464</v>
      </c>
      <c r="BU303" s="79" t="s">
        <v>1266</v>
      </c>
      <c r="BV303" s="79">
        <v>100</v>
      </c>
      <c r="BW303" s="79">
        <v>290</v>
      </c>
      <c r="BX303" s="79" t="s">
        <v>1311</v>
      </c>
      <c r="BY303" s="79">
        <f>273+60</f>
        <v>333</v>
      </c>
      <c r="BZ303" s="81">
        <v>3736</v>
      </c>
      <c r="CA303">
        <f t="shared" si="40"/>
        <v>8.2257707993487337</v>
      </c>
    </row>
    <row r="304" spans="1:79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s="2">
        <v>2</v>
      </c>
      <c r="J304" s="25">
        <v>0</v>
      </c>
      <c r="K304">
        <v>0</v>
      </c>
      <c r="L304">
        <v>0</v>
      </c>
      <c r="M304" s="2">
        <v>3.8530000000000002</v>
      </c>
      <c r="N304" s="2">
        <v>3.8530000000000002</v>
      </c>
      <c r="O304" s="2">
        <v>32.64</v>
      </c>
      <c r="P304" t="s">
        <v>496</v>
      </c>
      <c r="R304" s="25">
        <v>0</v>
      </c>
      <c r="S304" s="25"/>
      <c r="T304" s="25"/>
      <c r="U304">
        <v>0</v>
      </c>
      <c r="X304">
        <v>0</v>
      </c>
      <c r="AA304" s="2">
        <v>3</v>
      </c>
      <c r="AB304">
        <v>20</v>
      </c>
      <c r="AC304" s="55">
        <f t="shared" si="44"/>
        <v>484.56067776000003</v>
      </c>
      <c r="AD304" s="57">
        <v>0</v>
      </c>
      <c r="AE304" s="55">
        <v>0</v>
      </c>
      <c r="AF304" s="55">
        <v>0</v>
      </c>
      <c r="AG304" s="52">
        <f t="shared" si="41"/>
        <v>8.2549001262153088E-2</v>
      </c>
      <c r="AH304" s="51"/>
      <c r="AI304" s="52"/>
      <c r="AJ304" s="52"/>
      <c r="AK304" s="28">
        <v>1.9375</v>
      </c>
      <c r="AL304" s="28">
        <v>2.5</v>
      </c>
      <c r="AM304" s="28">
        <v>0.5625</v>
      </c>
      <c r="AN304" s="28">
        <v>2.625</v>
      </c>
      <c r="AO304" s="28">
        <v>0.25409836065573771</v>
      </c>
      <c r="AP304" s="28">
        <v>0.32786885245901642</v>
      </c>
      <c r="AQ304" s="28">
        <v>7.3770491803278687E-2</v>
      </c>
      <c r="AR304" s="28">
        <v>0.34426229508196721</v>
      </c>
      <c r="AS304" s="25">
        <v>1</v>
      </c>
      <c r="AT304" s="25">
        <v>3.44</v>
      </c>
      <c r="AU304" s="25">
        <v>2.44</v>
      </c>
      <c r="AV304" s="25">
        <v>2.6937500000000001</v>
      </c>
      <c r="AW304">
        <v>2.6937500000000001</v>
      </c>
      <c r="AX304">
        <v>6.2824412981156881</v>
      </c>
      <c r="AY304" s="75"/>
      <c r="AZ304" s="75"/>
      <c r="BA304" s="75"/>
      <c r="BB304">
        <v>4.1274500631076537E-2</v>
      </c>
      <c r="BF304">
        <v>8.2549001262153088E-2</v>
      </c>
      <c r="BG304">
        <v>4.1274500631076537E-2</v>
      </c>
      <c r="BH304">
        <v>0</v>
      </c>
      <c r="BI304" s="79" t="s">
        <v>1264</v>
      </c>
      <c r="BJ304" s="79">
        <f>1150+273</f>
        <v>1423</v>
      </c>
      <c r="BK304" s="79">
        <v>24</v>
      </c>
      <c r="BM304" s="79" t="s">
        <v>464</v>
      </c>
      <c r="BN304" s="79" t="s">
        <v>464</v>
      </c>
      <c r="BO304" s="79">
        <v>0</v>
      </c>
      <c r="BP304" s="79">
        <v>7.41</v>
      </c>
      <c r="BQ304" s="79">
        <v>2</v>
      </c>
      <c r="BR304" s="79">
        <v>10</v>
      </c>
      <c r="BS304" s="79" t="s">
        <v>464</v>
      </c>
      <c r="BT304" s="79" t="s">
        <v>464</v>
      </c>
      <c r="BU304" s="79" t="s">
        <v>1266</v>
      </c>
      <c r="BV304" s="79">
        <v>100</v>
      </c>
      <c r="BW304" s="79">
        <v>290</v>
      </c>
      <c r="BX304" s="79" t="s">
        <v>1311</v>
      </c>
      <c r="BY304" s="79">
        <f>273+60</f>
        <v>333</v>
      </c>
      <c r="BZ304" s="81">
        <v>372</v>
      </c>
      <c r="CA304">
        <f t="shared" si="40"/>
        <v>5.9188938542731462</v>
      </c>
    </row>
    <row r="305" spans="1:79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9" t="s">
        <v>525</v>
      </c>
      <c r="G305">
        <v>-1</v>
      </c>
      <c r="I305" s="2"/>
      <c r="J305" s="25">
        <v>2</v>
      </c>
      <c r="K305">
        <v>0</v>
      </c>
      <c r="L305">
        <v>0</v>
      </c>
      <c r="M305" s="2">
        <v>5.4763999999999999</v>
      </c>
      <c r="N305" s="2">
        <v>22.404199999999999</v>
      </c>
      <c r="O305" s="2">
        <v>5.1576000000000004</v>
      </c>
      <c r="P305" s="2" t="s">
        <v>515</v>
      </c>
      <c r="Q305" s="2"/>
      <c r="R305" s="25">
        <v>11.92921406</v>
      </c>
      <c r="S305" s="25">
        <v>11.92921406</v>
      </c>
      <c r="T305" s="25">
        <v>11.92921406</v>
      </c>
      <c r="U305">
        <v>0</v>
      </c>
      <c r="X305">
        <v>0</v>
      </c>
      <c r="AA305" s="2"/>
      <c r="AB305">
        <v>14</v>
      </c>
      <c r="AC305" s="55">
        <f t="shared" si="44"/>
        <v>632.80843567468798</v>
      </c>
      <c r="AD305" s="57">
        <v>349.00875366799971</v>
      </c>
      <c r="AE305" s="55">
        <v>0</v>
      </c>
      <c r="AF305" s="55">
        <v>0</v>
      </c>
      <c r="AG305" s="52"/>
      <c r="AH305" s="51">
        <v>8.0227214090553903E-2</v>
      </c>
      <c r="AI305" s="52"/>
      <c r="AJ305" s="52"/>
      <c r="AK305" s="28">
        <v>1.7272727272727271</v>
      </c>
      <c r="AL305" s="28">
        <v>2.545454545454545</v>
      </c>
      <c r="AM305" s="28">
        <v>0.81818181818181823</v>
      </c>
      <c r="AN305" s="28">
        <v>0</v>
      </c>
      <c r="AO305" s="28">
        <v>0.3392857142857143</v>
      </c>
      <c r="AP305" s="28">
        <v>0.5</v>
      </c>
      <c r="AQ305" s="28">
        <v>0.1607142857142857</v>
      </c>
      <c r="AR305" s="28">
        <v>0</v>
      </c>
      <c r="AS305" s="25">
        <v>0.82</v>
      </c>
      <c r="AT305" s="25">
        <v>3.44</v>
      </c>
      <c r="AU305" s="25">
        <v>2.62</v>
      </c>
      <c r="AV305" s="25">
        <v>2.6545454545454539</v>
      </c>
      <c r="AW305">
        <v>2.6545454545454552</v>
      </c>
      <c r="AX305">
        <v>5.9865512095454543</v>
      </c>
      <c r="AY305" s="75">
        <v>0.50734392504100967</v>
      </c>
      <c r="AZ305" s="75"/>
      <c r="BA305" s="75"/>
      <c r="BC305">
        <v>4.0113607045276937E-2</v>
      </c>
      <c r="BF305">
        <v>8.0227214090553903E-2</v>
      </c>
      <c r="BG305">
        <v>4.0113607045276937E-2</v>
      </c>
      <c r="BH305">
        <v>0.50734392504100967</v>
      </c>
      <c r="BS305" s="79" t="s">
        <v>464</v>
      </c>
      <c r="BT305" s="79" t="s">
        <v>464</v>
      </c>
      <c r="CA305" t="e">
        <f t="shared" si="40"/>
        <v>#NUM!</v>
      </c>
    </row>
    <row r="306" spans="1:79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9" t="s">
        <v>579</v>
      </c>
      <c r="G306" t="s">
        <v>654</v>
      </c>
      <c r="I306" s="2"/>
      <c r="J306" s="25">
        <v>1</v>
      </c>
      <c r="K306">
        <v>2</v>
      </c>
      <c r="L306">
        <v>0</v>
      </c>
      <c r="M306" s="2">
        <v>7.7803000000000004</v>
      </c>
      <c r="N306" s="2">
        <v>7.7803000000000004</v>
      </c>
      <c r="O306" s="2">
        <v>42.569200000000002</v>
      </c>
      <c r="P306" s="2" t="s">
        <v>516</v>
      </c>
      <c r="Q306" s="2"/>
      <c r="R306" s="25">
        <v>11.30538971</v>
      </c>
      <c r="S306" s="25">
        <v>11.30538971</v>
      </c>
      <c r="T306" s="25">
        <v>11.30538971</v>
      </c>
      <c r="U306">
        <v>3.8996</v>
      </c>
      <c r="V306">
        <v>3.8996</v>
      </c>
      <c r="W306">
        <v>21.687999999999999</v>
      </c>
      <c r="X306">
        <v>0</v>
      </c>
      <c r="AA306" s="2"/>
      <c r="AB306">
        <v>14</v>
      </c>
      <c r="AC306" s="55">
        <f t="shared" si="44"/>
        <v>2576.8442821368285</v>
      </c>
      <c r="AD306" s="57">
        <v>169.7295487154349</v>
      </c>
      <c r="AE306" s="55">
        <v>329.80681691007999</v>
      </c>
      <c r="AF306" s="55">
        <v>0</v>
      </c>
      <c r="AG306" s="52"/>
      <c r="AH306" s="51">
        <v>8.248416440128592E-2</v>
      </c>
      <c r="AI306" s="52">
        <v>8.4898184526107132E-2</v>
      </c>
      <c r="AJ306" s="52"/>
      <c r="AK306" s="28">
        <v>1.7272727272727271</v>
      </c>
      <c r="AL306" s="28">
        <v>2.545454545454545</v>
      </c>
      <c r="AM306" s="28">
        <v>1.7272727272727271</v>
      </c>
      <c r="AN306" s="28">
        <v>0</v>
      </c>
      <c r="AO306" s="28">
        <v>0.2878787878787879</v>
      </c>
      <c r="AP306" s="28">
        <v>0.42424242424242431</v>
      </c>
      <c r="AQ306" s="28">
        <v>0.2878787878787879</v>
      </c>
      <c r="AR306" s="28">
        <v>0</v>
      </c>
      <c r="AS306" s="25">
        <v>1.1000000000000001</v>
      </c>
      <c r="AT306" s="25">
        <v>3.44</v>
      </c>
      <c r="AU306" s="25">
        <v>2.34</v>
      </c>
      <c r="AV306" s="25">
        <v>2.7554545454545449</v>
      </c>
      <c r="AW306">
        <v>2.7554545454545449</v>
      </c>
      <c r="AX306">
        <v>6.1782631499999994</v>
      </c>
      <c r="AY306" s="75">
        <v>0.46170510468104309</v>
      </c>
      <c r="AZ306" s="75">
        <v>0</v>
      </c>
      <c r="BA306" s="75"/>
      <c r="BC306">
        <v>4.124208220064296E-2</v>
      </c>
      <c r="BD306">
        <v>4.2449092263053573E-2</v>
      </c>
      <c r="BF306">
        <v>8.3691174463696533E-2</v>
      </c>
      <c r="BG306">
        <v>4.1845587231848273E-2</v>
      </c>
      <c r="BH306">
        <v>0.23085255234052149</v>
      </c>
      <c r="BS306" s="79" t="s">
        <v>464</v>
      </c>
      <c r="BT306" s="79" t="s">
        <v>464</v>
      </c>
      <c r="CA306" t="e">
        <f t="shared" si="40"/>
        <v>#NUM!</v>
      </c>
    </row>
    <row r="307" spans="1:79" x14ac:dyDescent="0.3">
      <c r="A307" s="2" t="s">
        <v>2</v>
      </c>
      <c r="B307" s="13" t="s">
        <v>687</v>
      </c>
      <c r="C307" s="13"/>
      <c r="D307" s="2">
        <v>3.3</v>
      </c>
      <c r="E307" s="2" t="s">
        <v>176</v>
      </c>
      <c r="F307" s="9" t="s">
        <v>525</v>
      </c>
      <c r="G307">
        <v>-1</v>
      </c>
      <c r="I307" s="2"/>
      <c r="J307" s="25">
        <v>2</v>
      </c>
      <c r="K307">
        <v>0</v>
      </c>
      <c r="L307">
        <v>0</v>
      </c>
      <c r="M307" s="2">
        <v>5.5339999999999998</v>
      </c>
      <c r="N307" s="2">
        <v>22.083300000000001</v>
      </c>
      <c r="O307" s="2">
        <v>5.5033000000000003</v>
      </c>
      <c r="P307" s="2" t="s">
        <v>515</v>
      </c>
      <c r="Q307" s="2"/>
      <c r="R307" s="25">
        <v>11.92921406</v>
      </c>
      <c r="S307" s="25">
        <v>11.92921406</v>
      </c>
      <c r="T307" s="25">
        <v>11.92921406</v>
      </c>
      <c r="U307">
        <v>0</v>
      </c>
      <c r="X307">
        <v>0</v>
      </c>
      <c r="AA307" s="2"/>
      <c r="AB307">
        <v>14</v>
      </c>
      <c r="AC307" s="55">
        <f t="shared" si="44"/>
        <v>672.55269174126011</v>
      </c>
      <c r="AD307" s="57">
        <v>349.00875366799971</v>
      </c>
      <c r="AE307" s="55">
        <v>0</v>
      </c>
      <c r="AF307" s="55">
        <v>0</v>
      </c>
      <c r="AG307" s="52"/>
      <c r="AH307" s="51">
        <v>8.0227214090553903E-2</v>
      </c>
      <c r="AI307" s="52"/>
      <c r="AJ307" s="52"/>
      <c r="AK307" s="28">
        <v>1.7272727272727271</v>
      </c>
      <c r="AL307" s="28">
        <v>2.545454545454545</v>
      </c>
      <c r="AM307" s="28">
        <v>0.81818181818181823</v>
      </c>
      <c r="AN307" s="28">
        <v>0</v>
      </c>
      <c r="AO307" s="28">
        <v>0.3392857142857143</v>
      </c>
      <c r="AP307" s="28">
        <v>0.5</v>
      </c>
      <c r="AQ307" s="28">
        <v>0.1607142857142857</v>
      </c>
      <c r="AR307" s="28">
        <v>0</v>
      </c>
      <c r="AS307" s="25">
        <v>0.82</v>
      </c>
      <c r="AT307" s="25">
        <v>3.44</v>
      </c>
      <c r="AU307" s="25">
        <v>2.62</v>
      </c>
      <c r="AV307" s="25">
        <v>2.6545454545454539</v>
      </c>
      <c r="AW307">
        <v>2.6545454545454552</v>
      </c>
      <c r="AX307">
        <v>5.9865512095454543</v>
      </c>
      <c r="AY307" s="75">
        <v>0.50734392504100967</v>
      </c>
      <c r="AZ307" s="75"/>
      <c r="BA307" s="75"/>
      <c r="BC307">
        <v>4.0113607045276937E-2</v>
      </c>
      <c r="BF307">
        <v>8.0227214090553903E-2</v>
      </c>
      <c r="BG307">
        <v>4.0113607045276937E-2</v>
      </c>
      <c r="BH307">
        <v>0.50734392504100967</v>
      </c>
      <c r="BP307" s="79">
        <v>1.5</v>
      </c>
      <c r="BS307" s="79" t="s">
        <v>464</v>
      </c>
      <c r="BT307" s="79" t="s">
        <v>464</v>
      </c>
      <c r="CA307" t="e">
        <f t="shared" si="40"/>
        <v>#NUM!</v>
      </c>
    </row>
    <row r="308" spans="1:79" x14ac:dyDescent="0.3">
      <c r="A308" s="2" t="s">
        <v>175</v>
      </c>
      <c r="B308" s="13" t="s">
        <v>792</v>
      </c>
      <c r="C308" s="13"/>
      <c r="D308" s="2">
        <v>2.85</v>
      </c>
      <c r="E308" s="2" t="s">
        <v>176</v>
      </c>
      <c r="F308" s="9" t="s">
        <v>579</v>
      </c>
      <c r="G308" t="s">
        <v>654</v>
      </c>
      <c r="I308" s="2"/>
      <c r="J308" s="25">
        <v>1</v>
      </c>
      <c r="K308">
        <v>2</v>
      </c>
      <c r="L308">
        <v>0</v>
      </c>
      <c r="M308" s="2">
        <v>3.9045000000000001</v>
      </c>
      <c r="N308" s="2">
        <v>3.9045000000000001</v>
      </c>
      <c r="O308" s="2">
        <v>21.652100000000001</v>
      </c>
      <c r="P308" s="2" t="s">
        <v>516</v>
      </c>
      <c r="Q308" s="2"/>
      <c r="R308" s="25">
        <v>11.30538971</v>
      </c>
      <c r="S308" s="25">
        <v>11.30538971</v>
      </c>
      <c r="T308" s="25">
        <v>11.30538971</v>
      </c>
      <c r="U308">
        <v>3.8996</v>
      </c>
      <c r="V308">
        <v>3.8996</v>
      </c>
      <c r="W308">
        <v>21.687999999999999</v>
      </c>
      <c r="X308">
        <v>0</v>
      </c>
      <c r="AA308" s="2"/>
      <c r="AB308">
        <v>14</v>
      </c>
      <c r="AC308" s="55">
        <f t="shared" si="44"/>
        <v>330.08886816502502</v>
      </c>
      <c r="AD308" s="57">
        <v>169.7295487154349</v>
      </c>
      <c r="AE308" s="55">
        <v>329.80681691007999</v>
      </c>
      <c r="AF308" s="55">
        <v>0</v>
      </c>
      <c r="AG308" s="52"/>
      <c r="AH308" s="51">
        <v>8.248416440128592E-2</v>
      </c>
      <c r="AI308" s="52">
        <v>8.4898184526107132E-2</v>
      </c>
      <c r="AJ308" s="52"/>
      <c r="AK308" s="28">
        <v>1.7272727272727271</v>
      </c>
      <c r="AL308" s="28">
        <v>2.545454545454545</v>
      </c>
      <c r="AM308" s="28">
        <v>1.7272727272727271</v>
      </c>
      <c r="AN308" s="28">
        <v>0</v>
      </c>
      <c r="AO308" s="28">
        <v>0.2878787878787879</v>
      </c>
      <c r="AP308" s="28">
        <v>0.42424242424242431</v>
      </c>
      <c r="AQ308" s="28">
        <v>0.2878787878787879</v>
      </c>
      <c r="AR308" s="28">
        <v>0</v>
      </c>
      <c r="AS308" s="25">
        <v>1.1000000000000001</v>
      </c>
      <c r="AT308" s="25">
        <v>3.44</v>
      </c>
      <c r="AU308" s="25">
        <v>2.34</v>
      </c>
      <c r="AV308" s="25">
        <v>2.7554545454545449</v>
      </c>
      <c r="AW308">
        <v>2.7554545454545449</v>
      </c>
      <c r="AX308">
        <v>6.1782631499999994</v>
      </c>
      <c r="AY308" s="75">
        <v>0.46170510468104309</v>
      </c>
      <c r="AZ308" s="75">
        <v>0</v>
      </c>
      <c r="BA308" s="75"/>
      <c r="BC308">
        <v>4.124208220064296E-2</v>
      </c>
      <c r="BD308">
        <v>4.2449092263053573E-2</v>
      </c>
      <c r="BF308">
        <v>8.3691174463696533E-2</v>
      </c>
      <c r="BG308">
        <v>4.1845587231848273E-2</v>
      </c>
      <c r="BH308">
        <v>0.23085255234052149</v>
      </c>
      <c r="BP308" s="79">
        <v>4.2</v>
      </c>
      <c r="BS308" s="79" t="s">
        <v>464</v>
      </c>
      <c r="BT308" s="79" t="s">
        <v>464</v>
      </c>
      <c r="CA308" t="e">
        <f t="shared" si="40"/>
        <v>#NUM!</v>
      </c>
    </row>
    <row r="309" spans="1:79" x14ac:dyDescent="0.3">
      <c r="A309" s="2" t="s">
        <v>5</v>
      </c>
      <c r="B309" s="13" t="s">
        <v>690</v>
      </c>
      <c r="C309" s="13"/>
      <c r="D309" s="2">
        <v>3.5</v>
      </c>
      <c r="E309" s="2" t="s">
        <v>176</v>
      </c>
      <c r="F309" s="9" t="s">
        <v>528</v>
      </c>
      <c r="G309" t="s">
        <v>610</v>
      </c>
      <c r="I309" s="2"/>
      <c r="J309" s="25">
        <v>1</v>
      </c>
      <c r="K309">
        <v>1</v>
      </c>
      <c r="L309">
        <v>0</v>
      </c>
      <c r="M309" s="2">
        <v>3.8650000000000002</v>
      </c>
      <c r="N309" s="2">
        <v>3.8650000000000002</v>
      </c>
      <c r="O309" s="2">
        <v>14.974299999999999</v>
      </c>
      <c r="P309" s="2" t="s">
        <v>439</v>
      </c>
      <c r="Q309" s="2"/>
      <c r="R309" s="25">
        <v>3.9661010000000001</v>
      </c>
      <c r="S309" s="25">
        <v>3.9661010000000001</v>
      </c>
      <c r="T309" s="25">
        <v>15.283337</v>
      </c>
      <c r="U309">
        <v>3.8586499999999999</v>
      </c>
      <c r="V309">
        <v>3.8586499999999999</v>
      </c>
      <c r="W309">
        <v>14.9108</v>
      </c>
      <c r="X309">
        <v>0</v>
      </c>
      <c r="AA309" s="2"/>
      <c r="AB309">
        <v>20</v>
      </c>
      <c r="AC309" s="55">
        <f t="shared" si="44"/>
        <v>223.6894626175</v>
      </c>
      <c r="AD309" s="57">
        <v>240.40623599981481</v>
      </c>
      <c r="AE309" s="55">
        <v>222.00958249733301</v>
      </c>
      <c r="AF309" s="55">
        <v>0</v>
      </c>
      <c r="AG309" s="52"/>
      <c r="AH309" s="51">
        <v>8.3192517518619641E-2</v>
      </c>
      <c r="AI309" s="52">
        <v>9.0086201573034624E-2</v>
      </c>
      <c r="AJ309" s="52"/>
      <c r="AK309" s="28">
        <v>1.75</v>
      </c>
      <c r="AL309" s="28">
        <v>2.5</v>
      </c>
      <c r="AM309" s="28">
        <v>0.75</v>
      </c>
      <c r="AN309" s="28">
        <v>0</v>
      </c>
      <c r="AO309" s="28">
        <v>0.35</v>
      </c>
      <c r="AP309" s="28">
        <v>0.5</v>
      </c>
      <c r="AQ309" s="28">
        <v>0.15</v>
      </c>
      <c r="AR309" s="28">
        <v>0</v>
      </c>
      <c r="AS309" s="25">
        <v>0.82</v>
      </c>
      <c r="AT309" s="25">
        <v>3.44</v>
      </c>
      <c r="AU309" s="25">
        <v>2.62</v>
      </c>
      <c r="AV309" s="25">
        <v>2.6262500000000002</v>
      </c>
      <c r="AW309">
        <v>2.6262500000000002</v>
      </c>
      <c r="AX309">
        <v>5.9612134765624996</v>
      </c>
      <c r="AY309" s="75">
        <v>0.50467688585120674</v>
      </c>
      <c r="AZ309" s="75">
        <v>0.54649654829675798</v>
      </c>
      <c r="BA309" s="75"/>
      <c r="BC309">
        <v>4.159625875930982E-2</v>
      </c>
      <c r="BD309">
        <v>4.5043100786517312E-2</v>
      </c>
      <c r="BF309">
        <v>8.6639359545827133E-2</v>
      </c>
      <c r="BG309">
        <v>4.3319679772913573E-2</v>
      </c>
      <c r="BH309">
        <v>0.5255867170739823</v>
      </c>
      <c r="BP309" s="79">
        <v>1.9</v>
      </c>
      <c r="BS309" s="79" t="s">
        <v>464</v>
      </c>
      <c r="BT309" s="79" t="s">
        <v>464</v>
      </c>
      <c r="CA309" t="e">
        <f t="shared" si="40"/>
        <v>#NUM!</v>
      </c>
    </row>
    <row r="310" spans="1:79" x14ac:dyDescent="0.3">
      <c r="A310" s="5" t="s">
        <v>177</v>
      </c>
      <c r="B310" s="39" t="s">
        <v>793</v>
      </c>
      <c r="C310" s="39"/>
      <c r="D310" s="5">
        <v>2.65</v>
      </c>
      <c r="E310" s="5" t="s">
        <v>176</v>
      </c>
      <c r="F310" s="40">
        <v>-2</v>
      </c>
      <c r="G310" s="5">
        <v>-1</v>
      </c>
      <c r="H310" s="5"/>
      <c r="I310" s="5"/>
      <c r="J310" s="41">
        <v>0</v>
      </c>
      <c r="K310">
        <v>0</v>
      </c>
      <c r="L310">
        <v>0</v>
      </c>
      <c r="M310" s="5"/>
      <c r="N310" s="5"/>
      <c r="O310" s="5"/>
      <c r="P310" s="5"/>
      <c r="Q310" s="5"/>
      <c r="R310" s="41">
        <v>0</v>
      </c>
      <c r="S310" s="41"/>
      <c r="T310" s="41"/>
      <c r="U310">
        <v>0</v>
      </c>
      <c r="X310">
        <v>0</v>
      </c>
      <c r="AA310" s="5"/>
      <c r="AB310" s="5">
        <v>20</v>
      </c>
      <c r="AC310" s="55">
        <f t="shared" si="44"/>
        <v>0</v>
      </c>
      <c r="AD310" s="57">
        <v>0</v>
      </c>
      <c r="AE310" s="55">
        <v>0</v>
      </c>
      <c r="AF310" s="55">
        <v>0</v>
      </c>
      <c r="AG310" s="52"/>
      <c r="AH310" s="51"/>
      <c r="AI310" s="52"/>
      <c r="AJ310" s="52"/>
      <c r="AK310" s="5">
        <v>1.75</v>
      </c>
      <c r="AL310" s="5">
        <v>2.5</v>
      </c>
      <c r="AM310" s="5">
        <v>1.375</v>
      </c>
      <c r="AN310" s="5">
        <v>0</v>
      </c>
      <c r="AO310" s="5">
        <v>0.31111111111111112</v>
      </c>
      <c r="AP310" s="5">
        <v>0.44444444444444442</v>
      </c>
      <c r="AQ310" s="5">
        <v>0.24444444444444441</v>
      </c>
      <c r="AR310" s="5">
        <v>0</v>
      </c>
      <c r="AS310" s="41">
        <v>1</v>
      </c>
      <c r="AT310" s="41">
        <v>3.44</v>
      </c>
      <c r="AU310" s="41">
        <v>2.44</v>
      </c>
      <c r="AV310" s="41">
        <v>2.6956250000000002</v>
      </c>
      <c r="AW310" s="5">
        <v>2.6956250000000002</v>
      </c>
      <c r="AX310" s="5">
        <v>6.0930154356250004</v>
      </c>
      <c r="AY310" s="75"/>
      <c r="AZ310" s="75"/>
      <c r="BA310" s="75"/>
      <c r="BF310">
        <v>0</v>
      </c>
      <c r="BG310">
        <v>0</v>
      </c>
      <c r="BH310">
        <v>0</v>
      </c>
      <c r="BP310" s="79">
        <v>2.1</v>
      </c>
      <c r="BS310" s="79" t="s">
        <v>464</v>
      </c>
      <c r="BT310" s="79" t="s">
        <v>464</v>
      </c>
      <c r="CA310" t="e">
        <f t="shared" si="40"/>
        <v>#NUM!</v>
      </c>
    </row>
    <row r="311" spans="1:79" x14ac:dyDescent="0.3">
      <c r="A311" s="2" t="s">
        <v>178</v>
      </c>
      <c r="B311" s="13" t="s">
        <v>794</v>
      </c>
      <c r="C311" s="13"/>
      <c r="D311" s="2">
        <v>3.1</v>
      </c>
      <c r="E311" s="2" t="s">
        <v>176</v>
      </c>
      <c r="F311" s="9" t="s">
        <v>580</v>
      </c>
      <c r="G311" t="s">
        <v>655</v>
      </c>
      <c r="I311" s="2"/>
      <c r="J311" s="25">
        <v>1</v>
      </c>
      <c r="K311">
        <v>1</v>
      </c>
      <c r="L311">
        <v>0</v>
      </c>
      <c r="M311" s="2">
        <v>3.9007999999999998</v>
      </c>
      <c r="N311" s="2">
        <v>3.9007999999999998</v>
      </c>
      <c r="O311" s="2">
        <v>15.317</v>
      </c>
      <c r="P311" s="2" t="s">
        <v>439</v>
      </c>
      <c r="Q311" s="2"/>
      <c r="R311" s="25">
        <v>3.9860820000000001</v>
      </c>
      <c r="S311" s="25">
        <v>3.9860820000000001</v>
      </c>
      <c r="T311" s="25">
        <v>15.440419</v>
      </c>
      <c r="U311">
        <v>3.8944000000000001</v>
      </c>
      <c r="V311">
        <v>3.8944000000000001</v>
      </c>
      <c r="W311">
        <v>15.271000000000001</v>
      </c>
      <c r="X311">
        <v>0</v>
      </c>
      <c r="AA311" s="2"/>
      <c r="AB311">
        <v>20</v>
      </c>
      <c r="AC311" s="55">
        <f t="shared" si="44"/>
        <v>233.06715788288</v>
      </c>
      <c r="AD311" s="57">
        <v>245.33049696160739</v>
      </c>
      <c r="AE311" s="55">
        <v>231.60535161856001</v>
      </c>
      <c r="AF311" s="55">
        <v>0</v>
      </c>
      <c r="AG311" s="52"/>
      <c r="AH311" s="51">
        <v>8.1522681638434333E-2</v>
      </c>
      <c r="AI311" s="52">
        <v>8.6353790446685313E-2</v>
      </c>
      <c r="AJ311" s="52"/>
      <c r="AK311" s="28">
        <v>1.75</v>
      </c>
      <c r="AL311" s="28">
        <v>2.5</v>
      </c>
      <c r="AM311" s="28">
        <v>0.75</v>
      </c>
      <c r="AN311" s="28">
        <v>0</v>
      </c>
      <c r="AO311" s="28">
        <v>0.35</v>
      </c>
      <c r="AP311" s="28">
        <v>0.5</v>
      </c>
      <c r="AQ311" s="28">
        <v>0.15</v>
      </c>
      <c r="AR311" s="28">
        <v>0</v>
      </c>
      <c r="AS311" s="25">
        <v>0.82</v>
      </c>
      <c r="AT311" s="25">
        <v>3.44</v>
      </c>
      <c r="AU311" s="25">
        <v>2.62</v>
      </c>
      <c r="AV311" s="25">
        <v>2.62</v>
      </c>
      <c r="AW311">
        <v>2.62</v>
      </c>
      <c r="AX311">
        <v>5.9367901628125006</v>
      </c>
      <c r="AY311" s="75">
        <v>0.52249469585014929</v>
      </c>
      <c r="AZ311" s="75">
        <v>0.55345821025686881</v>
      </c>
      <c r="BA311" s="75"/>
      <c r="BC311">
        <v>4.0761340819217173E-2</v>
      </c>
      <c r="BD311">
        <v>4.3176895223342657E-2</v>
      </c>
      <c r="BF311">
        <v>8.3938236042559816E-2</v>
      </c>
      <c r="BG311">
        <v>4.1969118021279922E-2</v>
      </c>
      <c r="BH311">
        <v>0.53797645305350905</v>
      </c>
      <c r="BP311" s="79">
        <v>2.7</v>
      </c>
      <c r="BS311" s="79" t="s">
        <v>464</v>
      </c>
      <c r="BT311" s="79" t="s">
        <v>464</v>
      </c>
      <c r="CA311" t="e">
        <f t="shared" si="40"/>
        <v>#NUM!</v>
      </c>
    </row>
    <row r="312" spans="1:79" x14ac:dyDescent="0.3">
      <c r="A312" s="5" t="s">
        <v>179</v>
      </c>
      <c r="B312" s="39" t="s">
        <v>795</v>
      </c>
      <c r="C312" s="39"/>
      <c r="D312" s="5">
        <v>2.66</v>
      </c>
      <c r="E312" s="5" t="s">
        <v>176</v>
      </c>
      <c r="F312" s="40">
        <v>-2</v>
      </c>
      <c r="G312" s="5">
        <v>-1</v>
      </c>
      <c r="H312" s="5"/>
      <c r="I312" s="5"/>
      <c r="J312" s="41">
        <v>0</v>
      </c>
      <c r="K312">
        <v>0</v>
      </c>
      <c r="L312">
        <v>0</v>
      </c>
      <c r="M312" s="5"/>
      <c r="N312" s="5"/>
      <c r="O312" s="5"/>
      <c r="P312" s="5"/>
      <c r="Q312" s="5"/>
      <c r="R312" s="41">
        <v>0</v>
      </c>
      <c r="S312" s="41"/>
      <c r="T312" s="41"/>
      <c r="U312">
        <v>0</v>
      </c>
      <c r="X312">
        <v>0</v>
      </c>
      <c r="AA312" s="5"/>
      <c r="AB312" s="5">
        <v>20</v>
      </c>
      <c r="AC312" s="55">
        <f t="shared" si="44"/>
        <v>0</v>
      </c>
      <c r="AD312" s="57">
        <v>0</v>
      </c>
      <c r="AE312" s="55">
        <v>0</v>
      </c>
      <c r="AF312" s="55">
        <v>0</v>
      </c>
      <c r="AG312" s="52"/>
      <c r="AH312" s="51"/>
      <c r="AI312" s="52"/>
      <c r="AJ312" s="52"/>
      <c r="AK312" s="5">
        <v>1.75</v>
      </c>
      <c r="AL312" s="5">
        <v>2.5</v>
      </c>
      <c r="AM312" s="5">
        <v>1.375</v>
      </c>
      <c r="AN312" s="5">
        <v>0</v>
      </c>
      <c r="AO312" s="5">
        <v>0.31111111111111112</v>
      </c>
      <c r="AP312" s="5">
        <v>0.44444444444444442</v>
      </c>
      <c r="AQ312" s="5">
        <v>0.24444444444444441</v>
      </c>
      <c r="AR312" s="5">
        <v>0</v>
      </c>
      <c r="AS312" s="41">
        <v>0.95</v>
      </c>
      <c r="AT312" s="41">
        <v>3.44</v>
      </c>
      <c r="AU312" s="41">
        <v>2.4900000000000002</v>
      </c>
      <c r="AV312" s="41">
        <v>2.6893750000000001</v>
      </c>
      <c r="AW312" s="5">
        <v>2.6893750000000001</v>
      </c>
      <c r="AX312" s="5">
        <v>6.0685921218750014</v>
      </c>
      <c r="AY312" s="75"/>
      <c r="AZ312" s="75"/>
      <c r="BA312" s="75"/>
      <c r="BF312">
        <v>0</v>
      </c>
      <c r="BG312">
        <v>0</v>
      </c>
      <c r="BH312">
        <v>0</v>
      </c>
      <c r="BP312" s="79">
        <v>3</v>
      </c>
      <c r="BS312" s="79" t="s">
        <v>464</v>
      </c>
      <c r="BT312" s="79" t="s">
        <v>464</v>
      </c>
      <c r="CA312" t="e">
        <f t="shared" si="40"/>
        <v>#NUM!</v>
      </c>
    </row>
    <row r="313" spans="1:79" x14ac:dyDescent="0.3">
      <c r="A313" s="2" t="s">
        <v>180</v>
      </c>
      <c r="B313" s="13" t="s">
        <v>796</v>
      </c>
      <c r="C313" s="13"/>
      <c r="D313" s="2">
        <v>3.6</v>
      </c>
      <c r="E313" s="2" t="s">
        <v>176</v>
      </c>
      <c r="F313" s="9">
        <v>-1</v>
      </c>
      <c r="G313">
        <v>-1</v>
      </c>
      <c r="I313" s="2">
        <v>2</v>
      </c>
      <c r="J313" s="25">
        <v>0</v>
      </c>
      <c r="K313">
        <v>0</v>
      </c>
      <c r="L313">
        <v>0</v>
      </c>
      <c r="M313" s="2">
        <v>3.9287999999999998</v>
      </c>
      <c r="N313" s="2">
        <v>3.9287999999999998</v>
      </c>
      <c r="O313" s="2">
        <v>30.2698</v>
      </c>
      <c r="P313" s="2" t="s">
        <v>439</v>
      </c>
      <c r="Q313" s="2"/>
      <c r="R313" s="25">
        <v>0</v>
      </c>
      <c r="S313" s="25"/>
      <c r="T313" s="25"/>
      <c r="U313">
        <v>0</v>
      </c>
      <c r="X313">
        <v>0</v>
      </c>
      <c r="AA313" s="2"/>
      <c r="AB313">
        <v>20</v>
      </c>
      <c r="AC313" s="55">
        <f t="shared" si="44"/>
        <v>467.22857285491193</v>
      </c>
      <c r="AD313" s="57">
        <v>0</v>
      </c>
      <c r="AE313" s="55">
        <v>0</v>
      </c>
      <c r="AF313" s="55">
        <v>0</v>
      </c>
      <c r="AG313" s="52">
        <f t="shared" ref="AG313:AG316" si="47">I313*AB313/AC313</f>
        <v>8.5611202576048706E-2</v>
      </c>
      <c r="AH313" s="51"/>
      <c r="AI313" s="52"/>
      <c r="AJ313" s="52"/>
      <c r="AK313" s="28">
        <v>1.882352941176471</v>
      </c>
      <c r="AL313" s="28">
        <v>2.3529411764705879</v>
      </c>
      <c r="AM313" s="28">
        <v>0.47058823529411759</v>
      </c>
      <c r="AN313" s="28">
        <v>0</v>
      </c>
      <c r="AO313" s="28">
        <v>0.4</v>
      </c>
      <c r="AP313" s="28">
        <v>0.5</v>
      </c>
      <c r="AQ313" s="28">
        <v>9.9999999999999992E-2</v>
      </c>
      <c r="AR313" s="28">
        <v>0</v>
      </c>
      <c r="AS313" s="25">
        <v>0.82</v>
      </c>
      <c r="AT313" s="25">
        <v>3.44</v>
      </c>
      <c r="AU313" s="25">
        <v>2.62</v>
      </c>
      <c r="AV313" s="25">
        <v>2.5211764705882351</v>
      </c>
      <c r="AW313">
        <v>2.521176470588236</v>
      </c>
      <c r="AX313">
        <v>5.6793405594117647</v>
      </c>
      <c r="AY313" s="75"/>
      <c r="AZ313" s="75"/>
      <c r="BA313" s="75"/>
      <c r="BB313">
        <v>4.2805601288024353E-2</v>
      </c>
      <c r="BF313">
        <v>8.5611202576048706E-2</v>
      </c>
      <c r="BG313">
        <v>4.2805601288024353E-2</v>
      </c>
      <c r="BH313">
        <v>0</v>
      </c>
      <c r="BP313" s="79">
        <v>2.2999999999999998</v>
      </c>
      <c r="BS313" s="79" t="s">
        <v>464</v>
      </c>
      <c r="BT313" s="79" t="s">
        <v>464</v>
      </c>
      <c r="CA313" t="e">
        <f t="shared" si="40"/>
        <v>#NUM!</v>
      </c>
    </row>
    <row r="314" spans="1:79" x14ac:dyDescent="0.3">
      <c r="A314" s="2" t="s">
        <v>181</v>
      </c>
      <c r="B314" s="13" t="s">
        <v>797</v>
      </c>
      <c r="C314" s="13"/>
      <c r="D314" s="2">
        <v>2.4</v>
      </c>
      <c r="E314" s="2" t="s">
        <v>176</v>
      </c>
      <c r="F314" s="9" t="s">
        <v>581</v>
      </c>
      <c r="G314" t="s">
        <v>656</v>
      </c>
      <c r="I314" s="2">
        <v>2</v>
      </c>
      <c r="J314" s="25">
        <v>1</v>
      </c>
      <c r="K314">
        <v>2</v>
      </c>
      <c r="L314">
        <v>0</v>
      </c>
      <c r="M314" s="2">
        <v>3.8313999999999999</v>
      </c>
      <c r="N314" s="2">
        <v>3.8313999999999999</v>
      </c>
      <c r="O314" s="2">
        <v>28.871400000000001</v>
      </c>
      <c r="P314" s="2" t="s">
        <v>440</v>
      </c>
      <c r="Q314" s="2"/>
      <c r="R314" s="25">
        <v>14.88329339</v>
      </c>
      <c r="S314" s="25">
        <v>14.88329339</v>
      </c>
      <c r="T314" s="25">
        <v>14.88329339</v>
      </c>
      <c r="U314">
        <v>3.8250999999999999</v>
      </c>
      <c r="V314">
        <v>3.8250999999999999</v>
      </c>
      <c r="W314">
        <v>28.884</v>
      </c>
      <c r="X314">
        <v>0</v>
      </c>
      <c r="AA314" s="2"/>
      <c r="AB314">
        <v>20</v>
      </c>
      <c r="AC314" s="55">
        <f t="shared" si="44"/>
        <v>423.82135294154398</v>
      </c>
      <c r="AD314" s="57">
        <v>218.43262216091571</v>
      </c>
      <c r="AE314" s="55">
        <v>422.61306904883998</v>
      </c>
      <c r="AF314" s="55">
        <v>0</v>
      </c>
      <c r="AG314" s="52">
        <f t="shared" si="47"/>
        <v>9.4379388207741013E-2</v>
      </c>
      <c r="AH314" s="51">
        <v>9.1561415150097566E-2</v>
      </c>
      <c r="AI314" s="52">
        <v>9.4649226276950119E-2</v>
      </c>
      <c r="AJ314" s="52"/>
      <c r="AK314" s="28">
        <v>1.882352941176471</v>
      </c>
      <c r="AL314" s="28">
        <v>2.3529411764705879</v>
      </c>
      <c r="AM314" s="28">
        <v>1.6470588235294119</v>
      </c>
      <c r="AN314" s="28">
        <v>0</v>
      </c>
      <c r="AO314" s="28">
        <v>0.32</v>
      </c>
      <c r="AP314" s="28">
        <v>0.4</v>
      </c>
      <c r="AQ314" s="28">
        <v>0.28000000000000003</v>
      </c>
      <c r="AR314" s="28">
        <v>0</v>
      </c>
      <c r="AS314" s="25">
        <v>1.1000000000000001</v>
      </c>
      <c r="AT314" s="25">
        <v>3.44</v>
      </c>
      <c r="AU314" s="25">
        <v>2.34</v>
      </c>
      <c r="AV314" s="25">
        <v>2.651764705882353</v>
      </c>
      <c r="AW314">
        <v>2.651764705882353</v>
      </c>
      <c r="AX314">
        <v>5.9274383647058819</v>
      </c>
      <c r="AY314" s="75">
        <v>0.55146660057091235</v>
      </c>
      <c r="AZ314" s="75">
        <v>0.57006422384419775</v>
      </c>
      <c r="BA314" s="75"/>
      <c r="BB314">
        <v>4.7189694103870507E-2</v>
      </c>
      <c r="BC314">
        <v>4.5780707575048769E-2</v>
      </c>
      <c r="BD314">
        <v>4.7324613138475059E-2</v>
      </c>
      <c r="BF314">
        <v>9.353000987826289E-2</v>
      </c>
      <c r="BG314">
        <v>4.6765004939131452E-2</v>
      </c>
      <c r="BH314">
        <v>0.56076541220755505</v>
      </c>
      <c r="BP314" s="79">
        <v>3.1</v>
      </c>
      <c r="BS314" s="79" t="s">
        <v>464</v>
      </c>
      <c r="BT314" s="79" t="s">
        <v>464</v>
      </c>
      <c r="CA314" t="e">
        <f t="shared" si="40"/>
        <v>#NUM!</v>
      </c>
    </row>
    <row r="315" spans="1:79" x14ac:dyDescent="0.3">
      <c r="A315" s="2" t="s">
        <v>175</v>
      </c>
      <c r="B315" s="17" t="s">
        <v>792</v>
      </c>
      <c r="C315" s="13"/>
      <c r="D315" s="2">
        <v>3.15</v>
      </c>
      <c r="E315" s="2" t="s">
        <v>176</v>
      </c>
      <c r="F315" s="9" t="s">
        <v>579</v>
      </c>
      <c r="G315" t="s">
        <v>654</v>
      </c>
      <c r="I315" s="2"/>
      <c r="J315" s="25">
        <v>1</v>
      </c>
      <c r="K315">
        <v>2</v>
      </c>
      <c r="L315">
        <v>0</v>
      </c>
      <c r="M315" s="2">
        <v>7.7803000000000004</v>
      </c>
      <c r="N315" s="2">
        <v>7.7803000000000004</v>
      </c>
      <c r="O315" s="2">
        <v>42.569200000000002</v>
      </c>
      <c r="P315" s="2" t="s">
        <v>516</v>
      </c>
      <c r="Q315" s="2"/>
      <c r="R315" s="25">
        <v>11.30538971</v>
      </c>
      <c r="S315" s="25">
        <v>11.30538971</v>
      </c>
      <c r="T315" s="25">
        <v>11.30538971</v>
      </c>
      <c r="U315">
        <v>3.8996</v>
      </c>
      <c r="V315">
        <v>3.8996</v>
      </c>
      <c r="W315">
        <v>21.687999999999999</v>
      </c>
      <c r="X315">
        <v>0</v>
      </c>
      <c r="AA315" s="2"/>
      <c r="AB315">
        <v>14</v>
      </c>
      <c r="AC315" s="55">
        <f t="shared" si="44"/>
        <v>2576.8442821368285</v>
      </c>
      <c r="AD315" s="57">
        <v>169.7295487154349</v>
      </c>
      <c r="AE315" s="55">
        <v>329.80681691007999</v>
      </c>
      <c r="AF315" s="55">
        <v>0</v>
      </c>
      <c r="AG315" s="52"/>
      <c r="AH315" s="51">
        <v>8.248416440128592E-2</v>
      </c>
      <c r="AI315" s="52">
        <v>8.4898184526107132E-2</v>
      </c>
      <c r="AJ315" s="52"/>
      <c r="AK315" s="28">
        <v>1.7272727272727271</v>
      </c>
      <c r="AL315" s="28">
        <v>2.545454545454545</v>
      </c>
      <c r="AM315" s="28">
        <v>1.7272727272727271</v>
      </c>
      <c r="AN315" s="28">
        <v>0</v>
      </c>
      <c r="AO315" s="28">
        <v>0.2878787878787879</v>
      </c>
      <c r="AP315" s="28">
        <v>0.42424242424242431</v>
      </c>
      <c r="AQ315" s="28">
        <v>0.2878787878787879</v>
      </c>
      <c r="AR315" s="28">
        <v>0</v>
      </c>
      <c r="AS315" s="25">
        <v>1.1000000000000001</v>
      </c>
      <c r="AT315" s="25">
        <v>3.44</v>
      </c>
      <c r="AU315" s="25">
        <v>2.34</v>
      </c>
      <c r="AV315" s="25">
        <v>2.7554545454545449</v>
      </c>
      <c r="AW315">
        <v>2.7554545454545449</v>
      </c>
      <c r="AX315">
        <v>6.1782631499999994</v>
      </c>
      <c r="AY315" s="75">
        <v>0.46170510468104309</v>
      </c>
      <c r="AZ315" s="75">
        <v>0</v>
      </c>
      <c r="BA315" s="75"/>
      <c r="BC315">
        <v>4.124208220064296E-2</v>
      </c>
      <c r="BD315">
        <v>4.2449092263053573E-2</v>
      </c>
      <c r="BF315">
        <v>8.3691174463696533E-2</v>
      </c>
      <c r="BG315">
        <v>4.1845587231848273E-2</v>
      </c>
      <c r="BH315">
        <v>0.23085255234052149</v>
      </c>
      <c r="BN315" s="79" t="s">
        <v>863</v>
      </c>
      <c r="BO315" s="79">
        <v>1</v>
      </c>
      <c r="BS315" s="79" t="s">
        <v>464</v>
      </c>
      <c r="BT315" s="79" t="s">
        <v>464</v>
      </c>
      <c r="CA315" t="e">
        <f t="shared" si="40"/>
        <v>#NUM!</v>
      </c>
    </row>
    <row r="316" spans="1:79" x14ac:dyDescent="0.3">
      <c r="A316" s="2" t="s">
        <v>177</v>
      </c>
      <c r="B316" s="17" t="s">
        <v>793</v>
      </c>
      <c r="C316" s="13"/>
      <c r="D316" s="2">
        <v>3.14</v>
      </c>
      <c r="E316" s="2" t="s">
        <v>176</v>
      </c>
      <c r="F316" s="9">
        <v>-1</v>
      </c>
      <c r="G316">
        <v>-1</v>
      </c>
      <c r="I316" s="2">
        <v>1</v>
      </c>
      <c r="J316" s="25">
        <v>0</v>
      </c>
      <c r="K316">
        <v>0</v>
      </c>
      <c r="L316">
        <v>0</v>
      </c>
      <c r="M316" s="2">
        <v>3.84</v>
      </c>
      <c r="N316" s="2">
        <v>3.84</v>
      </c>
      <c r="O316" s="2">
        <v>15.007</v>
      </c>
      <c r="P316" s="2"/>
      <c r="Q316" s="2"/>
      <c r="R316" s="25">
        <v>0</v>
      </c>
      <c r="S316" s="25"/>
      <c r="T316" s="25"/>
      <c r="U316">
        <v>0</v>
      </c>
      <c r="X316">
        <v>0</v>
      </c>
      <c r="AA316" s="2"/>
      <c r="AB316">
        <v>20</v>
      </c>
      <c r="AC316" s="55">
        <f t="shared" si="44"/>
        <v>221.28721919999998</v>
      </c>
      <c r="AD316" s="57">
        <v>0</v>
      </c>
      <c r="AE316" s="55">
        <v>0</v>
      </c>
      <c r="AF316" s="55">
        <v>0</v>
      </c>
      <c r="AG316" s="52">
        <f t="shared" si="47"/>
        <v>9.0380276241457697E-2</v>
      </c>
      <c r="AH316" s="51"/>
      <c r="AI316" s="52"/>
      <c r="AJ316" s="52"/>
      <c r="AK316" s="28">
        <v>1.75</v>
      </c>
      <c r="AL316" s="28">
        <v>2.5</v>
      </c>
      <c r="AM316" s="28">
        <v>1.375</v>
      </c>
      <c r="AN316" s="28">
        <v>0</v>
      </c>
      <c r="AO316" s="28">
        <v>0.31111111111111112</v>
      </c>
      <c r="AP316" s="28">
        <v>0.44444444444444442</v>
      </c>
      <c r="AQ316" s="28">
        <v>0.24444444444444441</v>
      </c>
      <c r="AR316" s="28">
        <v>0</v>
      </c>
      <c r="AS316" s="25">
        <v>1</v>
      </c>
      <c r="AT316" s="25">
        <v>3.44</v>
      </c>
      <c r="AU316" s="25">
        <v>2.44</v>
      </c>
      <c r="AV316" s="25">
        <v>2.6956250000000002</v>
      </c>
      <c r="AW316">
        <v>2.6956250000000002</v>
      </c>
      <c r="AX316">
        <v>6.0930154356250004</v>
      </c>
      <c r="AY316" s="75"/>
      <c r="AZ316" s="75"/>
      <c r="BA316" s="75"/>
      <c r="BB316">
        <v>4.5190138120728848E-2</v>
      </c>
      <c r="BF316">
        <v>9.0380276241457697E-2</v>
      </c>
      <c r="BG316">
        <v>4.5190138120728848E-2</v>
      </c>
      <c r="BH316">
        <v>0</v>
      </c>
      <c r="BN316" s="79" t="s">
        <v>863</v>
      </c>
      <c r="BO316" s="79">
        <v>1</v>
      </c>
      <c r="BS316" s="79" t="s">
        <v>464</v>
      </c>
      <c r="BT316" s="79" t="s">
        <v>464</v>
      </c>
      <c r="CA316" t="e">
        <f t="shared" si="40"/>
        <v>#NUM!</v>
      </c>
    </row>
    <row r="317" spans="1:79" x14ac:dyDescent="0.3">
      <c r="A317" s="5" t="s">
        <v>179</v>
      </c>
      <c r="B317" s="46" t="s">
        <v>795</v>
      </c>
      <c r="C317" s="39"/>
      <c r="D317" s="5">
        <v>3.22</v>
      </c>
      <c r="E317" s="5" t="s">
        <v>176</v>
      </c>
      <c r="F317" s="40">
        <v>-2</v>
      </c>
      <c r="G317" s="5">
        <v>-1</v>
      </c>
      <c r="H317" s="5"/>
      <c r="I317" s="5"/>
      <c r="J317" s="41">
        <v>0</v>
      </c>
      <c r="K317">
        <v>0</v>
      </c>
      <c r="L317">
        <v>0</v>
      </c>
      <c r="M317" s="5"/>
      <c r="N317" s="5"/>
      <c r="O317" s="5"/>
      <c r="P317" s="5"/>
      <c r="Q317" s="5"/>
      <c r="R317" s="41">
        <v>0</v>
      </c>
      <c r="S317" s="41"/>
      <c r="T317" s="41"/>
      <c r="U317">
        <v>0</v>
      </c>
      <c r="X317">
        <v>0</v>
      </c>
      <c r="AA317" s="5"/>
      <c r="AB317" s="5">
        <v>20</v>
      </c>
      <c r="AC317" s="55">
        <f t="shared" si="44"/>
        <v>0</v>
      </c>
      <c r="AD317" s="57">
        <v>0</v>
      </c>
      <c r="AE317" s="55">
        <v>0</v>
      </c>
      <c r="AF317" s="55">
        <v>0</v>
      </c>
      <c r="AG317" s="52"/>
      <c r="AH317" s="51"/>
      <c r="AI317" s="52"/>
      <c r="AJ317" s="52"/>
      <c r="AK317" s="5">
        <v>1.75</v>
      </c>
      <c r="AL317" s="5">
        <v>2.5</v>
      </c>
      <c r="AM317" s="5">
        <v>1.375</v>
      </c>
      <c r="AN317" s="5">
        <v>0</v>
      </c>
      <c r="AO317" s="5">
        <v>0.31111111111111112</v>
      </c>
      <c r="AP317" s="5">
        <v>0.44444444444444442</v>
      </c>
      <c r="AQ317" s="5">
        <v>0.24444444444444441</v>
      </c>
      <c r="AR317" s="5">
        <v>0</v>
      </c>
      <c r="AS317" s="41">
        <v>0.95</v>
      </c>
      <c r="AT317" s="41">
        <v>3.44</v>
      </c>
      <c r="AU317" s="41">
        <v>2.4900000000000002</v>
      </c>
      <c r="AV317" s="41">
        <v>2.6893750000000001</v>
      </c>
      <c r="AW317" s="5">
        <v>2.6893750000000001</v>
      </c>
      <c r="AX317" s="5">
        <v>6.0685921218750014</v>
      </c>
      <c r="AY317" s="75"/>
      <c r="AZ317" s="75"/>
      <c r="BA317" s="75"/>
      <c r="BF317">
        <v>0</v>
      </c>
      <c r="BG317">
        <v>0</v>
      </c>
      <c r="BH317">
        <v>0</v>
      </c>
      <c r="BN317" s="79" t="s">
        <v>863</v>
      </c>
      <c r="BO317" s="79">
        <v>1</v>
      </c>
      <c r="BS317" s="79" t="s">
        <v>464</v>
      </c>
      <c r="BT317" s="79" t="s">
        <v>464</v>
      </c>
      <c r="CA317" t="e">
        <f t="shared" si="40"/>
        <v>#NUM!</v>
      </c>
    </row>
    <row r="318" spans="1:79" x14ac:dyDescent="0.3">
      <c r="A318" s="2" t="s">
        <v>181</v>
      </c>
      <c r="B318" s="17" t="s">
        <v>797</v>
      </c>
      <c r="C318" s="13"/>
      <c r="D318" s="2">
        <v>3.42</v>
      </c>
      <c r="E318" s="2" t="s">
        <v>176</v>
      </c>
      <c r="F318" s="9" t="s">
        <v>581</v>
      </c>
      <c r="G318" t="s">
        <v>656</v>
      </c>
      <c r="I318" s="2"/>
      <c r="J318" s="25">
        <v>1</v>
      </c>
      <c r="K318">
        <v>2</v>
      </c>
      <c r="L318">
        <v>0</v>
      </c>
      <c r="M318" s="2">
        <v>7.7803000000000004</v>
      </c>
      <c r="N318" s="2">
        <v>7.7803000000000004</v>
      </c>
      <c r="O318" s="2">
        <v>42.569200000000002</v>
      </c>
      <c r="P318" s="2" t="s">
        <v>516</v>
      </c>
      <c r="Q318" s="2"/>
      <c r="R318" s="25">
        <v>14.88329339</v>
      </c>
      <c r="S318" s="25">
        <v>14.88329339</v>
      </c>
      <c r="T318" s="25">
        <v>14.88329339</v>
      </c>
      <c r="U318">
        <v>3.8250999999999999</v>
      </c>
      <c r="V318">
        <v>3.8250999999999999</v>
      </c>
      <c r="W318">
        <v>28.884</v>
      </c>
      <c r="X318">
        <v>0</v>
      </c>
      <c r="AA318" s="2"/>
      <c r="AB318">
        <v>20</v>
      </c>
      <c r="AC318" s="55">
        <f t="shared" si="44"/>
        <v>2576.8442821368285</v>
      </c>
      <c r="AD318" s="57">
        <v>218.43262216091571</v>
      </c>
      <c r="AE318" s="55">
        <v>422.61306904883998</v>
      </c>
      <c r="AF318" s="55">
        <v>0</v>
      </c>
      <c r="AG318" s="52"/>
      <c r="AH318" s="51">
        <v>9.1561415150097566E-2</v>
      </c>
      <c r="AI318" s="52">
        <v>9.4649226276950119E-2</v>
      </c>
      <c r="AJ318" s="52"/>
      <c r="AK318" s="28">
        <v>1.882352941176471</v>
      </c>
      <c r="AL318" s="28">
        <v>2.3529411764705879</v>
      </c>
      <c r="AM318" s="28">
        <v>1.6470588235294119</v>
      </c>
      <c r="AN318" s="28">
        <v>0</v>
      </c>
      <c r="AO318" s="28">
        <v>0.32</v>
      </c>
      <c r="AP318" s="28">
        <v>0.4</v>
      </c>
      <c r="AQ318" s="28">
        <v>0.28000000000000003</v>
      </c>
      <c r="AR318" s="28">
        <v>0</v>
      </c>
      <c r="AS318" s="25">
        <v>1.1000000000000001</v>
      </c>
      <c r="AT318" s="25">
        <v>3.44</v>
      </c>
      <c r="AU318" s="25">
        <v>2.34</v>
      </c>
      <c r="AV318" s="25">
        <v>2.651764705882353</v>
      </c>
      <c r="AW318">
        <v>2.651764705882353</v>
      </c>
      <c r="AX318">
        <v>5.9274383647058819</v>
      </c>
      <c r="AY318" s="75">
        <v>0.55146660057091235</v>
      </c>
      <c r="AZ318" s="75">
        <v>0.57006422384419775</v>
      </c>
      <c r="BA318" s="75"/>
      <c r="BC318">
        <v>4.5780707575048769E-2</v>
      </c>
      <c r="BD318">
        <v>4.7324613138475059E-2</v>
      </c>
      <c r="BF318">
        <v>9.3105320713523843E-2</v>
      </c>
      <c r="BG318">
        <v>4.6552660356761907E-2</v>
      </c>
      <c r="BH318">
        <v>0.56076541220755505</v>
      </c>
      <c r="BN318" s="79" t="s">
        <v>863</v>
      </c>
      <c r="BO318" s="79">
        <v>1</v>
      </c>
      <c r="BS318" s="79" t="s">
        <v>464</v>
      </c>
      <c r="BT318" s="79" t="s">
        <v>464</v>
      </c>
      <c r="CA318" t="e">
        <f t="shared" si="40"/>
        <v>#NUM!</v>
      </c>
    </row>
    <row r="319" spans="1:79" x14ac:dyDescent="0.3">
      <c r="A319" s="2" t="s">
        <v>38</v>
      </c>
      <c r="B319" s="13" t="s">
        <v>714</v>
      </c>
      <c r="C319" s="13"/>
      <c r="D319" s="2">
        <v>3.9</v>
      </c>
      <c r="E319" s="2" t="s">
        <v>182</v>
      </c>
      <c r="F319" s="9" t="s">
        <v>545</v>
      </c>
      <c r="G319" t="s">
        <v>626</v>
      </c>
      <c r="I319" s="2"/>
      <c r="J319" s="25">
        <v>1</v>
      </c>
      <c r="K319">
        <v>1</v>
      </c>
      <c r="L319">
        <v>0</v>
      </c>
      <c r="M319" s="2"/>
      <c r="N319" s="2"/>
      <c r="O319" s="2"/>
      <c r="P319" s="2"/>
      <c r="Q319" s="2"/>
      <c r="R319" s="25">
        <v>5.8532381300000003</v>
      </c>
      <c r="S319" s="25">
        <v>5.8532371599999999</v>
      </c>
      <c r="T319" s="25">
        <v>11.912811489999999</v>
      </c>
      <c r="U319">
        <v>5.7946</v>
      </c>
      <c r="V319">
        <v>5.7946</v>
      </c>
      <c r="W319">
        <v>11.787599999999999</v>
      </c>
      <c r="X319">
        <v>0</v>
      </c>
      <c r="AA319" s="2"/>
      <c r="AB319">
        <v>30</v>
      </c>
      <c r="AC319" s="55">
        <f t="shared" si="44"/>
        <v>0</v>
      </c>
      <c r="AD319" s="57">
        <v>353.45760058531442</v>
      </c>
      <c r="AE319" s="55">
        <v>342.77011164986573</v>
      </c>
      <c r="AF319" s="55">
        <v>0</v>
      </c>
      <c r="AG319" s="52"/>
      <c r="AH319" s="51">
        <v>8.487580957467307E-2</v>
      </c>
      <c r="AI319" s="52">
        <v>8.752221672887435E-2</v>
      </c>
      <c r="AJ319" s="52"/>
      <c r="AK319" s="28">
        <v>1.833333333333333</v>
      </c>
      <c r="AL319" s="28">
        <v>2.5</v>
      </c>
      <c r="AM319" s="28">
        <v>0.66666666666666663</v>
      </c>
      <c r="AN319" s="28">
        <v>0</v>
      </c>
      <c r="AO319" s="28">
        <v>0.36666666666666659</v>
      </c>
      <c r="AP319" s="28">
        <v>0.5</v>
      </c>
      <c r="AQ319" s="28">
        <v>0.1333333333333333</v>
      </c>
      <c r="AR319" s="28">
        <v>0</v>
      </c>
      <c r="AS319" s="25">
        <v>0.89</v>
      </c>
      <c r="AT319" s="25">
        <v>3.44</v>
      </c>
      <c r="AU319" s="25">
        <v>2.5499999999999998</v>
      </c>
      <c r="AV319" s="25">
        <v>2.6020833333333329</v>
      </c>
      <c r="AW319">
        <v>2.6020833333333329</v>
      </c>
      <c r="AX319">
        <v>5.9098726145833336</v>
      </c>
      <c r="AY319" s="75">
        <v>0.57410011132036598</v>
      </c>
      <c r="AZ319" s="75">
        <v>0.59200041353179045</v>
      </c>
      <c r="BA319" s="75"/>
      <c r="BC319">
        <v>4.2437904787336528E-2</v>
      </c>
      <c r="BD319">
        <v>4.3761108364437168E-2</v>
      </c>
      <c r="BF319">
        <v>8.619901315177371E-2</v>
      </c>
      <c r="BG319">
        <v>4.3099506575886848E-2</v>
      </c>
      <c r="BH319">
        <v>0.58305026242607827</v>
      </c>
      <c r="BP319" s="79">
        <v>0.7</v>
      </c>
      <c r="BS319" s="79" t="s">
        <v>464</v>
      </c>
      <c r="BT319" s="79" t="s">
        <v>464</v>
      </c>
      <c r="CA319" t="e">
        <f t="shared" si="40"/>
        <v>#NUM!</v>
      </c>
    </row>
    <row r="320" spans="1:79" x14ac:dyDescent="0.3">
      <c r="A320" s="2" t="s">
        <v>48</v>
      </c>
      <c r="B320" s="13" t="s">
        <v>724</v>
      </c>
      <c r="C320" s="13"/>
      <c r="D320" s="2">
        <v>4.3</v>
      </c>
      <c r="E320" s="2" t="s">
        <v>183</v>
      </c>
      <c r="F320" s="9" t="s">
        <v>552</v>
      </c>
      <c r="G320" t="s">
        <v>630</v>
      </c>
      <c r="I320" s="2"/>
      <c r="J320" s="25">
        <v>2</v>
      </c>
      <c r="K320">
        <v>8</v>
      </c>
      <c r="L320">
        <v>0</v>
      </c>
      <c r="M320" s="2"/>
      <c r="N320" s="2"/>
      <c r="O320" s="2"/>
      <c r="P320" s="2"/>
      <c r="Q320" s="2"/>
      <c r="R320" s="25">
        <v>7.4836094600000003</v>
      </c>
      <c r="S320" s="25">
        <v>7.4836094600000003</v>
      </c>
      <c r="T320" s="25">
        <v>7.4836094600000003</v>
      </c>
      <c r="U320">
        <v>10.34</v>
      </c>
      <c r="V320">
        <v>10.34</v>
      </c>
      <c r="W320">
        <v>10.34</v>
      </c>
      <c r="X320">
        <v>0</v>
      </c>
      <c r="AA320" s="2"/>
      <c r="AB320">
        <v>14</v>
      </c>
      <c r="AC320" s="55">
        <f t="shared" si="44"/>
        <v>0</v>
      </c>
      <c r="AD320" s="57">
        <v>296.35915518228359</v>
      </c>
      <c r="AE320" s="55">
        <v>1105.507304</v>
      </c>
      <c r="AF320" s="55">
        <v>0</v>
      </c>
      <c r="AG320" s="52"/>
      <c r="AH320" s="51">
        <v>9.4479956196318104E-2</v>
      </c>
      <c r="AI320" s="52">
        <v>0.1013109543417363</v>
      </c>
      <c r="AJ320" s="52"/>
      <c r="AK320" s="28">
        <v>1.8181818181818179</v>
      </c>
      <c r="AL320" s="28">
        <v>2.545454545454545</v>
      </c>
      <c r="AM320" s="28">
        <v>0.72727272727272729</v>
      </c>
      <c r="AN320" s="28">
        <v>0</v>
      </c>
      <c r="AO320" s="28">
        <v>0.35714285714285721</v>
      </c>
      <c r="AP320" s="28">
        <v>0.5</v>
      </c>
      <c r="AQ320" s="28">
        <v>0.1428571428571429</v>
      </c>
      <c r="AR320" s="28">
        <v>0</v>
      </c>
      <c r="AS320" s="25">
        <v>1</v>
      </c>
      <c r="AT320" s="25">
        <v>3.44</v>
      </c>
      <c r="AU320" s="25">
        <v>2.44</v>
      </c>
      <c r="AV320" s="25">
        <v>2.6618181818181821</v>
      </c>
      <c r="AW320">
        <v>2.6618181818181821</v>
      </c>
      <c r="AX320">
        <v>6.0537295018181814</v>
      </c>
      <c r="AY320" s="75">
        <v>0.50642227837041764</v>
      </c>
      <c r="AZ320" s="75">
        <v>0.5430371307011983</v>
      </c>
      <c r="BA320" s="75"/>
      <c r="BC320">
        <v>4.7239978098159073E-2</v>
      </c>
      <c r="BD320">
        <v>5.0655477170868157E-2</v>
      </c>
      <c r="BF320">
        <v>9.789545526902721E-2</v>
      </c>
      <c r="BG320">
        <v>4.8947727634513619E-2</v>
      </c>
      <c r="BH320">
        <v>0.52472970453580792</v>
      </c>
      <c r="BP320" s="79">
        <v>4.2</v>
      </c>
      <c r="BS320" s="79" t="s">
        <v>464</v>
      </c>
      <c r="BT320" s="79" t="s">
        <v>464</v>
      </c>
      <c r="CA320" t="e">
        <f t="shared" si="40"/>
        <v>#NUM!</v>
      </c>
    </row>
    <row r="321" spans="1:79" x14ac:dyDescent="0.3">
      <c r="A321" s="2" t="s">
        <v>49</v>
      </c>
      <c r="B321" s="13" t="s">
        <v>725</v>
      </c>
      <c r="C321" s="13"/>
      <c r="D321" s="2">
        <v>4.0999999999999996</v>
      </c>
      <c r="E321" s="2" t="s">
        <v>183</v>
      </c>
      <c r="F321" s="9" t="s">
        <v>553</v>
      </c>
      <c r="G321" t="s">
        <v>631</v>
      </c>
      <c r="I321" s="2"/>
      <c r="J321" s="25">
        <v>8</v>
      </c>
      <c r="K321">
        <v>8</v>
      </c>
      <c r="L321">
        <v>0</v>
      </c>
      <c r="M321" s="2"/>
      <c r="N321" s="2"/>
      <c r="O321" s="2"/>
      <c r="P321" s="2"/>
      <c r="Q321" s="2"/>
      <c r="R321" s="25">
        <v>5.8017180100000001</v>
      </c>
      <c r="S321" s="25">
        <v>7.9756520899999996</v>
      </c>
      <c r="T321" s="25">
        <v>27.352093400000001</v>
      </c>
      <c r="U321">
        <v>26.646989999999999</v>
      </c>
      <c r="V321">
        <v>7.9359999999999999</v>
      </c>
      <c r="W321">
        <v>5.7050000000000001</v>
      </c>
      <c r="X321">
        <v>0</v>
      </c>
      <c r="AA321" s="2"/>
      <c r="AB321">
        <v>14</v>
      </c>
      <c r="AC321" s="55">
        <f t="shared" si="44"/>
        <v>0</v>
      </c>
      <c r="AD321" s="57">
        <v>1265.6493143942739</v>
      </c>
      <c r="AE321" s="55">
        <v>1206.4392746112001</v>
      </c>
      <c r="AF321" s="55">
        <v>0</v>
      </c>
      <c r="AG321" s="52"/>
      <c r="AH321" s="51">
        <v>8.8492127105210025E-2</v>
      </c>
      <c r="AI321" s="52">
        <v>9.2835174017436004E-2</v>
      </c>
      <c r="AJ321" s="52"/>
      <c r="AK321" s="28">
        <v>1.8181818181818179</v>
      </c>
      <c r="AL321" s="28">
        <v>2.545454545454545</v>
      </c>
      <c r="AM321" s="28">
        <v>0.72727272727272729</v>
      </c>
      <c r="AN321" s="28">
        <v>0</v>
      </c>
      <c r="AO321" s="28">
        <v>0.35714285714285721</v>
      </c>
      <c r="AP321" s="28">
        <v>0.5</v>
      </c>
      <c r="AQ321" s="28">
        <v>0.1428571428571429</v>
      </c>
      <c r="AR321" s="28">
        <v>0</v>
      </c>
      <c r="AS321" s="25">
        <v>0.95</v>
      </c>
      <c r="AT321" s="25">
        <v>3.44</v>
      </c>
      <c r="AU321" s="25">
        <v>2.4900000000000002</v>
      </c>
      <c r="AV321" s="25">
        <v>2.6527272727272719</v>
      </c>
      <c r="AW321">
        <v>2.6527272727272728</v>
      </c>
      <c r="AX321">
        <v>6.0182046818181814</v>
      </c>
      <c r="AY321" s="75">
        <v>0.5176653673612065</v>
      </c>
      <c r="AZ321" s="75">
        <v>0.54307152550012683</v>
      </c>
      <c r="BA321" s="75"/>
      <c r="BC321">
        <v>4.4246063552605013E-2</v>
      </c>
      <c r="BD321">
        <v>4.6417587008717988E-2</v>
      </c>
      <c r="BF321">
        <v>9.0663650561323014E-2</v>
      </c>
      <c r="BG321">
        <v>4.53318252806615E-2</v>
      </c>
      <c r="BH321">
        <v>0.53036844643066661</v>
      </c>
      <c r="BP321" s="79">
        <v>5.0999999999999996</v>
      </c>
      <c r="BS321" s="79" t="s">
        <v>464</v>
      </c>
      <c r="BT321" s="79" t="s">
        <v>464</v>
      </c>
      <c r="CA321" t="e">
        <f t="shared" si="40"/>
        <v>#NUM!</v>
      </c>
    </row>
    <row r="322" spans="1:79" x14ac:dyDescent="0.3">
      <c r="A322" s="2" t="s">
        <v>46</v>
      </c>
      <c r="B322" s="13" t="s">
        <v>722</v>
      </c>
      <c r="C322" s="13"/>
      <c r="D322" s="2">
        <v>3.2</v>
      </c>
      <c r="E322" s="2" t="s">
        <v>183</v>
      </c>
      <c r="F322" s="9" t="s">
        <v>551</v>
      </c>
      <c r="G322" t="s">
        <v>629</v>
      </c>
      <c r="I322" s="2"/>
      <c r="J322" s="25">
        <v>2</v>
      </c>
      <c r="K322">
        <v>4</v>
      </c>
      <c r="L322">
        <v>0</v>
      </c>
      <c r="M322" s="2"/>
      <c r="N322" s="2"/>
      <c r="O322" s="2"/>
      <c r="P322" s="2"/>
      <c r="Q322" s="2"/>
      <c r="R322" s="25">
        <v>7.41544296</v>
      </c>
      <c r="S322" s="25">
        <v>7.4154429599999991</v>
      </c>
      <c r="T322" s="25">
        <v>7.41544296</v>
      </c>
      <c r="U322">
        <v>7.8</v>
      </c>
      <c r="V322">
        <v>13.010999999999999</v>
      </c>
      <c r="W322">
        <v>5.5460000000000003</v>
      </c>
      <c r="X322">
        <v>0</v>
      </c>
      <c r="AA322" s="2"/>
      <c r="AB322">
        <v>14</v>
      </c>
      <c r="AC322" s="55">
        <f t="shared" si="44"/>
        <v>0</v>
      </c>
      <c r="AD322" s="57">
        <v>288.33429290182369</v>
      </c>
      <c r="AE322" s="55">
        <v>556.51188553357167</v>
      </c>
      <c r="AF322" s="55">
        <v>0</v>
      </c>
      <c r="AG322" s="52"/>
      <c r="AH322" s="51">
        <v>9.7109503410799117E-2</v>
      </c>
      <c r="AI322" s="52">
        <v>0.10062678166578309</v>
      </c>
      <c r="AJ322" s="52"/>
      <c r="AK322" s="28">
        <v>2</v>
      </c>
      <c r="AL322" s="28">
        <v>2.545454545454545</v>
      </c>
      <c r="AM322" s="28">
        <v>0.54545454545454541</v>
      </c>
      <c r="AN322" s="28">
        <v>0</v>
      </c>
      <c r="AO322" s="28">
        <v>0.39285714285714279</v>
      </c>
      <c r="AP322" s="28">
        <v>0.5</v>
      </c>
      <c r="AQ322" s="28">
        <v>0.1071428571428571</v>
      </c>
      <c r="AR322" s="28">
        <v>0</v>
      </c>
      <c r="AS322" s="25">
        <v>1.1000000000000001</v>
      </c>
      <c r="AT322" s="25">
        <v>3.44</v>
      </c>
      <c r="AU322" s="25">
        <v>2.34</v>
      </c>
      <c r="AV322" s="25">
        <v>2.669090909090909</v>
      </c>
      <c r="AW322">
        <v>2.669090909090909</v>
      </c>
      <c r="AX322">
        <v>5.9831974772727277</v>
      </c>
      <c r="AY322" s="75">
        <v>0.52442413903612473</v>
      </c>
      <c r="AZ322" s="75">
        <v>0.54341863036636606</v>
      </c>
      <c r="BA322" s="75"/>
      <c r="BC322">
        <v>4.8554751705399558E-2</v>
      </c>
      <c r="BD322">
        <v>5.0313390832891547E-2</v>
      </c>
      <c r="BF322">
        <v>9.8868142538291098E-2</v>
      </c>
      <c r="BG322">
        <v>4.9434071269145549E-2</v>
      </c>
      <c r="BH322">
        <v>0.53392138470124539</v>
      </c>
      <c r="BP322" s="79">
        <v>5.2</v>
      </c>
      <c r="BS322" s="79" t="s">
        <v>464</v>
      </c>
      <c r="BT322" s="79" t="s">
        <v>464</v>
      </c>
      <c r="CA322" t="e">
        <f t="shared" si="40"/>
        <v>#NUM!</v>
      </c>
    </row>
    <row r="323" spans="1:79" x14ac:dyDescent="0.3">
      <c r="A323" s="2" t="s">
        <v>47</v>
      </c>
      <c r="B323" s="13" t="s">
        <v>723</v>
      </c>
      <c r="C323" s="13"/>
      <c r="D323" s="2">
        <v>3.8</v>
      </c>
      <c r="E323" s="2" t="s">
        <v>183</v>
      </c>
      <c r="F323" s="9">
        <v>-1</v>
      </c>
      <c r="G323">
        <v>-1</v>
      </c>
      <c r="H323" t="s">
        <v>1152</v>
      </c>
      <c r="I323" s="2"/>
      <c r="J323" s="25">
        <v>0</v>
      </c>
      <c r="K323">
        <v>0</v>
      </c>
      <c r="L323">
        <v>2</v>
      </c>
      <c r="M323" s="2"/>
      <c r="N323" s="2"/>
      <c r="O323" s="2"/>
      <c r="P323" s="2"/>
      <c r="Q323" s="2"/>
      <c r="R323" s="25">
        <v>0</v>
      </c>
      <c r="S323" s="25"/>
      <c r="T323" s="25"/>
      <c r="U323">
        <v>0</v>
      </c>
      <c r="X323">
        <v>5.5170000000000003</v>
      </c>
      <c r="Y323">
        <v>31.274999999999999</v>
      </c>
      <c r="Z323">
        <v>3.8942000000000001</v>
      </c>
      <c r="AA323" s="2"/>
      <c r="AB323">
        <v>34</v>
      </c>
      <c r="AC323" s="55">
        <f t="shared" si="44"/>
        <v>0</v>
      </c>
      <c r="AD323" s="57">
        <v>0</v>
      </c>
      <c r="AE323" s="55">
        <v>0</v>
      </c>
      <c r="AF323" s="55">
        <v>671.92152628500003</v>
      </c>
      <c r="AG323" s="52"/>
      <c r="AH323" s="51"/>
      <c r="AI323" s="52"/>
      <c r="AJ323" s="52">
        <v>0.1012022942261822</v>
      </c>
      <c r="AK323" s="28">
        <v>2</v>
      </c>
      <c r="AL323" s="28">
        <v>2.518518518518519</v>
      </c>
      <c r="AM323" s="28">
        <v>0.51851851851851849</v>
      </c>
      <c r="AN323" s="28">
        <v>0</v>
      </c>
      <c r="AO323" s="28">
        <v>0.39705882352941169</v>
      </c>
      <c r="AP323" s="28">
        <v>0.5</v>
      </c>
      <c r="AQ323" s="28">
        <v>0.1029411764705882</v>
      </c>
      <c r="AR323" s="28">
        <v>0</v>
      </c>
      <c r="AS323" s="25">
        <v>1</v>
      </c>
      <c r="AT323" s="25">
        <v>3.44</v>
      </c>
      <c r="AU323" s="25">
        <v>2.44</v>
      </c>
      <c r="AV323" s="25">
        <v>2.6511111111111112</v>
      </c>
      <c r="AW323">
        <v>2.6511111111111112</v>
      </c>
      <c r="AX323">
        <v>5.9544359512962952</v>
      </c>
      <c r="AY323" s="75"/>
      <c r="AZ323" s="75"/>
      <c r="BA323" s="75"/>
      <c r="BE323">
        <v>5.0601147113091112E-2</v>
      </c>
      <c r="BF323">
        <v>0.1012022942261822</v>
      </c>
      <c r="BG323">
        <v>5.0601147113091112E-2</v>
      </c>
      <c r="BH323">
        <v>0</v>
      </c>
      <c r="BP323" s="79">
        <v>4.9000000000000004</v>
      </c>
      <c r="BS323" s="79" t="s">
        <v>464</v>
      </c>
      <c r="BT323" s="79" t="s">
        <v>464</v>
      </c>
      <c r="CA323" t="e">
        <f t="shared" ref="CA323:CA386" si="48">LN(BZ323)</f>
        <v>#NUM!</v>
      </c>
    </row>
    <row r="324" spans="1:79" x14ac:dyDescent="0.3">
      <c r="A324" s="2" t="s">
        <v>8</v>
      </c>
      <c r="B324" s="13" t="s">
        <v>694</v>
      </c>
      <c r="C324" s="13"/>
      <c r="D324" s="2">
        <v>3.1</v>
      </c>
      <c r="E324" s="2" t="s">
        <v>183</v>
      </c>
      <c r="F324" s="9" t="s">
        <v>530</v>
      </c>
      <c r="G324" t="s">
        <v>612</v>
      </c>
      <c r="I324" s="2"/>
      <c r="J324" s="25">
        <v>30</v>
      </c>
      <c r="K324">
        <v>4</v>
      </c>
      <c r="L324">
        <v>0</v>
      </c>
      <c r="M324" s="2"/>
      <c r="N324" s="2"/>
      <c r="O324" s="2"/>
      <c r="P324" s="2"/>
      <c r="Q324" s="2"/>
      <c r="R324" s="25">
        <v>10.59112378</v>
      </c>
      <c r="S324" s="25">
        <v>10.784736629999999</v>
      </c>
      <c r="T324" s="25">
        <v>10.486176179999999</v>
      </c>
      <c r="U324">
        <v>3.73</v>
      </c>
      <c r="V324">
        <v>3.73</v>
      </c>
      <c r="W324">
        <v>9.3699999999999992</v>
      </c>
      <c r="X324">
        <v>0</v>
      </c>
      <c r="AA324" s="2"/>
      <c r="AB324">
        <v>4</v>
      </c>
      <c r="AC324" s="55">
        <f t="shared" si="44"/>
        <v>0</v>
      </c>
      <c r="AD324" s="57">
        <v>1182.741260108548</v>
      </c>
      <c r="AE324" s="55">
        <v>130.36387300000001</v>
      </c>
      <c r="AF324" s="55">
        <v>0</v>
      </c>
      <c r="AG324" s="52"/>
      <c r="AH324" s="51">
        <v>0.1014592151701775</v>
      </c>
      <c r="AI324" s="52">
        <v>0.1227333894874388</v>
      </c>
      <c r="AJ324" s="52"/>
      <c r="AK324" s="28">
        <v>2</v>
      </c>
      <c r="AL324" s="28">
        <v>2.666666666666667</v>
      </c>
      <c r="AM324" s="28">
        <v>0.66666666666666663</v>
      </c>
      <c r="AN324" s="28">
        <v>0</v>
      </c>
      <c r="AO324" s="28">
        <v>0.375</v>
      </c>
      <c r="AP324" s="28">
        <v>0.5</v>
      </c>
      <c r="AQ324" s="28">
        <v>0.125</v>
      </c>
      <c r="AR324" s="28">
        <v>0</v>
      </c>
      <c r="AS324" s="25">
        <v>1.54</v>
      </c>
      <c r="AT324" s="25">
        <v>3.44</v>
      </c>
      <c r="AU324" s="25">
        <v>1.9</v>
      </c>
      <c r="AV324" s="25">
        <v>2.8066666666666671</v>
      </c>
      <c r="AW324">
        <v>2.8066666666666662</v>
      </c>
      <c r="AX324">
        <v>6.1769976</v>
      </c>
      <c r="AY324" s="75">
        <v>0.46900407026869628</v>
      </c>
      <c r="AZ324" s="75">
        <v>0.56734579634715776</v>
      </c>
      <c r="BA324" s="75"/>
      <c r="BC324">
        <v>5.072960758508873E-2</v>
      </c>
      <c r="BD324">
        <v>6.136669474371937E-2</v>
      </c>
      <c r="BF324">
        <v>0.1120963023288082</v>
      </c>
      <c r="BG324">
        <v>5.604815116440405E-2</v>
      </c>
      <c r="BH324">
        <v>0.51817493330792708</v>
      </c>
      <c r="BP324" s="79">
        <v>50</v>
      </c>
      <c r="BS324" s="79" t="s">
        <v>464</v>
      </c>
      <c r="BT324" s="79" t="s">
        <v>464</v>
      </c>
      <c r="CA324" t="e">
        <f t="shared" si="48"/>
        <v>#NUM!</v>
      </c>
    </row>
    <row r="325" spans="1:79" x14ac:dyDescent="0.3">
      <c r="A325" s="2" t="s">
        <v>0</v>
      </c>
      <c r="B325" s="13" t="s">
        <v>685</v>
      </c>
      <c r="C325" s="13"/>
      <c r="D325" s="2">
        <v>3.3</v>
      </c>
      <c r="E325" s="2" t="s">
        <v>183</v>
      </c>
      <c r="F325" s="9" t="s">
        <v>523</v>
      </c>
      <c r="G325" t="s">
        <v>606</v>
      </c>
      <c r="I325" s="2"/>
      <c r="J325" s="25">
        <v>4</v>
      </c>
      <c r="K325">
        <v>4</v>
      </c>
      <c r="L325">
        <v>0</v>
      </c>
      <c r="M325" s="2"/>
      <c r="N325" s="2"/>
      <c r="O325" s="2"/>
      <c r="P325" s="2"/>
      <c r="Q325" s="2"/>
      <c r="R325" s="25">
        <v>6.6040679999999998</v>
      </c>
      <c r="S325" s="25">
        <v>7.9389519999999996</v>
      </c>
      <c r="T325" s="25">
        <v>33.703336</v>
      </c>
      <c r="U325">
        <v>7.83</v>
      </c>
      <c r="V325">
        <v>33.209989999999998</v>
      </c>
      <c r="W325">
        <v>6.46</v>
      </c>
      <c r="X325">
        <v>0</v>
      </c>
      <c r="AA325" s="2"/>
      <c r="AB325">
        <v>34</v>
      </c>
      <c r="AC325" s="55">
        <f t="shared" si="44"/>
        <v>0</v>
      </c>
      <c r="AD325" s="57">
        <v>1767.0449718798691</v>
      </c>
      <c r="AE325" s="55">
        <v>1679.8210721820001</v>
      </c>
      <c r="AF325" s="55">
        <v>0</v>
      </c>
      <c r="AG325" s="52"/>
      <c r="AH325" s="51">
        <v>7.6964651247849417E-2</v>
      </c>
      <c r="AI325" s="52">
        <v>8.0961003676030277E-2</v>
      </c>
      <c r="AJ325" s="52"/>
      <c r="AK325" s="28">
        <v>1.62962962962963</v>
      </c>
      <c r="AL325" s="28">
        <v>2.518518518518519</v>
      </c>
      <c r="AM325" s="28">
        <v>0.88888888888888884</v>
      </c>
      <c r="AN325" s="28">
        <v>0</v>
      </c>
      <c r="AO325" s="28">
        <v>0.32352941176470579</v>
      </c>
      <c r="AP325" s="28">
        <v>0.5</v>
      </c>
      <c r="AQ325" s="28">
        <v>0.1764705882352941</v>
      </c>
      <c r="AR325" s="28">
        <v>0</v>
      </c>
      <c r="AS325" s="25">
        <v>0.82</v>
      </c>
      <c r="AT325" s="25">
        <v>3.44</v>
      </c>
      <c r="AU325" s="25">
        <v>2.62</v>
      </c>
      <c r="AV325" s="25">
        <v>2.642962962962963</v>
      </c>
      <c r="AW325">
        <v>2.642962962962963</v>
      </c>
      <c r="AX325">
        <v>5.9587362692592576</v>
      </c>
      <c r="AY325" s="75">
        <v>0.48264383878002159</v>
      </c>
      <c r="AZ325" s="75">
        <v>0.50770488753139842</v>
      </c>
      <c r="BA325" s="75"/>
      <c r="BC325">
        <v>3.8482325623924708E-2</v>
      </c>
      <c r="BD325">
        <v>4.0480501838015132E-2</v>
      </c>
      <c r="BF325">
        <v>7.8962827461939847E-2</v>
      </c>
      <c r="BG325">
        <v>3.9481413730969923E-2</v>
      </c>
      <c r="BH325">
        <v>0.49517436315571001</v>
      </c>
      <c r="BP325" s="79">
        <v>4.5</v>
      </c>
      <c r="BS325" s="79" t="s">
        <v>464</v>
      </c>
      <c r="BT325" s="79" t="s">
        <v>464</v>
      </c>
      <c r="CA325" t="e">
        <f t="shared" si="48"/>
        <v>#NUM!</v>
      </c>
    </row>
    <row r="326" spans="1:79" x14ac:dyDescent="0.3">
      <c r="A326" s="5" t="s">
        <v>184</v>
      </c>
      <c r="B326" s="39" t="s">
        <v>798</v>
      </c>
      <c r="C326" s="39"/>
      <c r="D326" s="5">
        <v>3.5</v>
      </c>
      <c r="E326" s="5" t="s">
        <v>183</v>
      </c>
      <c r="F326" s="40">
        <v>-2</v>
      </c>
      <c r="G326" s="5">
        <v>-1</v>
      </c>
      <c r="H326" s="5"/>
      <c r="I326" s="5"/>
      <c r="J326" s="41">
        <v>0</v>
      </c>
      <c r="K326">
        <v>0</v>
      </c>
      <c r="L326">
        <v>0</v>
      </c>
      <c r="M326" s="5"/>
      <c r="N326" s="5"/>
      <c r="O326" s="5"/>
      <c r="P326" s="5"/>
      <c r="Q326" s="5"/>
      <c r="R326" s="41">
        <v>0</v>
      </c>
      <c r="S326" s="41"/>
      <c r="T326" s="41"/>
      <c r="U326">
        <v>0</v>
      </c>
      <c r="X326">
        <v>0</v>
      </c>
      <c r="AA326" s="5"/>
      <c r="AB326" s="5">
        <v>20</v>
      </c>
      <c r="AC326" s="55">
        <f t="shared" si="44"/>
        <v>0</v>
      </c>
      <c r="AD326" s="57">
        <v>0</v>
      </c>
      <c r="AE326" s="55">
        <v>0</v>
      </c>
      <c r="AF326" s="55">
        <v>0</v>
      </c>
      <c r="AG326" s="52"/>
      <c r="AH326" s="51"/>
      <c r="AI326" s="52"/>
      <c r="AJ326" s="52"/>
      <c r="AK326" s="5">
        <v>1.9375</v>
      </c>
      <c r="AL326" s="5">
        <v>2.5</v>
      </c>
      <c r="AM326" s="5">
        <v>0.5625</v>
      </c>
      <c r="AN326" s="5">
        <v>2.625</v>
      </c>
      <c r="AO326" s="5">
        <v>0.25409836065573771</v>
      </c>
      <c r="AP326" s="5">
        <v>0.32786885245901642</v>
      </c>
      <c r="AQ326" s="5">
        <v>7.3770491803278687E-2</v>
      </c>
      <c r="AR326" s="5">
        <v>0.34426229508196721</v>
      </c>
      <c r="AS326" s="41">
        <v>0.82</v>
      </c>
      <c r="AT326" s="41">
        <v>3.44</v>
      </c>
      <c r="AU326" s="41">
        <v>2.62</v>
      </c>
      <c r="AV326" s="41">
        <v>2.59375</v>
      </c>
      <c r="AW326" s="5">
        <v>2.59375</v>
      </c>
      <c r="AX326" s="5">
        <v>5.9363868768750008</v>
      </c>
      <c r="AY326" s="75"/>
      <c r="AZ326" s="75"/>
      <c r="BA326" s="75"/>
      <c r="BF326">
        <v>0</v>
      </c>
      <c r="BG326">
        <v>0</v>
      </c>
      <c r="BH326">
        <v>0</v>
      </c>
      <c r="BP326" s="79">
        <v>4.2</v>
      </c>
      <c r="BS326" s="79" t="s">
        <v>464</v>
      </c>
      <c r="BT326" s="79" t="s">
        <v>464</v>
      </c>
      <c r="CA326" t="e">
        <f t="shared" si="48"/>
        <v>#NUM!</v>
      </c>
    </row>
    <row r="327" spans="1:79" x14ac:dyDescent="0.3">
      <c r="A327" s="2" t="s">
        <v>185</v>
      </c>
      <c r="B327" s="13" t="s">
        <v>729</v>
      </c>
      <c r="C327" s="13"/>
      <c r="D327" s="2">
        <v>4.55</v>
      </c>
      <c r="E327" s="2" t="s">
        <v>192</v>
      </c>
      <c r="F327" s="9" t="s">
        <v>556</v>
      </c>
      <c r="G327" t="s">
        <v>633</v>
      </c>
      <c r="I327" s="2">
        <v>4</v>
      </c>
      <c r="J327" s="25">
        <v>2</v>
      </c>
      <c r="K327">
        <v>4</v>
      </c>
      <c r="L327">
        <v>0</v>
      </c>
      <c r="M327" s="2">
        <v>3.9369999999999998</v>
      </c>
      <c r="N327" s="2">
        <v>27.198</v>
      </c>
      <c r="O327" s="2">
        <v>5.6920000000000002</v>
      </c>
      <c r="P327" s="2"/>
      <c r="Q327" s="2"/>
      <c r="R327" s="25">
        <v>13.81974189</v>
      </c>
      <c r="S327" s="25">
        <v>13.81974189</v>
      </c>
      <c r="T327" s="25">
        <v>5.7110870199999999</v>
      </c>
      <c r="U327">
        <v>3.94</v>
      </c>
      <c r="V327">
        <v>27.15</v>
      </c>
      <c r="W327">
        <v>5.6920000000000002</v>
      </c>
      <c r="X327">
        <v>0</v>
      </c>
      <c r="AA327" s="2"/>
      <c r="AB327">
        <v>14</v>
      </c>
      <c r="AC327" s="55">
        <f t="shared" si="44"/>
        <v>609.49096999200003</v>
      </c>
      <c r="AD327" s="57">
        <v>309.44138863753989</v>
      </c>
      <c r="AE327" s="55">
        <v>608.87893199999996</v>
      </c>
      <c r="AF327" s="55">
        <v>0</v>
      </c>
      <c r="AG327" s="52">
        <f t="shared" ref="AG327:AG340" si="49">I327*AB327/AC327</f>
        <v>9.1879950248869205E-2</v>
      </c>
      <c r="AH327" s="51">
        <v>9.0485633235046756E-2</v>
      </c>
      <c r="AI327" s="52">
        <v>9.1972306901891634E-2</v>
      </c>
      <c r="AJ327" s="52"/>
      <c r="AK327" s="28">
        <v>2</v>
      </c>
      <c r="AL327" s="28">
        <v>2.545454545454545</v>
      </c>
      <c r="AM327" s="28">
        <v>0.54545454545454541</v>
      </c>
      <c r="AN327" s="28">
        <v>2.545454545454545</v>
      </c>
      <c r="AO327" s="28">
        <v>0.26190476190476192</v>
      </c>
      <c r="AP327" s="28">
        <v>0.33333333333333331</v>
      </c>
      <c r="AQ327" s="28">
        <v>7.1428571428571425E-2</v>
      </c>
      <c r="AR327" s="28">
        <v>0.33333333333333331</v>
      </c>
      <c r="AS327" s="25">
        <v>0.95</v>
      </c>
      <c r="AT327" s="25">
        <v>3.44</v>
      </c>
      <c r="AU327" s="25">
        <v>2.4900000000000002</v>
      </c>
      <c r="AV327" s="25">
        <v>2.6345454545454539</v>
      </c>
      <c r="AW327">
        <v>2.6345454545454552</v>
      </c>
      <c r="AX327">
        <v>6.036062318181818</v>
      </c>
      <c r="AY327" s="75">
        <v>0.52932707238284982</v>
      </c>
      <c r="AZ327" s="75">
        <v>0.53802388525275069</v>
      </c>
      <c r="BA327" s="75"/>
      <c r="BB327">
        <v>4.5939975124434602E-2</v>
      </c>
      <c r="BC327">
        <v>4.5242816617523378E-2</v>
      </c>
      <c r="BD327">
        <v>4.5986153450945817E-2</v>
      </c>
      <c r="BF327">
        <v>9.1445963461935856E-2</v>
      </c>
      <c r="BG327">
        <v>4.5722981730967928E-2</v>
      </c>
      <c r="BH327">
        <v>0.5336754788178002</v>
      </c>
      <c r="BP327" s="79">
        <v>0.9</v>
      </c>
      <c r="BS327" s="79" t="s">
        <v>464</v>
      </c>
      <c r="BT327" s="79" t="s">
        <v>464</v>
      </c>
      <c r="CA327" t="e">
        <f t="shared" si="48"/>
        <v>#NUM!</v>
      </c>
    </row>
    <row r="328" spans="1:79" x14ac:dyDescent="0.3">
      <c r="A328" s="2" t="s">
        <v>1227</v>
      </c>
      <c r="B328" s="68" t="s">
        <v>1234</v>
      </c>
      <c r="C328" s="13"/>
      <c r="D328" s="2">
        <v>4.43</v>
      </c>
      <c r="E328" s="2" t="s">
        <v>192</v>
      </c>
      <c r="F328" s="9">
        <v>-1</v>
      </c>
      <c r="G328">
        <v>-1</v>
      </c>
      <c r="I328" s="2">
        <v>4</v>
      </c>
      <c r="J328" s="25">
        <v>0</v>
      </c>
      <c r="K328">
        <v>0</v>
      </c>
      <c r="L328">
        <v>0</v>
      </c>
      <c r="M328" s="1">
        <v>3.9369999999999998</v>
      </c>
      <c r="N328" s="1">
        <v>27.198</v>
      </c>
      <c r="O328" s="1">
        <v>5.6920000000000002</v>
      </c>
      <c r="P328" s="2"/>
      <c r="Q328" s="2"/>
      <c r="R328" s="25">
        <v>0</v>
      </c>
      <c r="S328" s="25"/>
      <c r="T328" s="25"/>
      <c r="U328">
        <v>0</v>
      </c>
      <c r="X328">
        <v>0</v>
      </c>
      <c r="AA328" s="2"/>
      <c r="AB328">
        <v>14</v>
      </c>
      <c r="AC328" s="55">
        <f t="shared" si="44"/>
        <v>609.49096999200003</v>
      </c>
      <c r="AD328" s="57">
        <v>0</v>
      </c>
      <c r="AE328" s="55">
        <v>0</v>
      </c>
      <c r="AF328" s="55">
        <v>0</v>
      </c>
      <c r="AG328" s="52">
        <f t="shared" si="49"/>
        <v>9.1879950248869205E-2</v>
      </c>
      <c r="AH328" s="51"/>
      <c r="AI328" s="52"/>
      <c r="AJ328" s="52"/>
      <c r="AK328" s="28">
        <v>1.9950000000000001</v>
      </c>
      <c r="AL328" s="28">
        <v>2.8</v>
      </c>
      <c r="AM328" s="28">
        <v>0.30499999999999999</v>
      </c>
      <c r="AN328" s="28">
        <v>1.33</v>
      </c>
      <c r="AO328" s="28">
        <v>0.31026438569206838</v>
      </c>
      <c r="AP328" s="28">
        <v>0.43545878693623641</v>
      </c>
      <c r="AQ328" s="28">
        <v>4.7433903576982892E-2</v>
      </c>
      <c r="AR328" s="28">
        <v>0.20684292379471231</v>
      </c>
      <c r="AS328" s="25">
        <v>0.95</v>
      </c>
      <c r="AT328" s="25">
        <v>3.44</v>
      </c>
      <c r="AU328" s="25">
        <v>2.4900000000000002</v>
      </c>
      <c r="AV328" s="25">
        <v>2.7484999999999991</v>
      </c>
      <c r="AW328">
        <v>2.7484999999999999</v>
      </c>
      <c r="AX328">
        <v>6.2455429149999997</v>
      </c>
      <c r="AY328" s="75"/>
      <c r="AZ328" s="75"/>
      <c r="BA328" s="75"/>
      <c r="BB328">
        <v>4.5939975124434602E-2</v>
      </c>
      <c r="BF328">
        <v>9.1879950248869205E-2</v>
      </c>
      <c r="BG328">
        <v>4.5939975124434602E-2</v>
      </c>
      <c r="BH328">
        <v>0</v>
      </c>
      <c r="BP328" s="79">
        <v>1.2</v>
      </c>
      <c r="BS328" s="79" t="s">
        <v>464</v>
      </c>
      <c r="BT328" s="79" t="s">
        <v>464</v>
      </c>
      <c r="CA328" t="e">
        <f t="shared" si="48"/>
        <v>#NUM!</v>
      </c>
    </row>
    <row r="329" spans="1:79" x14ac:dyDescent="0.3">
      <c r="A329" s="2" t="s">
        <v>1228</v>
      </c>
      <c r="B329" s="68" t="s">
        <v>1235</v>
      </c>
      <c r="C329" s="13"/>
      <c r="D329" s="2">
        <v>4.34</v>
      </c>
      <c r="E329" s="2" t="s">
        <v>192</v>
      </c>
      <c r="F329" s="9">
        <v>-1</v>
      </c>
      <c r="G329">
        <v>-1</v>
      </c>
      <c r="I329" s="2">
        <v>4</v>
      </c>
      <c r="J329" s="25">
        <v>0</v>
      </c>
      <c r="K329">
        <v>0</v>
      </c>
      <c r="L329">
        <v>0</v>
      </c>
      <c r="M329" s="1">
        <v>3.9369999999999998</v>
      </c>
      <c r="N329" s="1">
        <v>27.198</v>
      </c>
      <c r="O329" s="1">
        <v>5.6920000000000002</v>
      </c>
      <c r="P329" s="2"/>
      <c r="Q329" s="2"/>
      <c r="R329" s="25">
        <v>0</v>
      </c>
      <c r="S329" s="25"/>
      <c r="T329" s="25"/>
      <c r="U329">
        <v>0</v>
      </c>
      <c r="X329">
        <v>0</v>
      </c>
      <c r="AA329" s="2"/>
      <c r="AB329">
        <v>14</v>
      </c>
      <c r="AC329" s="55">
        <f t="shared" si="44"/>
        <v>609.49096999200003</v>
      </c>
      <c r="AD329" s="57">
        <v>0</v>
      </c>
      <c r="AE329" s="55">
        <v>0</v>
      </c>
      <c r="AF329" s="55">
        <v>0</v>
      </c>
      <c r="AG329" s="52">
        <f t="shared" si="49"/>
        <v>9.1879950248869205E-2</v>
      </c>
      <c r="AH329" s="51"/>
      <c r="AI329" s="52"/>
      <c r="AJ329" s="52"/>
      <c r="AK329" s="28">
        <v>1.99</v>
      </c>
      <c r="AL329" s="28">
        <v>2.8</v>
      </c>
      <c r="AM329" s="28">
        <v>0.31</v>
      </c>
      <c r="AN329" s="28">
        <v>1.26</v>
      </c>
      <c r="AO329" s="28">
        <v>0.31289308176100628</v>
      </c>
      <c r="AP329" s="28">
        <v>0.44025157232704398</v>
      </c>
      <c r="AQ329" s="28">
        <v>4.874213836477987E-2</v>
      </c>
      <c r="AR329" s="28">
        <v>0.1981132075471698</v>
      </c>
      <c r="AS329" s="25">
        <v>0.95</v>
      </c>
      <c r="AT329" s="25">
        <v>3.44</v>
      </c>
      <c r="AU329" s="25">
        <v>2.4900000000000002</v>
      </c>
      <c r="AV329" s="25">
        <v>2.7490000000000001</v>
      </c>
      <c r="AW329">
        <v>2.7490000000000001</v>
      </c>
      <c r="AX329">
        <v>6.2450518300000004</v>
      </c>
      <c r="AY329" s="75"/>
      <c r="AZ329" s="75"/>
      <c r="BA329" s="75"/>
      <c r="BB329">
        <v>4.5939975124434602E-2</v>
      </c>
      <c r="BF329">
        <v>9.1879950248869205E-2</v>
      </c>
      <c r="BG329">
        <v>4.5939975124434602E-2</v>
      </c>
      <c r="BH329">
        <v>0</v>
      </c>
      <c r="BP329" s="79">
        <v>1.3</v>
      </c>
      <c r="BS329" s="79" t="s">
        <v>464</v>
      </c>
      <c r="BT329" s="79" t="s">
        <v>464</v>
      </c>
      <c r="CA329" t="e">
        <f t="shared" si="48"/>
        <v>#NUM!</v>
      </c>
    </row>
    <row r="330" spans="1:79" x14ac:dyDescent="0.3">
      <c r="A330" s="2" t="s">
        <v>1229</v>
      </c>
      <c r="B330" s="68" t="s">
        <v>1236</v>
      </c>
      <c r="C330" s="13"/>
      <c r="D330" s="2">
        <v>4.2699999999999996</v>
      </c>
      <c r="E330" s="2" t="s">
        <v>192</v>
      </c>
      <c r="F330" s="9">
        <v>-1</v>
      </c>
      <c r="G330">
        <v>-1</v>
      </c>
      <c r="I330" s="2">
        <v>4</v>
      </c>
      <c r="J330" s="25">
        <v>0</v>
      </c>
      <c r="K330">
        <v>0</v>
      </c>
      <c r="L330">
        <v>0</v>
      </c>
      <c r="M330" s="1">
        <v>3.9369999999999998</v>
      </c>
      <c r="N330" s="1">
        <v>27.198</v>
      </c>
      <c r="O330" s="1">
        <v>5.6920000000000002</v>
      </c>
      <c r="P330" s="2"/>
      <c r="Q330" s="2"/>
      <c r="R330" s="25">
        <v>0</v>
      </c>
      <c r="S330" s="25"/>
      <c r="T330" s="25"/>
      <c r="U330">
        <v>0</v>
      </c>
      <c r="X330">
        <v>0</v>
      </c>
      <c r="AA330" s="2"/>
      <c r="AB330">
        <v>14</v>
      </c>
      <c r="AC330" s="55">
        <f t="shared" si="44"/>
        <v>609.49096999200003</v>
      </c>
      <c r="AD330" s="57">
        <v>0</v>
      </c>
      <c r="AE330" s="55">
        <v>0</v>
      </c>
      <c r="AF330" s="55">
        <v>0</v>
      </c>
      <c r="AG330" s="52">
        <f t="shared" si="49"/>
        <v>9.1879950248869205E-2</v>
      </c>
      <c r="AH330" s="51"/>
      <c r="AI330" s="52"/>
      <c r="AJ330" s="52"/>
      <c r="AK330" s="28">
        <v>1.9850000000000001</v>
      </c>
      <c r="AL330" s="28">
        <v>2.8</v>
      </c>
      <c r="AM330" s="28">
        <v>0.315</v>
      </c>
      <c r="AN330" s="28">
        <v>1.19</v>
      </c>
      <c r="AO330" s="28">
        <v>0.31558028616852152</v>
      </c>
      <c r="AP330" s="28">
        <v>0.4451510333863275</v>
      </c>
      <c r="AQ330" s="28">
        <v>5.0079491255961853E-2</v>
      </c>
      <c r="AR330" s="28">
        <v>0.1891891891891892</v>
      </c>
      <c r="AS330" s="25">
        <v>0.95</v>
      </c>
      <c r="AT330" s="25">
        <v>3.44</v>
      </c>
      <c r="AU330" s="25">
        <v>2.4900000000000002</v>
      </c>
      <c r="AV330" s="25">
        <v>2.7494999999999989</v>
      </c>
      <c r="AW330">
        <v>2.7494999999999998</v>
      </c>
      <c r="AX330">
        <v>6.2445607449999994</v>
      </c>
      <c r="AY330" s="75"/>
      <c r="AZ330" s="75"/>
      <c r="BA330" s="75"/>
      <c r="BB330">
        <v>4.5939975124434602E-2</v>
      </c>
      <c r="BF330">
        <v>9.1879950248869205E-2</v>
      </c>
      <c r="BG330">
        <v>4.5939975124434602E-2</v>
      </c>
      <c r="BH330">
        <v>0</v>
      </c>
      <c r="BP330" s="79">
        <v>1</v>
      </c>
      <c r="BS330" s="79" t="s">
        <v>464</v>
      </c>
      <c r="BT330" s="79" t="s">
        <v>464</v>
      </c>
      <c r="CA330" t="e">
        <f t="shared" si="48"/>
        <v>#NUM!</v>
      </c>
    </row>
    <row r="331" spans="1:79" x14ac:dyDescent="0.3">
      <c r="A331" s="2" t="s">
        <v>1230</v>
      </c>
      <c r="B331" s="68" t="s">
        <v>1237</v>
      </c>
      <c r="C331" s="13"/>
      <c r="D331" s="2">
        <v>4.13</v>
      </c>
      <c r="E331" s="2" t="s">
        <v>192</v>
      </c>
      <c r="F331" s="9">
        <v>-1</v>
      </c>
      <c r="G331">
        <v>-1</v>
      </c>
      <c r="I331" s="2">
        <v>4</v>
      </c>
      <c r="J331" s="25">
        <v>0</v>
      </c>
      <c r="K331">
        <v>0</v>
      </c>
      <c r="L331">
        <v>0</v>
      </c>
      <c r="M331" s="1">
        <v>3.9369999999999998</v>
      </c>
      <c r="N331" s="1">
        <v>27.198</v>
      </c>
      <c r="O331" s="1">
        <v>5.6920000000000002</v>
      </c>
      <c r="P331" s="2"/>
      <c r="Q331" s="2"/>
      <c r="R331" s="25">
        <v>0</v>
      </c>
      <c r="S331" s="25"/>
      <c r="T331" s="25"/>
      <c r="U331">
        <v>0</v>
      </c>
      <c r="X331">
        <v>0</v>
      </c>
      <c r="AA331" s="2"/>
      <c r="AB331">
        <v>14</v>
      </c>
      <c r="AC331" s="55">
        <f t="shared" si="44"/>
        <v>609.49096999200003</v>
      </c>
      <c r="AD331" s="57">
        <v>0</v>
      </c>
      <c r="AE331" s="55">
        <v>0</v>
      </c>
      <c r="AF331" s="55">
        <v>0</v>
      </c>
      <c r="AG331" s="52">
        <f t="shared" si="49"/>
        <v>9.1879950248869205E-2</v>
      </c>
      <c r="AH331" s="51"/>
      <c r="AI331" s="52"/>
      <c r="AJ331" s="52"/>
      <c r="AK331" s="28">
        <v>1.9750000000000001</v>
      </c>
      <c r="AL331" s="28">
        <v>2.8</v>
      </c>
      <c r="AM331" s="28">
        <v>0.32500000000000001</v>
      </c>
      <c r="AN331" s="28">
        <v>1.05</v>
      </c>
      <c r="AO331" s="28">
        <v>0.32113821138211379</v>
      </c>
      <c r="AP331" s="28">
        <v>0.45528455284552838</v>
      </c>
      <c r="AQ331" s="28">
        <v>5.2845528455284549E-2</v>
      </c>
      <c r="AR331" s="28">
        <v>0.17073170731707321</v>
      </c>
      <c r="AS331" s="25">
        <v>0.95</v>
      </c>
      <c r="AT331" s="25">
        <v>3.44</v>
      </c>
      <c r="AU331" s="25">
        <v>2.4900000000000002</v>
      </c>
      <c r="AV331" s="25">
        <v>2.7505000000000002</v>
      </c>
      <c r="AW331">
        <v>2.7505000000000002</v>
      </c>
      <c r="AX331">
        <v>6.2435785749999999</v>
      </c>
      <c r="AY331" s="75"/>
      <c r="AZ331" s="75"/>
      <c r="BA331" s="75"/>
      <c r="BB331">
        <v>4.5939975124434602E-2</v>
      </c>
      <c r="BF331">
        <v>9.1879950248869205E-2</v>
      </c>
      <c r="BG331">
        <v>4.5939975124434602E-2</v>
      </c>
      <c r="BH331">
        <v>0</v>
      </c>
      <c r="BP331" s="79">
        <v>1.2</v>
      </c>
      <c r="BS331" s="79" t="s">
        <v>464</v>
      </c>
      <c r="BT331" s="79" t="s">
        <v>464</v>
      </c>
      <c r="CA331" t="e">
        <f t="shared" si="48"/>
        <v>#NUM!</v>
      </c>
    </row>
    <row r="332" spans="1:79" x14ac:dyDescent="0.3">
      <c r="A332" s="2" t="s">
        <v>1231</v>
      </c>
      <c r="B332" s="68" t="s">
        <v>1238</v>
      </c>
      <c r="C332" s="13"/>
      <c r="D332" s="2">
        <v>4.07</v>
      </c>
      <c r="E332" s="2" t="s">
        <v>192</v>
      </c>
      <c r="F332" s="9">
        <v>-1</v>
      </c>
      <c r="G332">
        <v>-1</v>
      </c>
      <c r="I332" s="2">
        <v>4</v>
      </c>
      <c r="J332" s="25">
        <v>0</v>
      </c>
      <c r="K332">
        <v>0</v>
      </c>
      <c r="L332">
        <v>0</v>
      </c>
      <c r="M332" s="1">
        <v>3.9369999999999998</v>
      </c>
      <c r="N332" s="1">
        <v>27.198</v>
      </c>
      <c r="O332" s="1">
        <v>5.6920000000000002</v>
      </c>
      <c r="P332" s="2"/>
      <c r="Q332" s="2"/>
      <c r="R332" s="25">
        <v>0</v>
      </c>
      <c r="S332" s="25"/>
      <c r="T332" s="25"/>
      <c r="U332">
        <v>0</v>
      </c>
      <c r="X332">
        <v>0</v>
      </c>
      <c r="AA332" s="2"/>
      <c r="AB332">
        <v>14</v>
      </c>
      <c r="AC332" s="55">
        <f t="shared" si="44"/>
        <v>609.49096999200003</v>
      </c>
      <c r="AD332" s="57">
        <v>0</v>
      </c>
      <c r="AE332" s="55">
        <v>0</v>
      </c>
      <c r="AF332" s="55">
        <v>0</v>
      </c>
      <c r="AG332" s="52">
        <f t="shared" si="49"/>
        <v>9.1879950248869205E-2</v>
      </c>
      <c r="AH332" s="51"/>
      <c r="AI332" s="52"/>
      <c r="AJ332" s="52"/>
      <c r="AK332" s="28">
        <v>1.9650000000000001</v>
      </c>
      <c r="AL332" s="28">
        <v>2.8</v>
      </c>
      <c r="AM332" s="28">
        <v>0.33500000000000002</v>
      </c>
      <c r="AN332" s="28">
        <v>0.90999999999999992</v>
      </c>
      <c r="AO332" s="28">
        <v>0.32695507487520797</v>
      </c>
      <c r="AP332" s="28">
        <v>0.46589018302828622</v>
      </c>
      <c r="AQ332" s="28">
        <v>5.5740432612312818E-2</v>
      </c>
      <c r="AR332" s="28">
        <v>0.15141430948419299</v>
      </c>
      <c r="AS332" s="25">
        <v>0.95</v>
      </c>
      <c r="AT332" s="25">
        <v>3.44</v>
      </c>
      <c r="AU332" s="25">
        <v>2.4900000000000002</v>
      </c>
      <c r="AV332" s="25">
        <v>2.7515000000000001</v>
      </c>
      <c r="AW332">
        <v>2.7515000000000001</v>
      </c>
      <c r="AX332">
        <v>6.2425964049999996</v>
      </c>
      <c r="AY332" s="75"/>
      <c r="AZ332" s="75"/>
      <c r="BA332" s="75"/>
      <c r="BB332">
        <v>4.5939975124434602E-2</v>
      </c>
      <c r="BF332">
        <v>9.1879950248869205E-2</v>
      </c>
      <c r="BG332">
        <v>4.5939975124434602E-2</v>
      </c>
      <c r="BH332">
        <v>0</v>
      </c>
      <c r="BP332" s="79">
        <v>1</v>
      </c>
      <c r="BS332" s="79" t="s">
        <v>464</v>
      </c>
      <c r="BT332" s="79" t="s">
        <v>464</v>
      </c>
      <c r="CA332" t="e">
        <f t="shared" si="48"/>
        <v>#NUM!</v>
      </c>
    </row>
    <row r="333" spans="1:79" x14ac:dyDescent="0.3">
      <c r="A333" s="2" t="s">
        <v>1232</v>
      </c>
      <c r="B333" s="68" t="s">
        <v>1239</v>
      </c>
      <c r="C333" s="13"/>
      <c r="D333" s="2">
        <v>4.03</v>
      </c>
      <c r="E333" s="2" t="s">
        <v>192</v>
      </c>
      <c r="F333" s="9">
        <v>-1</v>
      </c>
      <c r="G333">
        <v>-1</v>
      </c>
      <c r="I333" s="2">
        <v>4</v>
      </c>
      <c r="J333" s="25">
        <v>0</v>
      </c>
      <c r="K333">
        <v>0</v>
      </c>
      <c r="L333">
        <v>0</v>
      </c>
      <c r="M333" s="1">
        <v>3.9369999999999998</v>
      </c>
      <c r="N333" s="1">
        <v>27.198</v>
      </c>
      <c r="O333" s="1">
        <v>5.6920000000000002</v>
      </c>
      <c r="P333" s="2"/>
      <c r="Q333" s="2"/>
      <c r="R333" s="25">
        <v>0</v>
      </c>
      <c r="S333" s="25"/>
      <c r="T333" s="25"/>
      <c r="U333">
        <v>0</v>
      </c>
      <c r="X333">
        <v>0</v>
      </c>
      <c r="AA333" s="2"/>
      <c r="AB333">
        <v>14</v>
      </c>
      <c r="AC333" s="55">
        <f t="shared" si="44"/>
        <v>609.49096999200003</v>
      </c>
      <c r="AD333" s="57">
        <v>0</v>
      </c>
      <c r="AE333" s="55">
        <v>0</v>
      </c>
      <c r="AF333" s="55">
        <v>0</v>
      </c>
      <c r="AG333" s="52">
        <f t="shared" si="49"/>
        <v>9.1879950248869205E-2</v>
      </c>
      <c r="AH333" s="51"/>
      <c r="AI333" s="52"/>
      <c r="AJ333" s="52"/>
      <c r="AK333" s="28">
        <v>1.95</v>
      </c>
      <c r="AL333" s="28">
        <v>2.8</v>
      </c>
      <c r="AM333" s="28">
        <v>0.35</v>
      </c>
      <c r="AN333" s="28">
        <v>0.7</v>
      </c>
      <c r="AO333" s="28">
        <v>0.33620689655172409</v>
      </c>
      <c r="AP333" s="28">
        <v>0.48275862068965508</v>
      </c>
      <c r="AQ333" s="28">
        <v>6.0344827586206892E-2</v>
      </c>
      <c r="AR333" s="28">
        <v>0.1206896551724138</v>
      </c>
      <c r="AS333" s="25">
        <v>0.95</v>
      </c>
      <c r="AT333" s="25">
        <v>3.44</v>
      </c>
      <c r="AU333" s="25">
        <v>2.4900000000000002</v>
      </c>
      <c r="AV333" s="25">
        <v>2.7530000000000001</v>
      </c>
      <c r="AW333">
        <v>2.7530000000000001</v>
      </c>
      <c r="AX333">
        <v>6.24112315</v>
      </c>
      <c r="AY333" s="75"/>
      <c r="AZ333" s="75"/>
      <c r="BA333" s="75"/>
      <c r="BB333">
        <v>4.5939975124434602E-2</v>
      </c>
      <c r="BF333">
        <v>9.1879950248869205E-2</v>
      </c>
      <c r="BG333">
        <v>4.5939975124434602E-2</v>
      </c>
      <c r="BH333">
        <v>0</v>
      </c>
      <c r="BP333" s="79">
        <v>1.2</v>
      </c>
      <c r="BS333" s="79" t="s">
        <v>464</v>
      </c>
      <c r="BT333" s="79" t="s">
        <v>464</v>
      </c>
      <c r="CA333" t="e">
        <f t="shared" si="48"/>
        <v>#NUM!</v>
      </c>
    </row>
    <row r="334" spans="1:79" x14ac:dyDescent="0.3">
      <c r="A334" s="2" t="s">
        <v>1233</v>
      </c>
      <c r="B334" s="68" t="s">
        <v>1240</v>
      </c>
      <c r="C334" s="13"/>
      <c r="D334" s="2">
        <v>3.96</v>
      </c>
      <c r="E334" s="2" t="s">
        <v>192</v>
      </c>
      <c r="F334" s="9">
        <v>-1</v>
      </c>
      <c r="G334">
        <v>-1</v>
      </c>
      <c r="I334" s="2">
        <v>4</v>
      </c>
      <c r="J334" s="25">
        <v>0</v>
      </c>
      <c r="K334">
        <v>0</v>
      </c>
      <c r="L334">
        <v>0</v>
      </c>
      <c r="M334" s="1">
        <v>3.9369999999999998</v>
      </c>
      <c r="N334" s="1">
        <v>27.198</v>
      </c>
      <c r="O334" s="1">
        <v>5.6920000000000002</v>
      </c>
      <c r="P334" s="2"/>
      <c r="Q334" s="2"/>
      <c r="R334" s="25">
        <v>0</v>
      </c>
      <c r="S334" s="25"/>
      <c r="T334" s="25"/>
      <c r="U334">
        <v>0</v>
      </c>
      <c r="X334">
        <v>0</v>
      </c>
      <c r="AA334" s="2"/>
      <c r="AB334">
        <v>14</v>
      </c>
      <c r="AC334" s="55">
        <f t="shared" si="44"/>
        <v>609.49096999200003</v>
      </c>
      <c r="AD334" s="57">
        <v>0</v>
      </c>
      <c r="AE334" s="55">
        <v>0</v>
      </c>
      <c r="AF334" s="55">
        <v>0</v>
      </c>
      <c r="AG334" s="52">
        <f t="shared" si="49"/>
        <v>9.1879950248869205E-2</v>
      </c>
      <c r="AH334" s="51"/>
      <c r="AI334" s="52"/>
      <c r="AJ334" s="52"/>
      <c r="AK334" s="28">
        <v>1.92</v>
      </c>
      <c r="AL334" s="28">
        <v>2.8</v>
      </c>
      <c r="AM334" s="28">
        <v>0.38</v>
      </c>
      <c r="AN334" s="28">
        <v>0.28000000000000003</v>
      </c>
      <c r="AO334" s="28">
        <v>0.35687732342007428</v>
      </c>
      <c r="AP334" s="28">
        <v>0.5204460966542751</v>
      </c>
      <c r="AQ334" s="28">
        <v>7.0631970260223054E-2</v>
      </c>
      <c r="AR334" s="28">
        <v>5.2044609665427517E-2</v>
      </c>
      <c r="AS334" s="25">
        <v>0.95</v>
      </c>
      <c r="AT334" s="25">
        <v>3.44</v>
      </c>
      <c r="AU334" s="25">
        <v>2.4900000000000002</v>
      </c>
      <c r="AV334" s="25">
        <v>2.7559999999999998</v>
      </c>
      <c r="AW334">
        <v>2.7559999999999998</v>
      </c>
      <c r="AX334">
        <v>6.2381766400000007</v>
      </c>
      <c r="AY334" s="75"/>
      <c r="AZ334" s="75"/>
      <c r="BA334" s="75"/>
      <c r="BB334">
        <v>4.5939975124434602E-2</v>
      </c>
      <c r="BF334">
        <v>9.1879950248869205E-2</v>
      </c>
      <c r="BG334">
        <v>4.5939975124434602E-2</v>
      </c>
      <c r="BH334">
        <v>0</v>
      </c>
      <c r="BP334" s="79">
        <v>0.8</v>
      </c>
      <c r="BS334" s="79" t="s">
        <v>464</v>
      </c>
      <c r="BT334" s="79" t="s">
        <v>464</v>
      </c>
      <c r="CA334" t="e">
        <f t="shared" si="48"/>
        <v>#NUM!</v>
      </c>
    </row>
    <row r="335" spans="1:79" x14ac:dyDescent="0.3">
      <c r="A335" s="2" t="s">
        <v>49</v>
      </c>
      <c r="B335" s="13" t="s">
        <v>725</v>
      </c>
      <c r="C335" s="13"/>
      <c r="D335" s="2">
        <v>3.92</v>
      </c>
      <c r="E335" s="2" t="s">
        <v>192</v>
      </c>
      <c r="F335" s="9" t="s">
        <v>553</v>
      </c>
      <c r="G335" t="s">
        <v>631</v>
      </c>
      <c r="I335" s="2"/>
      <c r="J335" s="25">
        <v>8</v>
      </c>
      <c r="K335">
        <v>8</v>
      </c>
      <c r="L335">
        <v>0</v>
      </c>
      <c r="M335" s="2">
        <v>3.9329999999999998</v>
      </c>
      <c r="N335" s="2">
        <v>26.725999999999999</v>
      </c>
      <c r="O335" s="2">
        <v>5.8630000000000004</v>
      </c>
      <c r="P335" s="2" t="s">
        <v>1095</v>
      </c>
      <c r="Q335" s="2"/>
      <c r="R335" s="25">
        <v>5.8017180100000001</v>
      </c>
      <c r="S335" s="25">
        <v>7.9756520899999996</v>
      </c>
      <c r="T335" s="25">
        <v>27.352093400000001</v>
      </c>
      <c r="U335">
        <v>26.646989999999999</v>
      </c>
      <c r="V335">
        <v>7.9359999999999999</v>
      </c>
      <c r="W335">
        <v>5.7050000000000001</v>
      </c>
      <c r="X335">
        <v>0</v>
      </c>
      <c r="AA335" s="2"/>
      <c r="AB335">
        <v>14</v>
      </c>
      <c r="AC335" s="55">
        <f t="shared" si="44"/>
        <v>616.27961795399995</v>
      </c>
      <c r="AD335" s="57">
        <v>1265.6493143942739</v>
      </c>
      <c r="AE335" s="55">
        <v>1206.4392746112001</v>
      </c>
      <c r="AF335" s="55">
        <v>0</v>
      </c>
      <c r="AG335" s="52"/>
      <c r="AH335" s="51">
        <v>8.8492127105210025E-2</v>
      </c>
      <c r="AI335" s="52">
        <v>9.2835174017436004E-2</v>
      </c>
      <c r="AJ335" s="52"/>
      <c r="AK335" s="28">
        <v>1.8181818181818179</v>
      </c>
      <c r="AL335" s="28">
        <v>2.545454545454545</v>
      </c>
      <c r="AM335" s="28">
        <v>0.72727272727272729</v>
      </c>
      <c r="AN335" s="28">
        <v>0</v>
      </c>
      <c r="AO335" s="28">
        <v>0.35714285714285721</v>
      </c>
      <c r="AP335" s="28">
        <v>0.5</v>
      </c>
      <c r="AQ335" s="28">
        <v>0.1428571428571429</v>
      </c>
      <c r="AR335" s="28">
        <v>0</v>
      </c>
      <c r="AS335" s="25">
        <v>0.95</v>
      </c>
      <c r="AT335" s="25">
        <v>3.44</v>
      </c>
      <c r="AU335" s="25">
        <v>2.4900000000000002</v>
      </c>
      <c r="AV335" s="25">
        <v>2.6527272727272719</v>
      </c>
      <c r="AW335">
        <v>2.6527272727272728</v>
      </c>
      <c r="AX335">
        <v>6.0182046818181814</v>
      </c>
      <c r="AY335" s="75">
        <v>0.5176653673612065</v>
      </c>
      <c r="AZ335" s="75">
        <v>0.54307152550012683</v>
      </c>
      <c r="BA335" s="75"/>
      <c r="BC335">
        <v>4.4246063552605013E-2</v>
      </c>
      <c r="BD335">
        <v>4.6417587008717988E-2</v>
      </c>
      <c r="BF335">
        <v>9.0663650561323014E-2</v>
      </c>
      <c r="BG335">
        <v>4.53318252806615E-2</v>
      </c>
      <c r="BH335">
        <v>0.53036844643066661</v>
      </c>
      <c r="BP335" s="79">
        <v>0.6</v>
      </c>
      <c r="BS335" s="79" t="s">
        <v>464</v>
      </c>
      <c r="BT335" s="79" t="s">
        <v>464</v>
      </c>
      <c r="CA335" t="e">
        <f t="shared" si="48"/>
        <v>#NUM!</v>
      </c>
    </row>
    <row r="336" spans="1:79" x14ac:dyDescent="0.3">
      <c r="A336" s="2" t="s">
        <v>46</v>
      </c>
      <c r="B336" s="13" t="s">
        <v>722</v>
      </c>
      <c r="C336" s="13"/>
      <c r="D336" s="2">
        <v>3.82</v>
      </c>
      <c r="E336" s="2" t="s">
        <v>197</v>
      </c>
      <c r="F336" s="9" t="s">
        <v>551</v>
      </c>
      <c r="G336" t="s">
        <v>629</v>
      </c>
      <c r="I336" s="2">
        <v>4</v>
      </c>
      <c r="J336" s="25">
        <v>2</v>
      </c>
      <c r="K336">
        <v>4</v>
      </c>
      <c r="L336">
        <v>0</v>
      </c>
      <c r="M336" s="2">
        <v>13.01</v>
      </c>
      <c r="N336" s="2">
        <v>5.5439999999999996</v>
      </c>
      <c r="O336" s="2">
        <v>7.81</v>
      </c>
      <c r="P336" s="2" t="s">
        <v>1095</v>
      </c>
      <c r="Q336" s="2"/>
      <c r="R336" s="25">
        <v>7.41544296</v>
      </c>
      <c r="S336" s="25">
        <v>7.4154429599999991</v>
      </c>
      <c r="T336" s="25">
        <v>7.41544296</v>
      </c>
      <c r="U336">
        <v>7.8</v>
      </c>
      <c r="V336">
        <v>13.010999999999999</v>
      </c>
      <c r="W336">
        <v>5.5460000000000003</v>
      </c>
      <c r="X336">
        <v>0</v>
      </c>
      <c r="AA336" s="2"/>
      <c r="AB336">
        <v>14</v>
      </c>
      <c r="AC336" s="55">
        <f t="shared" si="44"/>
        <v>563.31530639999994</v>
      </c>
      <c r="AD336" s="57">
        <v>288.33429290182369</v>
      </c>
      <c r="AE336" s="55">
        <v>556.51188553357167</v>
      </c>
      <c r="AF336" s="55">
        <v>0</v>
      </c>
      <c r="AG336" s="52">
        <f t="shared" si="49"/>
        <v>9.9411465237614932E-2</v>
      </c>
      <c r="AH336" s="51">
        <v>9.7109503410799117E-2</v>
      </c>
      <c r="AI336" s="52">
        <v>0.10062678166578309</v>
      </c>
      <c r="AJ336" s="52"/>
      <c r="AK336" s="28">
        <v>2</v>
      </c>
      <c r="AL336" s="28">
        <v>2.545454545454545</v>
      </c>
      <c r="AM336" s="28">
        <v>0.54545454545454541</v>
      </c>
      <c r="AN336" s="28">
        <v>0</v>
      </c>
      <c r="AO336" s="28">
        <v>0.39285714285714279</v>
      </c>
      <c r="AP336" s="28">
        <v>0.5</v>
      </c>
      <c r="AQ336" s="28">
        <v>0.1071428571428571</v>
      </c>
      <c r="AR336" s="28">
        <v>0</v>
      </c>
      <c r="AS336" s="25">
        <v>1.1000000000000001</v>
      </c>
      <c r="AT336" s="25">
        <v>3.44</v>
      </c>
      <c r="AU336" s="25">
        <v>2.34</v>
      </c>
      <c r="AV336" s="25">
        <v>2.669090909090909</v>
      </c>
      <c r="AW336">
        <v>2.669090909090909</v>
      </c>
      <c r="AX336">
        <v>5.9831974772727277</v>
      </c>
      <c r="AY336" s="75">
        <v>0.52442413903612473</v>
      </c>
      <c r="AZ336" s="75">
        <v>0.54341863036636606</v>
      </c>
      <c r="BA336" s="75"/>
      <c r="BB336">
        <v>4.9705732618807473E-2</v>
      </c>
      <c r="BC336">
        <v>4.8554751705399558E-2</v>
      </c>
      <c r="BD336">
        <v>5.0313390832891547E-2</v>
      </c>
      <c r="BF336">
        <v>9.9049250104732381E-2</v>
      </c>
      <c r="BG336">
        <v>4.952462505236619E-2</v>
      </c>
      <c r="BH336">
        <v>0.53392138470124539</v>
      </c>
      <c r="BS336" s="79" t="s">
        <v>464</v>
      </c>
      <c r="BT336" s="79" t="s">
        <v>464</v>
      </c>
      <c r="CA336" t="e">
        <f t="shared" si="48"/>
        <v>#NUM!</v>
      </c>
    </row>
    <row r="337" spans="1:79" x14ac:dyDescent="0.3">
      <c r="A337" s="2" t="s">
        <v>193</v>
      </c>
      <c r="B337" s="13" t="s">
        <v>799</v>
      </c>
      <c r="C337" s="13"/>
      <c r="D337" s="2">
        <v>3.68</v>
      </c>
      <c r="E337" s="2" t="s">
        <v>197</v>
      </c>
      <c r="F337" s="9">
        <v>-1</v>
      </c>
      <c r="G337">
        <v>-1</v>
      </c>
      <c r="I337" s="2">
        <v>4</v>
      </c>
      <c r="J337" s="25">
        <v>0</v>
      </c>
      <c r="K337">
        <v>0</v>
      </c>
      <c r="L337">
        <v>0</v>
      </c>
      <c r="M337" s="2">
        <v>13.02</v>
      </c>
      <c r="N337" s="2">
        <v>5.5119999999999996</v>
      </c>
      <c r="O337" s="2">
        <v>7.7450000000000001</v>
      </c>
      <c r="P337" s="2" t="s">
        <v>1095</v>
      </c>
      <c r="Q337" s="2"/>
      <c r="R337" s="25">
        <v>0</v>
      </c>
      <c r="S337" s="25"/>
      <c r="T337" s="25"/>
      <c r="U337">
        <v>0</v>
      </c>
      <c r="X337">
        <v>0</v>
      </c>
      <c r="AA337" s="2"/>
      <c r="AB337">
        <v>14</v>
      </c>
      <c r="AC337" s="55">
        <f t="shared" si="44"/>
        <v>555.82952879999993</v>
      </c>
      <c r="AD337" s="57">
        <v>0</v>
      </c>
      <c r="AE337" s="55">
        <v>0</v>
      </c>
      <c r="AF337" s="55">
        <v>0</v>
      </c>
      <c r="AG337" s="52">
        <f t="shared" si="49"/>
        <v>0.10075031479687735</v>
      </c>
      <c r="AH337" s="51"/>
      <c r="AI337" s="52"/>
      <c r="AJ337" s="52"/>
      <c r="AK337" s="28">
        <v>2</v>
      </c>
      <c r="AL337" s="28">
        <v>2.545454545454545</v>
      </c>
      <c r="AM337" s="28">
        <v>0.45454545454545447</v>
      </c>
      <c r="AN337" s="28">
        <v>0.36363636363636359</v>
      </c>
      <c r="AO337" s="28">
        <v>0.3728813559322034</v>
      </c>
      <c r="AP337" s="28">
        <v>0.47457627118644069</v>
      </c>
      <c r="AQ337" s="28">
        <v>8.4745762711864403E-2</v>
      </c>
      <c r="AR337" s="28">
        <v>6.7796610169491525E-2</v>
      </c>
      <c r="AS337" s="25">
        <v>1.1000000000000001</v>
      </c>
      <c r="AT337" s="25">
        <v>3.44</v>
      </c>
      <c r="AU337" s="25">
        <v>2.34</v>
      </c>
      <c r="AV337" s="25">
        <v>2.672727272727272</v>
      </c>
      <c r="AW337">
        <v>2.6727272727272728</v>
      </c>
      <c r="AX337">
        <v>5.9599268909090908</v>
      </c>
      <c r="AY337" s="75"/>
      <c r="AZ337" s="75"/>
      <c r="BA337" s="75"/>
      <c r="BB337">
        <v>5.0375157398438668E-2</v>
      </c>
      <c r="BF337">
        <v>0.10075031479687729</v>
      </c>
      <c r="BG337">
        <v>5.0375157398438668E-2</v>
      </c>
      <c r="BH337">
        <v>0</v>
      </c>
      <c r="BS337" s="79" t="s">
        <v>464</v>
      </c>
      <c r="BT337" s="79" t="s">
        <v>464</v>
      </c>
      <c r="CA337" t="e">
        <f t="shared" si="48"/>
        <v>#NUM!</v>
      </c>
    </row>
    <row r="338" spans="1:79" x14ac:dyDescent="0.3">
      <c r="A338" s="2" t="s">
        <v>194</v>
      </c>
      <c r="B338" s="13" t="s">
        <v>800</v>
      </c>
      <c r="C338" s="13"/>
      <c r="D338" s="2">
        <v>3.65</v>
      </c>
      <c r="E338" s="2" t="s">
        <v>197</v>
      </c>
      <c r="F338" s="9" t="s">
        <v>582</v>
      </c>
      <c r="G338" t="s">
        <v>657</v>
      </c>
      <c r="I338" s="2">
        <v>4</v>
      </c>
      <c r="J338" s="25">
        <v>2</v>
      </c>
      <c r="K338">
        <v>8</v>
      </c>
      <c r="L338">
        <v>0</v>
      </c>
      <c r="M338" s="2">
        <v>13.02</v>
      </c>
      <c r="N338" s="2">
        <v>5.48</v>
      </c>
      <c r="O338" s="2">
        <v>7.68</v>
      </c>
      <c r="P338" s="2" t="s">
        <v>1095</v>
      </c>
      <c r="Q338" s="2"/>
      <c r="R338" s="25">
        <v>7.2854997800000012</v>
      </c>
      <c r="S338" s="25">
        <v>7.2855000099999998</v>
      </c>
      <c r="T338" s="25">
        <v>7.28550129</v>
      </c>
      <c r="U338">
        <v>7.6769999999999996</v>
      </c>
      <c r="V338">
        <v>5.4560000000000004</v>
      </c>
      <c r="W338">
        <v>26.012989999999999</v>
      </c>
      <c r="X338">
        <v>0</v>
      </c>
      <c r="AA338" s="2"/>
      <c r="AB338">
        <v>14</v>
      </c>
      <c r="AC338" s="55">
        <f t="shared" si="44"/>
        <v>547.9649280000001</v>
      </c>
      <c r="AD338" s="57">
        <v>273.44070809730869</v>
      </c>
      <c r="AE338" s="55">
        <v>1077.884035254056</v>
      </c>
      <c r="AF338" s="55">
        <v>0</v>
      </c>
      <c r="AG338" s="52">
        <f t="shared" si="49"/>
        <v>0.10219632158647933</v>
      </c>
      <c r="AH338" s="51">
        <v>0.1023987986091511</v>
      </c>
      <c r="AI338" s="52">
        <v>0.1039072816155049</v>
      </c>
      <c r="AJ338" s="52"/>
      <c r="AK338" s="28">
        <v>2</v>
      </c>
      <c r="AL338" s="28">
        <v>2.545454545454545</v>
      </c>
      <c r="AM338" s="28">
        <v>0.36363636363636359</v>
      </c>
      <c r="AN338" s="28">
        <v>0.72727272727272729</v>
      </c>
      <c r="AO338" s="28">
        <v>0.35483870967741932</v>
      </c>
      <c r="AP338" s="28">
        <v>0.45161290322580638</v>
      </c>
      <c r="AQ338" s="28">
        <v>6.4516129032258063E-2</v>
      </c>
      <c r="AR338" s="28">
        <v>0.1290322580645161</v>
      </c>
      <c r="AS338" s="25">
        <v>1.1399999999999999</v>
      </c>
      <c r="AT338" s="25">
        <v>3.44</v>
      </c>
      <c r="AU338" s="25">
        <v>2.2999999999999998</v>
      </c>
      <c r="AV338" s="25">
        <v>2.6763636363636358</v>
      </c>
      <c r="AW338">
        <v>2.6763636363636358</v>
      </c>
      <c r="AX338">
        <v>5.9366563045454548</v>
      </c>
      <c r="AY338" s="75">
        <v>0.5411256777060568</v>
      </c>
      <c r="AZ338" s="75">
        <v>0.54909724475770694</v>
      </c>
      <c r="BA338" s="75"/>
      <c r="BB338">
        <v>5.1098160793239672E-2</v>
      </c>
      <c r="BC338">
        <v>5.119939930457558E-2</v>
      </c>
      <c r="BD338">
        <v>5.1953640807752437E-2</v>
      </c>
      <c r="BF338">
        <v>0.1028341339370451</v>
      </c>
      <c r="BG338">
        <v>5.1417066968522558E-2</v>
      </c>
      <c r="BH338">
        <v>0.54511146123188192</v>
      </c>
      <c r="BS338" s="79" t="s">
        <v>464</v>
      </c>
      <c r="BT338" s="79" t="s">
        <v>464</v>
      </c>
      <c r="CA338" t="e">
        <f t="shared" si="48"/>
        <v>#NUM!</v>
      </c>
    </row>
    <row r="339" spans="1:79" x14ac:dyDescent="0.3">
      <c r="A339" s="2" t="s">
        <v>195</v>
      </c>
      <c r="B339" s="13" t="s">
        <v>801</v>
      </c>
      <c r="C339" s="13"/>
      <c r="D339" s="2">
        <v>2.99</v>
      </c>
      <c r="E339" s="2" t="s">
        <v>197</v>
      </c>
      <c r="F339" s="9" t="s">
        <v>583</v>
      </c>
      <c r="G339">
        <v>-1</v>
      </c>
      <c r="I339" s="2">
        <v>4</v>
      </c>
      <c r="J339" s="25">
        <v>4</v>
      </c>
      <c r="K339">
        <v>0</v>
      </c>
      <c r="L339">
        <v>0</v>
      </c>
      <c r="M339" s="2">
        <v>12.996</v>
      </c>
      <c r="N339" s="2">
        <v>5.4850000000000003</v>
      </c>
      <c r="O339" s="2">
        <v>7.7039999999999997</v>
      </c>
      <c r="P339" s="2" t="s">
        <v>1095</v>
      </c>
      <c r="Q339" s="2"/>
      <c r="R339" s="25">
        <v>5.5191434299999997</v>
      </c>
      <c r="S339" s="25">
        <v>7.7203982699999987</v>
      </c>
      <c r="T339" s="25">
        <v>13.117043880000001</v>
      </c>
      <c r="U339">
        <v>0</v>
      </c>
      <c r="X339">
        <v>0</v>
      </c>
      <c r="AA339" s="2"/>
      <c r="AB339">
        <v>14</v>
      </c>
      <c r="AC339" s="55">
        <f t="shared" si="44"/>
        <v>549.16469424000002</v>
      </c>
      <c r="AD339" s="57">
        <v>552.74712386171507</v>
      </c>
      <c r="AE339" s="55">
        <v>0</v>
      </c>
      <c r="AF339" s="55">
        <v>0</v>
      </c>
      <c r="AG339" s="52">
        <f t="shared" si="49"/>
        <v>0.1019730521414883</v>
      </c>
      <c r="AH339" s="51">
        <v>0.1013121508598025</v>
      </c>
      <c r="AI339" s="52"/>
      <c r="AJ339" s="52"/>
      <c r="AK339" s="28">
        <v>2</v>
      </c>
      <c r="AL339" s="28">
        <v>2.545454545454545</v>
      </c>
      <c r="AM339" s="28">
        <v>0.36363636363636359</v>
      </c>
      <c r="AN339" s="28">
        <v>0.54545454545454541</v>
      </c>
      <c r="AO339" s="28">
        <v>0.3666666666666667</v>
      </c>
      <c r="AP339" s="28">
        <v>0.46666666666666667</v>
      </c>
      <c r="AQ339" s="28">
        <v>6.666666666666668E-2</v>
      </c>
      <c r="AR339" s="28">
        <v>0.1</v>
      </c>
      <c r="AS339" s="25">
        <v>1.1299999999999999</v>
      </c>
      <c r="AT339" s="25">
        <v>3.44</v>
      </c>
      <c r="AU339" s="25">
        <v>2.31</v>
      </c>
      <c r="AV339" s="25">
        <v>2.6745454545454539</v>
      </c>
      <c r="AW339">
        <v>2.6745454545454548</v>
      </c>
      <c r="AX339">
        <v>5.9327418772727274</v>
      </c>
      <c r="AY339" s="75">
        <v>0.53699890088551772</v>
      </c>
      <c r="AZ339" s="75"/>
      <c r="BA339" s="75"/>
      <c r="BB339">
        <v>5.0986526070744151E-2</v>
      </c>
      <c r="BC339">
        <v>5.0656075429901228E-2</v>
      </c>
      <c r="BF339">
        <v>0.1016426015006454</v>
      </c>
      <c r="BG339">
        <v>5.0821300750322693E-2</v>
      </c>
      <c r="BH339">
        <v>0.53699890088551772</v>
      </c>
      <c r="BS339" s="79" t="s">
        <v>464</v>
      </c>
      <c r="BT339" s="79" t="s">
        <v>464</v>
      </c>
      <c r="CA339" t="e">
        <f t="shared" si="48"/>
        <v>#NUM!</v>
      </c>
    </row>
    <row r="340" spans="1:79" x14ac:dyDescent="0.3">
      <c r="A340" s="2" t="s">
        <v>196</v>
      </c>
      <c r="B340" s="13" t="s">
        <v>802</v>
      </c>
      <c r="C340" s="13"/>
      <c r="D340" s="2">
        <v>2.98</v>
      </c>
      <c r="E340" s="2" t="s">
        <v>197</v>
      </c>
      <c r="F340" s="9">
        <v>-1</v>
      </c>
      <c r="G340">
        <v>-1</v>
      </c>
      <c r="I340" s="2">
        <v>4</v>
      </c>
      <c r="J340" s="25">
        <v>0</v>
      </c>
      <c r="K340">
        <v>0</v>
      </c>
      <c r="L340">
        <v>0</v>
      </c>
      <c r="M340" s="2">
        <v>13.003</v>
      </c>
      <c r="N340" s="2">
        <v>5.5149999999999997</v>
      </c>
      <c r="O340" s="2">
        <v>7.7569999999999997</v>
      </c>
      <c r="P340" s="2" t="s">
        <v>1095</v>
      </c>
      <c r="Q340" s="2"/>
      <c r="R340" s="25">
        <v>0</v>
      </c>
      <c r="S340" s="25"/>
      <c r="T340" s="25"/>
      <c r="U340">
        <v>0</v>
      </c>
      <c r="X340">
        <v>0</v>
      </c>
      <c r="AA340" s="2"/>
      <c r="AB340">
        <v>14</v>
      </c>
      <c r="AC340" s="55">
        <f t="shared" si="44"/>
        <v>556.266454565</v>
      </c>
      <c r="AD340" s="57">
        <v>0</v>
      </c>
      <c r="AE340" s="55">
        <v>0</v>
      </c>
      <c r="AF340" s="55">
        <v>0</v>
      </c>
      <c r="AG340" s="52">
        <f t="shared" si="49"/>
        <v>0.10067117932500884</v>
      </c>
      <c r="AH340" s="51"/>
      <c r="AI340" s="52"/>
      <c r="AJ340" s="52"/>
      <c r="AK340" s="28">
        <v>2</v>
      </c>
      <c r="AL340" s="28">
        <v>2.545454545454545</v>
      </c>
      <c r="AM340" s="28">
        <v>0.45454545454545447</v>
      </c>
      <c r="AN340" s="28">
        <v>0.27272727272727271</v>
      </c>
      <c r="AO340" s="28">
        <v>0.37931034482758619</v>
      </c>
      <c r="AP340" s="28">
        <v>0.48275862068965519</v>
      </c>
      <c r="AQ340" s="28">
        <v>8.6206896551724144E-2</v>
      </c>
      <c r="AR340" s="28">
        <v>5.1724137931034482E-2</v>
      </c>
      <c r="AS340" s="25">
        <v>1.1000000000000001</v>
      </c>
      <c r="AT340" s="25">
        <v>3.44</v>
      </c>
      <c r="AU340" s="25">
        <v>2.34</v>
      </c>
      <c r="AV340" s="25">
        <v>2.6718181818181819</v>
      </c>
      <c r="AW340">
        <v>2.6718181818181819</v>
      </c>
      <c r="AX340">
        <v>5.9579696772727271</v>
      </c>
      <c r="AY340" s="75"/>
      <c r="AZ340" s="75"/>
      <c r="BA340" s="75"/>
      <c r="BB340">
        <v>5.0335589662504419E-2</v>
      </c>
      <c r="BF340">
        <v>0.1006711793250088</v>
      </c>
      <c r="BG340">
        <v>5.0335589662504419E-2</v>
      </c>
      <c r="BH340">
        <v>0</v>
      </c>
      <c r="BS340" s="79" t="s">
        <v>464</v>
      </c>
      <c r="BT340" s="79" t="s">
        <v>464</v>
      </c>
      <c r="CA340" t="e">
        <f t="shared" si="48"/>
        <v>#NUM!</v>
      </c>
    </row>
    <row r="341" spans="1:79" x14ac:dyDescent="0.3">
      <c r="A341" s="2" t="s">
        <v>44</v>
      </c>
      <c r="B341" s="13" t="s">
        <v>720</v>
      </c>
      <c r="C341" s="13"/>
      <c r="D341" s="2">
        <v>2.1</v>
      </c>
      <c r="E341" s="2" t="s">
        <v>198</v>
      </c>
      <c r="F341" s="9" t="s">
        <v>549</v>
      </c>
      <c r="G341">
        <v>-1</v>
      </c>
      <c r="I341" s="2"/>
      <c r="J341" s="25">
        <v>1</v>
      </c>
      <c r="K341">
        <v>0</v>
      </c>
      <c r="L341">
        <v>0</v>
      </c>
      <c r="M341" s="2">
        <v>3.871</v>
      </c>
      <c r="N341" s="2">
        <v>3.871</v>
      </c>
      <c r="O341" s="2">
        <v>29.783999999999999</v>
      </c>
      <c r="P341" s="2" t="s">
        <v>440</v>
      </c>
      <c r="Q341" s="2"/>
      <c r="R341" s="25">
        <v>15.28115725</v>
      </c>
      <c r="S341" s="25">
        <v>15.28115725</v>
      </c>
      <c r="T341" s="25">
        <v>15.28115725</v>
      </c>
      <c r="U341">
        <v>0</v>
      </c>
      <c r="X341">
        <v>0</v>
      </c>
      <c r="AA341" s="2"/>
      <c r="AB341">
        <v>20</v>
      </c>
      <c r="AC341" s="55">
        <f t="shared" si="44"/>
        <v>446.30254754399999</v>
      </c>
      <c r="AD341" s="57">
        <v>229.90248606119221</v>
      </c>
      <c r="AE341" s="55">
        <v>0</v>
      </c>
      <c r="AF341" s="55">
        <v>0</v>
      </c>
      <c r="AG341" s="52"/>
      <c r="AH341" s="51">
        <v>8.6993404650164072E-2</v>
      </c>
      <c r="AI341" s="52"/>
      <c r="AJ341" s="52"/>
      <c r="AK341" s="28">
        <v>1.882352941176471</v>
      </c>
      <c r="AL341" s="28">
        <v>2.3529411764705879</v>
      </c>
      <c r="AM341" s="28">
        <v>0.47058823529411759</v>
      </c>
      <c r="AN341" s="28">
        <v>0</v>
      </c>
      <c r="AO341" s="28">
        <v>0.4</v>
      </c>
      <c r="AP341" s="28">
        <v>0.5</v>
      </c>
      <c r="AQ341" s="28">
        <v>9.9999999999999992E-2</v>
      </c>
      <c r="AR341" s="28">
        <v>0</v>
      </c>
      <c r="AS341" s="25">
        <v>0.82</v>
      </c>
      <c r="AT341" s="25">
        <v>3.44</v>
      </c>
      <c r="AU341" s="25">
        <v>2.62</v>
      </c>
      <c r="AV341" s="25">
        <v>2.5211764705882351</v>
      </c>
      <c r="AW341">
        <v>2.521176470588236</v>
      </c>
      <c r="AX341">
        <v>5.6898745917647062</v>
      </c>
      <c r="AY341" s="75">
        <v>0.57369840599679445</v>
      </c>
      <c r="AZ341" s="75"/>
      <c r="BA341" s="75"/>
      <c r="BC341">
        <v>4.3496702325082043E-2</v>
      </c>
      <c r="BF341">
        <v>8.6993404650164072E-2</v>
      </c>
      <c r="BG341">
        <v>4.3496702325082043E-2</v>
      </c>
      <c r="BH341">
        <v>0.57369840599679445</v>
      </c>
      <c r="BS341" s="79" t="s">
        <v>464</v>
      </c>
      <c r="BT341" s="79" t="s">
        <v>464</v>
      </c>
      <c r="CA341" t="e">
        <f t="shared" si="48"/>
        <v>#NUM!</v>
      </c>
    </row>
    <row r="342" spans="1:79" x14ac:dyDescent="0.3">
      <c r="A342" s="2" t="s">
        <v>199</v>
      </c>
      <c r="B342" s="13" t="s">
        <v>867</v>
      </c>
      <c r="C342" s="13"/>
      <c r="D342" s="2">
        <v>2</v>
      </c>
      <c r="E342" s="2" t="s">
        <v>207</v>
      </c>
      <c r="F342" s="9">
        <v>-1</v>
      </c>
      <c r="G342">
        <v>-1</v>
      </c>
      <c r="I342" s="2"/>
      <c r="J342" s="25">
        <v>0</v>
      </c>
      <c r="K342">
        <v>0</v>
      </c>
      <c r="L342">
        <v>0</v>
      </c>
      <c r="M342" s="1">
        <v>3.871</v>
      </c>
      <c r="N342" s="1">
        <v>3.871</v>
      </c>
      <c r="O342" s="2">
        <v>29.297000000000001</v>
      </c>
      <c r="P342" s="2"/>
      <c r="Q342" s="2"/>
      <c r="R342" s="25">
        <v>0</v>
      </c>
      <c r="S342" s="25"/>
      <c r="T342" s="25"/>
      <c r="U342">
        <v>0</v>
      </c>
      <c r="X342">
        <v>0</v>
      </c>
      <c r="AA342" s="2"/>
      <c r="AB342">
        <v>20</v>
      </c>
      <c r="AC342" s="55">
        <f t="shared" si="44"/>
        <v>439.00502737700003</v>
      </c>
      <c r="AD342" s="57">
        <v>0</v>
      </c>
      <c r="AE342" s="55">
        <v>0</v>
      </c>
      <c r="AF342" s="55">
        <v>0</v>
      </c>
      <c r="AG342" s="52"/>
      <c r="AH342" s="51"/>
      <c r="AI342" s="52"/>
      <c r="AJ342" s="52"/>
      <c r="AK342" s="28">
        <v>1.882352941176471</v>
      </c>
      <c r="AL342" s="28">
        <v>2.3529411764705879</v>
      </c>
      <c r="AM342" s="28">
        <v>1.6470588235294119</v>
      </c>
      <c r="AN342" s="28">
        <v>0</v>
      </c>
      <c r="AO342" s="28">
        <v>0.32</v>
      </c>
      <c r="AP342" s="28">
        <v>0.4</v>
      </c>
      <c r="AQ342" s="28">
        <v>0.28000000000000003</v>
      </c>
      <c r="AR342" s="28">
        <v>0</v>
      </c>
      <c r="AS342" s="25">
        <v>1.1000000000000001</v>
      </c>
      <c r="AT342" s="25">
        <v>3.44</v>
      </c>
      <c r="AU342" s="25">
        <v>2.34</v>
      </c>
      <c r="AV342" s="25">
        <v>2.6482352941176468</v>
      </c>
      <c r="AW342">
        <v>2.6482352941176468</v>
      </c>
      <c r="AX342">
        <v>5.9322299529411762</v>
      </c>
      <c r="AY342" s="75"/>
      <c r="AZ342" s="75"/>
      <c r="BA342" s="75"/>
      <c r="BF342">
        <v>0</v>
      </c>
      <c r="BG342">
        <v>0</v>
      </c>
      <c r="BH342">
        <v>0</v>
      </c>
      <c r="BS342" s="79" t="s">
        <v>464</v>
      </c>
      <c r="BT342" s="79" t="s">
        <v>464</v>
      </c>
      <c r="CA342" t="e">
        <f t="shared" si="48"/>
        <v>#NUM!</v>
      </c>
    </row>
    <row r="343" spans="1:79" x14ac:dyDescent="0.3">
      <c r="A343" s="2" t="s">
        <v>200</v>
      </c>
      <c r="B343" s="13" t="s">
        <v>868</v>
      </c>
      <c r="C343" s="13"/>
      <c r="D343" s="2">
        <v>2.2000000000000002</v>
      </c>
      <c r="E343" s="2" t="s">
        <v>207</v>
      </c>
      <c r="F343" s="9">
        <v>-1</v>
      </c>
      <c r="G343">
        <v>-1</v>
      </c>
      <c r="I343" s="2"/>
      <c r="J343" s="25">
        <v>0</v>
      </c>
      <c r="K343">
        <v>0</v>
      </c>
      <c r="L343">
        <v>0</v>
      </c>
      <c r="M343" s="1">
        <v>6.6040679999999998</v>
      </c>
      <c r="N343" s="1">
        <v>7.93</v>
      </c>
      <c r="O343" s="2">
        <v>31.28</v>
      </c>
      <c r="P343" s="2"/>
      <c r="Q343" s="2"/>
      <c r="R343" s="25">
        <v>0</v>
      </c>
      <c r="S343" s="25"/>
      <c r="T343" s="25"/>
      <c r="U343">
        <v>0</v>
      </c>
      <c r="X343">
        <v>0</v>
      </c>
      <c r="AA343" s="2"/>
      <c r="AB343">
        <v>34</v>
      </c>
      <c r="AC343" s="55">
        <f t="shared" si="44"/>
        <v>1638.1417090272</v>
      </c>
      <c r="AD343" s="57">
        <v>0</v>
      </c>
      <c r="AE343" s="55">
        <v>0</v>
      </c>
      <c r="AF343" s="55">
        <v>0</v>
      </c>
      <c r="AG343" s="52"/>
      <c r="AH343" s="51"/>
      <c r="AI343" s="52"/>
      <c r="AJ343" s="52"/>
      <c r="AK343" s="28">
        <v>1.62962962962963</v>
      </c>
      <c r="AL343" s="28">
        <v>2.518518518518519</v>
      </c>
      <c r="AM343" s="28">
        <v>1.911111111111111</v>
      </c>
      <c r="AN343" s="28">
        <v>0</v>
      </c>
      <c r="AO343" s="28">
        <v>0.26894865525672368</v>
      </c>
      <c r="AP343" s="28">
        <v>0.41564792176039123</v>
      </c>
      <c r="AQ343" s="28">
        <v>0.31540342298288498</v>
      </c>
      <c r="AR343" s="28">
        <v>0</v>
      </c>
      <c r="AS343" s="25">
        <v>0.82</v>
      </c>
      <c r="AT343" s="25">
        <v>3.44</v>
      </c>
      <c r="AU343" s="25">
        <v>2.62</v>
      </c>
      <c r="AV343" s="25">
        <v>2.7533629629629628</v>
      </c>
      <c r="AW343">
        <v>2.7533629629629628</v>
      </c>
      <c r="AX343">
        <v>6.1693161497481483</v>
      </c>
      <c r="AY343" s="75"/>
      <c r="AZ343" s="75"/>
      <c r="BA343" s="75"/>
      <c r="BF343">
        <v>0</v>
      </c>
      <c r="BG343">
        <v>0</v>
      </c>
      <c r="BH343">
        <v>0</v>
      </c>
      <c r="BS343" s="79" t="s">
        <v>464</v>
      </c>
      <c r="BT343" s="79" t="s">
        <v>464</v>
      </c>
      <c r="CA343" t="e">
        <f t="shared" si="48"/>
        <v>#NUM!</v>
      </c>
    </row>
    <row r="344" spans="1:79" x14ac:dyDescent="0.3">
      <c r="A344" s="2" t="s">
        <v>0</v>
      </c>
      <c r="B344" s="13" t="s">
        <v>685</v>
      </c>
      <c r="C344" s="13"/>
      <c r="D344" s="2">
        <v>3.3</v>
      </c>
      <c r="E344" s="2" t="s">
        <v>207</v>
      </c>
      <c r="F344" s="9" t="s">
        <v>523</v>
      </c>
      <c r="G344" t="s">
        <v>606</v>
      </c>
      <c r="I344" s="2"/>
      <c r="J344" s="25">
        <v>4</v>
      </c>
      <c r="K344">
        <v>4</v>
      </c>
      <c r="L344">
        <v>0</v>
      </c>
      <c r="M344" s="1">
        <v>6.6040679999999998</v>
      </c>
      <c r="N344" s="1">
        <v>7.93</v>
      </c>
      <c r="O344" s="2">
        <v>32.700000000000003</v>
      </c>
      <c r="P344" s="2"/>
      <c r="Q344" s="2"/>
      <c r="R344" s="25">
        <v>6.6040679999999998</v>
      </c>
      <c r="S344" s="25">
        <v>7.9389519999999996</v>
      </c>
      <c r="T344" s="25">
        <v>33.703336</v>
      </c>
      <c r="U344">
        <v>7.83</v>
      </c>
      <c r="V344">
        <v>33.209989999999998</v>
      </c>
      <c r="W344">
        <v>6.46</v>
      </c>
      <c r="X344">
        <v>0</v>
      </c>
      <c r="AA344" s="2"/>
      <c r="AB344">
        <v>34</v>
      </c>
      <c r="AC344" s="55">
        <f t="shared" si="44"/>
        <v>1712.5074771479999</v>
      </c>
      <c r="AD344" s="57">
        <v>1767.0449718798691</v>
      </c>
      <c r="AE344" s="55">
        <v>1679.8210721820001</v>
      </c>
      <c r="AF344" s="55">
        <v>0</v>
      </c>
      <c r="AG344" s="52"/>
      <c r="AH344" s="51">
        <v>7.6964651247849417E-2</v>
      </c>
      <c r="AI344" s="52">
        <v>8.0961003676030277E-2</v>
      </c>
      <c r="AJ344" s="52"/>
      <c r="AK344" s="28">
        <v>1.62962962962963</v>
      </c>
      <c r="AL344" s="28">
        <v>2.518518518518519</v>
      </c>
      <c r="AM344" s="28">
        <v>0.88888888888888884</v>
      </c>
      <c r="AN344" s="28">
        <v>0</v>
      </c>
      <c r="AO344" s="28">
        <v>0.32352941176470579</v>
      </c>
      <c r="AP344" s="28">
        <v>0.5</v>
      </c>
      <c r="AQ344" s="28">
        <v>0.1764705882352941</v>
      </c>
      <c r="AR344" s="28">
        <v>0</v>
      </c>
      <c r="AS344" s="25">
        <v>0.82</v>
      </c>
      <c r="AT344" s="25">
        <v>3.44</v>
      </c>
      <c r="AU344" s="25">
        <v>2.62</v>
      </c>
      <c r="AV344" s="25">
        <v>2.642962962962963</v>
      </c>
      <c r="AW344">
        <v>2.642962962962963</v>
      </c>
      <c r="AX344">
        <v>5.9587362692592576</v>
      </c>
      <c r="AY344" s="75">
        <v>0.48264383878002159</v>
      </c>
      <c r="AZ344" s="75">
        <v>0.50770488753139842</v>
      </c>
      <c r="BA344" s="75"/>
      <c r="BC344">
        <v>3.8482325623924708E-2</v>
      </c>
      <c r="BD344">
        <v>4.0480501838015132E-2</v>
      </c>
      <c r="BF344">
        <v>7.8962827461939847E-2</v>
      </c>
      <c r="BG344">
        <v>3.9481413730969923E-2</v>
      </c>
      <c r="BH344">
        <v>0.49517436315571001</v>
      </c>
      <c r="BS344" s="79" t="s">
        <v>464</v>
      </c>
      <c r="BT344" s="79" t="s">
        <v>464</v>
      </c>
      <c r="CA344" t="e">
        <f t="shared" si="48"/>
        <v>#NUM!</v>
      </c>
    </row>
    <row r="345" spans="1:79" x14ac:dyDescent="0.3">
      <c r="A345" s="2" t="s">
        <v>201</v>
      </c>
      <c r="B345" s="13" t="s">
        <v>869</v>
      </c>
      <c r="C345" s="13"/>
      <c r="D345" s="2">
        <v>2.2999999999999998</v>
      </c>
      <c r="E345" s="2" t="s">
        <v>207</v>
      </c>
      <c r="F345" s="32" t="s">
        <v>524</v>
      </c>
      <c r="G345" s="1" t="s">
        <v>607</v>
      </c>
      <c r="I345" s="2"/>
      <c r="J345" s="25">
        <v>0</v>
      </c>
      <c r="K345">
        <v>1</v>
      </c>
      <c r="L345">
        <v>0</v>
      </c>
      <c r="M345" s="2">
        <v>-1</v>
      </c>
      <c r="N345" s="2"/>
      <c r="O345" s="2"/>
      <c r="P345" s="2"/>
      <c r="Q345" s="2"/>
      <c r="R345" s="25">
        <v>0</v>
      </c>
      <c r="S345" s="25"/>
      <c r="T345" s="25"/>
      <c r="U345">
        <v>3.9060000000000001</v>
      </c>
      <c r="V345">
        <v>21.603000000000002</v>
      </c>
      <c r="W345">
        <v>3.8879000000000001</v>
      </c>
      <c r="X345">
        <v>0</v>
      </c>
      <c r="AA345" s="2"/>
      <c r="AB345">
        <v>14</v>
      </c>
      <c r="AC345" s="55">
        <f t="shared" si="44"/>
        <v>0</v>
      </c>
      <c r="AD345" s="57">
        <v>0</v>
      </c>
      <c r="AE345" s="55">
        <v>328.06612625219998</v>
      </c>
      <c r="AF345" s="55">
        <v>0</v>
      </c>
      <c r="AG345" s="52"/>
      <c r="AH345" s="51"/>
      <c r="AI345" s="52">
        <v>4.2674323496713393E-2</v>
      </c>
      <c r="AJ345" s="52"/>
      <c r="AK345" s="28">
        <v>1.7272727272727271</v>
      </c>
      <c r="AL345" s="28">
        <v>2.545454545454545</v>
      </c>
      <c r="AM345" s="28">
        <v>1.4090909090909089</v>
      </c>
      <c r="AN345" s="28">
        <v>0</v>
      </c>
      <c r="AO345" s="28">
        <v>0.30399999999999999</v>
      </c>
      <c r="AP345" s="28">
        <v>0.44800000000000001</v>
      </c>
      <c r="AQ345" s="28">
        <v>0.248</v>
      </c>
      <c r="AR345" s="28">
        <v>0</v>
      </c>
      <c r="AS345" s="25">
        <v>0.82</v>
      </c>
      <c r="AT345" s="25">
        <v>3.44</v>
      </c>
      <c r="AU345" s="25">
        <v>2.62</v>
      </c>
      <c r="AV345" s="25">
        <v>2.7183636363636361</v>
      </c>
      <c r="AW345">
        <v>2.718363636363637</v>
      </c>
      <c r="AX345">
        <v>6.1164196318636357</v>
      </c>
      <c r="AY345" s="75">
        <v>0.48450364842179561</v>
      </c>
      <c r="AZ345" s="75"/>
      <c r="BA345" s="75"/>
      <c r="BD345">
        <v>2.13371617483567E-2</v>
      </c>
      <c r="BF345">
        <v>4.2674323496713393E-2</v>
      </c>
      <c r="BG345">
        <v>2.13371617483567E-2</v>
      </c>
      <c r="BH345">
        <v>0.48450364842179561</v>
      </c>
      <c r="BS345" s="79" t="s">
        <v>464</v>
      </c>
      <c r="BT345" s="79" t="s">
        <v>464</v>
      </c>
      <c r="CA345" t="e">
        <f t="shared" si="48"/>
        <v>#NUM!</v>
      </c>
    </row>
    <row r="346" spans="1:79" x14ac:dyDescent="0.3">
      <c r="A346" s="2" t="s">
        <v>1</v>
      </c>
      <c r="B346" s="13" t="s">
        <v>686</v>
      </c>
      <c r="C346" s="13"/>
      <c r="D346" s="2">
        <v>3.2</v>
      </c>
      <c r="E346" s="2" t="s">
        <v>207</v>
      </c>
      <c r="F346" s="9" t="s">
        <v>524</v>
      </c>
      <c r="G346" t="s">
        <v>607</v>
      </c>
      <c r="I346" s="2"/>
      <c r="J346" s="25">
        <v>1</v>
      </c>
      <c r="K346">
        <v>1</v>
      </c>
      <c r="L346">
        <v>0</v>
      </c>
      <c r="M346" s="2">
        <v>-1</v>
      </c>
      <c r="N346" s="2"/>
      <c r="O346" s="2"/>
      <c r="P346" s="2"/>
      <c r="Q346" s="2"/>
      <c r="R346" s="25">
        <v>3.9327019999999999</v>
      </c>
      <c r="S346" s="25">
        <v>3.9458000000000002</v>
      </c>
      <c r="T346" s="25">
        <v>11.356398779999999</v>
      </c>
      <c r="U346">
        <v>3.9060000000000001</v>
      </c>
      <c r="V346">
        <v>21.603000000000002</v>
      </c>
      <c r="W346">
        <v>3.8879000000000001</v>
      </c>
      <c r="X346">
        <v>0</v>
      </c>
      <c r="AA346" s="2"/>
      <c r="AB346">
        <v>14</v>
      </c>
      <c r="AC346" s="55">
        <f t="shared" si="44"/>
        <v>0</v>
      </c>
      <c r="AD346" s="57">
        <v>173.54502164551991</v>
      </c>
      <c r="AE346" s="55">
        <v>328.06612625219998</v>
      </c>
      <c r="AF346" s="55">
        <v>0</v>
      </c>
      <c r="AG346" s="52"/>
      <c r="AH346" s="51">
        <v>8.0670709348241429E-2</v>
      </c>
      <c r="AI346" s="52">
        <v>4.2674323496713393E-2</v>
      </c>
      <c r="AJ346" s="52"/>
      <c r="AK346" s="28">
        <v>1.7272727272727271</v>
      </c>
      <c r="AL346" s="28">
        <v>2.545454545454545</v>
      </c>
      <c r="AM346" s="28">
        <v>0.81818181818181823</v>
      </c>
      <c r="AN346" s="28">
        <v>0</v>
      </c>
      <c r="AO346" s="28">
        <v>0.3392857142857143</v>
      </c>
      <c r="AP346" s="28">
        <v>0.5</v>
      </c>
      <c r="AQ346" s="28">
        <v>0.1607142857142857</v>
      </c>
      <c r="AR346" s="28">
        <v>0</v>
      </c>
      <c r="AS346" s="25">
        <v>0.82</v>
      </c>
      <c r="AT346" s="25">
        <v>3.44</v>
      </c>
      <c r="AU346" s="25">
        <v>2.62</v>
      </c>
      <c r="AV346" s="25">
        <v>2.6545454545454539</v>
      </c>
      <c r="AW346">
        <v>2.6545454545454539</v>
      </c>
      <c r="AX346">
        <v>5.9946911436363637</v>
      </c>
      <c r="AY346" s="75">
        <v>0.48450364842179561</v>
      </c>
      <c r="AZ346" s="75"/>
      <c r="BA346" s="75"/>
      <c r="BC346">
        <v>4.0335354674120701E-2</v>
      </c>
      <c r="BD346">
        <v>2.13371617483567E-2</v>
      </c>
      <c r="BF346">
        <v>6.1672516422477411E-2</v>
      </c>
      <c r="BG346">
        <v>3.0836258211238698E-2</v>
      </c>
      <c r="BH346">
        <v>0.48450364842179561</v>
      </c>
      <c r="BS346" s="79" t="s">
        <v>464</v>
      </c>
      <c r="BT346" s="79" t="s">
        <v>464</v>
      </c>
      <c r="CA346" t="e">
        <f t="shared" si="48"/>
        <v>#NUM!</v>
      </c>
    </row>
    <row r="347" spans="1:79" x14ac:dyDescent="0.3">
      <c r="A347" s="2" t="s">
        <v>202</v>
      </c>
      <c r="B347" s="13" t="s">
        <v>870</v>
      </c>
      <c r="C347" s="13"/>
      <c r="D347" s="2">
        <v>2.8</v>
      </c>
      <c r="E347" s="2" t="s">
        <v>207</v>
      </c>
      <c r="F347" s="32" t="s">
        <v>584</v>
      </c>
      <c r="G347" s="1" t="s">
        <v>658</v>
      </c>
      <c r="I347" s="2"/>
      <c r="J347" s="25">
        <v>0</v>
      </c>
      <c r="K347">
        <v>1</v>
      </c>
      <c r="L347">
        <v>0</v>
      </c>
      <c r="M347" s="2">
        <v>-1</v>
      </c>
      <c r="N347" s="2"/>
      <c r="O347" s="2"/>
      <c r="P347" s="2"/>
      <c r="Q347" s="2"/>
      <c r="R347" s="25">
        <v>0</v>
      </c>
      <c r="S347" s="25"/>
      <c r="T347" s="25"/>
      <c r="U347">
        <v>3.8573</v>
      </c>
      <c r="V347">
        <v>3.8573</v>
      </c>
      <c r="W347">
        <v>15.044</v>
      </c>
      <c r="X347">
        <v>0</v>
      </c>
      <c r="AA347" s="2"/>
      <c r="AB347">
        <v>20</v>
      </c>
      <c r="AC347" s="55">
        <f t="shared" si="44"/>
        <v>0</v>
      </c>
      <c r="AD347" s="57">
        <v>0</v>
      </c>
      <c r="AE347" s="55">
        <v>223.83611493475999</v>
      </c>
      <c r="AF347" s="55">
        <v>0</v>
      </c>
      <c r="AG347" s="52"/>
      <c r="AH347" s="51"/>
      <c r="AI347" s="52">
        <v>8.9351086199066954E-2</v>
      </c>
      <c r="AJ347" s="52"/>
      <c r="AK347" s="28">
        <v>1.9375</v>
      </c>
      <c r="AL347" s="28">
        <v>2.5</v>
      </c>
      <c r="AM347" s="28">
        <v>0.625</v>
      </c>
      <c r="AN347" s="28">
        <v>2.625</v>
      </c>
      <c r="AO347" s="28">
        <v>0.25203252032520318</v>
      </c>
      <c r="AP347" s="28">
        <v>0.32520325203252032</v>
      </c>
      <c r="AQ347" s="28">
        <v>8.1300813008130079E-2</v>
      </c>
      <c r="AR347" s="28">
        <v>0.34146341463414642</v>
      </c>
      <c r="AS347" s="25">
        <v>0.82</v>
      </c>
      <c r="AT347" s="25">
        <v>3.44</v>
      </c>
      <c r="AU347" s="25">
        <v>2.62</v>
      </c>
      <c r="AV347" s="25">
        <v>2.6142500000000002</v>
      </c>
      <c r="AW347">
        <v>2.6142500000000002</v>
      </c>
      <c r="AX347">
        <v>5.9930639130937511</v>
      </c>
      <c r="AY347" s="75">
        <v>0.5100369583648936</v>
      </c>
      <c r="AZ347" s="75">
        <v>0.54203706385343264</v>
      </c>
      <c r="BA347" s="75"/>
      <c r="BD347">
        <v>4.4675543099533477E-2</v>
      </c>
      <c r="BF347">
        <v>8.9351086199066954E-2</v>
      </c>
      <c r="BG347">
        <v>4.4675543099533477E-2</v>
      </c>
      <c r="BH347">
        <v>0.52603701110916312</v>
      </c>
      <c r="BS347" s="79" t="s">
        <v>464</v>
      </c>
      <c r="BT347" s="79" t="s">
        <v>464</v>
      </c>
      <c r="CA347" t="e">
        <f t="shared" si="48"/>
        <v>#NUM!</v>
      </c>
    </row>
    <row r="348" spans="1:79" x14ac:dyDescent="0.3">
      <c r="A348" s="2" t="s">
        <v>203</v>
      </c>
      <c r="B348" s="13" t="s">
        <v>803</v>
      </c>
      <c r="C348" s="13"/>
      <c r="D348" s="2">
        <v>4.5</v>
      </c>
      <c r="E348" s="2" t="s">
        <v>207</v>
      </c>
      <c r="F348" s="9" t="s">
        <v>584</v>
      </c>
      <c r="G348" t="s">
        <v>658</v>
      </c>
      <c r="I348" s="2"/>
      <c r="J348" s="25">
        <v>1</v>
      </c>
      <c r="K348">
        <v>1</v>
      </c>
      <c r="L348">
        <v>0</v>
      </c>
      <c r="M348" s="2">
        <v>-1</v>
      </c>
      <c r="N348" s="2"/>
      <c r="O348" s="2">
        <v>15.05</v>
      </c>
      <c r="P348" s="2"/>
      <c r="Q348" s="2"/>
      <c r="R348" s="25">
        <v>3.9414189999999998</v>
      </c>
      <c r="S348" s="25">
        <v>3.9414189999999998</v>
      </c>
      <c r="T348" s="25">
        <v>15.312718</v>
      </c>
      <c r="U348">
        <v>3.8573</v>
      </c>
      <c r="V348">
        <v>3.8573</v>
      </c>
      <c r="W348">
        <v>15.044</v>
      </c>
      <c r="X348">
        <v>0</v>
      </c>
      <c r="AA348" s="2"/>
      <c r="AB348">
        <v>20</v>
      </c>
      <c r="AC348" s="55">
        <f t="shared" si="44"/>
        <v>0</v>
      </c>
      <c r="AD348" s="57">
        <v>237.8797625030067</v>
      </c>
      <c r="AE348" s="55">
        <v>223.83611493475999</v>
      </c>
      <c r="AF348" s="55">
        <v>0</v>
      </c>
      <c r="AG348" s="52"/>
      <c r="AH348" s="51">
        <v>8.4076088648975381E-2</v>
      </c>
      <c r="AI348" s="52">
        <v>8.9351086199066954E-2</v>
      </c>
      <c r="AJ348" s="52"/>
      <c r="AK348" s="28">
        <v>1.9375</v>
      </c>
      <c r="AL348" s="28">
        <v>2.5</v>
      </c>
      <c r="AM348" s="28">
        <v>0.5625</v>
      </c>
      <c r="AN348" s="28">
        <v>2.625</v>
      </c>
      <c r="AO348" s="28">
        <v>0.25409836065573771</v>
      </c>
      <c r="AP348" s="28">
        <v>0.32786885245901642</v>
      </c>
      <c r="AQ348" s="28">
        <v>7.3770491803278687E-2</v>
      </c>
      <c r="AR348" s="28">
        <v>0.34426229508196721</v>
      </c>
      <c r="AS348" s="25">
        <v>0.82</v>
      </c>
      <c r="AT348" s="25">
        <v>3.44</v>
      </c>
      <c r="AU348" s="25">
        <v>2.62</v>
      </c>
      <c r="AV348" s="25">
        <v>2.6074999999999999</v>
      </c>
      <c r="AW348">
        <v>2.6074999999999999</v>
      </c>
      <c r="AX348">
        <v>5.9796291640625006</v>
      </c>
      <c r="AY348" s="75">
        <v>0.5100369583648936</v>
      </c>
      <c r="AZ348" s="75">
        <v>0.54203706385343264</v>
      </c>
      <c r="BA348" s="75"/>
      <c r="BC348">
        <v>4.203804432448769E-2</v>
      </c>
      <c r="BD348">
        <v>4.4675543099533477E-2</v>
      </c>
      <c r="BF348">
        <v>8.671358742402116E-2</v>
      </c>
      <c r="BG348">
        <v>4.335679371201058E-2</v>
      </c>
      <c r="BH348">
        <v>0.52603701110916312</v>
      </c>
      <c r="BS348" s="79" t="s">
        <v>464</v>
      </c>
      <c r="BT348" s="79" t="s">
        <v>464</v>
      </c>
      <c r="CA348" t="e">
        <f t="shared" si="48"/>
        <v>#NUM!</v>
      </c>
    </row>
    <row r="349" spans="1:79" x14ac:dyDescent="0.3">
      <c r="A349" s="2" t="s">
        <v>204</v>
      </c>
      <c r="B349" s="13" t="s">
        <v>804</v>
      </c>
      <c r="C349" s="13"/>
      <c r="D349" s="2">
        <v>4.8</v>
      </c>
      <c r="E349" s="2" t="s">
        <v>207</v>
      </c>
      <c r="F349" s="9" t="s">
        <v>585</v>
      </c>
      <c r="G349" t="s">
        <v>659</v>
      </c>
      <c r="I349" s="2"/>
      <c r="J349" s="25">
        <v>2</v>
      </c>
      <c r="K349">
        <v>6</v>
      </c>
      <c r="L349">
        <v>0</v>
      </c>
      <c r="M349" s="2">
        <v>-1</v>
      </c>
      <c r="N349" s="2"/>
      <c r="O349" s="2"/>
      <c r="P349" s="2"/>
      <c r="Q349" s="2"/>
      <c r="R349" s="25">
        <v>5.4445069999999998</v>
      </c>
      <c r="S349" s="25">
        <v>5.4445069999999998</v>
      </c>
      <c r="T349" s="25">
        <v>3.9426230000000002</v>
      </c>
      <c r="U349">
        <v>5.15428</v>
      </c>
      <c r="V349">
        <v>5.1542800000000009</v>
      </c>
      <c r="W349">
        <v>13.7835</v>
      </c>
      <c r="X349">
        <v>0</v>
      </c>
      <c r="AA349" s="2"/>
      <c r="AB349">
        <v>6</v>
      </c>
      <c r="AC349" s="55">
        <f t="shared" si="44"/>
        <v>0</v>
      </c>
      <c r="AD349" s="57">
        <v>116.8698191917419</v>
      </c>
      <c r="AE349" s="55">
        <v>317.12184318337751</v>
      </c>
      <c r="AF349" s="55">
        <v>0</v>
      </c>
      <c r="AG349" s="52"/>
      <c r="AH349" s="51">
        <v>0.10267834829377349</v>
      </c>
      <c r="AI349" s="52">
        <v>0.1135210354437263</v>
      </c>
      <c r="AJ349" s="52"/>
      <c r="AK349" s="28">
        <v>1.8</v>
      </c>
      <c r="AL349" s="28">
        <v>2.4</v>
      </c>
      <c r="AM349" s="28">
        <v>0.6</v>
      </c>
      <c r="AN349" s="28">
        <v>2.8</v>
      </c>
      <c r="AO349" s="28">
        <v>0.23684210526315791</v>
      </c>
      <c r="AP349" s="28">
        <v>0.31578947368421051</v>
      </c>
      <c r="AQ349" s="28">
        <v>7.8947368421052627E-2</v>
      </c>
      <c r="AR349" s="28">
        <v>0.36842105263157893</v>
      </c>
      <c r="AS349" s="25">
        <v>0.98</v>
      </c>
      <c r="AT349" s="25">
        <v>3.44</v>
      </c>
      <c r="AU349" s="25">
        <v>2.46</v>
      </c>
      <c r="AV349" s="25">
        <v>2.56</v>
      </c>
      <c r="AW349">
        <v>2.56</v>
      </c>
      <c r="AX349">
        <v>5.9119936115999998</v>
      </c>
      <c r="AY349" s="75">
        <v>0.51645314797839414</v>
      </c>
      <c r="AZ349" s="75">
        <v>0</v>
      </c>
      <c r="BA349" s="75"/>
      <c r="BC349">
        <v>5.1339174146886712E-2</v>
      </c>
      <c r="BD349">
        <v>5.6760517721863142E-2</v>
      </c>
      <c r="BF349">
        <v>0.1080996918687499</v>
      </c>
      <c r="BG349">
        <v>5.4049845934374917E-2</v>
      </c>
      <c r="BH349">
        <v>0.25822657398919707</v>
      </c>
      <c r="BS349" s="79" t="s">
        <v>464</v>
      </c>
      <c r="BT349" s="79" t="s">
        <v>464</v>
      </c>
      <c r="CA349" t="e">
        <f t="shared" si="48"/>
        <v>#NUM!</v>
      </c>
    </row>
    <row r="350" spans="1:79" x14ac:dyDescent="0.3">
      <c r="A350" s="2" t="s">
        <v>28</v>
      </c>
      <c r="B350" s="13" t="s">
        <v>805</v>
      </c>
      <c r="C350" s="13"/>
      <c r="D350" s="2">
        <v>4</v>
      </c>
      <c r="E350" s="2" t="s">
        <v>207</v>
      </c>
      <c r="F350" s="9" t="s">
        <v>586</v>
      </c>
      <c r="G350" t="s">
        <v>660</v>
      </c>
      <c r="I350" s="2"/>
      <c r="J350" s="25">
        <v>8</v>
      </c>
      <c r="K350">
        <v>4</v>
      </c>
      <c r="L350">
        <v>0</v>
      </c>
      <c r="M350" s="2">
        <v>-1</v>
      </c>
      <c r="N350" s="2"/>
      <c r="O350" s="2"/>
      <c r="P350" s="2"/>
      <c r="Q350" s="2"/>
      <c r="R350" s="25">
        <v>7.5714817599999993</v>
      </c>
      <c r="S350" s="25">
        <v>7.4441355800000002</v>
      </c>
      <c r="T350" s="25">
        <v>14.785262019999999</v>
      </c>
      <c r="U350">
        <v>5.4767999999999999</v>
      </c>
      <c r="V350">
        <v>5.5212000000000003</v>
      </c>
      <c r="W350">
        <v>7.7889999999999997</v>
      </c>
      <c r="X350">
        <v>0</v>
      </c>
      <c r="AA350" s="2"/>
      <c r="AB350">
        <v>6</v>
      </c>
      <c r="AC350" s="55">
        <f t="shared" si="44"/>
        <v>0</v>
      </c>
      <c r="AD350" s="57">
        <v>583.54908217201648</v>
      </c>
      <c r="AE350" s="55">
        <v>235.52774005824</v>
      </c>
      <c r="AF350" s="55">
        <v>0</v>
      </c>
      <c r="AG350" s="52"/>
      <c r="AH350" s="51">
        <v>8.2255291742281814E-2</v>
      </c>
      <c r="AI350" s="52">
        <v>0.10189882514078979</v>
      </c>
      <c r="AJ350" s="52"/>
      <c r="AK350" s="28">
        <v>1.8</v>
      </c>
      <c r="AL350" s="28">
        <v>2.4</v>
      </c>
      <c r="AM350" s="28">
        <v>0.6</v>
      </c>
      <c r="AN350" s="28">
        <v>2.8</v>
      </c>
      <c r="AO350" s="28">
        <v>0.23684210526315791</v>
      </c>
      <c r="AP350" s="28">
        <v>0.31578947368421051</v>
      </c>
      <c r="AQ350" s="28">
        <v>7.8947368421052627E-2</v>
      </c>
      <c r="AR350" s="28">
        <v>0.36842105263157893</v>
      </c>
      <c r="AS350" s="25">
        <v>0.93</v>
      </c>
      <c r="AT350" s="25">
        <v>3.44</v>
      </c>
      <c r="AU350" s="25">
        <v>2.5099999999999998</v>
      </c>
      <c r="AV350" s="25">
        <v>2.5499999999999998</v>
      </c>
      <c r="AW350">
        <v>2.5499999999999998</v>
      </c>
      <c r="AX350">
        <v>5.8797175109999991</v>
      </c>
      <c r="AY350" s="75">
        <v>0.46150059156666667</v>
      </c>
      <c r="AZ350" s="75">
        <v>0.57171237359127625</v>
      </c>
      <c r="BA350" s="75"/>
      <c r="BC350">
        <v>4.1127645871140907E-2</v>
      </c>
      <c r="BD350">
        <v>5.0949412570394918E-2</v>
      </c>
      <c r="BF350">
        <v>9.2077058441535797E-2</v>
      </c>
      <c r="BG350">
        <v>4.6038529220767913E-2</v>
      </c>
      <c r="BH350">
        <v>0.51660648257897146</v>
      </c>
      <c r="BS350" s="79" t="s">
        <v>464</v>
      </c>
      <c r="BT350" s="79" t="s">
        <v>464</v>
      </c>
      <c r="CA350" t="e">
        <f t="shared" si="48"/>
        <v>#NUM!</v>
      </c>
    </row>
    <row r="351" spans="1:79" x14ac:dyDescent="0.3">
      <c r="A351" s="2" t="s">
        <v>205</v>
      </c>
      <c r="B351" s="13" t="s">
        <v>871</v>
      </c>
      <c r="C351" s="13"/>
      <c r="D351" s="2">
        <v>2.8</v>
      </c>
      <c r="E351" s="2" t="s">
        <v>207</v>
      </c>
      <c r="F351" s="32" t="s">
        <v>585</v>
      </c>
      <c r="G351" s="1" t="s">
        <v>659</v>
      </c>
      <c r="I351" s="2"/>
      <c r="J351" s="25">
        <v>0</v>
      </c>
      <c r="K351">
        <v>6</v>
      </c>
      <c r="L351">
        <v>0</v>
      </c>
      <c r="M351" s="2">
        <v>-1</v>
      </c>
      <c r="N351" s="2"/>
      <c r="O351" s="2"/>
      <c r="P351" s="2"/>
      <c r="Q351" s="2"/>
      <c r="R351" s="25">
        <v>0</v>
      </c>
      <c r="S351" s="25"/>
      <c r="T351" s="25"/>
      <c r="U351">
        <v>5.15428</v>
      </c>
      <c r="V351">
        <v>5.1542800000000009</v>
      </c>
      <c r="W351">
        <v>13.7835</v>
      </c>
      <c r="X351">
        <v>0</v>
      </c>
      <c r="AA351" s="2"/>
      <c r="AB351">
        <v>6</v>
      </c>
      <c r="AC351" s="55">
        <f t="shared" si="44"/>
        <v>0</v>
      </c>
      <c r="AD351" s="57">
        <v>0</v>
      </c>
      <c r="AE351" s="55">
        <v>317.12184318337751</v>
      </c>
      <c r="AF351" s="55">
        <v>0</v>
      </c>
      <c r="AG351" s="52"/>
      <c r="AH351" s="51"/>
      <c r="AI351" s="52">
        <v>0.1135210354437263</v>
      </c>
      <c r="AJ351" s="52"/>
      <c r="AK351" s="28">
        <v>1.8</v>
      </c>
      <c r="AL351" s="28">
        <v>2.4</v>
      </c>
      <c r="AM351" s="28">
        <v>0.64</v>
      </c>
      <c r="AN351" s="28">
        <v>2.8</v>
      </c>
      <c r="AO351" s="28">
        <v>0.2356020942408377</v>
      </c>
      <c r="AP351" s="28">
        <v>0.3141361256544502</v>
      </c>
      <c r="AQ351" s="28">
        <v>8.3769633507853394E-2</v>
      </c>
      <c r="AR351" s="28">
        <v>0.36649214659685858</v>
      </c>
      <c r="AS351" s="25">
        <v>0.98</v>
      </c>
      <c r="AT351" s="25">
        <v>3.44</v>
      </c>
      <c r="AU351" s="25">
        <v>2.46</v>
      </c>
      <c r="AV351" s="25">
        <v>2.5636800000000002</v>
      </c>
      <c r="AW351">
        <v>2.5636800000000002</v>
      </c>
      <c r="AX351">
        <v>5.9178984111680002</v>
      </c>
      <c r="AY351" s="75">
        <v>0.51645314797839414</v>
      </c>
      <c r="AZ351" s="75">
        <v>0</v>
      </c>
      <c r="BA351" s="75"/>
      <c r="BD351">
        <v>5.6760517721863142E-2</v>
      </c>
      <c r="BF351">
        <v>0.1135210354437263</v>
      </c>
      <c r="BG351">
        <v>5.6760517721863142E-2</v>
      </c>
      <c r="BH351">
        <v>0.25822657398919707</v>
      </c>
      <c r="BS351" s="79" t="s">
        <v>464</v>
      </c>
      <c r="BT351" s="79" t="s">
        <v>464</v>
      </c>
      <c r="CA351" t="e">
        <f t="shared" si="48"/>
        <v>#NUM!</v>
      </c>
    </row>
    <row r="352" spans="1:79" x14ac:dyDescent="0.3">
      <c r="A352" s="2" t="s">
        <v>206</v>
      </c>
      <c r="B352" s="13" t="s">
        <v>872</v>
      </c>
      <c r="C352" s="13"/>
      <c r="D352" s="2">
        <v>2</v>
      </c>
      <c r="E352" s="2" t="s">
        <v>207</v>
      </c>
      <c r="F352" s="32" t="s">
        <v>586</v>
      </c>
      <c r="G352" s="1" t="s">
        <v>660</v>
      </c>
      <c r="I352" s="2"/>
      <c r="J352" s="25">
        <v>0</v>
      </c>
      <c r="K352">
        <v>4</v>
      </c>
      <c r="L352">
        <v>0</v>
      </c>
      <c r="M352" s="2">
        <v>-1</v>
      </c>
      <c r="N352" s="2"/>
      <c r="O352" s="2"/>
      <c r="P352" s="2"/>
      <c r="Q352" s="2"/>
      <c r="R352" s="25">
        <v>0</v>
      </c>
      <c r="S352" s="25"/>
      <c r="T352" s="25"/>
      <c r="U352">
        <v>5.4767999999999999</v>
      </c>
      <c r="V352">
        <v>5.5212000000000003</v>
      </c>
      <c r="W352">
        <v>7.7889999999999997</v>
      </c>
      <c r="X352">
        <v>0</v>
      </c>
      <c r="AA352" s="2"/>
      <c r="AB352">
        <v>6</v>
      </c>
      <c r="AC352" s="55">
        <f t="shared" si="44"/>
        <v>0</v>
      </c>
      <c r="AD352" s="57">
        <v>0</v>
      </c>
      <c r="AE352" s="55">
        <v>235.52774005824</v>
      </c>
      <c r="AF352" s="55">
        <v>0</v>
      </c>
      <c r="AG352" s="52"/>
      <c r="AH352" s="51"/>
      <c r="AI352" s="52">
        <v>0.10189882514078979</v>
      </c>
      <c r="AJ352" s="52"/>
      <c r="AK352" s="28">
        <v>1.8</v>
      </c>
      <c r="AL352" s="28">
        <v>2.4</v>
      </c>
      <c r="AM352" s="28">
        <v>0.78</v>
      </c>
      <c r="AN352" s="28">
        <v>2.8</v>
      </c>
      <c r="AO352" s="28">
        <v>0.23136246786632389</v>
      </c>
      <c r="AP352" s="28">
        <v>0.30848329048843193</v>
      </c>
      <c r="AQ352" s="28">
        <v>0.10025706940874041</v>
      </c>
      <c r="AR352" s="28">
        <v>0.35989717223650391</v>
      </c>
      <c r="AS352" s="25">
        <v>0.93</v>
      </c>
      <c r="AT352" s="25">
        <v>3.44</v>
      </c>
      <c r="AU352" s="25">
        <v>2.5099999999999998</v>
      </c>
      <c r="AV352" s="25">
        <v>2.5674600000000001</v>
      </c>
      <c r="AW352">
        <v>2.5674600000000001</v>
      </c>
      <c r="AX352">
        <v>5.9091939581100004</v>
      </c>
      <c r="AY352" s="75">
        <v>0.46150059156666667</v>
      </c>
      <c r="AZ352" s="75">
        <v>0.57171237359127625</v>
      </c>
      <c r="BA352" s="75"/>
      <c r="BD352">
        <v>5.0949412570394918E-2</v>
      </c>
      <c r="BF352">
        <v>0.10189882514078979</v>
      </c>
      <c r="BG352">
        <v>5.0949412570394918E-2</v>
      </c>
      <c r="BH352">
        <v>0.51660648257897146</v>
      </c>
      <c r="BS352" s="79" t="s">
        <v>464</v>
      </c>
      <c r="BT352" s="79" t="s">
        <v>464</v>
      </c>
      <c r="CA352" t="e">
        <f t="shared" si="48"/>
        <v>#NUM!</v>
      </c>
    </row>
    <row r="353" spans="1:79" x14ac:dyDescent="0.3">
      <c r="A353" s="2" t="s">
        <v>153</v>
      </c>
      <c r="B353" s="13" t="s">
        <v>775</v>
      </c>
      <c r="C353" s="13"/>
      <c r="D353" s="2">
        <v>3.36</v>
      </c>
      <c r="E353" s="2" t="s">
        <v>208</v>
      </c>
      <c r="F353" s="9" t="s">
        <v>578</v>
      </c>
      <c r="G353">
        <v>-1</v>
      </c>
      <c r="I353" s="2">
        <v>1</v>
      </c>
      <c r="J353" s="25">
        <v>1</v>
      </c>
      <c r="K353">
        <v>0</v>
      </c>
      <c r="L353">
        <v>0</v>
      </c>
      <c r="M353" s="2">
        <v>3.8860000000000001</v>
      </c>
      <c r="N353" s="2">
        <v>3.8860000000000001</v>
      </c>
      <c r="O353" s="2">
        <v>10.548299999999999</v>
      </c>
      <c r="P353" s="2" t="s">
        <v>1097</v>
      </c>
      <c r="Q353" s="2"/>
      <c r="R353" s="25">
        <v>3.9263319999999999</v>
      </c>
      <c r="S353" s="25">
        <v>3.9263319999999999</v>
      </c>
      <c r="T353" s="25">
        <v>10.74639</v>
      </c>
      <c r="U353">
        <v>0</v>
      </c>
      <c r="X353">
        <v>0</v>
      </c>
      <c r="AA353" s="2"/>
      <c r="AB353">
        <v>14</v>
      </c>
      <c r="AC353" s="55">
        <f t="shared" si="44"/>
        <v>159.28983610679998</v>
      </c>
      <c r="AD353" s="57">
        <v>165.66723991337099</v>
      </c>
      <c r="AE353" s="55">
        <v>0</v>
      </c>
      <c r="AF353" s="55">
        <v>0</v>
      </c>
      <c r="AG353" s="52"/>
      <c r="AH353" s="51">
        <v>8.4506749839743392E-2</v>
      </c>
      <c r="AI353" s="52"/>
      <c r="AJ353" s="52"/>
      <c r="AK353" s="28">
        <v>1.7272727272727271</v>
      </c>
      <c r="AL353" s="28">
        <v>2.545454545454545</v>
      </c>
      <c r="AM353" s="28">
        <v>0.81818181818181823</v>
      </c>
      <c r="AN353" s="28">
        <v>0</v>
      </c>
      <c r="AO353" s="28">
        <v>0.3392857142857143</v>
      </c>
      <c r="AP353" s="28">
        <v>0.5</v>
      </c>
      <c r="AQ353" s="28">
        <v>0.1607142857142857</v>
      </c>
      <c r="AR353" s="28">
        <v>0</v>
      </c>
      <c r="AS353" s="25">
        <v>1.1000000000000001</v>
      </c>
      <c r="AT353" s="25">
        <v>3.44</v>
      </c>
      <c r="AU353" s="25">
        <v>2.34</v>
      </c>
      <c r="AV353" s="25">
        <v>2.78</v>
      </c>
      <c r="AW353">
        <v>2.78</v>
      </c>
      <c r="AX353">
        <v>6.4270052227137269</v>
      </c>
      <c r="AY353" s="75">
        <v>0.41874886813759421</v>
      </c>
      <c r="AZ353" s="75"/>
      <c r="BA353" s="75"/>
      <c r="BB353">
        <v>4.3945051178950742E-2</v>
      </c>
      <c r="BC353">
        <v>4.2253374919871717E-2</v>
      </c>
      <c r="BF353">
        <v>8.4506749839743392E-2</v>
      </c>
      <c r="BG353">
        <v>4.3099213049411229E-2</v>
      </c>
      <c r="BH353">
        <v>0.41874886813759421</v>
      </c>
      <c r="BS353" s="79" t="s">
        <v>464</v>
      </c>
      <c r="BT353" s="79" t="s">
        <v>464</v>
      </c>
      <c r="CA353" t="e">
        <f t="shared" si="48"/>
        <v>#NUM!</v>
      </c>
    </row>
    <row r="354" spans="1:79" x14ac:dyDescent="0.3">
      <c r="A354" s="2" t="s">
        <v>153</v>
      </c>
      <c r="B354" s="13" t="s">
        <v>775</v>
      </c>
      <c r="C354" s="13"/>
      <c r="D354" s="2">
        <v>3.48</v>
      </c>
      <c r="E354" s="2" t="s">
        <v>208</v>
      </c>
      <c r="F354" s="9" t="s">
        <v>578</v>
      </c>
      <c r="G354">
        <v>-1</v>
      </c>
      <c r="I354" s="2">
        <v>1</v>
      </c>
      <c r="J354" s="25">
        <v>1</v>
      </c>
      <c r="K354">
        <v>0</v>
      </c>
      <c r="L354">
        <v>0</v>
      </c>
      <c r="M354" s="2">
        <v>3.8860000000000001</v>
      </c>
      <c r="N354" s="2">
        <v>3.8860000000000001</v>
      </c>
      <c r="O354" s="2">
        <v>10.548299999999999</v>
      </c>
      <c r="P354" s="2" t="s">
        <v>1097</v>
      </c>
      <c r="Q354" s="2"/>
      <c r="R354" s="25">
        <v>3.9263319999999999</v>
      </c>
      <c r="S354" s="25">
        <v>3.9263319999999999</v>
      </c>
      <c r="T354" s="25">
        <v>10.74639</v>
      </c>
      <c r="U354">
        <v>0</v>
      </c>
      <c r="X354">
        <v>0</v>
      </c>
      <c r="AA354" s="2"/>
      <c r="AB354">
        <v>14</v>
      </c>
      <c r="AC354" s="55">
        <f t="shared" si="44"/>
        <v>159.28983610679998</v>
      </c>
      <c r="AD354" s="57">
        <v>165.66723991337099</v>
      </c>
      <c r="AE354" s="55">
        <v>0</v>
      </c>
      <c r="AF354" s="55">
        <v>0</v>
      </c>
      <c r="AG354" s="52"/>
      <c r="AH354" s="51">
        <v>8.4506749839743392E-2</v>
      </c>
      <c r="AI354" s="52"/>
      <c r="AJ354" s="52"/>
      <c r="AK354" s="28">
        <v>1.7272727272727271</v>
      </c>
      <c r="AL354" s="28">
        <v>2.545454545454545</v>
      </c>
      <c r="AM354" s="28">
        <v>0.81818181818181823</v>
      </c>
      <c r="AN354" s="28">
        <v>0</v>
      </c>
      <c r="AO354" s="28">
        <v>0.3392857142857143</v>
      </c>
      <c r="AP354" s="28">
        <v>0.5</v>
      </c>
      <c r="AQ354" s="28">
        <v>0.1607142857142857</v>
      </c>
      <c r="AR354" s="28">
        <v>0</v>
      </c>
      <c r="AS354" s="25">
        <v>1.1000000000000001</v>
      </c>
      <c r="AT354" s="25">
        <v>3.44</v>
      </c>
      <c r="AU354" s="25">
        <v>2.34</v>
      </c>
      <c r="AV354" s="25">
        <v>2.78</v>
      </c>
      <c r="AW354">
        <v>2.78</v>
      </c>
      <c r="AX354">
        <v>6.4270052227137269</v>
      </c>
      <c r="AY354" s="75">
        <v>0.41874886813759421</v>
      </c>
      <c r="AZ354" s="75"/>
      <c r="BA354" s="75"/>
      <c r="BB354">
        <v>4.3945051178950742E-2</v>
      </c>
      <c r="BC354">
        <v>4.2253374919871717E-2</v>
      </c>
      <c r="BF354">
        <v>8.4506749839743392E-2</v>
      </c>
      <c r="BG354">
        <v>4.3099213049411229E-2</v>
      </c>
      <c r="BH354">
        <v>0.41874886813759421</v>
      </c>
      <c r="BN354" s="79" t="s">
        <v>964</v>
      </c>
      <c r="BO354" s="79">
        <v>0.66</v>
      </c>
      <c r="BS354" s="79" t="s">
        <v>464</v>
      </c>
      <c r="BT354" s="79" t="s">
        <v>464</v>
      </c>
      <c r="CA354" t="e">
        <f t="shared" si="48"/>
        <v>#NUM!</v>
      </c>
    </row>
    <row r="355" spans="1:79" x14ac:dyDescent="0.3">
      <c r="A355" s="2" t="s">
        <v>153</v>
      </c>
      <c r="B355" s="13" t="s">
        <v>775</v>
      </c>
      <c r="C355" s="13"/>
      <c r="D355" s="2">
        <v>3.47</v>
      </c>
      <c r="E355" s="2" t="s">
        <v>208</v>
      </c>
      <c r="F355" s="9" t="s">
        <v>578</v>
      </c>
      <c r="G355">
        <v>-1</v>
      </c>
      <c r="I355" s="2">
        <v>1</v>
      </c>
      <c r="J355" s="25">
        <v>1</v>
      </c>
      <c r="K355">
        <v>0</v>
      </c>
      <c r="L355">
        <v>0</v>
      </c>
      <c r="M355" s="2">
        <v>3.8860000000000001</v>
      </c>
      <c r="N355" s="2">
        <v>3.8860000000000001</v>
      </c>
      <c r="O355" s="2">
        <v>10.548299999999999</v>
      </c>
      <c r="P355" s="2" t="s">
        <v>1097</v>
      </c>
      <c r="Q355" s="2"/>
      <c r="R355" s="25">
        <v>3.9263319999999999</v>
      </c>
      <c r="S355" s="25">
        <v>3.9263319999999999</v>
      </c>
      <c r="T355" s="25">
        <v>10.74639</v>
      </c>
      <c r="U355">
        <v>0</v>
      </c>
      <c r="X355">
        <v>0</v>
      </c>
      <c r="AA355" s="2"/>
      <c r="AB355">
        <v>14</v>
      </c>
      <c r="AC355" s="55">
        <f t="shared" si="44"/>
        <v>159.28983610679998</v>
      </c>
      <c r="AD355" s="57">
        <v>165.66723991337099</v>
      </c>
      <c r="AE355" s="55">
        <v>0</v>
      </c>
      <c r="AF355" s="55">
        <v>0</v>
      </c>
      <c r="AG355" s="52"/>
      <c r="AH355" s="51">
        <v>8.4506749839743392E-2</v>
      </c>
      <c r="AI355" s="52"/>
      <c r="AJ355" s="52"/>
      <c r="AK355" s="28">
        <v>1.7272727272727271</v>
      </c>
      <c r="AL355" s="28">
        <v>2.545454545454545</v>
      </c>
      <c r="AM355" s="28">
        <v>0.81818181818181823</v>
      </c>
      <c r="AN355" s="28">
        <v>0</v>
      </c>
      <c r="AO355" s="28">
        <v>0.3392857142857143</v>
      </c>
      <c r="AP355" s="28">
        <v>0.5</v>
      </c>
      <c r="AQ355" s="28">
        <v>0.1607142857142857</v>
      </c>
      <c r="AR355" s="28">
        <v>0</v>
      </c>
      <c r="AS355" s="25">
        <v>1.1000000000000001</v>
      </c>
      <c r="AT355" s="25">
        <v>3.44</v>
      </c>
      <c r="AU355" s="25">
        <v>2.34</v>
      </c>
      <c r="AV355" s="25">
        <v>2.78</v>
      </c>
      <c r="AW355">
        <v>2.78</v>
      </c>
      <c r="AX355">
        <v>6.4270052227137269</v>
      </c>
      <c r="AY355" s="75">
        <v>0.41874886813759421</v>
      </c>
      <c r="AZ355" s="75"/>
      <c r="BA355" s="75"/>
      <c r="BB355">
        <v>4.3945051178950742E-2</v>
      </c>
      <c r="BC355">
        <v>4.2253374919871717E-2</v>
      </c>
      <c r="BF355">
        <v>8.4506749839743392E-2</v>
      </c>
      <c r="BG355">
        <v>4.3099213049411229E-2</v>
      </c>
      <c r="BH355">
        <v>0.41874886813759421</v>
      </c>
      <c r="BN355" s="79" t="s">
        <v>964</v>
      </c>
      <c r="BO355" s="79">
        <f>BO354*2</f>
        <v>1.32</v>
      </c>
      <c r="BS355" s="79" t="s">
        <v>464</v>
      </c>
      <c r="BT355" s="79" t="s">
        <v>464</v>
      </c>
      <c r="CA355" t="e">
        <f t="shared" si="48"/>
        <v>#NUM!</v>
      </c>
    </row>
    <row r="356" spans="1:79" x14ac:dyDescent="0.3">
      <c r="A356" s="2" t="s">
        <v>153</v>
      </c>
      <c r="B356" s="13" t="s">
        <v>775</v>
      </c>
      <c r="C356" s="13"/>
      <c r="D356" s="2">
        <v>3.41</v>
      </c>
      <c r="E356" s="2" t="s">
        <v>208</v>
      </c>
      <c r="F356" s="9" t="s">
        <v>578</v>
      </c>
      <c r="G356">
        <v>-1</v>
      </c>
      <c r="I356" s="2">
        <v>1</v>
      </c>
      <c r="J356" s="25">
        <v>1</v>
      </c>
      <c r="K356">
        <v>0</v>
      </c>
      <c r="L356">
        <v>0</v>
      </c>
      <c r="M356" s="2">
        <v>3.8860000000000001</v>
      </c>
      <c r="N356" s="2">
        <v>3.8860000000000001</v>
      </c>
      <c r="O356" s="2">
        <v>10.548299999999999</v>
      </c>
      <c r="P356" s="2" t="s">
        <v>1097</v>
      </c>
      <c r="Q356" s="2"/>
      <c r="R356" s="25">
        <v>3.9263319999999999</v>
      </c>
      <c r="S356" s="25">
        <v>3.9263319999999999</v>
      </c>
      <c r="T356" s="25">
        <v>10.74639</v>
      </c>
      <c r="U356">
        <v>0</v>
      </c>
      <c r="X356">
        <v>0</v>
      </c>
      <c r="AA356" s="2"/>
      <c r="AB356">
        <v>14</v>
      </c>
      <c r="AC356" s="55">
        <f t="shared" si="44"/>
        <v>159.28983610679998</v>
      </c>
      <c r="AD356" s="57">
        <v>165.66723991337099</v>
      </c>
      <c r="AE356" s="55">
        <v>0</v>
      </c>
      <c r="AF356" s="55">
        <v>0</v>
      </c>
      <c r="AG356" s="52"/>
      <c r="AH356" s="51">
        <v>8.4506749839743392E-2</v>
      </c>
      <c r="AI356" s="52"/>
      <c r="AJ356" s="52"/>
      <c r="AK356" s="28">
        <v>1.7272727272727271</v>
      </c>
      <c r="AL356" s="28">
        <v>2.545454545454545</v>
      </c>
      <c r="AM356" s="28">
        <v>0.81818181818181823</v>
      </c>
      <c r="AN356" s="28">
        <v>0</v>
      </c>
      <c r="AO356" s="28">
        <v>0.3392857142857143</v>
      </c>
      <c r="AP356" s="28">
        <v>0.5</v>
      </c>
      <c r="AQ356" s="28">
        <v>0.1607142857142857</v>
      </c>
      <c r="AR356" s="28">
        <v>0</v>
      </c>
      <c r="AS356" s="25">
        <v>1.1000000000000001</v>
      </c>
      <c r="AT356" s="25">
        <v>3.44</v>
      </c>
      <c r="AU356" s="25">
        <v>2.34</v>
      </c>
      <c r="AV356" s="25">
        <v>2.78</v>
      </c>
      <c r="AW356">
        <v>2.78</v>
      </c>
      <c r="AX356">
        <v>6.4270052227137269</v>
      </c>
      <c r="AY356" s="75">
        <v>0.41874886813759421</v>
      </c>
      <c r="AZ356" s="75"/>
      <c r="BA356" s="75"/>
      <c r="BB356">
        <v>4.3945051178950742E-2</v>
      </c>
      <c r="BC356">
        <v>4.2253374919871717E-2</v>
      </c>
      <c r="BF356">
        <v>8.4506749839743392E-2</v>
      </c>
      <c r="BG356">
        <v>4.3099213049411229E-2</v>
      </c>
      <c r="BH356">
        <v>0.41874886813759421</v>
      </c>
      <c r="BN356" s="79" t="s">
        <v>964</v>
      </c>
      <c r="BO356" s="79">
        <f>BO354*3</f>
        <v>1.98</v>
      </c>
      <c r="BS356" s="79" t="s">
        <v>464</v>
      </c>
      <c r="BT356" s="79" t="s">
        <v>464</v>
      </c>
      <c r="CA356" t="e">
        <f t="shared" si="48"/>
        <v>#NUM!</v>
      </c>
    </row>
    <row r="357" spans="1:79" x14ac:dyDescent="0.3">
      <c r="A357" s="2" t="s">
        <v>153</v>
      </c>
      <c r="B357" s="13" t="s">
        <v>775</v>
      </c>
      <c r="C357" s="13"/>
      <c r="D357" s="2">
        <v>3.42</v>
      </c>
      <c r="E357" s="2" t="s">
        <v>208</v>
      </c>
      <c r="F357" s="9" t="s">
        <v>578</v>
      </c>
      <c r="G357">
        <v>-1</v>
      </c>
      <c r="I357" s="2">
        <v>1</v>
      </c>
      <c r="J357" s="25">
        <v>1</v>
      </c>
      <c r="K357">
        <v>0</v>
      </c>
      <c r="L357">
        <v>0</v>
      </c>
      <c r="M357" s="2">
        <v>3.8860000000000001</v>
      </c>
      <c r="N357" s="2">
        <v>3.8860000000000001</v>
      </c>
      <c r="O357" s="2">
        <v>10.548299999999999</v>
      </c>
      <c r="P357" s="2" t="s">
        <v>1097</v>
      </c>
      <c r="Q357" s="2"/>
      <c r="R357" s="25">
        <v>3.9263319999999999</v>
      </c>
      <c r="S357" s="25">
        <v>3.9263319999999999</v>
      </c>
      <c r="T357" s="25">
        <v>10.74639</v>
      </c>
      <c r="U357">
        <v>0</v>
      </c>
      <c r="X357">
        <v>0</v>
      </c>
      <c r="AA357" s="2"/>
      <c r="AB357">
        <v>14</v>
      </c>
      <c r="AC357" s="55">
        <f t="shared" si="44"/>
        <v>159.28983610679998</v>
      </c>
      <c r="AD357" s="57">
        <v>165.66723991337099</v>
      </c>
      <c r="AE357" s="55">
        <v>0</v>
      </c>
      <c r="AF357" s="55">
        <v>0</v>
      </c>
      <c r="AG357" s="52"/>
      <c r="AH357" s="51">
        <v>8.4506749839743392E-2</v>
      </c>
      <c r="AI357" s="52"/>
      <c r="AJ357" s="52"/>
      <c r="AK357" s="28">
        <v>1.7272727272727271</v>
      </c>
      <c r="AL357" s="28">
        <v>2.545454545454545</v>
      </c>
      <c r="AM357" s="28">
        <v>0.81818181818181823</v>
      </c>
      <c r="AN357" s="28">
        <v>0</v>
      </c>
      <c r="AO357" s="28">
        <v>0.3392857142857143</v>
      </c>
      <c r="AP357" s="28">
        <v>0.5</v>
      </c>
      <c r="AQ357" s="28">
        <v>0.1607142857142857</v>
      </c>
      <c r="AR357" s="28">
        <v>0</v>
      </c>
      <c r="AS357" s="25">
        <v>1.1000000000000001</v>
      </c>
      <c r="AT357" s="25">
        <v>3.44</v>
      </c>
      <c r="AU357" s="25">
        <v>2.34</v>
      </c>
      <c r="AV357" s="25">
        <v>2.78</v>
      </c>
      <c r="AW357">
        <v>2.78</v>
      </c>
      <c r="AX357">
        <v>6.4270052227137269</v>
      </c>
      <c r="AY357" s="75">
        <v>0.41874886813759421</v>
      </c>
      <c r="AZ357" s="75"/>
      <c r="BA357" s="75"/>
      <c r="BB357">
        <v>4.3945051178950742E-2</v>
      </c>
      <c r="BC357">
        <v>4.2253374919871717E-2</v>
      </c>
      <c r="BF357">
        <v>8.4506749839743392E-2</v>
      </c>
      <c r="BG357">
        <v>4.3099213049411229E-2</v>
      </c>
      <c r="BH357">
        <v>0.41874886813759421</v>
      </c>
      <c r="BN357" s="79" t="s">
        <v>964</v>
      </c>
      <c r="BO357" s="79">
        <f>BO354*4</f>
        <v>2.64</v>
      </c>
      <c r="BS357" s="79" t="s">
        <v>464</v>
      </c>
      <c r="BT357" s="79" t="s">
        <v>464</v>
      </c>
      <c r="CA357" t="e">
        <f t="shared" si="48"/>
        <v>#NUM!</v>
      </c>
    </row>
    <row r="358" spans="1:79" x14ac:dyDescent="0.3">
      <c r="A358" s="2" t="s">
        <v>153</v>
      </c>
      <c r="B358" s="13" t="s">
        <v>775</v>
      </c>
      <c r="C358" s="13"/>
      <c r="D358" s="2">
        <v>3.44</v>
      </c>
      <c r="E358" s="2" t="s">
        <v>208</v>
      </c>
      <c r="F358" s="9" t="s">
        <v>578</v>
      </c>
      <c r="G358">
        <v>-1</v>
      </c>
      <c r="I358" s="2">
        <v>1</v>
      </c>
      <c r="J358" s="25">
        <v>1</v>
      </c>
      <c r="K358">
        <v>0</v>
      </c>
      <c r="L358">
        <v>0</v>
      </c>
      <c r="M358" s="2">
        <v>3.8860000000000001</v>
      </c>
      <c r="N358" s="2">
        <v>3.8860000000000001</v>
      </c>
      <c r="O358" s="2">
        <v>10.548299999999999</v>
      </c>
      <c r="P358" s="2" t="s">
        <v>1097</v>
      </c>
      <c r="Q358" s="2"/>
      <c r="R358" s="25">
        <v>3.9263319999999999</v>
      </c>
      <c r="S358" s="25">
        <v>3.9263319999999999</v>
      </c>
      <c r="T358" s="25">
        <v>10.74639</v>
      </c>
      <c r="U358">
        <v>0</v>
      </c>
      <c r="X358">
        <v>0</v>
      </c>
      <c r="AA358" s="2"/>
      <c r="AB358">
        <v>14</v>
      </c>
      <c r="AC358" s="55">
        <f t="shared" si="44"/>
        <v>159.28983610679998</v>
      </c>
      <c r="AD358" s="57">
        <v>165.66723991337099</v>
      </c>
      <c r="AE358" s="55">
        <v>0</v>
      </c>
      <c r="AF358" s="55">
        <v>0</v>
      </c>
      <c r="AG358" s="52"/>
      <c r="AH358" s="51">
        <v>8.4506749839743392E-2</v>
      </c>
      <c r="AI358" s="52"/>
      <c r="AJ358" s="52"/>
      <c r="AK358" s="28">
        <v>1.7272727272727271</v>
      </c>
      <c r="AL358" s="28">
        <v>2.545454545454545</v>
      </c>
      <c r="AM358" s="28">
        <v>0.81818181818181823</v>
      </c>
      <c r="AN358" s="28">
        <v>0</v>
      </c>
      <c r="AO358" s="28">
        <v>0.3392857142857143</v>
      </c>
      <c r="AP358" s="28">
        <v>0.5</v>
      </c>
      <c r="AQ358" s="28">
        <v>0.1607142857142857</v>
      </c>
      <c r="AR358" s="28">
        <v>0</v>
      </c>
      <c r="AS358" s="25">
        <v>1.1000000000000001</v>
      </c>
      <c r="AT358" s="25">
        <v>3.44</v>
      </c>
      <c r="AU358" s="25">
        <v>2.34</v>
      </c>
      <c r="AV358" s="25">
        <v>2.78</v>
      </c>
      <c r="AW358">
        <v>2.78</v>
      </c>
      <c r="AX358">
        <v>6.4270052227137269</v>
      </c>
      <c r="AY358" s="75">
        <v>0.41874886813759421</v>
      </c>
      <c r="AZ358" s="75"/>
      <c r="BA358" s="75"/>
      <c r="BB358">
        <v>4.3945051178950742E-2</v>
      </c>
      <c r="BC358">
        <v>4.2253374919871717E-2</v>
      </c>
      <c r="BF358">
        <v>8.4506749839743392E-2</v>
      </c>
      <c r="BG358">
        <v>4.3099213049411229E-2</v>
      </c>
      <c r="BH358">
        <v>0.41874886813759421</v>
      </c>
      <c r="BN358" s="79" t="s">
        <v>964</v>
      </c>
      <c r="BO358" s="79">
        <f>BO354*6</f>
        <v>3.96</v>
      </c>
      <c r="BS358" s="79" t="s">
        <v>464</v>
      </c>
      <c r="BT358" s="79" t="s">
        <v>464</v>
      </c>
      <c r="CA358" t="e">
        <f t="shared" si="48"/>
        <v>#NUM!</v>
      </c>
    </row>
    <row r="359" spans="1:79" x14ac:dyDescent="0.3">
      <c r="A359" s="2" t="s">
        <v>8</v>
      </c>
      <c r="B359" s="13" t="s">
        <v>694</v>
      </c>
      <c r="C359" s="13"/>
      <c r="D359" s="2">
        <v>3.2</v>
      </c>
      <c r="E359" s="2" t="s">
        <v>208</v>
      </c>
      <c r="F359" s="9" t="s">
        <v>530</v>
      </c>
      <c r="G359" t="s">
        <v>612</v>
      </c>
      <c r="I359" s="2"/>
      <c r="J359" s="25">
        <v>30</v>
      </c>
      <c r="K359">
        <v>4</v>
      </c>
      <c r="L359">
        <v>0</v>
      </c>
      <c r="M359" s="2">
        <v>-2</v>
      </c>
      <c r="N359" s="2"/>
      <c r="O359" s="2"/>
      <c r="P359" s="2"/>
      <c r="Q359" s="2"/>
      <c r="R359" s="25">
        <v>10.59112378</v>
      </c>
      <c r="S359" s="25">
        <v>10.784736629999999</v>
      </c>
      <c r="T359" s="25">
        <v>10.486176179999999</v>
      </c>
      <c r="U359">
        <v>3.73</v>
      </c>
      <c r="V359">
        <v>3.73</v>
      </c>
      <c r="W359">
        <v>9.3699999999999992</v>
      </c>
      <c r="X359">
        <v>0</v>
      </c>
      <c r="AA359" s="2"/>
      <c r="AB359">
        <v>4</v>
      </c>
      <c r="AC359" s="55">
        <f t="shared" si="44"/>
        <v>0</v>
      </c>
      <c r="AD359" s="57">
        <v>1182.741260108548</v>
      </c>
      <c r="AE359" s="55">
        <v>130.36387300000001</v>
      </c>
      <c r="AF359" s="55">
        <v>0</v>
      </c>
      <c r="AG359" s="52"/>
      <c r="AH359" s="51">
        <v>0.1014592151701775</v>
      </c>
      <c r="AI359" s="52">
        <v>0.1227333894874388</v>
      </c>
      <c r="AJ359" s="52"/>
      <c r="AK359" s="28">
        <v>2</v>
      </c>
      <c r="AL359" s="28">
        <v>2.666666666666667</v>
      </c>
      <c r="AM359" s="28">
        <v>0.66666666666666663</v>
      </c>
      <c r="AN359" s="28">
        <v>0</v>
      </c>
      <c r="AO359" s="28">
        <v>0.375</v>
      </c>
      <c r="AP359" s="28">
        <v>0.5</v>
      </c>
      <c r="AQ359" s="28">
        <v>0.125</v>
      </c>
      <c r="AR359" s="28">
        <v>0</v>
      </c>
      <c r="AS359" s="25">
        <v>1.54</v>
      </c>
      <c r="AT359" s="25">
        <v>3.44</v>
      </c>
      <c r="AU359" s="25">
        <v>1.9</v>
      </c>
      <c r="AV359" s="25">
        <v>2.8066666666666671</v>
      </c>
      <c r="AW359">
        <v>2.8066666666666662</v>
      </c>
      <c r="AX359">
        <v>6.1769976</v>
      </c>
      <c r="AY359" s="75">
        <v>0.46900407026869628</v>
      </c>
      <c r="AZ359" s="75">
        <v>0.56734579634715776</v>
      </c>
      <c r="BA359" s="75"/>
      <c r="BC359">
        <v>5.072960758508873E-2</v>
      </c>
      <c r="BD359">
        <v>6.136669474371937E-2</v>
      </c>
      <c r="BF359">
        <v>0.1120963023288082</v>
      </c>
      <c r="BG359">
        <v>5.604815116440405E-2</v>
      </c>
      <c r="BH359">
        <v>0.51817493330792708</v>
      </c>
      <c r="BS359" s="79" t="s">
        <v>464</v>
      </c>
      <c r="BT359" s="79" t="s">
        <v>464</v>
      </c>
      <c r="CA359" t="e">
        <f t="shared" si="48"/>
        <v>#NUM!</v>
      </c>
    </row>
    <row r="360" spans="1:79" x14ac:dyDescent="0.3">
      <c r="A360" s="2" t="s">
        <v>153</v>
      </c>
      <c r="B360" s="13" t="s">
        <v>775</v>
      </c>
      <c r="C360" s="13"/>
      <c r="D360" s="2">
        <v>3.1</v>
      </c>
      <c r="E360" s="2" t="s">
        <v>209</v>
      </c>
      <c r="F360" s="9" t="s">
        <v>578</v>
      </c>
      <c r="G360">
        <v>-1</v>
      </c>
      <c r="I360" s="2">
        <v>1</v>
      </c>
      <c r="J360" s="25">
        <v>1</v>
      </c>
      <c r="K360">
        <v>0</v>
      </c>
      <c r="L360">
        <v>0</v>
      </c>
      <c r="M360" s="2">
        <v>3.8860000000000001</v>
      </c>
      <c r="N360" s="2">
        <v>3.8860000000000001</v>
      </c>
      <c r="O360" s="2">
        <v>10.548299999999999</v>
      </c>
      <c r="P360" s="2" t="s">
        <v>1097</v>
      </c>
      <c r="Q360" s="2"/>
      <c r="R360" s="25">
        <v>3.9263319999999999</v>
      </c>
      <c r="S360" s="25">
        <v>3.9263319999999999</v>
      </c>
      <c r="T360" s="25">
        <v>10.74639</v>
      </c>
      <c r="U360">
        <v>0</v>
      </c>
      <c r="X360">
        <v>0</v>
      </c>
      <c r="AA360" s="2"/>
      <c r="AB360">
        <v>14</v>
      </c>
      <c r="AC360" s="55">
        <f t="shared" si="44"/>
        <v>159.28983610679998</v>
      </c>
      <c r="AD360" s="57">
        <v>165.66723991337099</v>
      </c>
      <c r="AE360" s="55">
        <v>0</v>
      </c>
      <c r="AF360" s="55">
        <v>0</v>
      </c>
      <c r="AG360" s="52">
        <f t="shared" ref="AG360:AG367" si="50">I360*AB360/AC360</f>
        <v>8.789010235790147E-2</v>
      </c>
      <c r="AH360" s="51">
        <v>8.4506749839743392E-2</v>
      </c>
      <c r="AI360" s="52"/>
      <c r="AJ360" s="52"/>
      <c r="AK360" s="28">
        <v>1.7272727272727271</v>
      </c>
      <c r="AL360" s="28">
        <v>2.545454545454545</v>
      </c>
      <c r="AM360" s="28">
        <v>0.81818181818181823</v>
      </c>
      <c r="AN360" s="28">
        <v>0</v>
      </c>
      <c r="AO360" s="28">
        <v>0.3392857142857143</v>
      </c>
      <c r="AP360" s="28">
        <v>0.5</v>
      </c>
      <c r="AQ360" s="28">
        <v>0.1607142857142857</v>
      </c>
      <c r="AR360" s="28">
        <v>0</v>
      </c>
      <c r="AS360" s="25">
        <v>1.1000000000000001</v>
      </c>
      <c r="AT360" s="25">
        <v>3.44</v>
      </c>
      <c r="AU360" s="25">
        <v>2.34</v>
      </c>
      <c r="AV360" s="25">
        <v>2.78</v>
      </c>
      <c r="AW360">
        <v>2.78</v>
      </c>
      <c r="AX360">
        <v>6.4270052227137269</v>
      </c>
      <c r="AY360" s="75">
        <v>0.41874886813759421</v>
      </c>
      <c r="AZ360" s="75"/>
      <c r="BA360" s="75"/>
      <c r="BB360">
        <v>4.3945051178950742E-2</v>
      </c>
      <c r="BC360">
        <v>4.2253374919871717E-2</v>
      </c>
      <c r="BF360">
        <v>8.6198426098822431E-2</v>
      </c>
      <c r="BG360">
        <v>4.3099213049411229E-2</v>
      </c>
      <c r="BH360">
        <v>0.41874886813759421</v>
      </c>
      <c r="BS360" s="79" t="s">
        <v>464</v>
      </c>
      <c r="BT360" s="79" t="s">
        <v>464</v>
      </c>
      <c r="CA360" t="e">
        <f t="shared" si="48"/>
        <v>#NUM!</v>
      </c>
    </row>
    <row r="361" spans="1:79" x14ac:dyDescent="0.3">
      <c r="A361" s="2" t="s">
        <v>210</v>
      </c>
      <c r="B361" s="17" t="s">
        <v>935</v>
      </c>
      <c r="C361" s="13"/>
      <c r="D361" s="2">
        <v>3.1</v>
      </c>
      <c r="E361" s="2" t="s">
        <v>209</v>
      </c>
      <c r="F361" s="32" t="s">
        <v>578</v>
      </c>
      <c r="G361">
        <v>-1</v>
      </c>
      <c r="I361" s="2">
        <v>1</v>
      </c>
      <c r="J361" s="25">
        <v>0</v>
      </c>
      <c r="K361">
        <v>0</v>
      </c>
      <c r="L361">
        <v>0</v>
      </c>
      <c r="M361" s="1">
        <v>3.8860000000000001</v>
      </c>
      <c r="N361" s="1">
        <v>3.8860000000000001</v>
      </c>
      <c r="O361" s="1">
        <v>10.548299999999999</v>
      </c>
      <c r="P361" s="1" t="s">
        <v>1097</v>
      </c>
      <c r="Q361" s="2"/>
      <c r="R361" s="25">
        <v>0</v>
      </c>
      <c r="S361" s="25"/>
      <c r="T361" s="25"/>
      <c r="U361">
        <v>0</v>
      </c>
      <c r="X361">
        <v>0</v>
      </c>
      <c r="AA361" s="2"/>
      <c r="AB361">
        <v>14</v>
      </c>
      <c r="AC361" s="55">
        <f t="shared" si="44"/>
        <v>159.28983610679998</v>
      </c>
      <c r="AD361" s="57">
        <v>0</v>
      </c>
      <c r="AE361" s="55">
        <v>0</v>
      </c>
      <c r="AF361" s="55">
        <v>0</v>
      </c>
      <c r="AG361" s="52">
        <f t="shared" si="50"/>
        <v>8.789010235790147E-2</v>
      </c>
      <c r="AH361" s="51"/>
      <c r="AI361" s="52"/>
      <c r="AJ361" s="52"/>
      <c r="AK361" s="28">
        <v>1.7285974499089249</v>
      </c>
      <c r="AL361" s="28">
        <v>2.5500910746812391</v>
      </c>
      <c r="AM361" s="28">
        <v>0.82149362477231325</v>
      </c>
      <c r="AN361" s="28">
        <v>0</v>
      </c>
      <c r="AO361" s="28">
        <v>0.33892857142857141</v>
      </c>
      <c r="AP361" s="28">
        <v>0.5</v>
      </c>
      <c r="AQ361" s="28">
        <v>0.16107142857142859</v>
      </c>
      <c r="AR361" s="28">
        <v>0</v>
      </c>
      <c r="AS361" s="25">
        <v>1.1000000000000001</v>
      </c>
      <c r="AT361" s="25">
        <v>3.44</v>
      </c>
      <c r="AU361" s="25">
        <v>2.34</v>
      </c>
      <c r="AV361" s="25">
        <v>2.7820765027322398</v>
      </c>
      <c r="AW361">
        <v>2.7820765027322398</v>
      </c>
      <c r="AX361">
        <v>6.4257889029010924</v>
      </c>
      <c r="AY361" s="75">
        <v>0.41874886813759421</v>
      </c>
      <c r="AZ361" s="75"/>
      <c r="BA361" s="75"/>
      <c r="BB361">
        <v>4.3945051178950742E-2</v>
      </c>
      <c r="BF361">
        <v>8.789010235790147E-2</v>
      </c>
      <c r="BG361">
        <v>4.3945051178950742E-2</v>
      </c>
      <c r="BH361">
        <v>0.41874886813759421</v>
      </c>
      <c r="BS361" s="79" t="s">
        <v>464</v>
      </c>
      <c r="BT361" s="79" t="s">
        <v>464</v>
      </c>
      <c r="CA361" t="e">
        <f t="shared" si="48"/>
        <v>#NUM!</v>
      </c>
    </row>
    <row r="362" spans="1:79" x14ac:dyDescent="0.3">
      <c r="A362" s="2" t="s">
        <v>211</v>
      </c>
      <c r="B362" s="17" t="s">
        <v>936</v>
      </c>
      <c r="C362" s="13"/>
      <c r="D362" s="2">
        <v>3.1</v>
      </c>
      <c r="E362" s="2" t="s">
        <v>209</v>
      </c>
      <c r="F362" s="32" t="s">
        <v>578</v>
      </c>
      <c r="G362">
        <v>-1</v>
      </c>
      <c r="I362" s="2">
        <v>1</v>
      </c>
      <c r="J362" s="25">
        <v>0</v>
      </c>
      <c r="K362">
        <v>0</v>
      </c>
      <c r="L362">
        <v>0</v>
      </c>
      <c r="M362" s="1">
        <v>3.8860000000000001</v>
      </c>
      <c r="N362" s="1">
        <v>3.8860000000000001</v>
      </c>
      <c r="O362" s="1">
        <v>10.548299999999999</v>
      </c>
      <c r="P362" s="1" t="s">
        <v>1097</v>
      </c>
      <c r="Q362" s="2"/>
      <c r="R362" s="25">
        <v>0</v>
      </c>
      <c r="S362" s="25"/>
      <c r="T362" s="25"/>
      <c r="U362">
        <v>0</v>
      </c>
      <c r="X362">
        <v>0</v>
      </c>
      <c r="AA362" s="2"/>
      <c r="AB362">
        <v>14</v>
      </c>
      <c r="AC362" s="55">
        <f t="shared" si="44"/>
        <v>159.28983610679998</v>
      </c>
      <c r="AD362" s="57">
        <v>0</v>
      </c>
      <c r="AE362" s="55">
        <v>0</v>
      </c>
      <c r="AF362" s="55">
        <v>0</v>
      </c>
      <c r="AG362" s="52">
        <f t="shared" si="50"/>
        <v>8.789010235790147E-2</v>
      </c>
      <c r="AH362" s="51"/>
      <c r="AI362" s="52"/>
      <c r="AJ362" s="52"/>
      <c r="AK362" s="28">
        <v>1.730593607305936</v>
      </c>
      <c r="AL362" s="28">
        <v>2.557077625570777</v>
      </c>
      <c r="AM362" s="28">
        <v>0.8264840182648403</v>
      </c>
      <c r="AN362" s="28">
        <v>0</v>
      </c>
      <c r="AO362" s="28">
        <v>0.33839285714285711</v>
      </c>
      <c r="AP362" s="28">
        <v>0.5</v>
      </c>
      <c r="AQ362" s="28">
        <v>0.16160714285714289</v>
      </c>
      <c r="AR362" s="28">
        <v>0</v>
      </c>
      <c r="AS362" s="25">
        <v>1.1000000000000001</v>
      </c>
      <c r="AT362" s="25">
        <v>3.44</v>
      </c>
      <c r="AU362" s="25">
        <v>2.34</v>
      </c>
      <c r="AV362" s="25">
        <v>2.7852054794520549</v>
      </c>
      <c r="AW362">
        <v>2.7852054794520549</v>
      </c>
      <c r="AX362">
        <v>6.4239560922245156</v>
      </c>
      <c r="AY362" s="75">
        <v>0.41874886813759421</v>
      </c>
      <c r="AZ362" s="75"/>
      <c r="BA362" s="75"/>
      <c r="BB362">
        <v>4.3945051178950742E-2</v>
      </c>
      <c r="BF362">
        <v>8.789010235790147E-2</v>
      </c>
      <c r="BG362">
        <v>4.3945051178950742E-2</v>
      </c>
      <c r="BH362">
        <v>0.41874886813759421</v>
      </c>
      <c r="BS362" s="79" t="s">
        <v>464</v>
      </c>
      <c r="BT362" s="79" t="s">
        <v>464</v>
      </c>
      <c r="CA362" t="e">
        <f t="shared" si="48"/>
        <v>#NUM!</v>
      </c>
    </row>
    <row r="363" spans="1:79" x14ac:dyDescent="0.3">
      <c r="A363" s="2" t="s">
        <v>212</v>
      </c>
      <c r="B363" s="17" t="s">
        <v>937</v>
      </c>
      <c r="C363" s="13"/>
      <c r="D363" s="2">
        <v>3.1</v>
      </c>
      <c r="E363" s="2" t="s">
        <v>209</v>
      </c>
      <c r="F363" s="32" t="s">
        <v>578</v>
      </c>
      <c r="G363">
        <v>-1</v>
      </c>
      <c r="I363" s="2">
        <v>1</v>
      </c>
      <c r="J363" s="25">
        <v>0</v>
      </c>
      <c r="K363">
        <v>0</v>
      </c>
      <c r="L363">
        <v>0</v>
      </c>
      <c r="M363" s="1">
        <v>3.8860000000000001</v>
      </c>
      <c r="N363" s="1">
        <v>3.8860000000000001</v>
      </c>
      <c r="O363" s="1">
        <v>10.548299999999999</v>
      </c>
      <c r="P363" s="1" t="s">
        <v>1097</v>
      </c>
      <c r="Q363" s="2"/>
      <c r="R363" s="25">
        <v>0</v>
      </c>
      <c r="S363" s="25"/>
      <c r="T363" s="25"/>
      <c r="U363">
        <v>0</v>
      </c>
      <c r="X363">
        <v>0</v>
      </c>
      <c r="AA363" s="2"/>
      <c r="AB363">
        <v>14</v>
      </c>
      <c r="AC363" s="55">
        <f t="shared" ref="AC363:AC426" si="51">M363*N363*O363</f>
        <v>159.28983610679998</v>
      </c>
      <c r="AD363" s="57">
        <v>0</v>
      </c>
      <c r="AE363" s="55">
        <v>0</v>
      </c>
      <c r="AF363" s="55">
        <v>0</v>
      </c>
      <c r="AG363" s="52">
        <f t="shared" si="50"/>
        <v>8.789010235790147E-2</v>
      </c>
      <c r="AH363" s="51"/>
      <c r="AI363" s="52"/>
      <c r="AJ363" s="52"/>
      <c r="AK363" s="28">
        <v>1.7373271889400921</v>
      </c>
      <c r="AL363" s="28">
        <v>2.580645161290323</v>
      </c>
      <c r="AM363" s="28">
        <v>0.84331797235023043</v>
      </c>
      <c r="AN363" s="28">
        <v>0</v>
      </c>
      <c r="AO363" s="28">
        <v>0.33660714285714288</v>
      </c>
      <c r="AP363" s="28">
        <v>0.5</v>
      </c>
      <c r="AQ363" s="28">
        <v>0.16339285714285709</v>
      </c>
      <c r="AR363" s="28">
        <v>0</v>
      </c>
      <c r="AS363" s="25">
        <v>1.1000000000000001</v>
      </c>
      <c r="AT363" s="25">
        <v>3.44</v>
      </c>
      <c r="AU363" s="25">
        <v>2.34</v>
      </c>
      <c r="AV363" s="25">
        <v>2.7957603686635939</v>
      </c>
      <c r="AW363">
        <v>2.7957603686635939</v>
      </c>
      <c r="AX363">
        <v>6.4177735234906308</v>
      </c>
      <c r="AY363" s="75">
        <v>0.41874886813759421</v>
      </c>
      <c r="AZ363" s="75"/>
      <c r="BA363" s="75"/>
      <c r="BB363">
        <v>4.3945051178950742E-2</v>
      </c>
      <c r="BF363">
        <v>8.789010235790147E-2</v>
      </c>
      <c r="BG363">
        <v>4.3945051178950742E-2</v>
      </c>
      <c r="BH363">
        <v>0.41874886813759421</v>
      </c>
      <c r="BS363" s="79" t="s">
        <v>464</v>
      </c>
      <c r="BT363" s="79" t="s">
        <v>464</v>
      </c>
      <c r="CA363" t="e">
        <f t="shared" si="48"/>
        <v>#NUM!</v>
      </c>
    </row>
    <row r="364" spans="1:79" x14ac:dyDescent="0.3">
      <c r="A364" s="2" t="s">
        <v>153</v>
      </c>
      <c r="B364" s="17" t="s">
        <v>775</v>
      </c>
      <c r="C364" s="13"/>
      <c r="D364" s="2">
        <v>3.1</v>
      </c>
      <c r="E364" s="2" t="s">
        <v>209</v>
      </c>
      <c r="F364" s="9" t="s">
        <v>578</v>
      </c>
      <c r="G364">
        <v>-1</v>
      </c>
      <c r="I364" s="2">
        <v>1</v>
      </c>
      <c r="J364" s="25">
        <v>1</v>
      </c>
      <c r="K364">
        <v>0</v>
      </c>
      <c r="L364">
        <v>0</v>
      </c>
      <c r="M364" s="2">
        <v>3.8860000000000001</v>
      </c>
      <c r="N364" s="2">
        <v>3.8860000000000001</v>
      </c>
      <c r="O364" s="2">
        <v>10.548299999999999</v>
      </c>
      <c r="P364" s="2" t="s">
        <v>1097</v>
      </c>
      <c r="Q364" s="2"/>
      <c r="R364" s="25">
        <v>3.9263319999999999</v>
      </c>
      <c r="S364" s="25">
        <v>3.9263319999999999</v>
      </c>
      <c r="T364" s="25">
        <v>10.74639</v>
      </c>
      <c r="U364">
        <v>0</v>
      </c>
      <c r="X364">
        <v>0</v>
      </c>
      <c r="AA364" s="2"/>
      <c r="AB364">
        <v>14</v>
      </c>
      <c r="AC364" s="55">
        <f t="shared" si="51"/>
        <v>159.28983610679998</v>
      </c>
      <c r="AD364" s="57">
        <v>165.66723991337099</v>
      </c>
      <c r="AE364" s="55">
        <v>0</v>
      </c>
      <c r="AF364" s="55">
        <v>0</v>
      </c>
      <c r="AG364" s="52">
        <f t="shared" si="50"/>
        <v>8.789010235790147E-2</v>
      </c>
      <c r="AH364" s="51">
        <v>8.4506749839743392E-2</v>
      </c>
      <c r="AI364" s="52"/>
      <c r="AJ364" s="52"/>
      <c r="AK364" s="28">
        <v>1.7272727272727271</v>
      </c>
      <c r="AL364" s="28">
        <v>2.545454545454545</v>
      </c>
      <c r="AM364" s="28">
        <v>0.81818181818181823</v>
      </c>
      <c r="AN364" s="28">
        <v>0</v>
      </c>
      <c r="AO364" s="28">
        <v>0.3392857142857143</v>
      </c>
      <c r="AP364" s="28">
        <v>0.5</v>
      </c>
      <c r="AQ364" s="28">
        <v>0.1607142857142857</v>
      </c>
      <c r="AR364" s="28">
        <v>0</v>
      </c>
      <c r="AS364" s="25">
        <v>1.1000000000000001</v>
      </c>
      <c r="AT364" s="25">
        <v>3.44</v>
      </c>
      <c r="AU364" s="25">
        <v>2.34</v>
      </c>
      <c r="AV364" s="25">
        <v>2.78</v>
      </c>
      <c r="AW364">
        <v>2.78</v>
      </c>
      <c r="AX364">
        <v>6.4270052227137269</v>
      </c>
      <c r="AY364" s="75">
        <v>0.41874886813759421</v>
      </c>
      <c r="AZ364" s="75"/>
      <c r="BA364" s="75"/>
      <c r="BB364">
        <v>4.3945051178950742E-2</v>
      </c>
      <c r="BC364">
        <v>4.2253374919871717E-2</v>
      </c>
      <c r="BF364">
        <v>8.6198426098822431E-2</v>
      </c>
      <c r="BG364">
        <v>4.3099213049411229E-2</v>
      </c>
      <c r="BH364">
        <v>0.41874886813759421</v>
      </c>
      <c r="BN364" s="79" t="s">
        <v>863</v>
      </c>
      <c r="BO364" s="79">
        <v>1.34</v>
      </c>
      <c r="BS364" s="79" t="s">
        <v>464</v>
      </c>
      <c r="BT364" s="79" t="s">
        <v>464</v>
      </c>
      <c r="CA364" t="e">
        <f t="shared" si="48"/>
        <v>#NUM!</v>
      </c>
    </row>
    <row r="365" spans="1:79" x14ac:dyDescent="0.3">
      <c r="A365" s="2" t="s">
        <v>210</v>
      </c>
      <c r="B365" s="17" t="s">
        <v>935</v>
      </c>
      <c r="C365" s="13"/>
      <c r="D365" s="2">
        <v>3.1</v>
      </c>
      <c r="E365" s="2" t="s">
        <v>209</v>
      </c>
      <c r="F365" s="32" t="s">
        <v>578</v>
      </c>
      <c r="G365">
        <v>-1</v>
      </c>
      <c r="I365" s="2">
        <v>1</v>
      </c>
      <c r="J365" s="25">
        <v>0</v>
      </c>
      <c r="K365">
        <v>0</v>
      </c>
      <c r="L365">
        <v>0</v>
      </c>
      <c r="M365" s="1">
        <v>3.8860000000000001</v>
      </c>
      <c r="N365" s="1">
        <v>3.8860000000000001</v>
      </c>
      <c r="O365" s="1">
        <v>10.548299999999999</v>
      </c>
      <c r="P365" s="1" t="s">
        <v>1097</v>
      </c>
      <c r="Q365" s="2"/>
      <c r="R365" s="25">
        <v>0</v>
      </c>
      <c r="S365" s="25"/>
      <c r="T365" s="25"/>
      <c r="U365">
        <v>0</v>
      </c>
      <c r="X365">
        <v>0</v>
      </c>
      <c r="AA365" s="2"/>
      <c r="AB365">
        <v>14</v>
      </c>
      <c r="AC365" s="55">
        <f t="shared" si="51"/>
        <v>159.28983610679998</v>
      </c>
      <c r="AD365" s="57">
        <v>0</v>
      </c>
      <c r="AE365" s="55">
        <v>0</v>
      </c>
      <c r="AF365" s="55">
        <v>0</v>
      </c>
      <c r="AG365" s="52">
        <f t="shared" si="50"/>
        <v>8.789010235790147E-2</v>
      </c>
      <c r="AH365" s="51"/>
      <c r="AI365" s="52"/>
      <c r="AJ365" s="52"/>
      <c r="AK365" s="28">
        <v>1.7285974499089249</v>
      </c>
      <c r="AL365" s="28">
        <v>2.5500910746812391</v>
      </c>
      <c r="AM365" s="28">
        <v>0.82149362477231325</v>
      </c>
      <c r="AN365" s="28">
        <v>0</v>
      </c>
      <c r="AO365" s="28">
        <v>0.33892857142857141</v>
      </c>
      <c r="AP365" s="28">
        <v>0.5</v>
      </c>
      <c r="AQ365" s="28">
        <v>0.16107142857142859</v>
      </c>
      <c r="AR365" s="28">
        <v>0</v>
      </c>
      <c r="AS365" s="25">
        <v>1.1000000000000001</v>
      </c>
      <c r="AT365" s="25">
        <v>3.44</v>
      </c>
      <c r="AU365" s="25">
        <v>2.34</v>
      </c>
      <c r="AV365" s="25">
        <v>2.7820765027322398</v>
      </c>
      <c r="AW365">
        <v>2.7820765027322398</v>
      </c>
      <c r="AX365">
        <v>6.4257889029010924</v>
      </c>
      <c r="AY365" s="75">
        <v>0.41874886813759421</v>
      </c>
      <c r="AZ365" s="75"/>
      <c r="BA365" s="75"/>
      <c r="BB365">
        <v>4.3945051178950742E-2</v>
      </c>
      <c r="BF365">
        <v>8.789010235790147E-2</v>
      </c>
      <c r="BG365">
        <v>4.3945051178950742E-2</v>
      </c>
      <c r="BH365">
        <v>0.41874886813759421</v>
      </c>
      <c r="BN365" s="79" t="s">
        <v>863</v>
      </c>
      <c r="BO365" s="79">
        <v>1.04</v>
      </c>
      <c r="BS365" s="79" t="s">
        <v>464</v>
      </c>
      <c r="BT365" s="79" t="s">
        <v>464</v>
      </c>
      <c r="CA365" t="e">
        <f t="shared" si="48"/>
        <v>#NUM!</v>
      </c>
    </row>
    <row r="366" spans="1:79" x14ac:dyDescent="0.3">
      <c r="A366" s="2" t="s">
        <v>211</v>
      </c>
      <c r="B366" s="17" t="s">
        <v>936</v>
      </c>
      <c r="C366" s="13"/>
      <c r="D366" s="2">
        <v>3.1</v>
      </c>
      <c r="E366" s="2" t="s">
        <v>209</v>
      </c>
      <c r="F366" s="32" t="s">
        <v>578</v>
      </c>
      <c r="G366">
        <v>-1</v>
      </c>
      <c r="I366" s="2">
        <v>1</v>
      </c>
      <c r="J366" s="25">
        <v>0</v>
      </c>
      <c r="K366">
        <v>0</v>
      </c>
      <c r="L366">
        <v>0</v>
      </c>
      <c r="M366" s="1">
        <v>3.8860000000000001</v>
      </c>
      <c r="N366" s="1">
        <v>3.8860000000000001</v>
      </c>
      <c r="O366" s="1">
        <v>10.548299999999999</v>
      </c>
      <c r="P366" s="1" t="s">
        <v>1097</v>
      </c>
      <c r="Q366" s="2"/>
      <c r="R366" s="25">
        <v>0</v>
      </c>
      <c r="S366" s="25"/>
      <c r="T366" s="25"/>
      <c r="U366">
        <v>0</v>
      </c>
      <c r="X366">
        <v>0</v>
      </c>
      <c r="AA366" s="2"/>
      <c r="AB366">
        <v>14</v>
      </c>
      <c r="AC366" s="55">
        <f t="shared" si="51"/>
        <v>159.28983610679998</v>
      </c>
      <c r="AD366" s="57">
        <v>0</v>
      </c>
      <c r="AE366" s="55">
        <v>0</v>
      </c>
      <c r="AF366" s="55">
        <v>0</v>
      </c>
      <c r="AG366" s="52">
        <f t="shared" si="50"/>
        <v>8.789010235790147E-2</v>
      </c>
      <c r="AH366" s="51"/>
      <c r="AI366" s="52"/>
      <c r="AJ366" s="52"/>
      <c r="AK366" s="28">
        <v>1.730593607305936</v>
      </c>
      <c r="AL366" s="28">
        <v>2.557077625570777</v>
      </c>
      <c r="AM366" s="28">
        <v>0.8264840182648403</v>
      </c>
      <c r="AN366" s="28">
        <v>0</v>
      </c>
      <c r="AO366" s="28">
        <v>0.33839285714285711</v>
      </c>
      <c r="AP366" s="28">
        <v>0.5</v>
      </c>
      <c r="AQ366" s="28">
        <v>0.16160714285714289</v>
      </c>
      <c r="AR366" s="28">
        <v>0</v>
      </c>
      <c r="AS366" s="25">
        <v>1.1000000000000001</v>
      </c>
      <c r="AT366" s="25">
        <v>3.44</v>
      </c>
      <c r="AU366" s="25">
        <v>2.34</v>
      </c>
      <c r="AV366" s="25">
        <v>2.7852054794520549</v>
      </c>
      <c r="AW366">
        <v>2.7852054794520549</v>
      </c>
      <c r="AX366">
        <v>6.4239560922245156</v>
      </c>
      <c r="AY366" s="75">
        <v>0.41874886813759421</v>
      </c>
      <c r="AZ366" s="75"/>
      <c r="BA366" s="75"/>
      <c r="BB366">
        <v>4.3945051178950742E-2</v>
      </c>
      <c r="BF366">
        <v>8.789010235790147E-2</v>
      </c>
      <c r="BG366">
        <v>4.3945051178950742E-2</v>
      </c>
      <c r="BH366">
        <v>0.41874886813759421</v>
      </c>
      <c r="BN366" s="79" t="s">
        <v>863</v>
      </c>
      <c r="BO366" s="79">
        <v>1.19</v>
      </c>
      <c r="BS366" s="79" t="s">
        <v>464</v>
      </c>
      <c r="BT366" s="79" t="s">
        <v>464</v>
      </c>
      <c r="CA366" t="e">
        <f t="shared" si="48"/>
        <v>#NUM!</v>
      </c>
    </row>
    <row r="367" spans="1:79" x14ac:dyDescent="0.3">
      <c r="A367" s="2" t="s">
        <v>212</v>
      </c>
      <c r="B367" s="17" t="s">
        <v>937</v>
      </c>
      <c r="C367" s="13"/>
      <c r="D367" s="2">
        <v>3.1</v>
      </c>
      <c r="E367" s="2" t="s">
        <v>209</v>
      </c>
      <c r="F367" s="32" t="s">
        <v>578</v>
      </c>
      <c r="G367">
        <v>-1</v>
      </c>
      <c r="I367" s="2">
        <v>1</v>
      </c>
      <c r="J367" s="25">
        <v>0</v>
      </c>
      <c r="K367">
        <v>0</v>
      </c>
      <c r="L367">
        <v>0</v>
      </c>
      <c r="M367" s="1">
        <v>3.8860000000000001</v>
      </c>
      <c r="N367" s="1">
        <v>3.8860000000000001</v>
      </c>
      <c r="O367" s="1">
        <v>10.548299999999999</v>
      </c>
      <c r="P367" s="1" t="s">
        <v>1097</v>
      </c>
      <c r="Q367" s="2"/>
      <c r="R367" s="25">
        <v>0</v>
      </c>
      <c r="S367" s="25"/>
      <c r="T367" s="25"/>
      <c r="U367">
        <v>0</v>
      </c>
      <c r="X367">
        <v>0</v>
      </c>
      <c r="AA367" s="2"/>
      <c r="AB367">
        <v>14</v>
      </c>
      <c r="AC367" s="55">
        <f t="shared" si="51"/>
        <v>159.28983610679998</v>
      </c>
      <c r="AD367" s="57">
        <v>0</v>
      </c>
      <c r="AE367" s="55">
        <v>0</v>
      </c>
      <c r="AF367" s="55">
        <v>0</v>
      </c>
      <c r="AG367" s="52">
        <f t="shared" si="50"/>
        <v>8.789010235790147E-2</v>
      </c>
      <c r="AH367" s="51"/>
      <c r="AI367" s="52"/>
      <c r="AJ367" s="52"/>
      <c r="AK367" s="28">
        <v>1.7373271889400921</v>
      </c>
      <c r="AL367" s="28">
        <v>2.580645161290323</v>
      </c>
      <c r="AM367" s="28">
        <v>0.84331797235023043</v>
      </c>
      <c r="AN367" s="28">
        <v>0</v>
      </c>
      <c r="AO367" s="28">
        <v>0.33660714285714288</v>
      </c>
      <c r="AP367" s="28">
        <v>0.5</v>
      </c>
      <c r="AQ367" s="28">
        <v>0.16339285714285709</v>
      </c>
      <c r="AR367" s="28">
        <v>0</v>
      </c>
      <c r="AS367" s="25">
        <v>1.1000000000000001</v>
      </c>
      <c r="AT367" s="25">
        <v>3.44</v>
      </c>
      <c r="AU367" s="25">
        <v>2.34</v>
      </c>
      <c r="AV367" s="25">
        <v>2.7957603686635939</v>
      </c>
      <c r="AW367">
        <v>2.7957603686635939</v>
      </c>
      <c r="AX367">
        <v>6.4177735234906308</v>
      </c>
      <c r="AY367" s="75">
        <v>0.41874886813759421</v>
      </c>
      <c r="AZ367" s="75"/>
      <c r="BA367" s="75"/>
      <c r="BB367">
        <v>4.3945051178950742E-2</v>
      </c>
      <c r="BF367">
        <v>8.789010235790147E-2</v>
      </c>
      <c r="BG367">
        <v>4.3945051178950742E-2</v>
      </c>
      <c r="BH367">
        <v>0.41874886813759421</v>
      </c>
      <c r="BN367" s="79" t="s">
        <v>863</v>
      </c>
      <c r="BO367" s="79">
        <v>1.61</v>
      </c>
      <c r="BS367" s="79" t="s">
        <v>464</v>
      </c>
      <c r="BT367" s="79" t="s">
        <v>464</v>
      </c>
      <c r="CA367" t="e">
        <f t="shared" si="48"/>
        <v>#NUM!</v>
      </c>
    </row>
    <row r="368" spans="1:79" x14ac:dyDescent="0.3">
      <c r="A368" s="2" t="s">
        <v>22</v>
      </c>
      <c r="B368" s="17" t="s">
        <v>876</v>
      </c>
      <c r="C368" s="13"/>
      <c r="D368" s="2">
        <v>2.74</v>
      </c>
      <c r="E368" s="2" t="s">
        <v>213</v>
      </c>
      <c r="F368" s="32" t="s">
        <v>541</v>
      </c>
      <c r="G368" s="1" t="s">
        <v>621</v>
      </c>
      <c r="I368" s="2"/>
      <c r="J368" s="25">
        <v>0</v>
      </c>
      <c r="K368">
        <v>4</v>
      </c>
      <c r="L368">
        <v>0</v>
      </c>
      <c r="M368" s="1">
        <v>5.4960000000000004</v>
      </c>
      <c r="N368" s="1">
        <v>5.4960000000000004</v>
      </c>
      <c r="O368" s="1">
        <v>25.55</v>
      </c>
      <c r="P368" s="1" t="s">
        <v>450</v>
      </c>
      <c r="Q368" s="2"/>
      <c r="R368" s="25">
        <v>0</v>
      </c>
      <c r="S368" s="25"/>
      <c r="T368" s="25"/>
      <c r="U368">
        <v>5.5453000000000001</v>
      </c>
      <c r="V368">
        <v>5.5453000000000001</v>
      </c>
      <c r="W368">
        <v>25.686699999999998</v>
      </c>
      <c r="X368">
        <v>0</v>
      </c>
      <c r="AA368" s="2"/>
      <c r="AB368">
        <v>18</v>
      </c>
      <c r="AC368" s="55">
        <f t="shared" si="51"/>
        <v>771.76370880000013</v>
      </c>
      <c r="AD368" s="57">
        <v>0</v>
      </c>
      <c r="AE368" s="55">
        <v>789.87506903020289</v>
      </c>
      <c r="AF368" s="55">
        <v>0</v>
      </c>
      <c r="AG368" s="52"/>
      <c r="AH368" s="51"/>
      <c r="AI368" s="52">
        <v>9.1153655588092616E-2</v>
      </c>
      <c r="AJ368" s="52"/>
      <c r="AK368" s="28">
        <v>1.871428571428571</v>
      </c>
      <c r="AL368" s="28">
        <v>3.1428571428571428</v>
      </c>
      <c r="AM368" s="28">
        <v>2.714285714285714</v>
      </c>
      <c r="AN368" s="28">
        <v>3.2</v>
      </c>
      <c r="AO368" s="28">
        <v>0.17124183006535951</v>
      </c>
      <c r="AP368" s="28">
        <v>0.28758169934640521</v>
      </c>
      <c r="AQ368" s="28">
        <v>0.2483660130718954</v>
      </c>
      <c r="AR368" s="28">
        <v>0.29281045751633977</v>
      </c>
      <c r="AS368" s="25">
        <v>1.6</v>
      </c>
      <c r="AT368" s="25">
        <v>3.44</v>
      </c>
      <c r="AU368" s="25">
        <v>1.84</v>
      </c>
      <c r="AV368" s="25">
        <v>2.9058571428571431</v>
      </c>
      <c r="AW368">
        <v>2.9058571428571431</v>
      </c>
      <c r="AX368">
        <v>6.2676757950000006</v>
      </c>
      <c r="AY368" s="75">
        <v>0.51995616258071919</v>
      </c>
      <c r="AZ368" s="75">
        <v>0.51988140722208986</v>
      </c>
      <c r="BA368" s="75"/>
      <c r="BD368">
        <v>4.5576827794046308E-2</v>
      </c>
      <c r="BF368">
        <v>9.1153655588092616E-2</v>
      </c>
      <c r="BG368">
        <v>4.5576827794046308E-2</v>
      </c>
      <c r="BH368">
        <v>0.51991878490140453</v>
      </c>
      <c r="BS368" s="79" t="s">
        <v>464</v>
      </c>
      <c r="BT368" s="79" t="s">
        <v>464</v>
      </c>
      <c r="CA368" t="e">
        <f t="shared" si="48"/>
        <v>#NUM!</v>
      </c>
    </row>
    <row r="369" spans="1:79" x14ac:dyDescent="0.3">
      <c r="A369" s="2" t="s">
        <v>23</v>
      </c>
      <c r="B369" s="17" t="s">
        <v>877</v>
      </c>
      <c r="C369" s="13"/>
      <c r="D369" s="2">
        <v>2.74</v>
      </c>
      <c r="E369" s="2" t="s">
        <v>213</v>
      </c>
      <c r="F369" s="32" t="s">
        <v>541</v>
      </c>
      <c r="G369" s="1" t="s">
        <v>621</v>
      </c>
      <c r="I369" s="2"/>
      <c r="J369" s="25">
        <v>0</v>
      </c>
      <c r="K369">
        <v>4</v>
      </c>
      <c r="L369">
        <v>0</v>
      </c>
      <c r="M369" s="1">
        <v>5.4960000000000004</v>
      </c>
      <c r="N369" s="1">
        <v>5.4960000000000004</v>
      </c>
      <c r="O369" s="1">
        <v>25.55</v>
      </c>
      <c r="P369" s="1" t="s">
        <v>450</v>
      </c>
      <c r="Q369" s="2"/>
      <c r="R369" s="25">
        <v>0</v>
      </c>
      <c r="S369" s="25"/>
      <c r="T369" s="25"/>
      <c r="U369">
        <v>5.5453000000000001</v>
      </c>
      <c r="V369">
        <v>5.5453000000000001</v>
      </c>
      <c r="W369">
        <v>25.686699999999998</v>
      </c>
      <c r="X369">
        <v>0</v>
      </c>
      <c r="AA369" s="2"/>
      <c r="AB369">
        <v>18</v>
      </c>
      <c r="AC369" s="55">
        <f t="shared" si="51"/>
        <v>771.76370880000013</v>
      </c>
      <c r="AD369" s="57">
        <v>0</v>
      </c>
      <c r="AE369" s="55">
        <v>789.87506903020289</v>
      </c>
      <c r="AF369" s="55">
        <v>0</v>
      </c>
      <c r="AG369" s="52"/>
      <c r="AH369" s="51"/>
      <c r="AI369" s="52">
        <v>9.1153655588092616E-2</v>
      </c>
      <c r="AJ369" s="52"/>
      <c r="AK369" s="28">
        <v>1.8678571428571431</v>
      </c>
      <c r="AL369" s="28">
        <v>3.1428571428571428</v>
      </c>
      <c r="AM369" s="28">
        <v>2.714285714285714</v>
      </c>
      <c r="AN369" s="28">
        <v>3.15</v>
      </c>
      <c r="AO369" s="28">
        <v>0.1717569786535304</v>
      </c>
      <c r="AP369" s="28">
        <v>0.28899835796387519</v>
      </c>
      <c r="AQ369" s="28">
        <v>0.24958949096880129</v>
      </c>
      <c r="AR369" s="28">
        <v>0.28965517241379313</v>
      </c>
      <c r="AS369" s="25">
        <v>1.6</v>
      </c>
      <c r="AT369" s="25">
        <v>3.44</v>
      </c>
      <c r="AU369" s="25">
        <v>1.84</v>
      </c>
      <c r="AV369" s="25">
        <v>2.903142857142857</v>
      </c>
      <c r="AW369">
        <v>2.903142857142857</v>
      </c>
      <c r="AX369">
        <v>6.2658828646428582</v>
      </c>
      <c r="AY369" s="75">
        <v>0.51995616258071919</v>
      </c>
      <c r="AZ369" s="75">
        <v>0.51988140722208986</v>
      </c>
      <c r="BA369" s="75"/>
      <c r="BD369">
        <v>4.5576827794046308E-2</v>
      </c>
      <c r="BF369">
        <v>9.1153655588092616E-2</v>
      </c>
      <c r="BG369">
        <v>4.5576827794046308E-2</v>
      </c>
      <c r="BH369">
        <v>0.51991878490140453</v>
      </c>
      <c r="BS369" s="79" t="s">
        <v>464</v>
      </c>
      <c r="BT369" s="79" t="s">
        <v>464</v>
      </c>
      <c r="CA369" t="e">
        <f t="shared" si="48"/>
        <v>#NUM!</v>
      </c>
    </row>
    <row r="370" spans="1:79" x14ac:dyDescent="0.3">
      <c r="A370" s="2" t="s">
        <v>24</v>
      </c>
      <c r="B370" s="17" t="s">
        <v>878</v>
      </c>
      <c r="C370" s="13"/>
      <c r="D370" s="2">
        <v>2.75</v>
      </c>
      <c r="E370" s="2" t="s">
        <v>213</v>
      </c>
      <c r="F370" s="32" t="s">
        <v>541</v>
      </c>
      <c r="G370" s="1" t="s">
        <v>621</v>
      </c>
      <c r="I370" s="2"/>
      <c r="J370" s="25">
        <v>0</v>
      </c>
      <c r="K370">
        <v>4</v>
      </c>
      <c r="L370">
        <v>0</v>
      </c>
      <c r="M370" s="1">
        <v>5.4960000000000004</v>
      </c>
      <c r="N370" s="1">
        <v>5.4960000000000004</v>
      </c>
      <c r="O370" s="1">
        <v>25.55</v>
      </c>
      <c r="P370" s="1" t="s">
        <v>450</v>
      </c>
      <c r="Q370" s="2"/>
      <c r="R370" s="25">
        <v>0</v>
      </c>
      <c r="S370" s="25"/>
      <c r="T370" s="25"/>
      <c r="U370">
        <v>5.5453000000000001</v>
      </c>
      <c r="V370">
        <v>5.5453000000000001</v>
      </c>
      <c r="W370">
        <v>25.686699999999998</v>
      </c>
      <c r="X370">
        <v>0</v>
      </c>
      <c r="AA370" s="2"/>
      <c r="AB370">
        <v>18</v>
      </c>
      <c r="AC370" s="55">
        <f t="shared" si="51"/>
        <v>771.76370880000013</v>
      </c>
      <c r="AD370" s="57">
        <v>0</v>
      </c>
      <c r="AE370" s="55">
        <v>789.87506903020289</v>
      </c>
      <c r="AF370" s="55">
        <v>0</v>
      </c>
      <c r="AG370" s="52"/>
      <c r="AH370" s="51"/>
      <c r="AI370" s="52">
        <v>9.1153655588092616E-2</v>
      </c>
      <c r="AJ370" s="52"/>
      <c r="AK370" s="28">
        <v>1.8642857142857141</v>
      </c>
      <c r="AL370" s="28">
        <v>3.1428571428571428</v>
      </c>
      <c r="AM370" s="28">
        <v>2.714285714285714</v>
      </c>
      <c r="AN370" s="28">
        <v>3.1</v>
      </c>
      <c r="AO370" s="28">
        <v>0.17227722772277229</v>
      </c>
      <c r="AP370" s="28">
        <v>0.29042904290429039</v>
      </c>
      <c r="AQ370" s="28">
        <v>0.25082508250825092</v>
      </c>
      <c r="AR370" s="28">
        <v>0.28646864686468648</v>
      </c>
      <c r="AS370" s="25">
        <v>1.6</v>
      </c>
      <c r="AT370" s="25">
        <v>3.44</v>
      </c>
      <c r="AU370" s="25">
        <v>1.84</v>
      </c>
      <c r="AV370" s="25">
        <v>2.9004285714285709</v>
      </c>
      <c r="AW370">
        <v>2.9004285714285718</v>
      </c>
      <c r="AX370">
        <v>6.2640899342857157</v>
      </c>
      <c r="AY370" s="75">
        <v>0.51995616258071919</v>
      </c>
      <c r="AZ370" s="75">
        <v>0.51988140722208986</v>
      </c>
      <c r="BA370" s="75"/>
      <c r="BD370">
        <v>4.5576827794046308E-2</v>
      </c>
      <c r="BF370">
        <v>9.1153655588092616E-2</v>
      </c>
      <c r="BG370">
        <v>4.5576827794046308E-2</v>
      </c>
      <c r="BH370">
        <v>0.51991878490140453</v>
      </c>
      <c r="BS370" s="79" t="s">
        <v>464</v>
      </c>
      <c r="BT370" s="79" t="s">
        <v>464</v>
      </c>
      <c r="CA370" t="e">
        <f t="shared" si="48"/>
        <v>#NUM!</v>
      </c>
    </row>
    <row r="371" spans="1:79" x14ac:dyDescent="0.3">
      <c r="A371" s="2" t="s">
        <v>25</v>
      </c>
      <c r="B371" s="13" t="s">
        <v>708</v>
      </c>
      <c r="C371" s="13"/>
      <c r="D371" s="2">
        <v>2.88</v>
      </c>
      <c r="E371" s="2" t="s">
        <v>213</v>
      </c>
      <c r="F371" s="9" t="s">
        <v>541</v>
      </c>
      <c r="G371" t="s">
        <v>621</v>
      </c>
      <c r="I371" s="2"/>
      <c r="J371" s="25">
        <v>1</v>
      </c>
      <c r="K371">
        <v>4</v>
      </c>
      <c r="L371">
        <v>0</v>
      </c>
      <c r="M371" s="2">
        <v>5.4960000000000004</v>
      </c>
      <c r="N371" s="2">
        <v>5.4960000000000004</v>
      </c>
      <c r="O371" s="2">
        <v>25.55</v>
      </c>
      <c r="P371" s="2" t="s">
        <v>450</v>
      </c>
      <c r="Q371" s="2"/>
      <c r="R371" s="25">
        <v>12.868820120000001</v>
      </c>
      <c r="S371" s="25">
        <v>12.868820120000001</v>
      </c>
      <c r="T371" s="25">
        <v>12.868820120000001</v>
      </c>
      <c r="U371">
        <v>5.5453000000000001</v>
      </c>
      <c r="V371">
        <v>5.5453000000000001</v>
      </c>
      <c r="W371">
        <v>25.686699999999998</v>
      </c>
      <c r="X371">
        <v>0</v>
      </c>
      <c r="AA371" s="2"/>
      <c r="AB371">
        <v>18</v>
      </c>
      <c r="AC371" s="55">
        <f t="shared" si="51"/>
        <v>771.76370880000013</v>
      </c>
      <c r="AD371" s="57">
        <v>197.4403766939285</v>
      </c>
      <c r="AE371" s="55">
        <v>789.87506903020289</v>
      </c>
      <c r="AF371" s="55">
        <v>0</v>
      </c>
      <c r="AG371" s="52"/>
      <c r="AH371" s="51">
        <v>9.1166762854710051E-2</v>
      </c>
      <c r="AI371" s="52">
        <v>9.1153655588092616E-2</v>
      </c>
      <c r="AJ371" s="52"/>
      <c r="AK371" s="28">
        <v>1.857142857142857</v>
      </c>
      <c r="AL371" s="28">
        <v>3.1428571428571428</v>
      </c>
      <c r="AM371" s="28">
        <v>2.714285714285714</v>
      </c>
      <c r="AN371" s="28">
        <v>3</v>
      </c>
      <c r="AO371" s="28">
        <v>0.17333333333333331</v>
      </c>
      <c r="AP371" s="28">
        <v>0.29333333333333328</v>
      </c>
      <c r="AQ371" s="28">
        <v>0.25333333333333341</v>
      </c>
      <c r="AR371" s="28">
        <v>0.28000000000000003</v>
      </c>
      <c r="AS371" s="25">
        <v>1.6</v>
      </c>
      <c r="AT371" s="25">
        <v>3.44</v>
      </c>
      <c r="AU371" s="25">
        <v>1.84</v>
      </c>
      <c r="AV371" s="25">
        <v>2.895</v>
      </c>
      <c r="AW371">
        <v>2.895</v>
      </c>
      <c r="AX371">
        <v>6.260504073571429</v>
      </c>
      <c r="AY371" s="75">
        <v>0.51995616258071919</v>
      </c>
      <c r="AZ371" s="75">
        <v>0.51988140722208986</v>
      </c>
      <c r="BA371" s="75"/>
      <c r="BC371">
        <v>4.5583381427355033E-2</v>
      </c>
      <c r="BD371">
        <v>4.5576827794046308E-2</v>
      </c>
      <c r="BF371">
        <v>9.1160209221401334E-2</v>
      </c>
      <c r="BG371">
        <v>4.5580104610700667E-2</v>
      </c>
      <c r="BH371">
        <v>0.51991878490140453</v>
      </c>
      <c r="BS371" s="79" t="s">
        <v>464</v>
      </c>
      <c r="BT371" s="79" t="s">
        <v>464</v>
      </c>
      <c r="CA371" t="e">
        <f t="shared" si="48"/>
        <v>#NUM!</v>
      </c>
    </row>
    <row r="372" spans="1:79" x14ac:dyDescent="0.3">
      <c r="A372" s="2" t="s">
        <v>26</v>
      </c>
      <c r="B372" s="17" t="s">
        <v>879</v>
      </c>
      <c r="C372" s="13"/>
      <c r="D372" s="2">
        <v>2.91</v>
      </c>
      <c r="E372" s="2" t="s">
        <v>213</v>
      </c>
      <c r="F372" s="32" t="s">
        <v>541</v>
      </c>
      <c r="G372" s="1" t="s">
        <v>621</v>
      </c>
      <c r="H372" s="1"/>
      <c r="I372" s="1"/>
      <c r="J372" s="36">
        <v>0</v>
      </c>
      <c r="K372">
        <v>4</v>
      </c>
      <c r="L372">
        <v>0</v>
      </c>
      <c r="M372" s="1">
        <v>5.4960000000000004</v>
      </c>
      <c r="N372" s="1">
        <v>5.4960000000000004</v>
      </c>
      <c r="O372" s="1">
        <v>25.55</v>
      </c>
      <c r="P372" s="1" t="s">
        <v>450</v>
      </c>
      <c r="Q372" s="2"/>
      <c r="R372" s="25">
        <v>0</v>
      </c>
      <c r="S372" s="25"/>
      <c r="T372" s="25"/>
      <c r="U372">
        <v>5.5453000000000001</v>
      </c>
      <c r="V372">
        <v>5.5453000000000001</v>
      </c>
      <c r="W372">
        <v>25.686699999999998</v>
      </c>
      <c r="X372">
        <v>0</v>
      </c>
      <c r="AA372" s="2"/>
      <c r="AB372">
        <v>18</v>
      </c>
      <c r="AC372" s="55">
        <f t="shared" si="51"/>
        <v>771.76370880000013</v>
      </c>
      <c r="AD372" s="57">
        <v>0</v>
      </c>
      <c r="AE372" s="55">
        <v>789.87506903020289</v>
      </c>
      <c r="AF372" s="55">
        <v>0</v>
      </c>
      <c r="AG372" s="52"/>
      <c r="AH372" s="51"/>
      <c r="AI372" s="52">
        <v>9.1153655588092616E-2</v>
      </c>
      <c r="AJ372" s="52"/>
      <c r="AK372" s="28">
        <v>1.8642857142857141</v>
      </c>
      <c r="AL372" s="28">
        <v>3.1428571428571428</v>
      </c>
      <c r="AM372" s="28">
        <v>2.7</v>
      </c>
      <c r="AN372" s="28">
        <v>3</v>
      </c>
      <c r="AO372" s="28">
        <v>0.1741160773849233</v>
      </c>
      <c r="AP372" s="28">
        <v>0.29352901934623082</v>
      </c>
      <c r="AQ372" s="28">
        <v>0.25216811207471651</v>
      </c>
      <c r="AR372" s="28">
        <v>0.28018679119412943</v>
      </c>
      <c r="AS372" s="25">
        <v>1.54</v>
      </c>
      <c r="AT372" s="25">
        <v>3.44</v>
      </c>
      <c r="AU372" s="25">
        <v>1.9</v>
      </c>
      <c r="AV372" s="25">
        <v>2.894571428571429</v>
      </c>
      <c r="AW372">
        <v>2.894571428571429</v>
      </c>
      <c r="AX372">
        <v>6.2577448164285716</v>
      </c>
      <c r="AY372" s="75">
        <v>0.51995616258071919</v>
      </c>
      <c r="AZ372" s="75">
        <v>0.51988140722208986</v>
      </c>
      <c r="BA372" s="75"/>
      <c r="BD372">
        <v>4.5576827794046308E-2</v>
      </c>
      <c r="BF372">
        <v>9.1153655588092616E-2</v>
      </c>
      <c r="BG372">
        <v>4.5576827794046308E-2</v>
      </c>
      <c r="BH372">
        <v>0.51991878490140453</v>
      </c>
      <c r="BS372" s="79" t="s">
        <v>464</v>
      </c>
      <c r="BT372" s="79" t="s">
        <v>464</v>
      </c>
      <c r="CA372" t="e">
        <f t="shared" si="48"/>
        <v>#NUM!</v>
      </c>
    </row>
    <row r="373" spans="1:79" x14ac:dyDescent="0.3">
      <c r="A373" s="2" t="s">
        <v>107</v>
      </c>
      <c r="B373" s="13" t="s">
        <v>727</v>
      </c>
      <c r="C373" s="13"/>
      <c r="D373" s="2">
        <v>3.08</v>
      </c>
      <c r="E373" s="2" t="s">
        <v>214</v>
      </c>
      <c r="F373" s="9" t="s">
        <v>555</v>
      </c>
      <c r="G373" t="s">
        <v>632</v>
      </c>
      <c r="I373" s="2"/>
      <c r="J373" s="25">
        <v>1</v>
      </c>
      <c r="K373">
        <v>4</v>
      </c>
      <c r="L373">
        <v>0</v>
      </c>
      <c r="M373" s="2"/>
      <c r="N373" s="2"/>
      <c r="O373" s="2"/>
      <c r="P373" s="2"/>
      <c r="Q373" s="2"/>
      <c r="R373" s="25">
        <v>3.86469438</v>
      </c>
      <c r="S373" s="25">
        <v>3.86469438</v>
      </c>
      <c r="T373" s="25">
        <v>16.978874730000001</v>
      </c>
      <c r="U373">
        <v>32.83</v>
      </c>
      <c r="V373">
        <v>5.4109999999999996</v>
      </c>
      <c r="W373">
        <v>5.4480000000000004</v>
      </c>
      <c r="X373">
        <v>0</v>
      </c>
      <c r="AA373" s="2"/>
      <c r="AB373">
        <v>24</v>
      </c>
      <c r="AC373" s="55">
        <f t="shared" si="51"/>
        <v>0</v>
      </c>
      <c r="AD373" s="57">
        <v>251.01098912285789</v>
      </c>
      <c r="AE373" s="55">
        <v>967.79977224000004</v>
      </c>
      <c r="AF373" s="55">
        <v>0</v>
      </c>
      <c r="AG373" s="52"/>
      <c r="AH373" s="51">
        <v>9.5613343797681868E-2</v>
      </c>
      <c r="AI373" s="52">
        <v>9.919407170122109E-2</v>
      </c>
      <c r="AJ373" s="52"/>
      <c r="AK373" s="28">
        <v>2</v>
      </c>
      <c r="AL373" s="28">
        <v>3.1578947368421049</v>
      </c>
      <c r="AM373" s="28">
        <v>2.4210526315789469</v>
      </c>
      <c r="AN373" s="28">
        <v>2.947368421052631</v>
      </c>
      <c r="AO373" s="28">
        <v>0.19</v>
      </c>
      <c r="AP373" s="28">
        <v>0.3</v>
      </c>
      <c r="AQ373" s="28">
        <v>0.23</v>
      </c>
      <c r="AR373" s="28">
        <v>0.28000000000000003</v>
      </c>
      <c r="AS373" s="25">
        <v>1.54</v>
      </c>
      <c r="AT373" s="25">
        <v>3.44</v>
      </c>
      <c r="AU373" s="25">
        <v>1.9</v>
      </c>
      <c r="AV373" s="25">
        <v>2.8410526315789468</v>
      </c>
      <c r="AW373">
        <v>2.8410526315789468</v>
      </c>
      <c r="AX373">
        <v>6.1729587136842099</v>
      </c>
      <c r="AY373" s="75">
        <v>0.52818907539878324</v>
      </c>
      <c r="AZ373" s="75">
        <v>0.54796980145127927</v>
      </c>
      <c r="BA373" s="75"/>
      <c r="BC373">
        <v>4.7806671898840941E-2</v>
      </c>
      <c r="BD373">
        <v>4.9597035850610538E-2</v>
      </c>
      <c r="BF373">
        <v>9.7403707749451479E-2</v>
      </c>
      <c r="BG373">
        <v>4.870185387472574E-2</v>
      </c>
      <c r="BH373">
        <v>0.53807943842503125</v>
      </c>
      <c r="BS373" s="79" t="s">
        <v>464</v>
      </c>
      <c r="BT373" s="79" t="s">
        <v>464</v>
      </c>
      <c r="CA373" t="e">
        <f t="shared" si="48"/>
        <v>#NUM!</v>
      </c>
    </row>
    <row r="374" spans="1:79" x14ac:dyDescent="0.3">
      <c r="A374" s="2" t="s">
        <v>215</v>
      </c>
      <c r="B374" s="13" t="s">
        <v>734</v>
      </c>
      <c r="C374" s="13"/>
      <c r="D374" s="2">
        <v>3.8</v>
      </c>
      <c r="E374" s="2" t="s">
        <v>216</v>
      </c>
      <c r="F374" s="9" t="s">
        <v>587</v>
      </c>
      <c r="G374" t="s">
        <v>636</v>
      </c>
      <c r="I374" s="2"/>
      <c r="J374" s="25">
        <v>1</v>
      </c>
      <c r="K374">
        <v>1</v>
      </c>
      <c r="L374">
        <v>0</v>
      </c>
      <c r="M374" s="2"/>
      <c r="N374" s="2"/>
      <c r="O374" s="2"/>
      <c r="P374" s="2"/>
      <c r="Q374" s="2"/>
      <c r="R374" s="25">
        <v>3.950634</v>
      </c>
      <c r="S374" s="25">
        <v>3.950634</v>
      </c>
      <c r="T374" s="25">
        <v>15.513552000000001</v>
      </c>
      <c r="U374">
        <v>3.8658999999999999</v>
      </c>
      <c r="V374">
        <v>3.8658999999999999</v>
      </c>
      <c r="W374">
        <v>15.2538</v>
      </c>
      <c r="X374">
        <v>0</v>
      </c>
      <c r="AA374" s="2"/>
      <c r="AB374">
        <v>20</v>
      </c>
      <c r="AC374" s="55">
        <f t="shared" si="51"/>
        <v>0</v>
      </c>
      <c r="AD374" s="57">
        <v>242.1279024923125</v>
      </c>
      <c r="AE374" s="55">
        <v>227.970829547178</v>
      </c>
      <c r="AF374" s="55">
        <v>0</v>
      </c>
      <c r="AG374" s="52"/>
      <c r="AH374" s="51">
        <v>8.2600971611006269E-2</v>
      </c>
      <c r="AI374" s="52">
        <v>8.7730522539775438E-2</v>
      </c>
      <c r="AJ374" s="52"/>
      <c r="AK374" s="28">
        <v>1.9375</v>
      </c>
      <c r="AL374" s="28">
        <v>2.5</v>
      </c>
      <c r="AM374" s="28">
        <v>0.5625</v>
      </c>
      <c r="AN374" s="28">
        <v>2.625</v>
      </c>
      <c r="AO374" s="28">
        <v>0.25409836065573771</v>
      </c>
      <c r="AP374" s="28">
        <v>0.32786885245901642</v>
      </c>
      <c r="AQ374" s="28">
        <v>7.3770491803278687E-2</v>
      </c>
      <c r="AR374" s="28">
        <v>0.34426229508196721</v>
      </c>
      <c r="AS374" s="25">
        <v>0.79</v>
      </c>
      <c r="AT374" s="25">
        <v>3.44</v>
      </c>
      <c r="AU374" s="25">
        <v>2.65</v>
      </c>
      <c r="AV374" s="25">
        <v>2.6056249999999999</v>
      </c>
      <c r="AW374">
        <v>2.6056249999999999</v>
      </c>
      <c r="AX374">
        <v>5.9703320286696879</v>
      </c>
      <c r="AY374" s="75">
        <v>0.52453741991489755</v>
      </c>
      <c r="AZ374" s="75">
        <v>0.55711138795694093</v>
      </c>
      <c r="BA374" s="75"/>
      <c r="BC374">
        <v>4.1300485805503127E-2</v>
      </c>
      <c r="BD374">
        <v>4.3865261269887712E-2</v>
      </c>
      <c r="BF374">
        <v>8.5165747075390846E-2</v>
      </c>
      <c r="BG374">
        <v>4.2582873537695423E-2</v>
      </c>
      <c r="BH374">
        <v>0.54082440393591924</v>
      </c>
      <c r="BS374" s="79" t="s">
        <v>464</v>
      </c>
      <c r="BT374" s="79" t="s">
        <v>464</v>
      </c>
      <c r="CA374" t="e">
        <f t="shared" si="48"/>
        <v>#NUM!</v>
      </c>
    </row>
    <row r="375" spans="1:79" x14ac:dyDescent="0.3">
      <c r="A375" s="2" t="s">
        <v>215</v>
      </c>
      <c r="B375" s="13" t="s">
        <v>734</v>
      </c>
      <c r="C375" s="13"/>
      <c r="D375" s="2">
        <v>2</v>
      </c>
      <c r="E375" s="2" t="s">
        <v>216</v>
      </c>
      <c r="F375" s="9" t="s">
        <v>587</v>
      </c>
      <c r="G375" t="s">
        <v>636</v>
      </c>
      <c r="I375" s="2"/>
      <c r="J375" s="25">
        <v>1</v>
      </c>
      <c r="K375">
        <v>1</v>
      </c>
      <c r="L375">
        <v>0</v>
      </c>
      <c r="M375" s="2"/>
      <c r="N375" s="2"/>
      <c r="O375" s="2"/>
      <c r="P375" s="2"/>
      <c r="Q375" s="2"/>
      <c r="R375" s="25">
        <v>3.950634</v>
      </c>
      <c r="S375" s="25">
        <v>3.950634</v>
      </c>
      <c r="T375" s="25">
        <v>15.513552000000001</v>
      </c>
      <c r="U375">
        <v>3.8658999999999999</v>
      </c>
      <c r="V375">
        <v>3.8658999999999999</v>
      </c>
      <c r="W375">
        <v>15.2538</v>
      </c>
      <c r="X375">
        <v>0</v>
      </c>
      <c r="AA375" s="2"/>
      <c r="AB375">
        <v>20</v>
      </c>
      <c r="AC375" s="55">
        <f t="shared" si="51"/>
        <v>0</v>
      </c>
      <c r="AD375" s="57">
        <v>242.1279024923125</v>
      </c>
      <c r="AE375" s="55">
        <v>227.970829547178</v>
      </c>
      <c r="AF375" s="55">
        <v>0</v>
      </c>
      <c r="AG375" s="52"/>
      <c r="AH375" s="51">
        <v>8.2600971611006269E-2</v>
      </c>
      <c r="AI375" s="52">
        <v>8.7730522539775438E-2</v>
      </c>
      <c r="AJ375" s="52"/>
      <c r="AK375" s="28">
        <v>1.9375</v>
      </c>
      <c r="AL375" s="28">
        <v>2.5</v>
      </c>
      <c r="AM375" s="28">
        <v>0.5625</v>
      </c>
      <c r="AN375" s="28">
        <v>2.625</v>
      </c>
      <c r="AO375" s="28">
        <v>0.25409836065573771</v>
      </c>
      <c r="AP375" s="28">
        <v>0.32786885245901642</v>
      </c>
      <c r="AQ375" s="28">
        <v>7.3770491803278687E-2</v>
      </c>
      <c r="AR375" s="28">
        <v>0.34426229508196721</v>
      </c>
      <c r="AS375" s="25">
        <v>0.79</v>
      </c>
      <c r="AT375" s="25">
        <v>3.44</v>
      </c>
      <c r="AU375" s="25">
        <v>2.65</v>
      </c>
      <c r="AV375" s="25">
        <v>2.6056249999999999</v>
      </c>
      <c r="AW375">
        <v>2.6056249999999999</v>
      </c>
      <c r="AX375">
        <v>5.9703320286696879</v>
      </c>
      <c r="AY375" s="75">
        <v>0.52453741991489755</v>
      </c>
      <c r="AZ375" s="75">
        <v>0.55711138795694093</v>
      </c>
      <c r="BA375" s="75"/>
      <c r="BC375">
        <v>4.1300485805503127E-2</v>
      </c>
      <c r="BD375">
        <v>4.3865261269887712E-2</v>
      </c>
      <c r="BF375">
        <v>8.5165747075390846E-2</v>
      </c>
      <c r="BG375">
        <v>4.2582873537695423E-2</v>
      </c>
      <c r="BH375">
        <v>0.54082440393591924</v>
      </c>
      <c r="BN375" s="79" t="s">
        <v>676</v>
      </c>
      <c r="BO375" s="79">
        <v>0.44</v>
      </c>
      <c r="BS375" s="79" t="s">
        <v>464</v>
      </c>
      <c r="BT375" s="79" t="s">
        <v>464</v>
      </c>
      <c r="CA375" t="e">
        <f t="shared" si="48"/>
        <v>#NUM!</v>
      </c>
    </row>
    <row r="376" spans="1:79" x14ac:dyDescent="0.3">
      <c r="A376" s="2" t="s">
        <v>217</v>
      </c>
      <c r="B376" s="13" t="s">
        <v>806</v>
      </c>
      <c r="C376" s="13"/>
      <c r="D376" s="2">
        <v>2.58</v>
      </c>
      <c r="E376" s="2" t="s">
        <v>218</v>
      </c>
      <c r="F376" s="9">
        <v>-1</v>
      </c>
      <c r="G376">
        <v>-1</v>
      </c>
      <c r="I376" s="2">
        <v>1</v>
      </c>
      <c r="J376" s="25">
        <v>0</v>
      </c>
      <c r="K376">
        <v>0</v>
      </c>
      <c r="L376">
        <v>0</v>
      </c>
      <c r="M376" s="2">
        <v>3.93</v>
      </c>
      <c r="N376" s="2">
        <v>3.93</v>
      </c>
      <c r="O376" s="2">
        <v>15.3</v>
      </c>
      <c r="P376" s="2"/>
      <c r="Q376" s="2"/>
      <c r="R376" s="25">
        <v>0</v>
      </c>
      <c r="S376" s="25"/>
      <c r="T376" s="25"/>
      <c r="U376">
        <v>0</v>
      </c>
      <c r="X376">
        <v>0</v>
      </c>
      <c r="AA376" s="2"/>
      <c r="AB376">
        <v>20</v>
      </c>
      <c r="AC376" s="55">
        <f t="shared" si="51"/>
        <v>236.30697000000001</v>
      </c>
      <c r="AD376" s="57">
        <v>0</v>
      </c>
      <c r="AE376" s="55">
        <v>0</v>
      </c>
      <c r="AF376" s="55">
        <v>0</v>
      </c>
      <c r="AG376" s="52">
        <f t="shared" ref="AG376:AG377" si="52">I376*AB376/AC376</f>
        <v>8.4635675367510321E-2</v>
      </c>
      <c r="AH376" s="51"/>
      <c r="AI376" s="52"/>
      <c r="AJ376" s="52"/>
      <c r="AK376" s="28">
        <v>1.75</v>
      </c>
      <c r="AL376" s="28">
        <v>2.75</v>
      </c>
      <c r="AM376" s="28">
        <v>2</v>
      </c>
      <c r="AN376" s="28">
        <v>1.75</v>
      </c>
      <c r="AO376" s="28">
        <v>0.2121212121212121</v>
      </c>
      <c r="AP376" s="28">
        <v>0.33333333333333331</v>
      </c>
      <c r="AQ376" s="28">
        <v>0.2424242424242424</v>
      </c>
      <c r="AR376" s="28">
        <v>0.2121212121212121</v>
      </c>
      <c r="AS376" s="25">
        <v>1.6</v>
      </c>
      <c r="AT376" s="25">
        <v>3.44</v>
      </c>
      <c r="AU376" s="25">
        <v>1.84</v>
      </c>
      <c r="AV376" s="25">
        <v>2.8787500000000001</v>
      </c>
      <c r="AW376">
        <v>2.8787500000000001</v>
      </c>
      <c r="AX376">
        <v>6.3662565249906873</v>
      </c>
      <c r="AY376" s="75"/>
      <c r="AZ376" s="75"/>
      <c r="BA376" s="75"/>
      <c r="BB376">
        <v>4.2317837683755161E-2</v>
      </c>
      <c r="BF376">
        <v>8.4635675367510321E-2</v>
      </c>
      <c r="BG376">
        <v>4.2317837683755161E-2</v>
      </c>
      <c r="BH376">
        <v>0</v>
      </c>
      <c r="BS376" s="79" t="s">
        <v>464</v>
      </c>
      <c r="BT376" s="79" t="s">
        <v>464</v>
      </c>
      <c r="CA376" t="e">
        <f t="shared" si="48"/>
        <v>#NUM!</v>
      </c>
    </row>
    <row r="377" spans="1:79" x14ac:dyDescent="0.3">
      <c r="A377" s="2" t="s">
        <v>873</v>
      </c>
      <c r="B377" s="13" t="s">
        <v>874</v>
      </c>
      <c r="C377" s="13"/>
      <c r="D377" s="2">
        <v>2.29</v>
      </c>
      <c r="E377" s="2" t="s">
        <v>218</v>
      </c>
      <c r="F377" s="9">
        <v>-1</v>
      </c>
      <c r="G377">
        <v>-1</v>
      </c>
      <c r="I377" s="2">
        <v>1</v>
      </c>
      <c r="J377" s="25">
        <v>0</v>
      </c>
      <c r="K377">
        <v>0</v>
      </c>
      <c r="L377">
        <v>0</v>
      </c>
      <c r="M377" s="2">
        <v>3.93</v>
      </c>
      <c r="N377" s="2">
        <v>3.93</v>
      </c>
      <c r="O377" s="2">
        <v>15.3</v>
      </c>
      <c r="P377" s="2"/>
      <c r="Q377" s="2"/>
      <c r="R377" s="25">
        <v>0</v>
      </c>
      <c r="S377" s="25"/>
      <c r="T377" s="25"/>
      <c r="U377">
        <v>0</v>
      </c>
      <c r="X377">
        <v>0</v>
      </c>
      <c r="AA377" s="2"/>
      <c r="AB377">
        <v>20</v>
      </c>
      <c r="AC377" s="55">
        <f t="shared" si="51"/>
        <v>236.30697000000001</v>
      </c>
      <c r="AD377" s="57">
        <v>0</v>
      </c>
      <c r="AE377" s="55">
        <v>0</v>
      </c>
      <c r="AF377" s="55">
        <v>0</v>
      </c>
      <c r="AG377" s="52">
        <f t="shared" si="52"/>
        <v>8.4635675367510321E-2</v>
      </c>
      <c r="AH377" s="51"/>
      <c r="AI377" s="52"/>
      <c r="AJ377" s="52"/>
      <c r="AK377" s="28">
        <v>1.714285714285714</v>
      </c>
      <c r="AL377" s="28">
        <v>2.6190476190476191</v>
      </c>
      <c r="AM377" s="28">
        <v>1.9285714285714279</v>
      </c>
      <c r="AN377" s="28">
        <v>1.666666666666667</v>
      </c>
      <c r="AO377" s="28">
        <v>0.2162162162162162</v>
      </c>
      <c r="AP377" s="28">
        <v>0.33033033033033038</v>
      </c>
      <c r="AQ377" s="28">
        <v>0.2432432432432432</v>
      </c>
      <c r="AR377" s="28">
        <v>0.21021021021021019</v>
      </c>
      <c r="AS377" s="25">
        <v>1.6</v>
      </c>
      <c r="AT377" s="25">
        <v>3.44</v>
      </c>
      <c r="AU377" s="25">
        <v>1.84</v>
      </c>
      <c r="AV377" s="25">
        <v>2.847857142857142</v>
      </c>
      <c r="AW377">
        <v>2.8478571428571429</v>
      </c>
      <c r="AX377">
        <v>6.402055730936417</v>
      </c>
      <c r="AY377" s="75"/>
      <c r="AZ377" s="75"/>
      <c r="BA377" s="75"/>
      <c r="BB377">
        <v>4.2317837683755161E-2</v>
      </c>
      <c r="BF377">
        <v>8.4635675367510321E-2</v>
      </c>
      <c r="BG377">
        <v>4.2317837683755161E-2</v>
      </c>
      <c r="BH377">
        <v>0</v>
      </c>
      <c r="BS377" s="79" t="s">
        <v>464</v>
      </c>
      <c r="BT377" s="79" t="s">
        <v>464</v>
      </c>
      <c r="CA377" t="e">
        <f t="shared" si="48"/>
        <v>#NUM!</v>
      </c>
    </row>
    <row r="378" spans="1:79" x14ac:dyDescent="0.3">
      <c r="A378" s="2" t="s">
        <v>220</v>
      </c>
      <c r="B378" s="13" t="s">
        <v>807</v>
      </c>
      <c r="C378" s="13"/>
      <c r="D378" s="2">
        <v>4.05</v>
      </c>
      <c r="E378" s="2" t="s">
        <v>219</v>
      </c>
      <c r="F378" s="9" t="s">
        <v>588</v>
      </c>
      <c r="G378" t="s">
        <v>661</v>
      </c>
      <c r="I378" s="2"/>
      <c r="J378" s="25">
        <v>1</v>
      </c>
      <c r="K378">
        <v>1</v>
      </c>
      <c r="L378">
        <v>0</v>
      </c>
      <c r="M378" s="2"/>
      <c r="N378" s="2"/>
      <c r="O378" s="2"/>
      <c r="P378" s="2"/>
      <c r="Q378" s="2"/>
      <c r="R378" s="25">
        <v>5.81978595</v>
      </c>
      <c r="S378" s="25">
        <v>5.81978595</v>
      </c>
      <c r="T378" s="25">
        <v>11.88463337</v>
      </c>
      <c r="U378">
        <v>5.7759999999999998</v>
      </c>
      <c r="V378">
        <v>5.7759999999999998</v>
      </c>
      <c r="W378">
        <v>11.82</v>
      </c>
      <c r="X378">
        <v>0</v>
      </c>
      <c r="AA378" s="2"/>
      <c r="AB378">
        <v>30</v>
      </c>
      <c r="AC378" s="55">
        <f t="shared" si="51"/>
        <v>0</v>
      </c>
      <c r="AD378" s="57">
        <v>348.60249769877402</v>
      </c>
      <c r="AE378" s="55">
        <v>341.5092547488552</v>
      </c>
      <c r="AF378" s="55">
        <v>0</v>
      </c>
      <c r="AG378" s="52"/>
      <c r="AH378" s="51">
        <v>8.6057903193576313E-2</v>
      </c>
      <c r="AI378" s="52">
        <v>8.7845349965879851E-2</v>
      </c>
      <c r="AJ378" s="52"/>
      <c r="AK378" s="28">
        <v>2</v>
      </c>
      <c r="AL378" s="28">
        <v>2.5</v>
      </c>
      <c r="AM378" s="28">
        <v>0.5</v>
      </c>
      <c r="AN378" s="28">
        <v>2.333333333333333</v>
      </c>
      <c r="AO378" s="28">
        <v>0.27272727272727282</v>
      </c>
      <c r="AP378" s="28">
        <v>0.34090909090909088</v>
      </c>
      <c r="AQ378" s="28">
        <v>6.8181818181818191E-2</v>
      </c>
      <c r="AR378" s="28">
        <v>0.31818181818181818</v>
      </c>
      <c r="AS378" s="25">
        <v>0.89</v>
      </c>
      <c r="AT378" s="25">
        <v>3.44</v>
      </c>
      <c r="AU378" s="25">
        <v>2.5499999999999998</v>
      </c>
      <c r="AV378" s="25">
        <v>2.5854166666666671</v>
      </c>
      <c r="AW378">
        <v>2.5854166666666671</v>
      </c>
      <c r="AX378">
        <v>5.9262421145833333</v>
      </c>
      <c r="AY378" s="75">
        <v>0.58209579444379334</v>
      </c>
      <c r="AZ378" s="75">
        <v>0.59418608726221844</v>
      </c>
      <c r="BA378" s="75"/>
      <c r="BC378">
        <v>4.3028951596788149E-2</v>
      </c>
      <c r="BD378">
        <v>4.3922674982939933E-2</v>
      </c>
      <c r="BF378">
        <v>8.6951626579728075E-2</v>
      </c>
      <c r="BG378">
        <v>4.3475813289864038E-2</v>
      </c>
      <c r="BH378">
        <v>0.58814094085300583</v>
      </c>
      <c r="BS378" s="79" t="s">
        <v>464</v>
      </c>
      <c r="BT378" s="79" t="s">
        <v>464</v>
      </c>
      <c r="CA378" t="e">
        <f t="shared" si="48"/>
        <v>#NUM!</v>
      </c>
    </row>
    <row r="379" spans="1:79" x14ac:dyDescent="0.3">
      <c r="A379" s="2" t="s">
        <v>220</v>
      </c>
      <c r="B379" s="13" t="s">
        <v>807</v>
      </c>
      <c r="C379" s="13"/>
      <c r="D379" s="2">
        <v>1.75</v>
      </c>
      <c r="E379" s="2" t="s">
        <v>219</v>
      </c>
      <c r="F379" s="9" t="s">
        <v>588</v>
      </c>
      <c r="G379" t="s">
        <v>661</v>
      </c>
      <c r="I379" s="2"/>
      <c r="J379" s="25">
        <v>1</v>
      </c>
      <c r="K379">
        <v>1</v>
      </c>
      <c r="L379">
        <v>0</v>
      </c>
      <c r="M379" s="2"/>
      <c r="N379" s="2"/>
      <c r="O379" s="2"/>
      <c r="P379" s="2"/>
      <c r="Q379" s="2"/>
      <c r="R379" s="25">
        <v>5.81978595</v>
      </c>
      <c r="S379" s="25">
        <v>5.81978595</v>
      </c>
      <c r="T379" s="25">
        <v>11.88463337</v>
      </c>
      <c r="U379">
        <v>5.7759999999999998</v>
      </c>
      <c r="V379">
        <v>5.7759999999999998</v>
      </c>
      <c r="W379">
        <v>11.82</v>
      </c>
      <c r="X379">
        <v>0</v>
      </c>
      <c r="AA379" s="2"/>
      <c r="AB379">
        <v>30</v>
      </c>
      <c r="AC379" s="55">
        <f t="shared" si="51"/>
        <v>0</v>
      </c>
      <c r="AD379" s="57">
        <v>348.60249769877402</v>
      </c>
      <c r="AE379" s="55">
        <v>341.5092547488552</v>
      </c>
      <c r="AF379" s="55">
        <v>0</v>
      </c>
      <c r="AG379" s="52"/>
      <c r="AH379" s="51">
        <v>8.6057903193576313E-2</v>
      </c>
      <c r="AI379" s="52">
        <v>8.7845349965879851E-2</v>
      </c>
      <c r="AJ379" s="52"/>
      <c r="AK379" s="28">
        <v>2</v>
      </c>
      <c r="AL379" s="28">
        <v>2.5</v>
      </c>
      <c r="AM379" s="28">
        <v>0.5</v>
      </c>
      <c r="AN379" s="28">
        <v>2.333333333333333</v>
      </c>
      <c r="AO379" s="28">
        <v>0.27272727272727282</v>
      </c>
      <c r="AP379" s="28">
        <v>0.34090909090909088</v>
      </c>
      <c r="AQ379" s="28">
        <v>6.8181818181818191E-2</v>
      </c>
      <c r="AR379" s="28">
        <v>0.31818181818181818</v>
      </c>
      <c r="AS379" s="25">
        <v>0.89</v>
      </c>
      <c r="AT379" s="25">
        <v>3.44</v>
      </c>
      <c r="AU379" s="25">
        <v>2.5499999999999998</v>
      </c>
      <c r="AV379" s="25">
        <v>2.5854166666666671</v>
      </c>
      <c r="AW379">
        <v>2.5854166666666671</v>
      </c>
      <c r="AX379">
        <v>5.9262421145833333</v>
      </c>
      <c r="AY379" s="75">
        <v>0.58209579444379334</v>
      </c>
      <c r="AZ379" s="75">
        <v>0.59418608726221844</v>
      </c>
      <c r="BA379" s="75"/>
      <c r="BC379">
        <v>4.3028951596788149E-2</v>
      </c>
      <c r="BD379">
        <v>4.3922674982939933E-2</v>
      </c>
      <c r="BF379">
        <v>8.6951626579728075E-2</v>
      </c>
      <c r="BG379">
        <v>4.3475813289864038E-2</v>
      </c>
      <c r="BH379">
        <v>0.58814094085300583</v>
      </c>
      <c r="BN379" s="79" t="s">
        <v>676</v>
      </c>
      <c r="BO379" s="79">
        <v>0.3</v>
      </c>
      <c r="BS379" s="79" t="s">
        <v>464</v>
      </c>
      <c r="BT379" s="79" t="s">
        <v>464</v>
      </c>
      <c r="CA379" t="e">
        <f t="shared" si="48"/>
        <v>#NUM!</v>
      </c>
    </row>
    <row r="380" spans="1:79" x14ac:dyDescent="0.3">
      <c r="A380" s="2" t="s">
        <v>221</v>
      </c>
      <c r="B380" s="13" t="s">
        <v>808</v>
      </c>
      <c r="C380" s="13"/>
      <c r="D380" s="2">
        <v>4.51</v>
      </c>
      <c r="E380" s="2" t="s">
        <v>222</v>
      </c>
      <c r="F380" s="9" t="s">
        <v>589</v>
      </c>
      <c r="G380">
        <v>-1</v>
      </c>
      <c r="I380" s="2"/>
      <c r="J380" s="25">
        <v>1</v>
      </c>
      <c r="K380">
        <v>0</v>
      </c>
      <c r="L380">
        <v>0</v>
      </c>
      <c r="M380" s="2"/>
      <c r="N380" s="2"/>
      <c r="O380" s="2"/>
      <c r="P380" s="2"/>
      <c r="Q380" s="2"/>
      <c r="R380" s="25">
        <v>5.6694849300000003</v>
      </c>
      <c r="S380" s="25">
        <v>5.6694842000000003</v>
      </c>
      <c r="T380" s="25">
        <v>11.54266629</v>
      </c>
      <c r="U380">
        <v>0</v>
      </c>
      <c r="X380">
        <v>0</v>
      </c>
      <c r="AA380" s="2"/>
      <c r="AB380">
        <v>30</v>
      </c>
      <c r="AC380" s="55">
        <f t="shared" si="51"/>
        <v>0</v>
      </c>
      <c r="AD380" s="57">
        <v>321.30962315738361</v>
      </c>
      <c r="AE380" s="55">
        <v>0</v>
      </c>
      <c r="AF380" s="55">
        <v>0</v>
      </c>
      <c r="AG380" s="52"/>
      <c r="AH380" s="51">
        <v>9.3367885173191417E-2</v>
      </c>
      <c r="AI380" s="52"/>
      <c r="AJ380" s="52"/>
      <c r="AK380" s="28">
        <v>2</v>
      </c>
      <c r="AL380" s="28">
        <v>2.5</v>
      </c>
      <c r="AM380" s="28">
        <v>0.5</v>
      </c>
      <c r="AN380" s="28">
        <v>2.333333333333333</v>
      </c>
      <c r="AO380" s="28">
        <v>0.27272727272727282</v>
      </c>
      <c r="AP380" s="28">
        <v>0.34090909090909088</v>
      </c>
      <c r="AQ380" s="28">
        <v>6.8181818181818191E-2</v>
      </c>
      <c r="AR380" s="28">
        <v>0.31818181818181818</v>
      </c>
      <c r="AS380" s="25">
        <v>0.95</v>
      </c>
      <c r="AT380" s="25">
        <v>3.44</v>
      </c>
      <c r="AU380" s="25">
        <v>2.4900000000000002</v>
      </c>
      <c r="AV380" s="25">
        <v>2.5979166666666669</v>
      </c>
      <c r="AW380">
        <v>2.597916666666666</v>
      </c>
      <c r="AX380">
        <v>5.966934078125</v>
      </c>
      <c r="AY380" s="75">
        <v>0.56583721757051464</v>
      </c>
      <c r="AZ380" s="75"/>
      <c r="BA380" s="75"/>
      <c r="BC380">
        <v>4.6683942586595709E-2</v>
      </c>
      <c r="BF380">
        <v>9.3367885173191417E-2</v>
      </c>
      <c r="BG380">
        <v>4.6683942586595709E-2</v>
      </c>
      <c r="BH380">
        <v>0.56583721757051464</v>
      </c>
      <c r="BS380" s="79" t="s">
        <v>464</v>
      </c>
      <c r="BT380" s="79" t="s">
        <v>464</v>
      </c>
      <c r="CA380" t="e">
        <f t="shared" si="48"/>
        <v>#NUM!</v>
      </c>
    </row>
    <row r="381" spans="1:79" x14ac:dyDescent="0.3">
      <c r="A381" s="2" t="s">
        <v>221</v>
      </c>
      <c r="B381" s="13" t="s">
        <v>808</v>
      </c>
      <c r="C381" s="13"/>
      <c r="D381" s="2">
        <v>2.2000000000000002</v>
      </c>
      <c r="E381" s="2" t="s">
        <v>222</v>
      </c>
      <c r="F381" s="9" t="s">
        <v>589</v>
      </c>
      <c r="G381">
        <v>-1</v>
      </c>
      <c r="I381" s="2"/>
      <c r="J381" s="25">
        <v>1</v>
      </c>
      <c r="K381">
        <v>0</v>
      </c>
      <c r="L381">
        <v>0</v>
      </c>
      <c r="M381" s="2"/>
      <c r="N381" s="2"/>
      <c r="O381" s="2"/>
      <c r="P381" s="2"/>
      <c r="Q381" s="2"/>
      <c r="R381" s="25">
        <v>5.6694849300000003</v>
      </c>
      <c r="S381" s="25">
        <v>5.6694842000000003</v>
      </c>
      <c r="T381" s="25">
        <v>11.54266629</v>
      </c>
      <c r="U381">
        <v>0</v>
      </c>
      <c r="X381">
        <v>0</v>
      </c>
      <c r="AA381" s="2"/>
      <c r="AB381">
        <v>30</v>
      </c>
      <c r="AC381" s="55">
        <f t="shared" si="51"/>
        <v>0</v>
      </c>
      <c r="AD381" s="57">
        <v>321.30962315738361</v>
      </c>
      <c r="AE381" s="55">
        <v>0</v>
      </c>
      <c r="AF381" s="55">
        <v>0</v>
      </c>
      <c r="AG381" s="52"/>
      <c r="AH381" s="51">
        <v>9.3367885173191417E-2</v>
      </c>
      <c r="AI381" s="52"/>
      <c r="AJ381" s="52"/>
      <c r="AK381" s="28">
        <v>2</v>
      </c>
      <c r="AL381" s="28">
        <v>2.5</v>
      </c>
      <c r="AM381" s="28">
        <v>0.5</v>
      </c>
      <c r="AN381" s="28">
        <v>2.333333333333333</v>
      </c>
      <c r="AO381" s="28">
        <v>0.27272727272727282</v>
      </c>
      <c r="AP381" s="28">
        <v>0.34090909090909088</v>
      </c>
      <c r="AQ381" s="28">
        <v>6.8181818181818191E-2</v>
      </c>
      <c r="AR381" s="28">
        <v>0.31818181818181818</v>
      </c>
      <c r="AS381" s="25">
        <v>0.95</v>
      </c>
      <c r="AT381" s="25">
        <v>3.44</v>
      </c>
      <c r="AU381" s="25">
        <v>2.4900000000000002</v>
      </c>
      <c r="AV381" s="25">
        <v>2.5979166666666669</v>
      </c>
      <c r="AW381">
        <v>2.597916666666666</v>
      </c>
      <c r="AX381">
        <v>5.966934078125</v>
      </c>
      <c r="AY381" s="75">
        <v>0.56583721757051464</v>
      </c>
      <c r="AZ381" s="75"/>
      <c r="BA381" s="75"/>
      <c r="BC381">
        <v>4.6683942586595709E-2</v>
      </c>
      <c r="BF381">
        <v>9.3367885173191417E-2</v>
      </c>
      <c r="BG381">
        <v>4.6683942586595709E-2</v>
      </c>
      <c r="BH381">
        <v>0.56583721757051464</v>
      </c>
      <c r="BN381" s="79" t="s">
        <v>676</v>
      </c>
      <c r="BO381" s="79">
        <v>0.63</v>
      </c>
      <c r="BS381" s="79" t="s">
        <v>464</v>
      </c>
      <c r="BT381" s="79" t="s">
        <v>464</v>
      </c>
      <c r="CA381" t="e">
        <f t="shared" si="48"/>
        <v>#NUM!</v>
      </c>
    </row>
    <row r="382" spans="1:79" x14ac:dyDescent="0.3">
      <c r="A382" s="2" t="s">
        <v>185</v>
      </c>
      <c r="B382" s="13" t="s">
        <v>729</v>
      </c>
      <c r="C382" s="13"/>
      <c r="D382" s="2">
        <v>4.2</v>
      </c>
      <c r="E382" s="2" t="s">
        <v>223</v>
      </c>
      <c r="F382" s="9" t="s">
        <v>556</v>
      </c>
      <c r="G382" t="s">
        <v>633</v>
      </c>
      <c r="I382" s="2"/>
      <c r="J382" s="25">
        <v>2</v>
      </c>
      <c r="K382">
        <v>4</v>
      </c>
      <c r="L382">
        <v>0</v>
      </c>
      <c r="M382" s="2"/>
      <c r="N382" s="2"/>
      <c r="O382" s="2"/>
      <c r="P382" s="2"/>
      <c r="Q382" s="2"/>
      <c r="R382" s="25">
        <v>13.81974189</v>
      </c>
      <c r="S382" s="25">
        <v>13.81974189</v>
      </c>
      <c r="T382" s="25">
        <v>5.7110870199999999</v>
      </c>
      <c r="U382">
        <v>3.94</v>
      </c>
      <c r="V382">
        <v>27.15</v>
      </c>
      <c r="W382">
        <v>5.6920000000000002</v>
      </c>
      <c r="X382">
        <v>0</v>
      </c>
      <c r="AA382" s="2"/>
      <c r="AB382">
        <v>14</v>
      </c>
      <c r="AC382" s="55">
        <f t="shared" si="51"/>
        <v>0</v>
      </c>
      <c r="AD382" s="57">
        <v>309.44138863753989</v>
      </c>
      <c r="AE382" s="55">
        <v>608.87893199999996</v>
      </c>
      <c r="AF382" s="55">
        <v>0</v>
      </c>
      <c r="AG382" s="52"/>
      <c r="AH382" s="51">
        <v>9.0485633235046756E-2</v>
      </c>
      <c r="AI382" s="52">
        <v>9.1972306901891634E-2</v>
      </c>
      <c r="AJ382" s="52"/>
      <c r="AK382" s="28">
        <v>2</v>
      </c>
      <c r="AL382" s="28">
        <v>2.545454545454545</v>
      </c>
      <c r="AM382" s="28">
        <v>0.54545454545454541</v>
      </c>
      <c r="AN382" s="28">
        <v>2.545454545454545</v>
      </c>
      <c r="AO382" s="28">
        <v>0.26190476190476192</v>
      </c>
      <c r="AP382" s="28">
        <v>0.33333333333333331</v>
      </c>
      <c r="AQ382" s="28">
        <v>7.1428571428571425E-2</v>
      </c>
      <c r="AR382" s="28">
        <v>0.33333333333333331</v>
      </c>
      <c r="AS382" s="25">
        <v>0.95</v>
      </c>
      <c r="AT382" s="25">
        <v>3.44</v>
      </c>
      <c r="AU382" s="25">
        <v>2.4900000000000002</v>
      </c>
      <c r="AV382" s="25">
        <v>2.6345454545454539</v>
      </c>
      <c r="AW382">
        <v>2.6345454545454552</v>
      </c>
      <c r="AX382">
        <v>6.036062318181818</v>
      </c>
      <c r="AY382" s="75">
        <v>0.52932707238284982</v>
      </c>
      <c r="AZ382" s="75">
        <v>0.53802388525275069</v>
      </c>
      <c r="BA382" s="75"/>
      <c r="BC382">
        <v>4.5242816617523378E-2</v>
      </c>
      <c r="BD382">
        <v>4.5986153450945817E-2</v>
      </c>
      <c r="BF382">
        <v>9.1228970068469195E-2</v>
      </c>
      <c r="BG382">
        <v>4.5614485034234598E-2</v>
      </c>
      <c r="BH382">
        <v>0.5336754788178002</v>
      </c>
      <c r="BS382" s="79" t="s">
        <v>464</v>
      </c>
      <c r="BT382" s="79" t="s">
        <v>464</v>
      </c>
      <c r="CA382" t="e">
        <f t="shared" si="48"/>
        <v>#NUM!</v>
      </c>
    </row>
    <row r="383" spans="1:79" x14ac:dyDescent="0.3">
      <c r="A383" s="2" t="s">
        <v>185</v>
      </c>
      <c r="B383" s="13" t="s">
        <v>729</v>
      </c>
      <c r="C383" s="13"/>
      <c r="D383" s="2">
        <v>2.2999999999999998</v>
      </c>
      <c r="E383" s="2" t="s">
        <v>223</v>
      </c>
      <c r="F383" s="9" t="s">
        <v>556</v>
      </c>
      <c r="G383" t="s">
        <v>633</v>
      </c>
      <c r="I383" s="2"/>
      <c r="J383" s="25">
        <v>2</v>
      </c>
      <c r="K383">
        <v>4</v>
      </c>
      <c r="L383">
        <v>0</v>
      </c>
      <c r="M383" s="2"/>
      <c r="N383" s="2"/>
      <c r="O383" s="2"/>
      <c r="P383" s="2"/>
      <c r="Q383" s="2"/>
      <c r="R383" s="25">
        <v>13.81974189</v>
      </c>
      <c r="S383" s="25">
        <v>13.81974189</v>
      </c>
      <c r="T383" s="25">
        <v>5.7110870199999999</v>
      </c>
      <c r="U383">
        <v>3.94</v>
      </c>
      <c r="V383">
        <v>27.15</v>
      </c>
      <c r="W383">
        <v>5.6920000000000002</v>
      </c>
      <c r="X383">
        <v>0</v>
      </c>
      <c r="AA383" s="2"/>
      <c r="AB383">
        <v>14</v>
      </c>
      <c r="AC383" s="55">
        <f t="shared" si="51"/>
        <v>0</v>
      </c>
      <c r="AD383" s="57">
        <v>309.44138863753989</v>
      </c>
      <c r="AE383" s="55">
        <v>608.87893199999996</v>
      </c>
      <c r="AF383" s="55">
        <v>0</v>
      </c>
      <c r="AG383" s="52"/>
      <c r="AH383" s="51">
        <v>9.0485633235046756E-2</v>
      </c>
      <c r="AI383" s="52">
        <v>9.1972306901891634E-2</v>
      </c>
      <c r="AJ383" s="52"/>
      <c r="AK383" s="28">
        <v>2</v>
      </c>
      <c r="AL383" s="28">
        <v>2.545454545454545</v>
      </c>
      <c r="AM383" s="28">
        <v>0.54545454545454541</v>
      </c>
      <c r="AN383" s="28">
        <v>2.545454545454545</v>
      </c>
      <c r="AO383" s="28">
        <v>0.26190476190476192</v>
      </c>
      <c r="AP383" s="28">
        <v>0.33333333333333331</v>
      </c>
      <c r="AQ383" s="28">
        <v>7.1428571428571425E-2</v>
      </c>
      <c r="AR383" s="28">
        <v>0.33333333333333331</v>
      </c>
      <c r="AS383" s="25">
        <v>0.95</v>
      </c>
      <c r="AT383" s="25">
        <v>3.44</v>
      </c>
      <c r="AU383" s="25">
        <v>2.4900000000000002</v>
      </c>
      <c r="AV383" s="25">
        <v>2.6345454545454539</v>
      </c>
      <c r="AW383">
        <v>2.6345454545454552</v>
      </c>
      <c r="AX383">
        <v>6.036062318181818</v>
      </c>
      <c r="AY383" s="75">
        <v>0.52932707238284982</v>
      </c>
      <c r="AZ383" s="75">
        <v>0.53802388525275069</v>
      </c>
      <c r="BA383" s="75"/>
      <c r="BC383">
        <v>4.5242816617523378E-2</v>
      </c>
      <c r="BD383">
        <v>4.5986153450945817E-2</v>
      </c>
      <c r="BF383">
        <v>9.1228970068469195E-2</v>
      </c>
      <c r="BG383">
        <v>4.5614485034234598E-2</v>
      </c>
      <c r="BH383">
        <v>0.5336754788178002</v>
      </c>
      <c r="BN383" s="79" t="s">
        <v>676</v>
      </c>
      <c r="BO383" s="79">
        <v>0.90500000000000003</v>
      </c>
      <c r="BS383" s="79" t="s">
        <v>464</v>
      </c>
      <c r="BT383" s="79" t="s">
        <v>464</v>
      </c>
      <c r="CA383" t="e">
        <f t="shared" si="48"/>
        <v>#NUM!</v>
      </c>
    </row>
    <row r="384" spans="1:79" x14ac:dyDescent="0.3">
      <c r="A384" s="2" t="s">
        <v>46</v>
      </c>
      <c r="B384" s="13" t="s">
        <v>722</v>
      </c>
      <c r="C384" s="13"/>
      <c r="D384" s="2">
        <v>3.82</v>
      </c>
      <c r="E384" s="2" t="s">
        <v>224</v>
      </c>
      <c r="F384" s="9" t="s">
        <v>551</v>
      </c>
      <c r="G384" t="s">
        <v>629</v>
      </c>
      <c r="I384" s="2"/>
      <c r="J384" s="25">
        <v>2</v>
      </c>
      <c r="K384">
        <v>4</v>
      </c>
      <c r="L384">
        <v>0</v>
      </c>
      <c r="M384" s="2"/>
      <c r="N384" s="2"/>
      <c r="O384" s="2"/>
      <c r="P384" s="2"/>
      <c r="Q384" s="2"/>
      <c r="R384" s="25">
        <v>7.41544296</v>
      </c>
      <c r="S384" s="25">
        <v>7.4154429599999991</v>
      </c>
      <c r="T384" s="25">
        <v>7.41544296</v>
      </c>
      <c r="U384">
        <v>7.8</v>
      </c>
      <c r="V384">
        <v>13.010999999999999</v>
      </c>
      <c r="W384">
        <v>5.5460000000000003</v>
      </c>
      <c r="X384">
        <v>0</v>
      </c>
      <c r="AA384" s="2"/>
      <c r="AB384">
        <v>14</v>
      </c>
      <c r="AC384" s="55">
        <f t="shared" si="51"/>
        <v>0</v>
      </c>
      <c r="AD384" s="57">
        <v>288.33429290182369</v>
      </c>
      <c r="AE384" s="55">
        <v>556.51188553357167</v>
      </c>
      <c r="AF384" s="55">
        <v>0</v>
      </c>
      <c r="AG384" s="52"/>
      <c r="AH384" s="51">
        <v>9.7109503410799117E-2</v>
      </c>
      <c r="AI384" s="52">
        <v>0.10062678166578309</v>
      </c>
      <c r="AJ384" s="52"/>
      <c r="AK384" s="28">
        <v>2</v>
      </c>
      <c r="AL384" s="28">
        <v>2.545454545454545</v>
      </c>
      <c r="AM384" s="28">
        <v>0.54545454545454541</v>
      </c>
      <c r="AN384" s="28">
        <v>0</v>
      </c>
      <c r="AO384" s="28">
        <v>0.39285714285714279</v>
      </c>
      <c r="AP384" s="28">
        <v>0.5</v>
      </c>
      <c r="AQ384" s="28">
        <v>0.1071428571428571</v>
      </c>
      <c r="AR384" s="28">
        <v>0</v>
      </c>
      <c r="AS384" s="25">
        <v>1.1000000000000001</v>
      </c>
      <c r="AT384" s="25">
        <v>3.44</v>
      </c>
      <c r="AU384" s="25">
        <v>2.34</v>
      </c>
      <c r="AV384" s="25">
        <v>2.669090909090909</v>
      </c>
      <c r="AW384">
        <v>2.669090909090909</v>
      </c>
      <c r="AX384">
        <v>5.9831974772727277</v>
      </c>
      <c r="AY384" s="75">
        <v>0.52442413903612473</v>
      </c>
      <c r="AZ384" s="75">
        <v>0.54341863036636606</v>
      </c>
      <c r="BA384" s="75"/>
      <c r="BC384">
        <v>4.8554751705399558E-2</v>
      </c>
      <c r="BD384">
        <v>5.0313390832891547E-2</v>
      </c>
      <c r="BF384">
        <v>9.8868142538291098E-2</v>
      </c>
      <c r="BG384">
        <v>4.9434071269145549E-2</v>
      </c>
      <c r="BH384">
        <v>0.53392138470124539</v>
      </c>
      <c r="BS384" s="79" t="s">
        <v>464</v>
      </c>
      <c r="BT384" s="79" t="s">
        <v>464</v>
      </c>
      <c r="CA384" t="e">
        <f t="shared" si="48"/>
        <v>#NUM!</v>
      </c>
    </row>
    <row r="385" spans="1:79" x14ac:dyDescent="0.3">
      <c r="A385" s="2" t="s">
        <v>46</v>
      </c>
      <c r="B385" s="13" t="s">
        <v>722</v>
      </c>
      <c r="C385" s="13"/>
      <c r="D385" s="2">
        <v>3.82</v>
      </c>
      <c r="E385" s="2" t="s">
        <v>225</v>
      </c>
      <c r="F385" s="9" t="s">
        <v>551</v>
      </c>
      <c r="G385" t="s">
        <v>629</v>
      </c>
      <c r="I385" s="2"/>
      <c r="J385" s="25">
        <v>2</v>
      </c>
      <c r="K385">
        <v>4</v>
      </c>
      <c r="L385">
        <v>0</v>
      </c>
      <c r="M385" s="2"/>
      <c r="N385" s="2"/>
      <c r="O385" s="2"/>
      <c r="P385" s="2"/>
      <c r="Q385" s="2"/>
      <c r="R385" s="25">
        <v>7.41544296</v>
      </c>
      <c r="S385" s="25">
        <v>7.4154429599999991</v>
      </c>
      <c r="T385" s="25">
        <v>7.41544296</v>
      </c>
      <c r="U385">
        <v>7.8</v>
      </c>
      <c r="V385">
        <v>13.010999999999999</v>
      </c>
      <c r="W385">
        <v>5.5460000000000003</v>
      </c>
      <c r="X385">
        <v>0</v>
      </c>
      <c r="AA385" s="2"/>
      <c r="AB385">
        <v>14</v>
      </c>
      <c r="AC385" s="55">
        <f t="shared" si="51"/>
        <v>0</v>
      </c>
      <c r="AD385" s="57">
        <v>288.33429290182369</v>
      </c>
      <c r="AE385" s="55">
        <v>556.51188553357167</v>
      </c>
      <c r="AF385" s="55">
        <v>0</v>
      </c>
      <c r="AG385" s="52"/>
      <c r="AH385" s="51">
        <v>9.7109503410799117E-2</v>
      </c>
      <c r="AI385" s="52">
        <v>0.10062678166578309</v>
      </c>
      <c r="AJ385" s="52"/>
      <c r="AK385" s="28">
        <v>2</v>
      </c>
      <c r="AL385" s="28">
        <v>2.545454545454545</v>
      </c>
      <c r="AM385" s="28">
        <v>0.54545454545454541</v>
      </c>
      <c r="AN385" s="28">
        <v>0</v>
      </c>
      <c r="AO385" s="28">
        <v>0.39285714285714279</v>
      </c>
      <c r="AP385" s="28">
        <v>0.5</v>
      </c>
      <c r="AQ385" s="28">
        <v>0.1071428571428571</v>
      </c>
      <c r="AR385" s="28">
        <v>0</v>
      </c>
      <c r="AS385" s="25">
        <v>1.1000000000000001</v>
      </c>
      <c r="AT385" s="25">
        <v>3.44</v>
      </c>
      <c r="AU385" s="25">
        <v>2.34</v>
      </c>
      <c r="AV385" s="25">
        <v>2.669090909090909</v>
      </c>
      <c r="AW385">
        <v>2.669090909090909</v>
      </c>
      <c r="AX385">
        <v>5.9831974772727277</v>
      </c>
      <c r="AY385" s="75">
        <v>0.52442413903612473</v>
      </c>
      <c r="AZ385" s="75">
        <v>0.54341863036636606</v>
      </c>
      <c r="BA385" s="75"/>
      <c r="BC385">
        <v>4.8554751705399558E-2</v>
      </c>
      <c r="BD385">
        <v>5.0313390832891547E-2</v>
      </c>
      <c r="BF385">
        <v>9.8868142538291098E-2</v>
      </c>
      <c r="BG385">
        <v>4.9434071269145549E-2</v>
      </c>
      <c r="BH385">
        <v>0.53392138470124539</v>
      </c>
      <c r="BS385" s="79" t="s">
        <v>464</v>
      </c>
      <c r="BT385" s="79" t="s">
        <v>464</v>
      </c>
      <c r="CA385" t="e">
        <f t="shared" si="48"/>
        <v>#NUM!</v>
      </c>
    </row>
    <row r="386" spans="1:79" x14ac:dyDescent="0.3">
      <c r="A386" s="2" t="s">
        <v>226</v>
      </c>
      <c r="B386" s="37" t="s">
        <v>938</v>
      </c>
      <c r="C386" s="13"/>
      <c r="D386" s="2">
        <v>2.6</v>
      </c>
      <c r="E386" s="2" t="s">
        <v>225</v>
      </c>
      <c r="F386" s="32" t="s">
        <v>551</v>
      </c>
      <c r="G386" s="1" t="s">
        <v>629</v>
      </c>
      <c r="I386" s="2"/>
      <c r="J386" s="25">
        <v>0</v>
      </c>
      <c r="K386">
        <v>4</v>
      </c>
      <c r="L386">
        <v>0</v>
      </c>
      <c r="M386" s="2">
        <v>-1</v>
      </c>
      <c r="N386" s="2"/>
      <c r="O386" s="2"/>
      <c r="P386" s="2"/>
      <c r="Q386" s="2"/>
      <c r="R386" s="25">
        <v>0</v>
      </c>
      <c r="S386" s="25"/>
      <c r="T386" s="25"/>
      <c r="U386">
        <v>7.8</v>
      </c>
      <c r="V386">
        <v>13.010999999999999</v>
      </c>
      <c r="W386">
        <v>5.5460000000000003</v>
      </c>
      <c r="X386">
        <v>0</v>
      </c>
      <c r="AA386" s="2"/>
      <c r="AB386">
        <v>14</v>
      </c>
      <c r="AC386" s="55">
        <f t="shared" si="51"/>
        <v>0</v>
      </c>
      <c r="AD386" s="57">
        <v>0</v>
      </c>
      <c r="AE386" s="55">
        <v>556.51188553357167</v>
      </c>
      <c r="AF386" s="55">
        <v>0</v>
      </c>
      <c r="AG386" s="52"/>
      <c r="AH386" s="51"/>
      <c r="AI386" s="52">
        <v>0.10062678166578309</v>
      </c>
      <c r="AJ386" s="52"/>
      <c r="AK386" s="28">
        <v>2</v>
      </c>
      <c r="AL386" s="28">
        <v>2.545454545454545</v>
      </c>
      <c r="AM386" s="28">
        <v>0.55454545454545456</v>
      </c>
      <c r="AN386" s="28">
        <v>0</v>
      </c>
      <c r="AO386" s="28">
        <v>0.39215686274509798</v>
      </c>
      <c r="AP386" s="28">
        <v>0.49910873440285197</v>
      </c>
      <c r="AQ386" s="28">
        <v>0.1087344028520499</v>
      </c>
      <c r="AR386" s="28">
        <v>0</v>
      </c>
      <c r="AS386" s="25">
        <v>1.1000000000000001</v>
      </c>
      <c r="AT386" s="25">
        <v>3.44</v>
      </c>
      <c r="AU386" s="25">
        <v>2.34</v>
      </c>
      <c r="AV386" s="25">
        <v>2.670418181818182</v>
      </c>
      <c r="AW386">
        <v>2.670418181818182</v>
      </c>
      <c r="AX386">
        <v>5.9849440756727272</v>
      </c>
      <c r="AY386" s="75">
        <v>0.52442413903612473</v>
      </c>
      <c r="AZ386" s="75">
        <v>0.54341863036636606</v>
      </c>
      <c r="BA386" s="75"/>
      <c r="BD386">
        <v>5.0313390832891547E-2</v>
      </c>
      <c r="BF386">
        <v>0.10062678166578309</v>
      </c>
      <c r="BG386">
        <v>5.0313390832891547E-2</v>
      </c>
      <c r="BH386">
        <v>0.53392138470124539</v>
      </c>
      <c r="BS386" s="79" t="s">
        <v>464</v>
      </c>
      <c r="BT386" s="79" t="s">
        <v>464</v>
      </c>
      <c r="CA386" t="e">
        <f t="shared" si="48"/>
        <v>#NUM!</v>
      </c>
    </row>
    <row r="387" spans="1:79" x14ac:dyDescent="0.3">
      <c r="A387" s="2" t="s">
        <v>227</v>
      </c>
      <c r="B387" s="17" t="s">
        <v>939</v>
      </c>
      <c r="C387" s="13"/>
      <c r="D387" s="2">
        <v>2.2000000000000002</v>
      </c>
      <c r="E387" s="2" t="s">
        <v>225</v>
      </c>
      <c r="F387" s="32" t="s">
        <v>551</v>
      </c>
      <c r="G387" s="1" t="s">
        <v>629</v>
      </c>
      <c r="I387" s="2"/>
      <c r="J387" s="25">
        <v>0</v>
      </c>
      <c r="K387">
        <v>4</v>
      </c>
      <c r="L387">
        <v>0</v>
      </c>
      <c r="M387" s="2">
        <v>-1</v>
      </c>
      <c r="N387" s="2"/>
      <c r="O387" s="2"/>
      <c r="P387" s="2"/>
      <c r="Q387" s="2"/>
      <c r="R387" s="25">
        <v>0</v>
      </c>
      <c r="S387" s="25"/>
      <c r="T387" s="25"/>
      <c r="U387">
        <v>7.8</v>
      </c>
      <c r="V387">
        <v>13.010999999999999</v>
      </c>
      <c r="W387">
        <v>5.5460000000000003</v>
      </c>
      <c r="X387">
        <v>0</v>
      </c>
      <c r="AA387" s="2"/>
      <c r="AB387">
        <v>14</v>
      </c>
      <c r="AC387" s="55">
        <f t="shared" si="51"/>
        <v>0</v>
      </c>
      <c r="AD387" s="57">
        <v>0</v>
      </c>
      <c r="AE387" s="55">
        <v>556.51188553357167</v>
      </c>
      <c r="AF387" s="55">
        <v>0</v>
      </c>
      <c r="AG387" s="52"/>
      <c r="AH387" s="51"/>
      <c r="AI387" s="52">
        <v>0.10062678166578309</v>
      </c>
      <c r="AJ387" s="52"/>
      <c r="AK387" s="28">
        <v>1.9981818181818181</v>
      </c>
      <c r="AL387" s="28">
        <v>2.545454545454545</v>
      </c>
      <c r="AM387" s="28">
        <v>0.55272727272727273</v>
      </c>
      <c r="AN387" s="28">
        <v>0</v>
      </c>
      <c r="AO387" s="28">
        <v>0.39207991437745271</v>
      </c>
      <c r="AP387" s="28">
        <v>0.49946485907955762</v>
      </c>
      <c r="AQ387" s="28">
        <v>0.1084552265429897</v>
      </c>
      <c r="AR387" s="28">
        <v>0</v>
      </c>
      <c r="AS387" s="25">
        <v>1.1000000000000001</v>
      </c>
      <c r="AT387" s="25">
        <v>3.44</v>
      </c>
      <c r="AU387" s="25">
        <v>2.34</v>
      </c>
      <c r="AV387" s="25">
        <v>2.670109090909091</v>
      </c>
      <c r="AW387">
        <v>2.670109090909091</v>
      </c>
      <c r="AX387">
        <v>5.9843864818181816</v>
      </c>
      <c r="AY387" s="75">
        <v>0.52442413903612473</v>
      </c>
      <c r="AZ387" s="75">
        <v>0.54341863036636606</v>
      </c>
      <c r="BA387" s="75"/>
      <c r="BD387">
        <v>5.0313390832891547E-2</v>
      </c>
      <c r="BF387">
        <v>0.10062678166578309</v>
      </c>
      <c r="BG387">
        <v>5.0313390832891547E-2</v>
      </c>
      <c r="BH387">
        <v>0.53392138470124539</v>
      </c>
      <c r="BS387" s="79" t="s">
        <v>464</v>
      </c>
      <c r="BT387" s="79" t="s">
        <v>464</v>
      </c>
      <c r="CA387" t="e">
        <f t="shared" ref="CA387:CA450" si="53">LN(BZ387)</f>
        <v>#NUM!</v>
      </c>
    </row>
    <row r="388" spans="1:79" x14ac:dyDescent="0.3">
      <c r="A388" s="2" t="s">
        <v>49</v>
      </c>
      <c r="B388" s="13" t="s">
        <v>725</v>
      </c>
      <c r="C388" s="13"/>
      <c r="D388" s="2">
        <v>4</v>
      </c>
      <c r="E388" s="2" t="s">
        <v>228</v>
      </c>
      <c r="F388" s="9" t="s">
        <v>553</v>
      </c>
      <c r="G388" t="s">
        <v>631</v>
      </c>
      <c r="I388" s="2"/>
      <c r="J388" s="25">
        <v>8</v>
      </c>
      <c r="K388">
        <v>8</v>
      </c>
      <c r="L388">
        <v>0</v>
      </c>
      <c r="M388" s="2"/>
      <c r="N388" s="2"/>
      <c r="O388" s="2"/>
      <c r="P388" s="2"/>
      <c r="Q388" s="2"/>
      <c r="R388" s="25">
        <v>5.8017180100000001</v>
      </c>
      <c r="S388" s="25">
        <v>7.9756520899999996</v>
      </c>
      <c r="T388" s="25">
        <v>27.352093400000001</v>
      </c>
      <c r="U388">
        <v>26.646989999999999</v>
      </c>
      <c r="V388">
        <v>7.9359999999999999</v>
      </c>
      <c r="W388">
        <v>5.7050000000000001</v>
      </c>
      <c r="X388">
        <v>0</v>
      </c>
      <c r="AA388" s="2"/>
      <c r="AB388">
        <v>14</v>
      </c>
      <c r="AC388" s="55">
        <f t="shared" si="51"/>
        <v>0</v>
      </c>
      <c r="AD388" s="57">
        <v>1265.6493143942739</v>
      </c>
      <c r="AE388" s="55">
        <v>1206.4392746112001</v>
      </c>
      <c r="AF388" s="55">
        <v>0</v>
      </c>
      <c r="AG388" s="52"/>
      <c r="AH388" s="51">
        <v>8.8492127105210025E-2</v>
      </c>
      <c r="AI388" s="52">
        <v>9.2835174017436004E-2</v>
      </c>
      <c r="AJ388" s="52"/>
      <c r="AK388" s="28">
        <v>1.8181818181818179</v>
      </c>
      <c r="AL388" s="28">
        <v>2.545454545454545</v>
      </c>
      <c r="AM388" s="28">
        <v>0.72727272727272729</v>
      </c>
      <c r="AN388" s="28">
        <v>0</v>
      </c>
      <c r="AO388" s="28">
        <v>0.35714285714285721</v>
      </c>
      <c r="AP388" s="28">
        <v>0.5</v>
      </c>
      <c r="AQ388" s="28">
        <v>0.1428571428571429</v>
      </c>
      <c r="AR388" s="28">
        <v>0</v>
      </c>
      <c r="AS388" s="25">
        <v>0.95</v>
      </c>
      <c r="AT388" s="25">
        <v>3.44</v>
      </c>
      <c r="AU388" s="25">
        <v>2.4900000000000002</v>
      </c>
      <c r="AV388" s="25">
        <v>2.6527272727272719</v>
      </c>
      <c r="AW388">
        <v>2.6527272727272728</v>
      </c>
      <c r="AX388">
        <v>6.0182046818181814</v>
      </c>
      <c r="AY388" s="75">
        <v>0.5176653673612065</v>
      </c>
      <c r="AZ388" s="75">
        <v>0.54307152550012683</v>
      </c>
      <c r="BA388" s="75"/>
      <c r="BC388">
        <v>4.4246063552605013E-2</v>
      </c>
      <c r="BD388">
        <v>4.6417587008717988E-2</v>
      </c>
      <c r="BF388">
        <v>9.0663650561323014E-2</v>
      </c>
      <c r="BG388">
        <v>4.53318252806615E-2</v>
      </c>
      <c r="BH388">
        <v>0.53036844643066661</v>
      </c>
      <c r="BS388" s="79" t="s">
        <v>464</v>
      </c>
      <c r="BT388" s="79" t="s">
        <v>464</v>
      </c>
      <c r="CA388" t="e">
        <f t="shared" si="53"/>
        <v>#NUM!</v>
      </c>
    </row>
    <row r="389" spans="1:79" x14ac:dyDescent="0.3">
      <c r="A389" s="2" t="s">
        <v>46</v>
      </c>
      <c r="B389" s="13" t="s">
        <v>722</v>
      </c>
      <c r="C389" s="13"/>
      <c r="D389" s="2">
        <v>3.9</v>
      </c>
      <c r="E389" s="2" t="s">
        <v>229</v>
      </c>
      <c r="F389" s="12" t="s">
        <v>551</v>
      </c>
      <c r="G389" t="s">
        <v>629</v>
      </c>
      <c r="I389" s="2"/>
      <c r="J389" s="25">
        <v>2</v>
      </c>
      <c r="K389">
        <v>4</v>
      </c>
      <c r="L389">
        <v>0</v>
      </c>
      <c r="M389" s="2"/>
      <c r="N389" s="2"/>
      <c r="O389" s="2"/>
      <c r="P389" s="2"/>
      <c r="Q389" s="2"/>
      <c r="R389" s="25">
        <v>7.41544296</v>
      </c>
      <c r="S389" s="25">
        <v>7.4154429599999991</v>
      </c>
      <c r="T389" s="25">
        <v>7.41544296</v>
      </c>
      <c r="U389">
        <v>7.8</v>
      </c>
      <c r="V389">
        <v>13.010999999999999</v>
      </c>
      <c r="W389">
        <v>5.5460000000000003</v>
      </c>
      <c r="X389">
        <v>0</v>
      </c>
      <c r="AA389" s="2"/>
      <c r="AB389">
        <v>14</v>
      </c>
      <c r="AC389" s="55">
        <f t="shared" si="51"/>
        <v>0</v>
      </c>
      <c r="AD389" s="57">
        <v>288.33429290182369</v>
      </c>
      <c r="AE389" s="55">
        <v>556.51188553357167</v>
      </c>
      <c r="AF389" s="55">
        <v>0</v>
      </c>
      <c r="AG389" s="52"/>
      <c r="AH389" s="51">
        <v>9.7109503410799117E-2</v>
      </c>
      <c r="AI389" s="52">
        <v>0.10062678166578309</v>
      </c>
      <c r="AJ389" s="52"/>
      <c r="AK389" s="28">
        <v>2</v>
      </c>
      <c r="AL389" s="28">
        <v>2.545454545454545</v>
      </c>
      <c r="AM389" s="28">
        <v>0.54545454545454541</v>
      </c>
      <c r="AN389" s="28">
        <v>0</v>
      </c>
      <c r="AO389" s="28">
        <v>0.39285714285714279</v>
      </c>
      <c r="AP389" s="28">
        <v>0.5</v>
      </c>
      <c r="AQ389" s="28">
        <v>0.1071428571428571</v>
      </c>
      <c r="AR389" s="28">
        <v>0</v>
      </c>
      <c r="AS389" s="25">
        <v>1.1000000000000001</v>
      </c>
      <c r="AT389" s="25">
        <v>3.44</v>
      </c>
      <c r="AU389" s="25">
        <v>2.34</v>
      </c>
      <c r="AV389" s="25">
        <v>2.669090909090909</v>
      </c>
      <c r="AW389">
        <v>2.669090909090909</v>
      </c>
      <c r="AX389">
        <v>5.9831974772727277</v>
      </c>
      <c r="AY389" s="75">
        <v>0.52442413903612473</v>
      </c>
      <c r="AZ389" s="75">
        <v>0.54341863036636606</v>
      </c>
      <c r="BA389" s="75"/>
      <c r="BC389">
        <v>4.8554751705399558E-2</v>
      </c>
      <c r="BD389">
        <v>5.0313390832891547E-2</v>
      </c>
      <c r="BF389">
        <v>9.8868142538291098E-2</v>
      </c>
      <c r="BG389">
        <v>4.9434071269145549E-2</v>
      </c>
      <c r="BH389">
        <v>0.53392138470124539</v>
      </c>
      <c r="BS389" s="79" t="s">
        <v>464</v>
      </c>
      <c r="BT389" s="79" t="s">
        <v>464</v>
      </c>
      <c r="CA389" t="e">
        <f t="shared" si="53"/>
        <v>#NUM!</v>
      </c>
    </row>
    <row r="390" spans="1:79" x14ac:dyDescent="0.3">
      <c r="A390" s="2" t="s">
        <v>46</v>
      </c>
      <c r="B390" s="13" t="s">
        <v>722</v>
      </c>
      <c r="C390" s="13"/>
      <c r="D390" s="2">
        <v>3.78</v>
      </c>
      <c r="E390" s="2" t="s">
        <v>229</v>
      </c>
      <c r="F390" s="12" t="s">
        <v>551</v>
      </c>
      <c r="G390" t="s">
        <v>629</v>
      </c>
      <c r="I390" s="2"/>
      <c r="J390" s="25">
        <v>2</v>
      </c>
      <c r="K390">
        <v>4</v>
      </c>
      <c r="L390">
        <v>0</v>
      </c>
      <c r="M390" s="2"/>
      <c r="N390" s="2"/>
      <c r="O390" s="2"/>
      <c r="P390" s="2"/>
      <c r="Q390" s="2"/>
      <c r="R390" s="25">
        <v>7.41544296</v>
      </c>
      <c r="S390" s="25">
        <v>7.4154429599999991</v>
      </c>
      <c r="T390" s="25">
        <v>7.41544296</v>
      </c>
      <c r="U390">
        <v>7.8</v>
      </c>
      <c r="V390">
        <v>13.010999999999999</v>
      </c>
      <c r="W390">
        <v>5.5460000000000003</v>
      </c>
      <c r="X390">
        <v>0</v>
      </c>
      <c r="AA390" s="2"/>
      <c r="AB390">
        <v>14</v>
      </c>
      <c r="AC390" s="55">
        <f t="shared" si="51"/>
        <v>0</v>
      </c>
      <c r="AD390" s="57">
        <v>288.33429290182369</v>
      </c>
      <c r="AE390" s="55">
        <v>556.51188553357167</v>
      </c>
      <c r="AF390" s="55">
        <v>0</v>
      </c>
      <c r="AG390" s="52"/>
      <c r="AH390" s="51">
        <v>9.7109503410799117E-2</v>
      </c>
      <c r="AI390" s="52">
        <v>0.10062678166578309</v>
      </c>
      <c r="AJ390" s="52"/>
      <c r="AK390" s="28">
        <v>2</v>
      </c>
      <c r="AL390" s="28">
        <v>2.545454545454545</v>
      </c>
      <c r="AM390" s="28">
        <v>0.54545454545454541</v>
      </c>
      <c r="AN390" s="28">
        <v>0</v>
      </c>
      <c r="AO390" s="28">
        <v>0.39285714285714279</v>
      </c>
      <c r="AP390" s="28">
        <v>0.5</v>
      </c>
      <c r="AQ390" s="28">
        <v>0.1071428571428571</v>
      </c>
      <c r="AR390" s="28">
        <v>0</v>
      </c>
      <c r="AS390" s="25">
        <v>1.1000000000000001</v>
      </c>
      <c r="AT390" s="25">
        <v>3.44</v>
      </c>
      <c r="AU390" s="25">
        <v>2.34</v>
      </c>
      <c r="AV390" s="25">
        <v>2.669090909090909</v>
      </c>
      <c r="AW390">
        <v>2.669090909090909</v>
      </c>
      <c r="AX390">
        <v>5.9831974772727277</v>
      </c>
      <c r="AY390" s="75">
        <v>0.52442413903612473</v>
      </c>
      <c r="AZ390" s="75">
        <v>0.54341863036636606</v>
      </c>
      <c r="BA390" s="75"/>
      <c r="BC390">
        <v>4.8554751705399558E-2</v>
      </c>
      <c r="BD390">
        <v>5.0313390832891547E-2</v>
      </c>
      <c r="BF390">
        <v>9.8868142538291098E-2</v>
      </c>
      <c r="BG390">
        <v>4.9434071269145549E-2</v>
      </c>
      <c r="BH390">
        <v>0.53392138470124539</v>
      </c>
      <c r="BN390" s="79" t="s">
        <v>890</v>
      </c>
      <c r="BO390" s="79">
        <v>0.42</v>
      </c>
      <c r="BS390" s="79" t="s">
        <v>464</v>
      </c>
      <c r="BT390" s="79" t="s">
        <v>464</v>
      </c>
      <c r="CA390" t="e">
        <f t="shared" si="53"/>
        <v>#NUM!</v>
      </c>
    </row>
    <row r="391" spans="1:79" x14ac:dyDescent="0.3">
      <c r="A391" s="2" t="s">
        <v>44</v>
      </c>
      <c r="B391" s="13" t="s">
        <v>720</v>
      </c>
      <c r="C391" s="13"/>
      <c r="D391" s="2">
        <v>3.5</v>
      </c>
      <c r="E391" s="7" t="s">
        <v>230</v>
      </c>
      <c r="F391" s="12" t="s">
        <v>549</v>
      </c>
      <c r="G391">
        <v>-1</v>
      </c>
      <c r="I391" s="7"/>
      <c r="J391" s="25">
        <v>1</v>
      </c>
      <c r="K391">
        <v>0</v>
      </c>
      <c r="L391">
        <v>0</v>
      </c>
      <c r="M391" s="2"/>
      <c r="N391" s="2"/>
      <c r="O391" s="2"/>
      <c r="P391" s="2"/>
      <c r="Q391" s="2"/>
      <c r="R391" s="25">
        <v>15.28115725</v>
      </c>
      <c r="S391" s="25">
        <v>15.28115725</v>
      </c>
      <c r="T391" s="25">
        <v>15.28115725</v>
      </c>
      <c r="U391">
        <v>0</v>
      </c>
      <c r="X391">
        <v>0</v>
      </c>
      <c r="AA391" s="2"/>
      <c r="AB391">
        <v>20</v>
      </c>
      <c r="AC391" s="55">
        <f t="shared" si="51"/>
        <v>0</v>
      </c>
      <c r="AD391" s="57">
        <v>229.90248606119221</v>
      </c>
      <c r="AE391" s="55">
        <v>0</v>
      </c>
      <c r="AF391" s="55">
        <v>0</v>
      </c>
      <c r="AG391" s="52"/>
      <c r="AH391" s="51">
        <v>8.6993404650164072E-2</v>
      </c>
      <c r="AI391" s="52"/>
      <c r="AJ391" s="52"/>
      <c r="AK391" s="28">
        <v>1.882352941176471</v>
      </c>
      <c r="AL391" s="28">
        <v>2.3529411764705879</v>
      </c>
      <c r="AM391" s="28">
        <v>0.47058823529411759</v>
      </c>
      <c r="AN391" s="28">
        <v>0</v>
      </c>
      <c r="AO391" s="28">
        <v>0.4</v>
      </c>
      <c r="AP391" s="28">
        <v>0.5</v>
      </c>
      <c r="AQ391" s="28">
        <v>9.9999999999999992E-2</v>
      </c>
      <c r="AR391" s="28">
        <v>0</v>
      </c>
      <c r="AS391" s="25">
        <v>0.82</v>
      </c>
      <c r="AT391" s="25">
        <v>3.44</v>
      </c>
      <c r="AU391" s="25">
        <v>2.62</v>
      </c>
      <c r="AV391" s="25">
        <v>2.5211764705882351</v>
      </c>
      <c r="AW391">
        <v>2.521176470588236</v>
      </c>
      <c r="AX391">
        <v>5.6898745917647062</v>
      </c>
      <c r="AY391" s="75">
        <v>0.57369840599679445</v>
      </c>
      <c r="AZ391" s="75"/>
      <c r="BA391" s="75"/>
      <c r="BC391">
        <v>4.3496702325082043E-2</v>
      </c>
      <c r="BF391">
        <v>8.6993404650164072E-2</v>
      </c>
      <c r="BG391">
        <v>4.3496702325082043E-2</v>
      </c>
      <c r="BH391">
        <v>0.57369840599679445</v>
      </c>
      <c r="BS391" s="79" t="s">
        <v>464</v>
      </c>
      <c r="BT391" s="79" t="s">
        <v>464</v>
      </c>
      <c r="CA391" t="e">
        <f t="shared" si="53"/>
        <v>#NUM!</v>
      </c>
    </row>
    <row r="392" spans="1:79" x14ac:dyDescent="0.3">
      <c r="A392" s="2" t="s">
        <v>44</v>
      </c>
      <c r="B392" s="13" t="s">
        <v>720</v>
      </c>
      <c r="C392" s="13"/>
      <c r="D392" s="2">
        <v>3.06</v>
      </c>
      <c r="E392" s="7" t="s">
        <v>230</v>
      </c>
      <c r="F392" s="12" t="s">
        <v>549</v>
      </c>
      <c r="G392">
        <v>-1</v>
      </c>
      <c r="I392" s="7"/>
      <c r="J392" s="25">
        <v>1</v>
      </c>
      <c r="K392">
        <v>0</v>
      </c>
      <c r="L392">
        <v>0</v>
      </c>
      <c r="M392" s="2"/>
      <c r="N392" s="2"/>
      <c r="O392" s="2"/>
      <c r="P392" s="2"/>
      <c r="Q392" s="2"/>
      <c r="R392" s="25">
        <v>15.28115725</v>
      </c>
      <c r="S392" s="25">
        <v>15.28115725</v>
      </c>
      <c r="T392" s="25">
        <v>15.28115725</v>
      </c>
      <c r="U392">
        <v>0</v>
      </c>
      <c r="X392">
        <v>0</v>
      </c>
      <c r="AA392" s="2"/>
      <c r="AB392">
        <v>20</v>
      </c>
      <c r="AC392" s="55">
        <f t="shared" si="51"/>
        <v>0</v>
      </c>
      <c r="AD392" s="57">
        <v>229.90248606119221</v>
      </c>
      <c r="AE392" s="55">
        <v>0</v>
      </c>
      <c r="AF392" s="55">
        <v>0</v>
      </c>
      <c r="AG392" s="52"/>
      <c r="AH392" s="51">
        <v>8.6993404650164072E-2</v>
      </c>
      <c r="AI392" s="52"/>
      <c r="AJ392" s="52"/>
      <c r="AK392" s="28">
        <v>1.882352941176471</v>
      </c>
      <c r="AL392" s="28">
        <v>2.3529411764705879</v>
      </c>
      <c r="AM392" s="28">
        <v>0.47058823529411759</v>
      </c>
      <c r="AN392" s="28">
        <v>0</v>
      </c>
      <c r="AO392" s="28">
        <v>0.4</v>
      </c>
      <c r="AP392" s="28">
        <v>0.5</v>
      </c>
      <c r="AQ392" s="28">
        <v>9.9999999999999992E-2</v>
      </c>
      <c r="AR392" s="28">
        <v>0</v>
      </c>
      <c r="AS392" s="25">
        <v>0.82</v>
      </c>
      <c r="AT392" s="25">
        <v>3.44</v>
      </c>
      <c r="AU392" s="25">
        <v>2.62</v>
      </c>
      <c r="AV392" s="25">
        <v>2.5211764705882351</v>
      </c>
      <c r="AW392">
        <v>2.521176470588236</v>
      </c>
      <c r="AX392">
        <v>5.6898745917647062</v>
      </c>
      <c r="AY392" s="75">
        <v>0.57369840599679445</v>
      </c>
      <c r="AZ392" s="75"/>
      <c r="BA392" s="75"/>
      <c r="BC392">
        <v>4.3496702325082043E-2</v>
      </c>
      <c r="BF392">
        <v>8.6993404650164072E-2</v>
      </c>
      <c r="BG392">
        <v>4.3496702325082043E-2</v>
      </c>
      <c r="BH392">
        <v>0.57369840599679445</v>
      </c>
      <c r="BN392" s="79" t="s">
        <v>875</v>
      </c>
      <c r="BO392" s="79" t="s">
        <v>1067</v>
      </c>
      <c r="BS392" s="79" t="s">
        <v>464</v>
      </c>
      <c r="BT392" s="79" t="s">
        <v>464</v>
      </c>
      <c r="CA392" t="e">
        <f t="shared" si="53"/>
        <v>#NUM!</v>
      </c>
    </row>
    <row r="393" spans="1:79" x14ac:dyDescent="0.3">
      <c r="A393" s="2" t="s">
        <v>8</v>
      </c>
      <c r="B393" s="13" t="s">
        <v>694</v>
      </c>
      <c r="C393" s="13"/>
      <c r="D393" s="2">
        <v>3.26</v>
      </c>
      <c r="E393" s="2" t="s">
        <v>231</v>
      </c>
      <c r="F393" s="9" t="s">
        <v>530</v>
      </c>
      <c r="G393" t="s">
        <v>612</v>
      </c>
      <c r="I393" s="2"/>
      <c r="J393" s="25">
        <v>30</v>
      </c>
      <c r="K393">
        <v>4</v>
      </c>
      <c r="L393">
        <v>0</v>
      </c>
      <c r="M393" s="2"/>
      <c r="N393" s="2"/>
      <c r="O393" s="2"/>
      <c r="P393" s="2"/>
      <c r="Q393" s="2"/>
      <c r="R393" s="25">
        <v>10.59112378</v>
      </c>
      <c r="S393" s="25">
        <v>10.784736629999999</v>
      </c>
      <c r="T393" s="25">
        <v>10.486176179999999</v>
      </c>
      <c r="U393">
        <v>3.73</v>
      </c>
      <c r="V393">
        <v>3.73</v>
      </c>
      <c r="W393">
        <v>9.3699999999999992</v>
      </c>
      <c r="X393">
        <v>0</v>
      </c>
      <c r="AA393" s="2"/>
      <c r="AB393">
        <v>4</v>
      </c>
      <c r="AC393" s="55">
        <f t="shared" si="51"/>
        <v>0</v>
      </c>
      <c r="AD393" s="57">
        <v>1182.741260108548</v>
      </c>
      <c r="AE393" s="55">
        <v>130.36387300000001</v>
      </c>
      <c r="AF393" s="55">
        <v>0</v>
      </c>
      <c r="AG393" s="52"/>
      <c r="AH393" s="51">
        <v>0.1014592151701775</v>
      </c>
      <c r="AI393" s="52">
        <v>0.1227333894874388</v>
      </c>
      <c r="AJ393" s="52"/>
      <c r="AK393" s="28">
        <v>2</v>
      </c>
      <c r="AL393" s="28">
        <v>2.666666666666667</v>
      </c>
      <c r="AM393" s="28">
        <v>0.66666666666666663</v>
      </c>
      <c r="AN393" s="28">
        <v>0</v>
      </c>
      <c r="AO393" s="28">
        <v>0.375</v>
      </c>
      <c r="AP393" s="28">
        <v>0.5</v>
      </c>
      <c r="AQ393" s="28">
        <v>0.125</v>
      </c>
      <c r="AR393" s="28">
        <v>0</v>
      </c>
      <c r="AS393" s="25">
        <v>1.54</v>
      </c>
      <c r="AT393" s="25">
        <v>3.44</v>
      </c>
      <c r="AU393" s="25">
        <v>1.9</v>
      </c>
      <c r="AV393" s="25">
        <v>2.8066666666666671</v>
      </c>
      <c r="AW393">
        <v>2.8066666666666662</v>
      </c>
      <c r="AX393">
        <v>6.1769976</v>
      </c>
      <c r="AY393" s="75">
        <v>0.46900407026869628</v>
      </c>
      <c r="AZ393" s="75">
        <v>0.56734579634715776</v>
      </c>
      <c r="BA393" s="75"/>
      <c r="BC393">
        <v>5.072960758508873E-2</v>
      </c>
      <c r="BD393">
        <v>6.136669474371937E-2</v>
      </c>
      <c r="BF393">
        <v>0.1120963023288082</v>
      </c>
      <c r="BG393">
        <v>5.604815116440405E-2</v>
      </c>
      <c r="BH393">
        <v>0.51817493330792708</v>
      </c>
      <c r="BS393" s="79" t="s">
        <v>464</v>
      </c>
      <c r="BT393" s="79" t="s">
        <v>464</v>
      </c>
      <c r="CA393" t="e">
        <f t="shared" si="53"/>
        <v>#NUM!</v>
      </c>
    </row>
    <row r="394" spans="1:79" x14ac:dyDescent="0.3">
      <c r="A394" s="2" t="s">
        <v>153</v>
      </c>
      <c r="B394" s="13" t="s">
        <v>775</v>
      </c>
      <c r="C394" s="13"/>
      <c r="D394" s="2">
        <v>3.1</v>
      </c>
      <c r="E394" s="2" t="s">
        <v>231</v>
      </c>
      <c r="F394" s="9" t="s">
        <v>578</v>
      </c>
      <c r="G394">
        <v>-1</v>
      </c>
      <c r="I394" s="2"/>
      <c r="J394" s="25">
        <v>1</v>
      </c>
      <c r="K394">
        <v>0</v>
      </c>
      <c r="L394">
        <v>0</v>
      </c>
      <c r="M394" s="2"/>
      <c r="N394" s="2"/>
      <c r="O394" s="2"/>
      <c r="P394" s="2"/>
      <c r="Q394" s="2"/>
      <c r="R394" s="25">
        <v>3.9263319999999999</v>
      </c>
      <c r="S394" s="25">
        <v>3.9263319999999999</v>
      </c>
      <c r="T394" s="25">
        <v>10.74639</v>
      </c>
      <c r="U394">
        <v>0</v>
      </c>
      <c r="X394">
        <v>0</v>
      </c>
      <c r="AA394" s="2"/>
      <c r="AB394">
        <v>14</v>
      </c>
      <c r="AC394" s="55">
        <f t="shared" si="51"/>
        <v>0</v>
      </c>
      <c r="AD394" s="57">
        <v>165.66723991337099</v>
      </c>
      <c r="AE394" s="55">
        <v>0</v>
      </c>
      <c r="AF394" s="55">
        <v>0</v>
      </c>
      <c r="AG394" s="52"/>
      <c r="AH394" s="51">
        <v>8.4506749839743392E-2</v>
      </c>
      <c r="AI394" s="52"/>
      <c r="AJ394" s="52"/>
      <c r="AK394" s="28">
        <v>1.7272727272727271</v>
      </c>
      <c r="AL394" s="28">
        <v>2.545454545454545</v>
      </c>
      <c r="AM394" s="28">
        <v>0.81818181818181823</v>
      </c>
      <c r="AN394" s="28">
        <v>0</v>
      </c>
      <c r="AO394" s="28">
        <v>0.3392857142857143</v>
      </c>
      <c r="AP394" s="28">
        <v>0.5</v>
      </c>
      <c r="AQ394" s="28">
        <v>0.1607142857142857</v>
      </c>
      <c r="AR394" s="28">
        <v>0</v>
      </c>
      <c r="AS394" s="25">
        <v>1.1000000000000001</v>
      </c>
      <c r="AT394" s="25">
        <v>3.44</v>
      </c>
      <c r="AU394" s="25">
        <v>2.34</v>
      </c>
      <c r="AV394" s="25">
        <v>2.78</v>
      </c>
      <c r="AW394">
        <v>2.78</v>
      </c>
      <c r="AX394">
        <v>6.4270052227137269</v>
      </c>
      <c r="AY394" s="75">
        <v>0.41874886813759421</v>
      </c>
      <c r="AZ394" s="75"/>
      <c r="BA394" s="75"/>
      <c r="BC394">
        <v>4.2253374919871717E-2</v>
      </c>
      <c r="BF394">
        <v>8.4506749839743392E-2</v>
      </c>
      <c r="BG394">
        <v>4.2253374919871717E-2</v>
      </c>
      <c r="BH394">
        <v>0.41874886813759421</v>
      </c>
      <c r="BS394" s="79" t="s">
        <v>464</v>
      </c>
      <c r="BT394" s="79" t="s">
        <v>464</v>
      </c>
      <c r="CA394" t="e">
        <f t="shared" si="53"/>
        <v>#NUM!</v>
      </c>
    </row>
    <row r="395" spans="1:79" x14ac:dyDescent="0.3">
      <c r="A395" s="2" t="s">
        <v>153</v>
      </c>
      <c r="B395" s="13" t="s">
        <v>775</v>
      </c>
      <c r="C395" s="13"/>
      <c r="D395" s="2">
        <v>3.1</v>
      </c>
      <c r="E395" s="2" t="s">
        <v>231</v>
      </c>
      <c r="F395" s="9" t="s">
        <v>578</v>
      </c>
      <c r="G395">
        <v>-1</v>
      </c>
      <c r="I395" s="2"/>
      <c r="J395" s="25">
        <v>1</v>
      </c>
      <c r="K395">
        <v>0</v>
      </c>
      <c r="L395">
        <v>0</v>
      </c>
      <c r="M395" s="2"/>
      <c r="N395" s="2"/>
      <c r="O395" s="2"/>
      <c r="P395" s="2"/>
      <c r="Q395" s="2"/>
      <c r="R395" s="25">
        <v>3.9263319999999999</v>
      </c>
      <c r="S395" s="25">
        <v>3.9263319999999999</v>
      </c>
      <c r="T395" s="25">
        <v>10.74639</v>
      </c>
      <c r="U395">
        <v>0</v>
      </c>
      <c r="X395">
        <v>0</v>
      </c>
      <c r="AA395" s="2"/>
      <c r="AB395">
        <v>14</v>
      </c>
      <c r="AC395" s="55">
        <f t="shared" si="51"/>
        <v>0</v>
      </c>
      <c r="AD395" s="57">
        <v>165.66723991337099</v>
      </c>
      <c r="AE395" s="55">
        <v>0</v>
      </c>
      <c r="AF395" s="55">
        <v>0</v>
      </c>
      <c r="AG395" s="52"/>
      <c r="AH395" s="51">
        <v>8.4506749839743392E-2</v>
      </c>
      <c r="AI395" s="52"/>
      <c r="AJ395" s="52"/>
      <c r="AK395" s="28">
        <v>1.7272727272727271</v>
      </c>
      <c r="AL395" s="28">
        <v>2.545454545454545</v>
      </c>
      <c r="AM395" s="28">
        <v>0.81818181818181823</v>
      </c>
      <c r="AN395" s="28">
        <v>0</v>
      </c>
      <c r="AO395" s="28">
        <v>0.3392857142857143</v>
      </c>
      <c r="AP395" s="28">
        <v>0.5</v>
      </c>
      <c r="AQ395" s="28">
        <v>0.1607142857142857</v>
      </c>
      <c r="AR395" s="28">
        <v>0</v>
      </c>
      <c r="AS395" s="25">
        <v>1.1000000000000001</v>
      </c>
      <c r="AT395" s="25">
        <v>3.44</v>
      </c>
      <c r="AU395" s="25">
        <v>2.34</v>
      </c>
      <c r="AV395" s="25">
        <v>2.78</v>
      </c>
      <c r="AW395">
        <v>2.78</v>
      </c>
      <c r="AX395">
        <v>6.4270052227137269</v>
      </c>
      <c r="AY395" s="75">
        <v>0.41874886813759421</v>
      </c>
      <c r="AZ395" s="75"/>
      <c r="BA395" s="75"/>
      <c r="BC395">
        <v>4.2253374919871717E-2</v>
      </c>
      <c r="BF395">
        <v>8.4506749839743392E-2</v>
      </c>
      <c r="BG395">
        <v>4.2253374919871717E-2</v>
      </c>
      <c r="BH395">
        <v>0.41874886813759421</v>
      </c>
      <c r="BN395" s="79" t="s">
        <v>863</v>
      </c>
      <c r="BO395" s="79">
        <v>0.8</v>
      </c>
      <c r="BS395" s="79" t="s">
        <v>464</v>
      </c>
      <c r="BT395" s="79" t="s">
        <v>464</v>
      </c>
      <c r="CA395" t="e">
        <f t="shared" si="53"/>
        <v>#NUM!</v>
      </c>
    </row>
    <row r="396" spans="1:79" x14ac:dyDescent="0.3">
      <c r="A396" s="2" t="s">
        <v>153</v>
      </c>
      <c r="B396" s="13" t="s">
        <v>775</v>
      </c>
      <c r="C396" s="13"/>
      <c r="D396" s="2">
        <v>3.1</v>
      </c>
      <c r="E396" s="2" t="s">
        <v>231</v>
      </c>
      <c r="F396" s="9" t="s">
        <v>578</v>
      </c>
      <c r="G396">
        <v>-1</v>
      </c>
      <c r="I396" s="2"/>
      <c r="J396" s="25">
        <v>1</v>
      </c>
      <c r="K396">
        <v>0</v>
      </c>
      <c r="L396">
        <v>0</v>
      </c>
      <c r="M396" s="2"/>
      <c r="N396" s="2"/>
      <c r="O396" s="2"/>
      <c r="P396" s="2"/>
      <c r="Q396" s="2"/>
      <c r="R396" s="25">
        <v>3.9263319999999999</v>
      </c>
      <c r="S396" s="25">
        <v>3.9263319999999999</v>
      </c>
      <c r="T396" s="25">
        <v>10.74639</v>
      </c>
      <c r="U396">
        <v>0</v>
      </c>
      <c r="X396">
        <v>0</v>
      </c>
      <c r="AA396" s="2"/>
      <c r="AB396">
        <v>14</v>
      </c>
      <c r="AC396" s="55">
        <f t="shared" si="51"/>
        <v>0</v>
      </c>
      <c r="AD396" s="57">
        <v>165.66723991337099</v>
      </c>
      <c r="AE396" s="55">
        <v>0</v>
      </c>
      <c r="AF396" s="55">
        <v>0</v>
      </c>
      <c r="AG396" s="52"/>
      <c r="AH396" s="51">
        <v>8.4506749839743392E-2</v>
      </c>
      <c r="AI396" s="52"/>
      <c r="AJ396" s="52"/>
      <c r="AK396" s="28">
        <v>1.7272727272727271</v>
      </c>
      <c r="AL396" s="28">
        <v>2.545454545454545</v>
      </c>
      <c r="AM396" s="28">
        <v>0.81818181818181823</v>
      </c>
      <c r="AN396" s="28">
        <v>0</v>
      </c>
      <c r="AO396" s="28">
        <v>0.3392857142857143</v>
      </c>
      <c r="AP396" s="28">
        <v>0.5</v>
      </c>
      <c r="AQ396" s="28">
        <v>0.1607142857142857</v>
      </c>
      <c r="AR396" s="28">
        <v>0</v>
      </c>
      <c r="AS396" s="25">
        <v>1.1000000000000001</v>
      </c>
      <c r="AT396" s="25">
        <v>3.44</v>
      </c>
      <c r="AU396" s="25">
        <v>2.34</v>
      </c>
      <c r="AV396" s="25">
        <v>2.78</v>
      </c>
      <c r="AW396">
        <v>2.78</v>
      </c>
      <c r="AX396">
        <v>6.4270052227137269</v>
      </c>
      <c r="AY396" s="75">
        <v>0.41874886813759421</v>
      </c>
      <c r="AZ396" s="75"/>
      <c r="BA396" s="75"/>
      <c r="BC396">
        <v>4.2253374919871717E-2</v>
      </c>
      <c r="BF396">
        <v>8.4506749839743392E-2</v>
      </c>
      <c r="BG396">
        <v>4.2253374919871717E-2</v>
      </c>
      <c r="BH396">
        <v>0.41874886813759421</v>
      </c>
      <c r="BN396" s="79" t="s">
        <v>8</v>
      </c>
      <c r="BO396" s="79">
        <v>4.3</v>
      </c>
      <c r="BS396" s="79" t="s">
        <v>464</v>
      </c>
      <c r="BT396" s="79" t="s">
        <v>464</v>
      </c>
      <c r="CA396" t="e">
        <f t="shared" si="53"/>
        <v>#NUM!</v>
      </c>
    </row>
    <row r="397" spans="1:79" x14ac:dyDescent="0.3">
      <c r="A397" s="2" t="s">
        <v>63</v>
      </c>
      <c r="B397" s="13" t="s">
        <v>773</v>
      </c>
      <c r="C397" s="13"/>
      <c r="D397" s="2">
        <v>3.66</v>
      </c>
      <c r="E397" s="2" t="s">
        <v>233</v>
      </c>
      <c r="F397" s="9">
        <v>-1</v>
      </c>
      <c r="G397">
        <v>-1</v>
      </c>
      <c r="I397" s="2">
        <v>1</v>
      </c>
      <c r="J397" s="25">
        <v>0</v>
      </c>
      <c r="K397">
        <v>0</v>
      </c>
      <c r="L397">
        <v>0</v>
      </c>
      <c r="M397" s="2">
        <v>3.85</v>
      </c>
      <c r="N397" s="2">
        <v>3.85</v>
      </c>
      <c r="O397" s="2">
        <v>14.379</v>
      </c>
      <c r="P397" s="2"/>
      <c r="Q397" s="2"/>
      <c r="R397" s="25">
        <v>0</v>
      </c>
      <c r="S397" s="25"/>
      <c r="T397" s="25"/>
      <c r="U397">
        <v>0</v>
      </c>
      <c r="X397">
        <v>0</v>
      </c>
      <c r="AA397" s="2"/>
      <c r="AB397">
        <v>20</v>
      </c>
      <c r="AC397" s="55">
        <f t="shared" si="51"/>
        <v>213.13272750000002</v>
      </c>
      <c r="AD397" s="57">
        <v>0</v>
      </c>
      <c r="AE397" s="55">
        <v>0</v>
      </c>
      <c r="AF397" s="55">
        <v>0</v>
      </c>
      <c r="AG397" s="52">
        <f t="shared" ref="AG397:AG400" si="54">I397*AB397/AC397</f>
        <v>9.3838239835784945E-2</v>
      </c>
      <c r="AH397" s="51"/>
      <c r="AI397" s="52"/>
      <c r="AJ397" s="52"/>
      <c r="AK397" s="28">
        <v>1.75</v>
      </c>
      <c r="AL397" s="28">
        <v>2.5</v>
      </c>
      <c r="AM397" s="28">
        <v>0.75</v>
      </c>
      <c r="AN397" s="28">
        <v>0</v>
      </c>
      <c r="AO397" s="28">
        <v>0.35</v>
      </c>
      <c r="AP397" s="28">
        <v>0.5</v>
      </c>
      <c r="AQ397" s="28">
        <v>0.15</v>
      </c>
      <c r="AR397" s="28">
        <v>0</v>
      </c>
      <c r="AS397" s="25">
        <v>1</v>
      </c>
      <c r="AT397" s="25">
        <v>3.44</v>
      </c>
      <c r="AU397" s="25">
        <v>2.44</v>
      </c>
      <c r="AV397" s="25">
        <v>2.7124999999999999</v>
      </c>
      <c r="AW397">
        <v>2.7124999999999999</v>
      </c>
      <c r="AX397">
        <v>6.264025610615688</v>
      </c>
      <c r="AY397" s="75"/>
      <c r="AZ397" s="75"/>
      <c r="BA397" s="75"/>
      <c r="BB397">
        <v>4.6919119917892473E-2</v>
      </c>
      <c r="BF397">
        <v>9.3838239835784945E-2</v>
      </c>
      <c r="BG397">
        <v>4.6919119917892473E-2</v>
      </c>
      <c r="BH397">
        <v>0</v>
      </c>
      <c r="BS397" s="79" t="s">
        <v>464</v>
      </c>
      <c r="BT397" s="79" t="s">
        <v>464</v>
      </c>
      <c r="CA397" t="e">
        <f t="shared" si="53"/>
        <v>#NUM!</v>
      </c>
    </row>
    <row r="398" spans="1:79" x14ac:dyDescent="0.3">
      <c r="A398" s="2" t="s">
        <v>232</v>
      </c>
      <c r="B398" s="13" t="s">
        <v>809</v>
      </c>
      <c r="C398" s="13"/>
      <c r="D398" s="2">
        <v>3.65</v>
      </c>
      <c r="E398" s="2" t="s">
        <v>233</v>
      </c>
      <c r="F398" s="9">
        <v>-1</v>
      </c>
      <c r="G398">
        <v>-1</v>
      </c>
      <c r="I398" s="2">
        <v>1</v>
      </c>
      <c r="J398" s="25">
        <v>0</v>
      </c>
      <c r="K398">
        <v>0</v>
      </c>
      <c r="L398">
        <v>0</v>
      </c>
      <c r="M398" s="1">
        <v>3.85</v>
      </c>
      <c r="N398" s="1">
        <v>3.85</v>
      </c>
      <c r="O398" s="1">
        <v>14.379</v>
      </c>
      <c r="P398" s="2"/>
      <c r="Q398" s="2"/>
      <c r="R398" s="25">
        <v>0</v>
      </c>
      <c r="S398" s="25"/>
      <c r="T398" s="25"/>
      <c r="U398">
        <v>0</v>
      </c>
      <c r="X398">
        <v>0</v>
      </c>
      <c r="AA398" s="2"/>
      <c r="AB398">
        <v>20</v>
      </c>
      <c r="AC398" s="55">
        <f t="shared" si="51"/>
        <v>213.13272750000002</v>
      </c>
      <c r="AD398" s="57">
        <v>0</v>
      </c>
      <c r="AE398" s="55">
        <v>0</v>
      </c>
      <c r="AF398" s="55">
        <v>0</v>
      </c>
      <c r="AG398" s="52">
        <f t="shared" si="54"/>
        <v>9.3838239835784945E-2</v>
      </c>
      <c r="AH398" s="51"/>
      <c r="AI398" s="52"/>
      <c r="AJ398" s="52"/>
      <c r="AK398" s="28">
        <v>1.8125</v>
      </c>
      <c r="AL398" s="28">
        <v>2.5</v>
      </c>
      <c r="AM398" s="28">
        <v>0.6875</v>
      </c>
      <c r="AN398" s="28">
        <v>0.875</v>
      </c>
      <c r="AO398" s="28">
        <v>0.30851063829787229</v>
      </c>
      <c r="AP398" s="28">
        <v>0.42553191489361702</v>
      </c>
      <c r="AQ398" s="28">
        <v>0.1170212765957447</v>
      </c>
      <c r="AR398" s="28">
        <v>0.14893617021276601</v>
      </c>
      <c r="AS398" s="25">
        <v>1</v>
      </c>
      <c r="AT398" s="25">
        <v>3.44</v>
      </c>
      <c r="AU398" s="25">
        <v>2.44</v>
      </c>
      <c r="AV398" s="25">
        <v>2.7062499999999998</v>
      </c>
      <c r="AW398">
        <v>2.7062499999999998</v>
      </c>
      <c r="AX398">
        <v>6.2701641731156874</v>
      </c>
      <c r="AY398" s="75"/>
      <c r="AZ398" s="75"/>
      <c r="BA398" s="75"/>
      <c r="BB398">
        <v>4.6919119917892473E-2</v>
      </c>
      <c r="BF398">
        <v>9.3838239835784945E-2</v>
      </c>
      <c r="BG398">
        <v>4.6919119917892473E-2</v>
      </c>
      <c r="BH398">
        <v>0</v>
      </c>
      <c r="BS398" s="79" t="s">
        <v>464</v>
      </c>
      <c r="BT398" s="79" t="s">
        <v>464</v>
      </c>
      <c r="CA398" t="e">
        <f t="shared" si="53"/>
        <v>#NUM!</v>
      </c>
    </row>
    <row r="399" spans="1:79" x14ac:dyDescent="0.3">
      <c r="A399" s="2" t="s">
        <v>63</v>
      </c>
      <c r="B399" s="13" t="s">
        <v>773</v>
      </c>
      <c r="C399" s="13"/>
      <c r="D399" s="2">
        <v>3.54</v>
      </c>
      <c r="E399" s="2" t="s">
        <v>233</v>
      </c>
      <c r="F399" s="9">
        <v>-1</v>
      </c>
      <c r="G399">
        <v>-1</v>
      </c>
      <c r="I399" s="2">
        <v>1</v>
      </c>
      <c r="J399" s="25">
        <v>0</v>
      </c>
      <c r="K399">
        <v>0</v>
      </c>
      <c r="L399">
        <v>0</v>
      </c>
      <c r="M399" s="1">
        <v>3.85</v>
      </c>
      <c r="N399" s="1">
        <v>3.85</v>
      </c>
      <c r="O399" s="1">
        <v>14.379</v>
      </c>
      <c r="P399" s="2"/>
      <c r="Q399" s="2"/>
      <c r="R399" s="25">
        <v>0</v>
      </c>
      <c r="S399" s="25"/>
      <c r="T399" s="25"/>
      <c r="U399">
        <v>0</v>
      </c>
      <c r="X399">
        <v>0</v>
      </c>
      <c r="AA399" s="2"/>
      <c r="AB399">
        <v>20</v>
      </c>
      <c r="AC399" s="55">
        <f t="shared" si="51"/>
        <v>213.13272750000002</v>
      </c>
      <c r="AD399" s="57">
        <v>0</v>
      </c>
      <c r="AE399" s="55">
        <v>0</v>
      </c>
      <c r="AF399" s="55">
        <v>0</v>
      </c>
      <c r="AG399" s="52">
        <f t="shared" si="54"/>
        <v>9.3838239835784945E-2</v>
      </c>
      <c r="AH399" s="51"/>
      <c r="AI399" s="52"/>
      <c r="AJ399" s="52"/>
      <c r="AK399" s="28">
        <v>1.75</v>
      </c>
      <c r="AL399" s="28">
        <v>2.5</v>
      </c>
      <c r="AM399" s="28">
        <v>0.75</v>
      </c>
      <c r="AN399" s="28">
        <v>0</v>
      </c>
      <c r="AO399" s="28">
        <v>0.35</v>
      </c>
      <c r="AP399" s="28">
        <v>0.5</v>
      </c>
      <c r="AQ399" s="28">
        <v>0.15</v>
      </c>
      <c r="AR399" s="28">
        <v>0</v>
      </c>
      <c r="AS399" s="25">
        <v>1</v>
      </c>
      <c r="AT399" s="25">
        <v>3.44</v>
      </c>
      <c r="AU399" s="25">
        <v>2.44</v>
      </c>
      <c r="AV399" s="25">
        <v>2.7124999999999999</v>
      </c>
      <c r="AW399">
        <v>2.7124999999999999</v>
      </c>
      <c r="AX399">
        <v>6.264025610615688</v>
      </c>
      <c r="AY399" s="75"/>
      <c r="AZ399" s="75"/>
      <c r="BA399" s="75"/>
      <c r="BB399">
        <v>4.6919119917892473E-2</v>
      </c>
      <c r="BF399">
        <v>9.3838239835784945E-2</v>
      </c>
      <c r="BG399">
        <v>4.6919119917892473E-2</v>
      </c>
      <c r="BH399">
        <v>0</v>
      </c>
      <c r="BN399" s="79" t="s">
        <v>887</v>
      </c>
      <c r="BO399" s="79" t="s">
        <v>1067</v>
      </c>
      <c r="BS399" s="79" t="s">
        <v>464</v>
      </c>
      <c r="BT399" s="79" t="s">
        <v>464</v>
      </c>
      <c r="CA399" t="e">
        <f t="shared" si="53"/>
        <v>#NUM!</v>
      </c>
    </row>
    <row r="400" spans="1:79" x14ac:dyDescent="0.3">
      <c r="A400" s="2" t="s">
        <v>232</v>
      </c>
      <c r="B400" s="13" t="s">
        <v>809</v>
      </c>
      <c r="C400" s="13"/>
      <c r="D400" s="2">
        <v>3.54</v>
      </c>
      <c r="E400" s="2" t="s">
        <v>233</v>
      </c>
      <c r="F400" s="9">
        <v>-1</v>
      </c>
      <c r="G400">
        <v>-1</v>
      </c>
      <c r="I400" s="2">
        <v>1</v>
      </c>
      <c r="J400" s="25">
        <v>0</v>
      </c>
      <c r="K400">
        <v>0</v>
      </c>
      <c r="L400">
        <v>0</v>
      </c>
      <c r="M400" s="1">
        <v>3.85</v>
      </c>
      <c r="N400" s="1">
        <v>3.85</v>
      </c>
      <c r="O400" s="1">
        <v>14.379</v>
      </c>
      <c r="P400" s="2"/>
      <c r="Q400" s="2"/>
      <c r="R400" s="25">
        <v>0</v>
      </c>
      <c r="S400" s="25"/>
      <c r="T400" s="25"/>
      <c r="U400">
        <v>0</v>
      </c>
      <c r="X400">
        <v>0</v>
      </c>
      <c r="AA400" s="2"/>
      <c r="AB400">
        <v>20</v>
      </c>
      <c r="AC400" s="55">
        <f t="shared" si="51"/>
        <v>213.13272750000002</v>
      </c>
      <c r="AD400" s="57">
        <v>0</v>
      </c>
      <c r="AE400" s="55">
        <v>0</v>
      </c>
      <c r="AF400" s="55">
        <v>0</v>
      </c>
      <c r="AG400" s="52">
        <f t="shared" si="54"/>
        <v>9.3838239835784945E-2</v>
      </c>
      <c r="AH400" s="51"/>
      <c r="AI400" s="52"/>
      <c r="AJ400" s="52"/>
      <c r="AK400" s="28">
        <v>1.8125</v>
      </c>
      <c r="AL400" s="28">
        <v>2.5</v>
      </c>
      <c r="AM400" s="28">
        <v>0.6875</v>
      </c>
      <c r="AN400" s="28">
        <v>0.875</v>
      </c>
      <c r="AO400" s="28">
        <v>0.30851063829787229</v>
      </c>
      <c r="AP400" s="28">
        <v>0.42553191489361702</v>
      </c>
      <c r="AQ400" s="28">
        <v>0.1170212765957447</v>
      </c>
      <c r="AR400" s="28">
        <v>0.14893617021276601</v>
      </c>
      <c r="AS400" s="25">
        <v>1</v>
      </c>
      <c r="AT400" s="25">
        <v>3.44</v>
      </c>
      <c r="AU400" s="25">
        <v>2.44</v>
      </c>
      <c r="AV400" s="25">
        <v>2.7062499999999998</v>
      </c>
      <c r="AW400">
        <v>2.7062499999999998</v>
      </c>
      <c r="AX400">
        <v>6.2701641731156874</v>
      </c>
      <c r="AY400" s="75"/>
      <c r="AZ400" s="75"/>
      <c r="BA400" s="75"/>
      <c r="BB400">
        <v>4.6919119917892473E-2</v>
      </c>
      <c r="BF400">
        <v>9.3838239835784945E-2</v>
      </c>
      <c r="BG400">
        <v>4.6919119917892473E-2</v>
      </c>
      <c r="BH400">
        <v>0</v>
      </c>
      <c r="BN400" s="79" t="s">
        <v>887</v>
      </c>
      <c r="BO400" s="79" t="s">
        <v>1067</v>
      </c>
      <c r="BS400" s="79" t="s">
        <v>464</v>
      </c>
      <c r="BT400" s="79" t="s">
        <v>464</v>
      </c>
      <c r="CA400" t="e">
        <f t="shared" si="53"/>
        <v>#NUM!</v>
      </c>
    </row>
    <row r="401" spans="1:79" x14ac:dyDescent="0.3">
      <c r="A401" s="2" t="s">
        <v>46</v>
      </c>
      <c r="B401" s="13" t="s">
        <v>722</v>
      </c>
      <c r="C401" s="13"/>
      <c r="D401" s="2">
        <v>3.87</v>
      </c>
      <c r="E401" s="2" t="s">
        <v>234</v>
      </c>
      <c r="F401" s="9" t="s">
        <v>551</v>
      </c>
      <c r="G401" t="s">
        <v>629</v>
      </c>
      <c r="I401" s="2"/>
      <c r="J401" s="25">
        <v>2</v>
      </c>
      <c r="K401">
        <v>4</v>
      </c>
      <c r="L401">
        <v>0</v>
      </c>
      <c r="M401" s="2"/>
      <c r="N401" s="2"/>
      <c r="O401" s="2"/>
      <c r="P401" s="2"/>
      <c r="Q401" s="2"/>
      <c r="R401" s="25">
        <v>7.41544296</v>
      </c>
      <c r="S401" s="25">
        <v>7.4154429599999991</v>
      </c>
      <c r="T401" s="25">
        <v>7.41544296</v>
      </c>
      <c r="U401">
        <v>7.8</v>
      </c>
      <c r="V401">
        <v>13.010999999999999</v>
      </c>
      <c r="W401">
        <v>5.5460000000000003</v>
      </c>
      <c r="X401">
        <v>0</v>
      </c>
      <c r="AA401" s="2"/>
      <c r="AB401">
        <v>14</v>
      </c>
      <c r="AC401" s="55">
        <f t="shared" si="51"/>
        <v>0</v>
      </c>
      <c r="AD401" s="57">
        <v>288.33429290182369</v>
      </c>
      <c r="AE401" s="55">
        <v>556.51188553357167</v>
      </c>
      <c r="AF401" s="55">
        <v>0</v>
      </c>
      <c r="AG401" s="52"/>
      <c r="AH401" s="51">
        <v>9.7109503410799117E-2</v>
      </c>
      <c r="AI401" s="52">
        <v>0.10062678166578309</v>
      </c>
      <c r="AJ401" s="52"/>
      <c r="AK401" s="28">
        <v>2</v>
      </c>
      <c r="AL401" s="28">
        <v>2.545454545454545</v>
      </c>
      <c r="AM401" s="28">
        <v>0.54545454545454541</v>
      </c>
      <c r="AN401" s="28">
        <v>0</v>
      </c>
      <c r="AO401" s="28">
        <v>0.39285714285714279</v>
      </c>
      <c r="AP401" s="28">
        <v>0.5</v>
      </c>
      <c r="AQ401" s="28">
        <v>0.1071428571428571</v>
      </c>
      <c r="AR401" s="28">
        <v>0</v>
      </c>
      <c r="AS401" s="25">
        <v>1.1000000000000001</v>
      </c>
      <c r="AT401" s="25">
        <v>3.44</v>
      </c>
      <c r="AU401" s="25">
        <v>2.34</v>
      </c>
      <c r="AV401" s="25">
        <v>2.669090909090909</v>
      </c>
      <c r="AW401">
        <v>2.669090909090909</v>
      </c>
      <c r="AX401">
        <v>5.9831974772727277</v>
      </c>
      <c r="AY401" s="75">
        <v>0.52442413903612473</v>
      </c>
      <c r="AZ401" s="75">
        <v>0.54341863036636606</v>
      </c>
      <c r="BA401" s="75"/>
      <c r="BC401">
        <v>4.8554751705399558E-2</v>
      </c>
      <c r="BD401">
        <v>5.0313390832891547E-2</v>
      </c>
      <c r="BF401">
        <v>9.8868142538291098E-2</v>
      </c>
      <c r="BG401">
        <v>4.9434071269145549E-2</v>
      </c>
      <c r="BH401">
        <v>0.53392138470124539</v>
      </c>
      <c r="BS401" s="79" t="s">
        <v>464</v>
      </c>
      <c r="BT401" s="79" t="s">
        <v>464</v>
      </c>
      <c r="CA401" t="e">
        <f t="shared" si="53"/>
        <v>#NUM!</v>
      </c>
    </row>
    <row r="402" spans="1:79" x14ac:dyDescent="0.3">
      <c r="A402" s="5" t="s">
        <v>19</v>
      </c>
      <c r="B402" s="38" t="s">
        <v>705</v>
      </c>
      <c r="C402" s="39"/>
      <c r="D402" s="5">
        <v>3.53</v>
      </c>
      <c r="E402" s="5" t="s">
        <v>235</v>
      </c>
      <c r="F402" s="40">
        <v>-2</v>
      </c>
      <c r="G402" s="5" t="s">
        <v>1167</v>
      </c>
      <c r="H402" s="5"/>
      <c r="I402" s="5"/>
      <c r="J402" s="41">
        <v>0</v>
      </c>
      <c r="K402">
        <v>0</v>
      </c>
      <c r="L402">
        <v>4</v>
      </c>
      <c r="M402" s="5"/>
      <c r="N402" s="5"/>
      <c r="O402" s="5"/>
      <c r="P402" s="5" t="s">
        <v>450</v>
      </c>
      <c r="Q402" s="5"/>
      <c r="R402" s="41">
        <v>0</v>
      </c>
      <c r="S402" s="41"/>
      <c r="T402" s="41"/>
      <c r="U402">
        <v>0</v>
      </c>
      <c r="X402">
        <v>24.8627</v>
      </c>
      <c r="Y402">
        <v>5.4355000000000002</v>
      </c>
      <c r="Z402">
        <v>5.4478</v>
      </c>
      <c r="AA402" s="5"/>
      <c r="AB402" s="5">
        <v>18</v>
      </c>
      <c r="AC402" s="55">
        <f t="shared" si="51"/>
        <v>0</v>
      </c>
      <c r="AD402" s="57">
        <v>0</v>
      </c>
      <c r="AE402" s="55">
        <v>0</v>
      </c>
      <c r="AF402" s="55">
        <f t="shared" ref="AF402:AF407" si="55">X402*Y402*Z402</f>
        <v>736.22226122963002</v>
      </c>
      <c r="AG402" s="52"/>
      <c r="AH402" s="51"/>
      <c r="AI402" s="52"/>
      <c r="AJ402" s="67">
        <f t="shared" ref="AJ402:AJ407" si="56">L402*AB402/AF402</f>
        <v>9.7796553828386576E-2</v>
      </c>
      <c r="AK402" s="5">
        <v>1.8666666666666669</v>
      </c>
      <c r="AL402" s="5">
        <v>2.8</v>
      </c>
      <c r="AM402" s="5">
        <v>1.8666666666666669</v>
      </c>
      <c r="AN402" s="5">
        <v>1.8666666666666669</v>
      </c>
      <c r="AO402" s="5">
        <v>0.22222222222222221</v>
      </c>
      <c r="AP402" s="5">
        <v>0.33333333333333331</v>
      </c>
      <c r="AQ402" s="5">
        <v>0.22222222222222221</v>
      </c>
      <c r="AR402" s="5">
        <v>0.22222222222222221</v>
      </c>
      <c r="AS402" s="41">
        <v>1</v>
      </c>
      <c r="AT402" s="41">
        <v>3.44</v>
      </c>
      <c r="AU402" s="41">
        <v>2.44</v>
      </c>
      <c r="AV402" s="41">
        <v>2.68</v>
      </c>
      <c r="AW402" s="5">
        <v>2.68</v>
      </c>
      <c r="AX402" s="5">
        <v>5.9932041966666656</v>
      </c>
      <c r="AY402" s="75"/>
      <c r="AZ402" s="75"/>
      <c r="BA402" s="75"/>
      <c r="BE402">
        <v>4.8898276914193288E-2</v>
      </c>
      <c r="BF402">
        <v>9.7796553828386576E-2</v>
      </c>
      <c r="BG402">
        <v>4.8898276914193288E-2</v>
      </c>
      <c r="BH402">
        <v>0</v>
      </c>
      <c r="BS402" s="79" t="s">
        <v>464</v>
      </c>
      <c r="BT402" s="79" t="s">
        <v>464</v>
      </c>
      <c r="CA402" t="e">
        <f t="shared" si="53"/>
        <v>#NUM!</v>
      </c>
    </row>
    <row r="403" spans="1:79" x14ac:dyDescent="0.3">
      <c r="A403" s="5" t="s">
        <v>20</v>
      </c>
      <c r="B403" s="38" t="s">
        <v>706</v>
      </c>
      <c r="C403" s="39"/>
      <c r="D403" s="5">
        <v>3.42</v>
      </c>
      <c r="E403" s="5" t="s">
        <v>235</v>
      </c>
      <c r="F403" s="40">
        <v>-2</v>
      </c>
      <c r="G403" s="5" t="s">
        <v>1168</v>
      </c>
      <c r="H403" s="5"/>
      <c r="I403" s="5"/>
      <c r="J403" s="41">
        <v>0</v>
      </c>
      <c r="K403">
        <v>0</v>
      </c>
      <c r="L403">
        <v>4</v>
      </c>
      <c r="M403" s="5"/>
      <c r="N403" s="5"/>
      <c r="O403" s="5"/>
      <c r="P403" s="5" t="s">
        <v>450</v>
      </c>
      <c r="Q403" s="5"/>
      <c r="R403" s="41">
        <v>0</v>
      </c>
      <c r="S403" s="41"/>
      <c r="T403" s="41"/>
      <c r="U403">
        <v>0</v>
      </c>
      <c r="X403">
        <v>24.556999999999999</v>
      </c>
      <c r="Y403">
        <v>5.5289999999999999</v>
      </c>
      <c r="Z403">
        <v>5.5289999999999999</v>
      </c>
      <c r="AA403" s="5"/>
      <c r="AB403" s="5">
        <v>18</v>
      </c>
      <c r="AC403" s="55">
        <f t="shared" si="51"/>
        <v>0</v>
      </c>
      <c r="AD403" s="57">
        <v>0</v>
      </c>
      <c r="AE403" s="55">
        <v>0</v>
      </c>
      <c r="AF403" s="55">
        <f t="shared" si="55"/>
        <v>750.7035854369999</v>
      </c>
      <c r="AG403" s="52"/>
      <c r="AH403" s="51"/>
      <c r="AI403" s="52"/>
      <c r="AJ403" s="67">
        <f t="shared" si="56"/>
        <v>9.5910025470422294E-2</v>
      </c>
      <c r="AK403" s="5">
        <v>1.8666666666666669</v>
      </c>
      <c r="AL403" s="5">
        <v>2.8</v>
      </c>
      <c r="AM403" s="5">
        <v>1.8666666666666669</v>
      </c>
      <c r="AN403" s="5">
        <v>1.8666666666666669</v>
      </c>
      <c r="AO403" s="5">
        <v>0.22222222222222221</v>
      </c>
      <c r="AP403" s="5">
        <v>0.33333333333333331</v>
      </c>
      <c r="AQ403" s="5">
        <v>0.22222222222222221</v>
      </c>
      <c r="AR403" s="5">
        <v>0.22222222222222221</v>
      </c>
      <c r="AS403" s="41">
        <v>0.95</v>
      </c>
      <c r="AT403" s="41">
        <v>3.44</v>
      </c>
      <c r="AU403" s="41">
        <v>2.4900000000000002</v>
      </c>
      <c r="AV403" s="41">
        <v>2.6733333333333329</v>
      </c>
      <c r="AW403" s="5">
        <v>2.6733333333333329</v>
      </c>
      <c r="AX403" s="5">
        <v>5.9671526619999993</v>
      </c>
      <c r="AY403" s="75"/>
      <c r="AZ403" s="75"/>
      <c r="BA403" s="75"/>
      <c r="BE403">
        <v>4.7955012735211147E-2</v>
      </c>
      <c r="BF403">
        <v>9.5910025470422294E-2</v>
      </c>
      <c r="BG403">
        <v>4.7955012735211147E-2</v>
      </c>
      <c r="BH403">
        <v>0</v>
      </c>
      <c r="BS403" s="79" t="s">
        <v>464</v>
      </c>
      <c r="BT403" s="79" t="s">
        <v>464</v>
      </c>
      <c r="CA403" t="e">
        <f t="shared" si="53"/>
        <v>#NUM!</v>
      </c>
    </row>
    <row r="404" spans="1:79" x14ac:dyDescent="0.3">
      <c r="A404" s="5" t="s">
        <v>21</v>
      </c>
      <c r="B404" s="38" t="s">
        <v>707</v>
      </c>
      <c r="C404" s="39"/>
      <c r="D404" s="5">
        <v>2.82</v>
      </c>
      <c r="E404" s="5" t="s">
        <v>235</v>
      </c>
      <c r="F404" s="40">
        <v>-2</v>
      </c>
      <c r="G404" s="5" t="s">
        <v>1169</v>
      </c>
      <c r="H404" s="5"/>
      <c r="I404" s="5"/>
      <c r="J404" s="41">
        <v>0</v>
      </c>
      <c r="K404">
        <v>0</v>
      </c>
      <c r="L404">
        <v>4</v>
      </c>
      <c r="M404" s="5"/>
      <c r="N404" s="5"/>
      <c r="O404" s="5"/>
      <c r="P404" s="5" t="s">
        <v>440</v>
      </c>
      <c r="Q404" s="5"/>
      <c r="R404" s="41">
        <v>0</v>
      </c>
      <c r="S404" s="41"/>
      <c r="T404" s="41"/>
      <c r="U404">
        <v>0</v>
      </c>
      <c r="X404">
        <v>25.574999999999999</v>
      </c>
      <c r="Y404">
        <v>5.5629999999999997</v>
      </c>
      <c r="Z404">
        <v>5.5629999999999997</v>
      </c>
      <c r="AA404" s="5"/>
      <c r="AB404" s="5">
        <v>18</v>
      </c>
      <c r="AC404" s="55">
        <f t="shared" si="51"/>
        <v>0</v>
      </c>
      <c r="AD404" s="57">
        <v>0</v>
      </c>
      <c r="AE404" s="55">
        <v>0</v>
      </c>
      <c r="AF404" s="55">
        <f t="shared" si="55"/>
        <v>791.4687321749999</v>
      </c>
      <c r="AG404" s="52"/>
      <c r="AH404" s="51"/>
      <c r="AI404" s="52"/>
      <c r="AJ404" s="67">
        <f t="shared" si="56"/>
        <v>9.0970112997565952E-2</v>
      </c>
      <c r="AK404" s="5">
        <v>1.8666666666666669</v>
      </c>
      <c r="AL404" s="5">
        <v>2.8</v>
      </c>
      <c r="AM404" s="5">
        <v>1.8666666666666669</v>
      </c>
      <c r="AN404" s="5">
        <v>1.8666666666666669</v>
      </c>
      <c r="AO404" s="5">
        <v>0.22222222222222221</v>
      </c>
      <c r="AP404" s="5">
        <v>0.33333333333333331</v>
      </c>
      <c r="AQ404" s="5">
        <v>0.22222222222222221</v>
      </c>
      <c r="AR404" s="5">
        <v>0.22222222222222221</v>
      </c>
      <c r="AS404" s="41">
        <v>0.89</v>
      </c>
      <c r="AT404" s="41">
        <v>3.44</v>
      </c>
      <c r="AU404" s="41">
        <v>2.5499999999999998</v>
      </c>
      <c r="AV404" s="41">
        <v>2.6653333333333342</v>
      </c>
      <c r="AW404" s="5">
        <v>2.6653333333333329</v>
      </c>
      <c r="AX404" s="5">
        <v>5.9411098053333333</v>
      </c>
      <c r="AY404" s="75"/>
      <c r="AZ404" s="75"/>
      <c r="BA404" s="75"/>
      <c r="BE404">
        <v>4.5485056498782983E-2</v>
      </c>
      <c r="BF404">
        <v>9.0970112997565952E-2</v>
      </c>
      <c r="BG404">
        <v>4.5485056498782983E-2</v>
      </c>
      <c r="BH404">
        <v>0</v>
      </c>
      <c r="BS404" s="79" t="s">
        <v>464</v>
      </c>
      <c r="BT404" s="79" t="s">
        <v>464</v>
      </c>
      <c r="CA404" t="e">
        <f t="shared" si="53"/>
        <v>#NUM!</v>
      </c>
    </row>
    <row r="405" spans="1:79" x14ac:dyDescent="0.3">
      <c r="A405" s="2" t="s">
        <v>19</v>
      </c>
      <c r="B405" s="37" t="s">
        <v>705</v>
      </c>
      <c r="C405" s="13"/>
      <c r="D405" s="2">
        <v>3.51</v>
      </c>
      <c r="E405" s="2" t="s">
        <v>235</v>
      </c>
      <c r="F405" s="9">
        <v>-1</v>
      </c>
      <c r="G405" t="s">
        <v>1167</v>
      </c>
      <c r="I405" s="2"/>
      <c r="J405" s="25">
        <v>0</v>
      </c>
      <c r="K405">
        <v>0</v>
      </c>
      <c r="L405">
        <v>4</v>
      </c>
      <c r="M405" s="2"/>
      <c r="N405" s="2"/>
      <c r="O405" s="2"/>
      <c r="P405" s="2" t="s">
        <v>450</v>
      </c>
      <c r="Q405" s="2"/>
      <c r="R405" s="25">
        <v>0</v>
      </c>
      <c r="S405" s="25"/>
      <c r="T405" s="25"/>
      <c r="U405">
        <v>0</v>
      </c>
      <c r="X405">
        <v>24.8627</v>
      </c>
      <c r="Y405">
        <v>5.4355000000000002</v>
      </c>
      <c r="Z405">
        <v>5.4478</v>
      </c>
      <c r="AA405" s="2"/>
      <c r="AB405">
        <v>18</v>
      </c>
      <c r="AC405" s="55">
        <f t="shared" si="51"/>
        <v>0</v>
      </c>
      <c r="AD405" s="57">
        <v>0</v>
      </c>
      <c r="AE405" s="55">
        <v>0</v>
      </c>
      <c r="AF405" s="55">
        <f t="shared" si="55"/>
        <v>736.22226122963002</v>
      </c>
      <c r="AG405" s="52"/>
      <c r="AH405" s="51"/>
      <c r="AI405" s="52"/>
      <c r="AJ405" s="67">
        <f t="shared" si="56"/>
        <v>9.7796553828386576E-2</v>
      </c>
      <c r="AK405" s="28">
        <v>1.8666666666666669</v>
      </c>
      <c r="AL405" s="28">
        <v>2.8</v>
      </c>
      <c r="AM405" s="28">
        <v>1.8666666666666669</v>
      </c>
      <c r="AN405" s="28">
        <v>1.8666666666666669</v>
      </c>
      <c r="AO405" s="28">
        <v>0.22222222222222221</v>
      </c>
      <c r="AP405" s="28">
        <v>0.33333333333333331</v>
      </c>
      <c r="AQ405" s="28">
        <v>0.22222222222222221</v>
      </c>
      <c r="AR405" s="28">
        <v>0.22222222222222221</v>
      </c>
      <c r="AS405" s="25">
        <v>1</v>
      </c>
      <c r="AT405" s="25">
        <v>3.44</v>
      </c>
      <c r="AU405" s="25">
        <v>2.44</v>
      </c>
      <c r="AV405" s="25">
        <v>2.68</v>
      </c>
      <c r="AW405">
        <v>2.68</v>
      </c>
      <c r="AX405">
        <v>5.9932041966666656</v>
      </c>
      <c r="AY405" s="75"/>
      <c r="AZ405" s="75"/>
      <c r="BA405" s="75"/>
      <c r="BE405">
        <v>4.8898276914193288E-2</v>
      </c>
      <c r="BF405">
        <v>9.7796553828386576E-2</v>
      </c>
      <c r="BG405">
        <v>4.8898276914193288E-2</v>
      </c>
      <c r="BH405">
        <v>0</v>
      </c>
      <c r="BS405" s="79" t="s">
        <v>464</v>
      </c>
      <c r="BT405" s="79" t="s">
        <v>464</v>
      </c>
      <c r="CA405" t="e">
        <f t="shared" si="53"/>
        <v>#NUM!</v>
      </c>
    </row>
    <row r="406" spans="1:79" x14ac:dyDescent="0.3">
      <c r="A406" s="2" t="s">
        <v>20</v>
      </c>
      <c r="B406" s="37" t="s">
        <v>706</v>
      </c>
      <c r="C406" s="13"/>
      <c r="D406" s="2">
        <v>3.48</v>
      </c>
      <c r="E406" s="2" t="s">
        <v>235</v>
      </c>
      <c r="F406" s="9">
        <v>-1</v>
      </c>
      <c r="G406" t="s">
        <v>1168</v>
      </c>
      <c r="I406" s="2"/>
      <c r="J406" s="25">
        <v>0</v>
      </c>
      <c r="K406">
        <v>0</v>
      </c>
      <c r="L406">
        <v>4</v>
      </c>
      <c r="M406" s="2"/>
      <c r="N406" s="2"/>
      <c r="O406" s="2"/>
      <c r="P406" s="2" t="s">
        <v>450</v>
      </c>
      <c r="Q406" s="2"/>
      <c r="R406" s="25">
        <v>0</v>
      </c>
      <c r="S406" s="25"/>
      <c r="T406" s="25"/>
      <c r="U406">
        <v>0</v>
      </c>
      <c r="X406">
        <v>24.556999999999999</v>
      </c>
      <c r="Y406">
        <v>5.5289999999999999</v>
      </c>
      <c r="Z406">
        <v>5.5289999999999999</v>
      </c>
      <c r="AA406" s="2"/>
      <c r="AB406">
        <v>18</v>
      </c>
      <c r="AC406" s="55">
        <f t="shared" si="51"/>
        <v>0</v>
      </c>
      <c r="AD406" s="57">
        <v>0</v>
      </c>
      <c r="AE406" s="55">
        <v>0</v>
      </c>
      <c r="AF406" s="55">
        <f t="shared" si="55"/>
        <v>750.7035854369999</v>
      </c>
      <c r="AG406" s="52"/>
      <c r="AH406" s="51"/>
      <c r="AI406" s="52"/>
      <c r="AJ406" s="67">
        <f t="shared" si="56"/>
        <v>9.5910025470422294E-2</v>
      </c>
      <c r="AK406" s="28">
        <v>1.8666666666666669</v>
      </c>
      <c r="AL406" s="28">
        <v>2.8</v>
      </c>
      <c r="AM406" s="28">
        <v>1.8666666666666669</v>
      </c>
      <c r="AN406" s="28">
        <v>1.8666666666666669</v>
      </c>
      <c r="AO406" s="28">
        <v>0.22222222222222221</v>
      </c>
      <c r="AP406" s="28">
        <v>0.33333333333333331</v>
      </c>
      <c r="AQ406" s="28">
        <v>0.22222222222222221</v>
      </c>
      <c r="AR406" s="28">
        <v>0.22222222222222221</v>
      </c>
      <c r="AS406" s="25">
        <v>0.95</v>
      </c>
      <c r="AT406" s="25">
        <v>3.44</v>
      </c>
      <c r="AU406" s="25">
        <v>2.4900000000000002</v>
      </c>
      <c r="AV406" s="25">
        <v>2.6733333333333329</v>
      </c>
      <c r="AW406">
        <v>2.6733333333333329</v>
      </c>
      <c r="AX406">
        <v>5.9671526619999993</v>
      </c>
      <c r="AY406" s="75"/>
      <c r="AZ406" s="75"/>
      <c r="BA406" s="75"/>
      <c r="BE406">
        <v>4.7955012735211147E-2</v>
      </c>
      <c r="BF406">
        <v>9.5910025470422294E-2</v>
      </c>
      <c r="BG406">
        <v>4.7955012735211147E-2</v>
      </c>
      <c r="BH406">
        <v>0</v>
      </c>
      <c r="BS406" s="79" t="s">
        <v>464</v>
      </c>
      <c r="BT406" s="79" t="s">
        <v>464</v>
      </c>
      <c r="CA406" t="e">
        <f t="shared" si="53"/>
        <v>#NUM!</v>
      </c>
    </row>
    <row r="407" spans="1:79" x14ac:dyDescent="0.3">
      <c r="A407" s="2" t="s">
        <v>21</v>
      </c>
      <c r="B407" s="37" t="s">
        <v>707</v>
      </c>
      <c r="C407" s="13"/>
      <c r="D407" s="2">
        <v>3.08</v>
      </c>
      <c r="E407" s="2" t="s">
        <v>235</v>
      </c>
      <c r="F407" s="9">
        <v>-1</v>
      </c>
      <c r="G407" t="s">
        <v>1169</v>
      </c>
      <c r="I407" s="2"/>
      <c r="J407" s="25">
        <v>0</v>
      </c>
      <c r="K407">
        <v>0</v>
      </c>
      <c r="L407">
        <v>4</v>
      </c>
      <c r="M407" s="2"/>
      <c r="N407" s="2"/>
      <c r="O407" s="2"/>
      <c r="P407" s="2" t="s">
        <v>440</v>
      </c>
      <c r="Q407" s="2"/>
      <c r="R407" s="25">
        <v>0</v>
      </c>
      <c r="S407" s="25"/>
      <c r="T407" s="25"/>
      <c r="U407">
        <v>0</v>
      </c>
      <c r="X407">
        <v>25.574999999999999</v>
      </c>
      <c r="Y407">
        <v>5.5629999999999997</v>
      </c>
      <c r="Z407">
        <v>5.5629999999999997</v>
      </c>
      <c r="AA407" s="2"/>
      <c r="AB407">
        <v>18</v>
      </c>
      <c r="AC407" s="55">
        <f t="shared" si="51"/>
        <v>0</v>
      </c>
      <c r="AD407" s="57">
        <v>0</v>
      </c>
      <c r="AE407" s="55">
        <v>0</v>
      </c>
      <c r="AF407" s="55">
        <f t="shared" si="55"/>
        <v>791.4687321749999</v>
      </c>
      <c r="AG407" s="52"/>
      <c r="AH407" s="51"/>
      <c r="AI407" s="52"/>
      <c r="AJ407" s="67">
        <f t="shared" si="56"/>
        <v>9.0970112997565952E-2</v>
      </c>
      <c r="AK407" s="28">
        <v>1.8666666666666669</v>
      </c>
      <c r="AL407" s="28">
        <v>2.8</v>
      </c>
      <c r="AM407" s="28">
        <v>1.8666666666666669</v>
      </c>
      <c r="AN407" s="28">
        <v>1.8666666666666669</v>
      </c>
      <c r="AO407" s="28">
        <v>0.22222222222222221</v>
      </c>
      <c r="AP407" s="28">
        <v>0.33333333333333331</v>
      </c>
      <c r="AQ407" s="28">
        <v>0.22222222222222221</v>
      </c>
      <c r="AR407" s="28">
        <v>0.22222222222222221</v>
      </c>
      <c r="AS407" s="25">
        <v>0.89</v>
      </c>
      <c r="AT407" s="25">
        <v>3.44</v>
      </c>
      <c r="AU407" s="25">
        <v>2.5499999999999998</v>
      </c>
      <c r="AV407" s="25">
        <v>2.6653333333333342</v>
      </c>
      <c r="AW407">
        <v>2.6653333333333329</v>
      </c>
      <c r="AX407">
        <v>5.9411098053333333</v>
      </c>
      <c r="AY407" s="75"/>
      <c r="AZ407" s="75"/>
      <c r="BA407" s="75"/>
      <c r="BE407">
        <v>4.5485056498782983E-2</v>
      </c>
      <c r="BF407">
        <v>9.0970112997565952E-2</v>
      </c>
      <c r="BG407">
        <v>4.5485056498782983E-2</v>
      </c>
      <c r="BH407">
        <v>0</v>
      </c>
      <c r="BS407" s="79" t="s">
        <v>464</v>
      </c>
      <c r="BT407" s="79" t="s">
        <v>464</v>
      </c>
      <c r="CA407" t="e">
        <f t="shared" si="53"/>
        <v>#NUM!</v>
      </c>
    </row>
    <row r="408" spans="1:79" x14ac:dyDescent="0.3">
      <c r="A408" s="2" t="s">
        <v>236</v>
      </c>
      <c r="B408" s="13" t="s">
        <v>810</v>
      </c>
      <c r="C408" s="13"/>
      <c r="D408" s="2">
        <v>4.5999999999999996</v>
      </c>
      <c r="E408" s="2" t="s">
        <v>238</v>
      </c>
      <c r="F408" s="9" t="s">
        <v>586</v>
      </c>
      <c r="G408" t="s">
        <v>662</v>
      </c>
      <c r="I408" s="2"/>
      <c r="J408" s="25">
        <v>8</v>
      </c>
      <c r="K408">
        <v>1</v>
      </c>
      <c r="L408">
        <v>0</v>
      </c>
      <c r="M408" s="2"/>
      <c r="N408" s="2"/>
      <c r="O408" s="2"/>
      <c r="P408" s="2"/>
      <c r="Q408" s="2"/>
      <c r="R408" s="25">
        <v>7.5714817599999993</v>
      </c>
      <c r="S408" s="25">
        <v>7.4441355800000002</v>
      </c>
      <c r="T408" s="25">
        <v>14.785262019999999</v>
      </c>
      <c r="U408">
        <v>10.442</v>
      </c>
      <c r="V408">
        <v>10.442</v>
      </c>
      <c r="W408">
        <v>10.442</v>
      </c>
      <c r="X408">
        <v>0</v>
      </c>
      <c r="AA408" s="2"/>
      <c r="AB408">
        <v>12</v>
      </c>
      <c r="AC408" s="55">
        <f t="shared" si="51"/>
        <v>0</v>
      </c>
      <c r="AD408" s="57">
        <v>583.54908217201648</v>
      </c>
      <c r="AE408" s="55">
        <v>1138.547270888</v>
      </c>
      <c r="AF408" s="55">
        <v>0</v>
      </c>
      <c r="AG408" s="52"/>
      <c r="AH408" s="51">
        <v>0.1645105834845636</v>
      </c>
      <c r="AI408" s="52">
        <v>1.053974683953237E-2</v>
      </c>
      <c r="AJ408" s="52"/>
      <c r="AK408" s="28">
        <v>1.8</v>
      </c>
      <c r="AL408" s="28">
        <v>2.4</v>
      </c>
      <c r="AM408" s="28">
        <v>0.6</v>
      </c>
      <c r="AN408" s="28">
        <v>2.8</v>
      </c>
      <c r="AO408" s="28">
        <v>0.23684210526315791</v>
      </c>
      <c r="AP408" s="28">
        <v>0.31578947368421051</v>
      </c>
      <c r="AQ408" s="28">
        <v>7.8947368421052627E-2</v>
      </c>
      <c r="AR408" s="28">
        <v>0.36842105263157893</v>
      </c>
      <c r="AS408" s="25">
        <v>0.93</v>
      </c>
      <c r="AT408" s="25">
        <v>3.44</v>
      </c>
      <c r="AU408" s="25">
        <v>2.5099999999999998</v>
      </c>
      <c r="AV408" s="25">
        <v>2.5499999999999998</v>
      </c>
      <c r="AW408">
        <v>2.5499999999999998</v>
      </c>
      <c r="AX408">
        <v>5.8797175109999991</v>
      </c>
      <c r="AY408" s="75">
        <v>0.46150059156666667</v>
      </c>
      <c r="AZ408" s="75"/>
      <c r="BA408" s="75"/>
      <c r="BC408">
        <v>8.2255291742281814E-2</v>
      </c>
      <c r="BD408">
        <v>5.2698734197661841E-3</v>
      </c>
      <c r="BF408">
        <v>8.7525165162047988E-2</v>
      </c>
      <c r="BG408">
        <v>4.3762582581024001E-2</v>
      </c>
      <c r="BH408">
        <v>0.46150059156666667</v>
      </c>
      <c r="BS408" s="79" t="s">
        <v>464</v>
      </c>
      <c r="BT408" s="79" t="s">
        <v>464</v>
      </c>
      <c r="CA408" t="e">
        <f t="shared" si="53"/>
        <v>#NUM!</v>
      </c>
    </row>
    <row r="409" spans="1:79" x14ac:dyDescent="0.3">
      <c r="A409" s="2" t="s">
        <v>237</v>
      </c>
      <c r="B409" s="13" t="s">
        <v>811</v>
      </c>
      <c r="C409" s="13"/>
      <c r="D409" s="2">
        <v>4.5</v>
      </c>
      <c r="E409" s="2" t="s">
        <v>238</v>
      </c>
      <c r="F409" s="9" t="s">
        <v>563</v>
      </c>
      <c r="G409">
        <v>-1</v>
      </c>
      <c r="I409" s="2"/>
      <c r="J409" s="25">
        <v>1</v>
      </c>
      <c r="K409">
        <v>0</v>
      </c>
      <c r="L409">
        <v>0</v>
      </c>
      <c r="M409" s="2"/>
      <c r="N409" s="2"/>
      <c r="O409" s="2"/>
      <c r="P409" s="2"/>
      <c r="Q409" s="2"/>
      <c r="R409" s="25">
        <v>3.9948813699999999</v>
      </c>
      <c r="S409" s="25">
        <v>3.9948813699999999</v>
      </c>
      <c r="T409" s="25">
        <v>3.9948813699999999</v>
      </c>
      <c r="U409">
        <v>0</v>
      </c>
      <c r="X409">
        <v>0</v>
      </c>
      <c r="AA409" s="2"/>
      <c r="AB409">
        <v>12</v>
      </c>
      <c r="AC409" s="55">
        <f t="shared" si="51"/>
        <v>0</v>
      </c>
      <c r="AD409" s="57">
        <v>63.754620030366901</v>
      </c>
      <c r="AE409" s="55">
        <v>0</v>
      </c>
      <c r="AF409" s="55">
        <v>0</v>
      </c>
      <c r="AG409" s="52"/>
      <c r="AH409" s="51">
        <v>0.18822165349404149</v>
      </c>
      <c r="AI409" s="52"/>
      <c r="AJ409" s="52"/>
      <c r="AK409" s="28">
        <v>1.8</v>
      </c>
      <c r="AL409" s="28">
        <v>2.4</v>
      </c>
      <c r="AM409" s="28">
        <v>0.6</v>
      </c>
      <c r="AN409" s="28">
        <v>2.8</v>
      </c>
      <c r="AO409" s="28">
        <v>0.23684210526315791</v>
      </c>
      <c r="AP409" s="28">
        <v>0.31578947368421051</v>
      </c>
      <c r="AQ409" s="28">
        <v>7.8947368421052627E-2</v>
      </c>
      <c r="AR409" s="28">
        <v>0.36842105263157893</v>
      </c>
      <c r="AS409" s="25">
        <v>0.82</v>
      </c>
      <c r="AT409" s="25">
        <v>3.44</v>
      </c>
      <c r="AU409" s="25">
        <v>2.62</v>
      </c>
      <c r="AV409" s="25">
        <v>2.528</v>
      </c>
      <c r="AW409">
        <v>2.528</v>
      </c>
      <c r="AX409">
        <v>5.7952294759999994</v>
      </c>
      <c r="AY409" s="75">
        <v>0.65619545508850963</v>
      </c>
      <c r="AZ409" s="75"/>
      <c r="BA409" s="75"/>
      <c r="BC409">
        <v>9.4110826747020773E-2</v>
      </c>
      <c r="BF409">
        <v>0.18822165349404149</v>
      </c>
      <c r="BG409">
        <v>9.4110826747020773E-2</v>
      </c>
      <c r="BH409">
        <v>0.65619545508850963</v>
      </c>
      <c r="BS409" s="79" t="s">
        <v>464</v>
      </c>
      <c r="BT409" s="79" t="s">
        <v>464</v>
      </c>
      <c r="CA409" t="e">
        <f t="shared" si="53"/>
        <v>#NUM!</v>
      </c>
    </row>
    <row r="410" spans="1:79" x14ac:dyDescent="0.3">
      <c r="A410" s="2" t="s">
        <v>239</v>
      </c>
      <c r="B410" s="13" t="s">
        <v>812</v>
      </c>
      <c r="C410" s="13"/>
      <c r="D410" s="2">
        <v>4.4000000000000004</v>
      </c>
      <c r="E410" s="2" t="s">
        <v>238</v>
      </c>
      <c r="F410" s="9" t="s">
        <v>590</v>
      </c>
      <c r="G410" t="s">
        <v>663</v>
      </c>
      <c r="I410" s="2"/>
      <c r="J410" s="25">
        <v>16</v>
      </c>
      <c r="K410">
        <v>8</v>
      </c>
      <c r="L410">
        <v>0</v>
      </c>
      <c r="M410" s="2"/>
      <c r="N410" s="2"/>
      <c r="O410" s="2"/>
      <c r="P410" s="2"/>
      <c r="Q410" s="2"/>
      <c r="R410" s="25">
        <v>7.4248940299999999</v>
      </c>
      <c r="S410" s="25">
        <v>7.4248940300000008</v>
      </c>
      <c r="T410" s="25">
        <v>48.809404000000001</v>
      </c>
      <c r="U410">
        <v>10.37</v>
      </c>
      <c r="V410">
        <v>10.37</v>
      </c>
      <c r="W410">
        <v>10.37</v>
      </c>
      <c r="X410">
        <v>0</v>
      </c>
      <c r="AA410" s="2"/>
      <c r="AB410">
        <v>14</v>
      </c>
      <c r="AC410" s="55">
        <f t="shared" si="51"/>
        <v>0</v>
      </c>
      <c r="AD410" s="57">
        <v>2333.5692942103669</v>
      </c>
      <c r="AE410" s="55">
        <v>1115.157653</v>
      </c>
      <c r="AF410" s="55">
        <v>0</v>
      </c>
      <c r="AG410" s="52"/>
      <c r="AH410" s="51">
        <v>9.5990292876988306E-2</v>
      </c>
      <c r="AI410" s="52">
        <v>0.10043422981378219</v>
      </c>
      <c r="AJ410" s="52"/>
      <c r="AK410" s="28">
        <v>2</v>
      </c>
      <c r="AL410" s="28">
        <v>2.545454545454545</v>
      </c>
      <c r="AM410" s="28">
        <v>0.54545454545454541</v>
      </c>
      <c r="AN410" s="28">
        <v>2.545454545454545</v>
      </c>
      <c r="AO410" s="28">
        <v>0.26190476190476192</v>
      </c>
      <c r="AP410" s="28">
        <v>0.33333333333333331</v>
      </c>
      <c r="AQ410" s="28">
        <v>7.1428571428571425E-2</v>
      </c>
      <c r="AR410" s="28">
        <v>0.33333333333333331</v>
      </c>
      <c r="AS410" s="25">
        <v>1</v>
      </c>
      <c r="AT410" s="25">
        <v>3.44</v>
      </c>
      <c r="AU410" s="25">
        <v>2.44</v>
      </c>
      <c r="AV410" s="25">
        <v>2.643636363636364</v>
      </c>
      <c r="AW410">
        <v>2.643636363636364</v>
      </c>
      <c r="AX410">
        <v>6.0715871381818181</v>
      </c>
      <c r="AY410" s="75">
        <v>0.51451783825131059</v>
      </c>
      <c r="AZ410" s="75">
        <v>0.53833779709834217</v>
      </c>
      <c r="BA410" s="75"/>
      <c r="BC410">
        <v>4.7995146438494153E-2</v>
      </c>
      <c r="BD410">
        <v>5.0217114906891097E-2</v>
      </c>
      <c r="BF410">
        <v>9.8212261345385243E-2</v>
      </c>
      <c r="BG410">
        <v>4.9106130672692622E-2</v>
      </c>
      <c r="BH410">
        <v>0.52642781767482638</v>
      </c>
      <c r="BS410" s="79" t="s">
        <v>464</v>
      </c>
      <c r="BT410" s="79" t="s">
        <v>464</v>
      </c>
      <c r="CA410" t="e">
        <f t="shared" si="53"/>
        <v>#NUM!</v>
      </c>
    </row>
    <row r="411" spans="1:79" x14ac:dyDescent="0.3">
      <c r="A411" s="2" t="s">
        <v>48</v>
      </c>
      <c r="B411" s="13" t="s">
        <v>724</v>
      </c>
      <c r="C411" s="13"/>
      <c r="D411" s="2">
        <v>4.0999999999999996</v>
      </c>
      <c r="E411" s="2" t="s">
        <v>238</v>
      </c>
      <c r="F411" s="9" t="s">
        <v>552</v>
      </c>
      <c r="G411" t="s">
        <v>630</v>
      </c>
      <c r="I411" s="2"/>
      <c r="J411" s="25">
        <v>2</v>
      </c>
      <c r="K411">
        <v>8</v>
      </c>
      <c r="L411">
        <v>0</v>
      </c>
      <c r="M411" s="2"/>
      <c r="N411" s="2"/>
      <c r="O411" s="2"/>
      <c r="P411" s="2"/>
      <c r="Q411" s="2"/>
      <c r="R411" s="25">
        <v>7.4836094600000003</v>
      </c>
      <c r="S411" s="25">
        <v>7.4836094600000003</v>
      </c>
      <c r="T411" s="25">
        <v>7.4836094600000003</v>
      </c>
      <c r="U411">
        <v>10.34</v>
      </c>
      <c r="V411">
        <v>10.34</v>
      </c>
      <c r="W411">
        <v>10.34</v>
      </c>
      <c r="X411">
        <v>0</v>
      </c>
      <c r="AA411" s="2"/>
      <c r="AB411">
        <v>14</v>
      </c>
      <c r="AC411" s="55">
        <f t="shared" si="51"/>
        <v>0</v>
      </c>
      <c r="AD411" s="57">
        <v>296.35915518228359</v>
      </c>
      <c r="AE411" s="55">
        <v>1105.507304</v>
      </c>
      <c r="AF411" s="55">
        <v>0</v>
      </c>
      <c r="AG411" s="52"/>
      <c r="AH411" s="51">
        <v>9.4479956196318104E-2</v>
      </c>
      <c r="AI411" s="52">
        <v>0.1013109543417363</v>
      </c>
      <c r="AJ411" s="52"/>
      <c r="AK411" s="28">
        <v>1.8181818181818179</v>
      </c>
      <c r="AL411" s="28">
        <v>2.545454545454545</v>
      </c>
      <c r="AM411" s="28">
        <v>0.72727272727272729</v>
      </c>
      <c r="AN411" s="28">
        <v>0</v>
      </c>
      <c r="AO411" s="28">
        <v>0.35714285714285721</v>
      </c>
      <c r="AP411" s="28">
        <v>0.5</v>
      </c>
      <c r="AQ411" s="28">
        <v>0.1428571428571429</v>
      </c>
      <c r="AR411" s="28">
        <v>0</v>
      </c>
      <c r="AS411" s="25">
        <v>1</v>
      </c>
      <c r="AT411" s="25">
        <v>3.44</v>
      </c>
      <c r="AU411" s="25">
        <v>2.44</v>
      </c>
      <c r="AV411" s="25">
        <v>2.6618181818181821</v>
      </c>
      <c r="AW411">
        <v>2.6618181818181821</v>
      </c>
      <c r="AX411">
        <v>6.0537295018181814</v>
      </c>
      <c r="AY411" s="75">
        <v>0.50642227837041764</v>
      </c>
      <c r="AZ411" s="75">
        <v>0.5430371307011983</v>
      </c>
      <c r="BA411" s="75"/>
      <c r="BC411">
        <v>4.7239978098159073E-2</v>
      </c>
      <c r="BD411">
        <v>5.0655477170868157E-2</v>
      </c>
      <c r="BF411">
        <v>9.789545526902721E-2</v>
      </c>
      <c r="BG411">
        <v>4.8947727634513619E-2</v>
      </c>
      <c r="BH411">
        <v>0.52472970453580792</v>
      </c>
      <c r="BS411" s="79" t="s">
        <v>464</v>
      </c>
      <c r="BT411" s="79" t="s">
        <v>464</v>
      </c>
      <c r="CA411" t="e">
        <f t="shared" si="53"/>
        <v>#NUM!</v>
      </c>
    </row>
    <row r="412" spans="1:79" x14ac:dyDescent="0.3">
      <c r="A412" s="2" t="s">
        <v>46</v>
      </c>
      <c r="B412" s="13" t="s">
        <v>722</v>
      </c>
      <c r="C412" s="13"/>
      <c r="D412" s="2">
        <v>3.31</v>
      </c>
      <c r="E412" s="2" t="s">
        <v>240</v>
      </c>
      <c r="F412" s="9" t="s">
        <v>551</v>
      </c>
      <c r="G412" t="s">
        <v>629</v>
      </c>
      <c r="I412" s="2"/>
      <c r="J412" s="25">
        <v>2</v>
      </c>
      <c r="K412">
        <v>4</v>
      </c>
      <c r="L412">
        <v>0</v>
      </c>
      <c r="M412" s="2"/>
      <c r="N412" s="2"/>
      <c r="O412" s="2"/>
      <c r="P412" s="2"/>
      <c r="Q412" s="2"/>
      <c r="R412" s="25">
        <v>7.41544296</v>
      </c>
      <c r="S412" s="25">
        <v>7.4154429599999991</v>
      </c>
      <c r="T412" s="25">
        <v>7.41544296</v>
      </c>
      <c r="U412">
        <v>7.8</v>
      </c>
      <c r="V412">
        <v>13.010999999999999</v>
      </c>
      <c r="W412">
        <v>5.5460000000000003</v>
      </c>
      <c r="X412">
        <v>0</v>
      </c>
      <c r="AA412" s="2"/>
      <c r="AB412">
        <v>14</v>
      </c>
      <c r="AC412" s="55">
        <f t="shared" si="51"/>
        <v>0</v>
      </c>
      <c r="AD412" s="57">
        <v>288.33429290182369</v>
      </c>
      <c r="AE412" s="55">
        <v>556.51188553357167</v>
      </c>
      <c r="AF412" s="55">
        <v>0</v>
      </c>
      <c r="AG412" s="52"/>
      <c r="AH412" s="51">
        <v>9.7109503410799117E-2</v>
      </c>
      <c r="AI412" s="52">
        <v>0.10062678166578309</v>
      </c>
      <c r="AJ412" s="52"/>
      <c r="AK412" s="28">
        <v>2</v>
      </c>
      <c r="AL412" s="28">
        <v>2.545454545454545</v>
      </c>
      <c r="AM412" s="28">
        <v>0.54545454545454541</v>
      </c>
      <c r="AN412" s="28">
        <v>0</v>
      </c>
      <c r="AO412" s="28">
        <v>0.39285714285714279</v>
      </c>
      <c r="AP412" s="28">
        <v>0.5</v>
      </c>
      <c r="AQ412" s="28">
        <v>0.1071428571428571</v>
      </c>
      <c r="AR412" s="28">
        <v>0</v>
      </c>
      <c r="AS412" s="25">
        <v>1.1000000000000001</v>
      </c>
      <c r="AT412" s="25">
        <v>3.44</v>
      </c>
      <c r="AU412" s="25">
        <v>2.34</v>
      </c>
      <c r="AV412" s="25">
        <v>2.669090909090909</v>
      </c>
      <c r="AW412">
        <v>2.669090909090909</v>
      </c>
      <c r="AX412">
        <v>5.9831974772727277</v>
      </c>
      <c r="AY412" s="75">
        <v>0.52442413903612473</v>
      </c>
      <c r="AZ412" s="75">
        <v>0.54341863036636606</v>
      </c>
      <c r="BA412" s="75"/>
      <c r="BC412">
        <v>4.8554751705399558E-2</v>
      </c>
      <c r="BD412">
        <v>5.0313390832891547E-2</v>
      </c>
      <c r="BF412">
        <v>9.8868142538291098E-2</v>
      </c>
      <c r="BG412">
        <v>4.9434071269145549E-2</v>
      </c>
      <c r="BH412">
        <v>0.53392138470124539</v>
      </c>
      <c r="BS412" s="79" t="s">
        <v>464</v>
      </c>
      <c r="BT412" s="79" t="s">
        <v>464</v>
      </c>
      <c r="CA412" t="e">
        <f t="shared" si="53"/>
        <v>#NUM!</v>
      </c>
    </row>
    <row r="413" spans="1:79" x14ac:dyDescent="0.3">
      <c r="A413" s="2" t="s">
        <v>220</v>
      </c>
      <c r="B413" s="13" t="s">
        <v>807</v>
      </c>
      <c r="C413" s="13"/>
      <c r="D413" s="2">
        <v>4.5</v>
      </c>
      <c r="E413" s="2" t="s">
        <v>242</v>
      </c>
      <c r="F413" s="9" t="s">
        <v>588</v>
      </c>
      <c r="G413" t="s">
        <v>661</v>
      </c>
      <c r="I413" s="2"/>
      <c r="J413" s="25">
        <v>1</v>
      </c>
      <c r="K413">
        <v>1</v>
      </c>
      <c r="L413">
        <v>0</v>
      </c>
      <c r="M413" s="2"/>
      <c r="N413" s="2"/>
      <c r="O413" s="2"/>
      <c r="P413" s="2"/>
      <c r="Q413" s="2"/>
      <c r="R413" s="25">
        <v>5.81978595</v>
      </c>
      <c r="S413" s="25">
        <v>5.81978595</v>
      </c>
      <c r="T413" s="25">
        <v>11.88463337</v>
      </c>
      <c r="U413">
        <v>5.7759999999999998</v>
      </c>
      <c r="V413">
        <v>5.7759999999999998</v>
      </c>
      <c r="W413">
        <v>11.82</v>
      </c>
      <c r="X413">
        <v>0</v>
      </c>
      <c r="AA413" s="2"/>
      <c r="AB413">
        <v>30</v>
      </c>
      <c r="AC413" s="55">
        <f t="shared" si="51"/>
        <v>0</v>
      </c>
      <c r="AD413" s="57">
        <v>348.60249769877402</v>
      </c>
      <c r="AE413" s="55">
        <v>341.5092547488552</v>
      </c>
      <c r="AF413" s="55">
        <v>0</v>
      </c>
      <c r="AG413" s="52"/>
      <c r="AH413" s="51">
        <v>8.6057903193576313E-2</v>
      </c>
      <c r="AI413" s="52">
        <v>8.7845349965879851E-2</v>
      </c>
      <c r="AJ413" s="52"/>
      <c r="AK413" s="28">
        <v>2</v>
      </c>
      <c r="AL413" s="28">
        <v>2.5</v>
      </c>
      <c r="AM413" s="28">
        <v>0.5</v>
      </c>
      <c r="AN413" s="28">
        <v>2.333333333333333</v>
      </c>
      <c r="AO413" s="28">
        <v>0.27272727272727282</v>
      </c>
      <c r="AP413" s="28">
        <v>0.34090909090909088</v>
      </c>
      <c r="AQ413" s="28">
        <v>6.8181818181818191E-2</v>
      </c>
      <c r="AR413" s="28">
        <v>0.31818181818181818</v>
      </c>
      <c r="AS413" s="25">
        <v>0.89</v>
      </c>
      <c r="AT413" s="25">
        <v>3.44</v>
      </c>
      <c r="AU413" s="25">
        <v>2.5499999999999998</v>
      </c>
      <c r="AV413" s="25">
        <v>2.5854166666666671</v>
      </c>
      <c r="AW413">
        <v>2.5854166666666671</v>
      </c>
      <c r="AX413">
        <v>5.9262421145833333</v>
      </c>
      <c r="AY413" s="75">
        <v>0.58209579444379334</v>
      </c>
      <c r="AZ413" s="75">
        <v>0.59418608726221844</v>
      </c>
      <c r="BA413" s="75"/>
      <c r="BC413">
        <v>4.3028951596788149E-2</v>
      </c>
      <c r="BD413">
        <v>4.3922674982939933E-2</v>
      </c>
      <c r="BF413">
        <v>8.6951626579728075E-2</v>
      </c>
      <c r="BG413">
        <v>4.3475813289864038E-2</v>
      </c>
      <c r="BH413">
        <v>0.58814094085300583</v>
      </c>
      <c r="BS413" s="79" t="s">
        <v>464</v>
      </c>
      <c r="BT413" s="79" t="s">
        <v>464</v>
      </c>
      <c r="CA413" t="e">
        <f t="shared" si="53"/>
        <v>#NUM!</v>
      </c>
    </row>
    <row r="414" spans="1:79" x14ac:dyDescent="0.3">
      <c r="A414" s="2" t="s">
        <v>241</v>
      </c>
      <c r="B414" s="13" t="s">
        <v>813</v>
      </c>
      <c r="C414" s="13"/>
      <c r="D414" s="2">
        <v>4.2</v>
      </c>
      <c r="E414" s="2" t="s">
        <v>242</v>
      </c>
      <c r="F414" s="9">
        <v>-1</v>
      </c>
      <c r="G414" t="s">
        <v>664</v>
      </c>
      <c r="H414" t="s">
        <v>1170</v>
      </c>
      <c r="I414" s="2"/>
      <c r="J414" s="25">
        <v>0</v>
      </c>
      <c r="K414">
        <v>1</v>
      </c>
      <c r="L414">
        <v>0</v>
      </c>
      <c r="M414" s="2">
        <v>-1</v>
      </c>
      <c r="N414" s="2"/>
      <c r="O414" s="2"/>
      <c r="P414" s="2"/>
      <c r="Q414" s="2"/>
      <c r="R414" s="25">
        <v>0</v>
      </c>
      <c r="S414" s="25"/>
      <c r="T414" s="25"/>
      <c r="U414">
        <v>5.7946999999999997</v>
      </c>
      <c r="V414">
        <v>5.7946999999999997</v>
      </c>
      <c r="W414">
        <v>11.803000000000001</v>
      </c>
      <c r="X414">
        <v>0</v>
      </c>
      <c r="AA414" s="2"/>
      <c r="AB414">
        <v>30</v>
      </c>
      <c r="AC414" s="55">
        <f t="shared" si="51"/>
        <v>0</v>
      </c>
      <c r="AD414" s="57">
        <v>0</v>
      </c>
      <c r="AE414" s="55">
        <v>343.22977251102628</v>
      </c>
      <c r="AF414" s="55">
        <v>0</v>
      </c>
      <c r="AG414" s="52"/>
      <c r="AH414" s="51"/>
      <c r="AI414" s="52">
        <v>8.7405005051058762E-2</v>
      </c>
      <c r="AJ414" s="52"/>
      <c r="AK414" s="28">
        <v>1.916666666666667</v>
      </c>
      <c r="AL414" s="28">
        <v>2.5</v>
      </c>
      <c r="AM414" s="28">
        <v>0.58333333333333337</v>
      </c>
      <c r="AN414" s="28">
        <v>1.166666666666667</v>
      </c>
      <c r="AO414" s="28">
        <v>0.3108108108108108</v>
      </c>
      <c r="AP414" s="28">
        <v>0.40540540540540537</v>
      </c>
      <c r="AQ414" s="28">
        <v>9.45945945945946E-2</v>
      </c>
      <c r="AR414" s="28">
        <v>0.1891891891891892</v>
      </c>
      <c r="AS414" s="25">
        <v>0.89</v>
      </c>
      <c r="AT414" s="25">
        <v>3.44</v>
      </c>
      <c r="AU414" s="25">
        <v>2.5499999999999998</v>
      </c>
      <c r="AV414" s="25">
        <v>2.59375</v>
      </c>
      <c r="AW414">
        <v>2.59375</v>
      </c>
      <c r="AX414">
        <v>5.9180573645833334</v>
      </c>
      <c r="AY414" s="75"/>
      <c r="AZ414" s="75">
        <v>0</v>
      </c>
      <c r="BA414" s="75"/>
      <c r="BD414">
        <v>4.3702502525529381E-2</v>
      </c>
      <c r="BF414">
        <v>8.7405005051058762E-2</v>
      </c>
      <c r="BG414">
        <v>4.3702502525529381E-2</v>
      </c>
      <c r="BH414">
        <v>0</v>
      </c>
      <c r="BS414" s="79" t="s">
        <v>464</v>
      </c>
      <c r="BT414" s="79" t="s">
        <v>464</v>
      </c>
      <c r="CA414" t="e">
        <f t="shared" si="53"/>
        <v>#NUM!</v>
      </c>
    </row>
    <row r="415" spans="1:79" x14ac:dyDescent="0.3">
      <c r="A415" s="2" t="s">
        <v>38</v>
      </c>
      <c r="B415" s="13" t="s">
        <v>714</v>
      </c>
      <c r="C415" s="13"/>
      <c r="D415" s="2">
        <v>3.9</v>
      </c>
      <c r="E415" s="2" t="s">
        <v>242</v>
      </c>
      <c r="F415" s="9" t="s">
        <v>545</v>
      </c>
      <c r="G415" t="s">
        <v>626</v>
      </c>
      <c r="I415" s="2"/>
      <c r="J415" s="25">
        <v>1</v>
      </c>
      <c r="K415">
        <v>1</v>
      </c>
      <c r="L415">
        <v>0</v>
      </c>
      <c r="M415" s="2"/>
      <c r="N415" s="2"/>
      <c r="O415" s="2"/>
      <c r="P415" s="2"/>
      <c r="Q415" s="2"/>
      <c r="R415" s="25">
        <v>5.8532381300000003</v>
      </c>
      <c r="S415" s="25">
        <v>5.8532371599999999</v>
      </c>
      <c r="T415" s="25">
        <v>11.912811489999999</v>
      </c>
      <c r="U415">
        <v>5.7946</v>
      </c>
      <c r="V415">
        <v>5.7946</v>
      </c>
      <c r="W415">
        <v>11.787599999999999</v>
      </c>
      <c r="X415">
        <v>0</v>
      </c>
      <c r="AA415" s="2"/>
      <c r="AB415">
        <v>30</v>
      </c>
      <c r="AC415" s="55">
        <f t="shared" si="51"/>
        <v>0</v>
      </c>
      <c r="AD415" s="57">
        <v>353.45760058531442</v>
      </c>
      <c r="AE415" s="55">
        <v>342.77011164986573</v>
      </c>
      <c r="AF415" s="55">
        <v>0</v>
      </c>
      <c r="AG415" s="52"/>
      <c r="AH415" s="51">
        <v>8.487580957467307E-2</v>
      </c>
      <c r="AI415" s="52">
        <v>8.752221672887435E-2</v>
      </c>
      <c r="AJ415" s="52"/>
      <c r="AK415" s="28">
        <v>1.833333333333333</v>
      </c>
      <c r="AL415" s="28">
        <v>2.5</v>
      </c>
      <c r="AM415" s="28">
        <v>0.66666666666666663</v>
      </c>
      <c r="AN415" s="28">
        <v>0</v>
      </c>
      <c r="AO415" s="28">
        <v>0.36666666666666659</v>
      </c>
      <c r="AP415" s="28">
        <v>0.5</v>
      </c>
      <c r="AQ415" s="28">
        <v>0.1333333333333333</v>
      </c>
      <c r="AR415" s="28">
        <v>0</v>
      </c>
      <c r="AS415" s="25">
        <v>0.89</v>
      </c>
      <c r="AT415" s="25">
        <v>3.44</v>
      </c>
      <c r="AU415" s="25">
        <v>2.5499999999999998</v>
      </c>
      <c r="AV415" s="25">
        <v>2.6020833333333329</v>
      </c>
      <c r="AW415">
        <v>2.6020833333333329</v>
      </c>
      <c r="AX415">
        <v>5.9098726145833336</v>
      </c>
      <c r="AY415" s="75">
        <v>0.57410011132036598</v>
      </c>
      <c r="AZ415" s="75">
        <v>0.59200041353179045</v>
      </c>
      <c r="BA415" s="75"/>
      <c r="BC415">
        <v>4.2437904787336528E-2</v>
      </c>
      <c r="BD415">
        <v>4.3761108364437168E-2</v>
      </c>
      <c r="BF415">
        <v>8.619901315177371E-2</v>
      </c>
      <c r="BG415">
        <v>4.3099506575886848E-2</v>
      </c>
      <c r="BH415">
        <v>0.58305026242607827</v>
      </c>
      <c r="BS415" s="79" t="s">
        <v>464</v>
      </c>
      <c r="BT415" s="79" t="s">
        <v>464</v>
      </c>
      <c r="CA415" t="e">
        <f t="shared" si="53"/>
        <v>#NUM!</v>
      </c>
    </row>
    <row r="416" spans="1:79" x14ac:dyDescent="0.3">
      <c r="A416" s="2" t="s">
        <v>244</v>
      </c>
      <c r="B416" s="13" t="s">
        <v>814</v>
      </c>
      <c r="C416" s="13"/>
      <c r="D416" s="2">
        <v>3.03</v>
      </c>
      <c r="E416" s="2" t="s">
        <v>243</v>
      </c>
      <c r="F416" s="9" t="s">
        <v>591</v>
      </c>
      <c r="G416" t="s">
        <v>665</v>
      </c>
      <c r="I416" s="2"/>
      <c r="J416" s="25">
        <v>40</v>
      </c>
      <c r="K416">
        <v>2</v>
      </c>
      <c r="L416">
        <v>0</v>
      </c>
      <c r="M416" s="2"/>
      <c r="N416" s="2"/>
      <c r="O416" s="2"/>
      <c r="P416" s="2"/>
      <c r="Q416" s="2"/>
      <c r="R416" s="25">
        <v>10.442762460000001</v>
      </c>
      <c r="S416" s="25">
        <v>9.9768317300000007</v>
      </c>
      <c r="T416" s="25">
        <v>10.791803529999999</v>
      </c>
      <c r="U416">
        <v>3.22</v>
      </c>
      <c r="V416">
        <v>3.22</v>
      </c>
      <c r="W416">
        <v>5.2</v>
      </c>
      <c r="X416">
        <v>0</v>
      </c>
      <c r="AA416" s="2"/>
      <c r="AB416">
        <v>2</v>
      </c>
      <c r="AC416" s="55">
        <f t="shared" si="51"/>
        <v>0</v>
      </c>
      <c r="AD416" s="57">
        <v>1118.3380703947059</v>
      </c>
      <c r="AE416" s="55">
        <v>46.692348542312601</v>
      </c>
      <c r="AF416" s="55">
        <v>0</v>
      </c>
      <c r="AG416" s="52"/>
      <c r="AH416" s="51">
        <v>7.1534719346328615E-2</v>
      </c>
      <c r="AI416" s="52">
        <v>8.566714086731364E-2</v>
      </c>
      <c r="AJ416" s="52"/>
      <c r="AK416" s="28">
        <v>2</v>
      </c>
      <c r="AL416" s="28">
        <v>2</v>
      </c>
      <c r="AM416" s="28">
        <v>5</v>
      </c>
      <c r="AN416" s="28">
        <v>0</v>
      </c>
      <c r="AO416" s="28">
        <v>0.22222222222222221</v>
      </c>
      <c r="AP416" s="28">
        <v>0.22222222222222221</v>
      </c>
      <c r="AQ416" s="28">
        <v>0.55555555555555558</v>
      </c>
      <c r="AR416" s="28">
        <v>0</v>
      </c>
      <c r="AS416" s="25">
        <v>1.65</v>
      </c>
      <c r="AT416" s="25">
        <v>3.44</v>
      </c>
      <c r="AU416" s="25">
        <v>1.79</v>
      </c>
      <c r="AV416" s="25">
        <v>2.5449999999999999</v>
      </c>
      <c r="AW416">
        <v>2.5449999999999999</v>
      </c>
      <c r="AX416">
        <v>5.9633393249999997</v>
      </c>
      <c r="AY416" s="75">
        <v>0.40179973947095132</v>
      </c>
      <c r="AZ416" s="75">
        <v>0.48117942163247568</v>
      </c>
      <c r="BA416" s="75"/>
      <c r="BC416">
        <v>3.5767359673164308E-2</v>
      </c>
      <c r="BD416">
        <v>4.283357043365682E-2</v>
      </c>
      <c r="BF416">
        <v>7.8600930106821121E-2</v>
      </c>
      <c r="BG416">
        <v>3.930046505341056E-2</v>
      </c>
      <c r="BH416">
        <v>0.4414895805517135</v>
      </c>
      <c r="BS416" s="79" t="s">
        <v>464</v>
      </c>
      <c r="BT416" s="79" t="s">
        <v>464</v>
      </c>
      <c r="CA416" t="e">
        <f t="shared" si="53"/>
        <v>#NUM!</v>
      </c>
    </row>
    <row r="417" spans="1:79" x14ac:dyDescent="0.3">
      <c r="A417" s="2" t="s">
        <v>244</v>
      </c>
      <c r="B417" s="13" t="s">
        <v>814</v>
      </c>
      <c r="C417" s="13"/>
      <c r="D417" s="2">
        <v>2.96</v>
      </c>
      <c r="E417" s="2" t="s">
        <v>243</v>
      </c>
      <c r="F417" s="9" t="s">
        <v>591</v>
      </c>
      <c r="G417" t="s">
        <v>665</v>
      </c>
      <c r="I417" s="2"/>
      <c r="J417" s="25">
        <v>40</v>
      </c>
      <c r="K417">
        <v>2</v>
      </c>
      <c r="L417">
        <v>0</v>
      </c>
      <c r="M417" s="2"/>
      <c r="N417" s="2"/>
      <c r="O417" s="2"/>
      <c r="P417" s="2"/>
      <c r="Q417" s="2"/>
      <c r="R417" s="25">
        <v>10.442762460000001</v>
      </c>
      <c r="S417" s="25">
        <v>9.9768317300000007</v>
      </c>
      <c r="T417" s="25">
        <v>10.791803529999999</v>
      </c>
      <c r="U417">
        <v>3.22</v>
      </c>
      <c r="V417">
        <v>3.22</v>
      </c>
      <c r="W417">
        <v>5.2</v>
      </c>
      <c r="X417">
        <v>0</v>
      </c>
      <c r="AA417" s="2"/>
      <c r="AB417">
        <v>2</v>
      </c>
      <c r="AC417" s="55">
        <f t="shared" si="51"/>
        <v>0</v>
      </c>
      <c r="AD417" s="57">
        <v>1118.3380703947059</v>
      </c>
      <c r="AE417" s="55">
        <v>46.692348542312601</v>
      </c>
      <c r="AF417" s="55">
        <v>0</v>
      </c>
      <c r="AG417" s="52"/>
      <c r="AH417" s="51">
        <v>7.1534719346328615E-2</v>
      </c>
      <c r="AI417" s="52">
        <v>8.566714086731364E-2</v>
      </c>
      <c r="AJ417" s="52"/>
      <c r="AK417" s="28">
        <v>2</v>
      </c>
      <c r="AL417" s="28">
        <v>2</v>
      </c>
      <c r="AM417" s="28">
        <v>5</v>
      </c>
      <c r="AN417" s="28">
        <v>0</v>
      </c>
      <c r="AO417" s="28">
        <v>0.22222222222222221</v>
      </c>
      <c r="AP417" s="28">
        <v>0.22222222222222221</v>
      </c>
      <c r="AQ417" s="28">
        <v>0.55555555555555558</v>
      </c>
      <c r="AR417" s="28">
        <v>0</v>
      </c>
      <c r="AS417" s="25">
        <v>1.65</v>
      </c>
      <c r="AT417" s="25">
        <v>3.44</v>
      </c>
      <c r="AU417" s="25">
        <v>1.79</v>
      </c>
      <c r="AV417" s="25">
        <v>2.5449999999999999</v>
      </c>
      <c r="AW417">
        <v>2.5449999999999999</v>
      </c>
      <c r="AX417">
        <v>5.9633393249999997</v>
      </c>
      <c r="AY417" s="75">
        <v>0.40179973947095132</v>
      </c>
      <c r="AZ417" s="75">
        <v>0.48117942163247568</v>
      </c>
      <c r="BA417" s="75"/>
      <c r="BC417">
        <v>3.5767359673164308E-2</v>
      </c>
      <c r="BD417">
        <v>4.283357043365682E-2</v>
      </c>
      <c r="BF417">
        <v>7.8600930106821121E-2</v>
      </c>
      <c r="BG417">
        <v>3.930046505341056E-2</v>
      </c>
      <c r="BH417">
        <v>0.4414895805517135</v>
      </c>
      <c r="BN417" s="79" t="s">
        <v>888</v>
      </c>
      <c r="BO417" s="79">
        <v>1</v>
      </c>
      <c r="BS417" s="79" t="s">
        <v>464</v>
      </c>
      <c r="BT417" s="79" t="s">
        <v>464</v>
      </c>
      <c r="CA417" t="e">
        <f t="shared" si="53"/>
        <v>#NUM!</v>
      </c>
    </row>
    <row r="418" spans="1:79" x14ac:dyDescent="0.3">
      <c r="A418" s="2" t="s">
        <v>244</v>
      </c>
      <c r="B418" s="13" t="s">
        <v>814</v>
      </c>
      <c r="C418" s="13"/>
      <c r="D418" s="2">
        <v>3.14</v>
      </c>
      <c r="E418" s="2" t="s">
        <v>243</v>
      </c>
      <c r="F418" s="9" t="s">
        <v>591</v>
      </c>
      <c r="G418" t="s">
        <v>665</v>
      </c>
      <c r="I418" s="2"/>
      <c r="J418" s="25">
        <v>40</v>
      </c>
      <c r="K418">
        <v>2</v>
      </c>
      <c r="L418">
        <v>0</v>
      </c>
      <c r="M418" s="2"/>
      <c r="N418" s="2"/>
      <c r="O418" s="2"/>
      <c r="P418" s="2"/>
      <c r="Q418" s="2"/>
      <c r="R418" s="25">
        <v>10.442762460000001</v>
      </c>
      <c r="S418" s="25">
        <v>9.9768317300000007</v>
      </c>
      <c r="T418" s="25">
        <v>10.791803529999999</v>
      </c>
      <c r="U418">
        <v>3.22</v>
      </c>
      <c r="V418">
        <v>3.22</v>
      </c>
      <c r="W418">
        <v>5.2</v>
      </c>
      <c r="X418">
        <v>0</v>
      </c>
      <c r="AA418" s="2"/>
      <c r="AB418">
        <v>2</v>
      </c>
      <c r="AC418" s="55">
        <f t="shared" si="51"/>
        <v>0</v>
      </c>
      <c r="AD418" s="57">
        <v>1118.3380703947059</v>
      </c>
      <c r="AE418" s="55">
        <v>46.692348542312601</v>
      </c>
      <c r="AF418" s="55">
        <v>0</v>
      </c>
      <c r="AG418" s="52"/>
      <c r="AH418" s="51">
        <v>7.1534719346328615E-2</v>
      </c>
      <c r="AI418" s="52">
        <v>8.566714086731364E-2</v>
      </c>
      <c r="AJ418" s="52"/>
      <c r="AK418" s="28">
        <v>2</v>
      </c>
      <c r="AL418" s="28">
        <v>2</v>
      </c>
      <c r="AM418" s="28">
        <v>5</v>
      </c>
      <c r="AN418" s="28">
        <v>0</v>
      </c>
      <c r="AO418" s="28">
        <v>0.22222222222222221</v>
      </c>
      <c r="AP418" s="28">
        <v>0.22222222222222221</v>
      </c>
      <c r="AQ418" s="28">
        <v>0.55555555555555558</v>
      </c>
      <c r="AR418" s="28">
        <v>0</v>
      </c>
      <c r="AS418" s="25">
        <v>1.65</v>
      </c>
      <c r="AT418" s="25">
        <v>3.44</v>
      </c>
      <c r="AU418" s="25">
        <v>1.79</v>
      </c>
      <c r="AV418" s="25">
        <v>2.5449999999999999</v>
      </c>
      <c r="AW418">
        <v>2.5449999999999999</v>
      </c>
      <c r="AX418">
        <v>5.9633393249999997</v>
      </c>
      <c r="AY418" s="75">
        <v>0.40179973947095132</v>
      </c>
      <c r="AZ418" s="75">
        <v>0.48117942163247568</v>
      </c>
      <c r="BA418" s="75"/>
      <c r="BC418">
        <v>3.5767359673164308E-2</v>
      </c>
      <c r="BD418">
        <v>4.283357043365682E-2</v>
      </c>
      <c r="BF418">
        <v>7.8600930106821121E-2</v>
      </c>
      <c r="BG418">
        <v>3.930046505341056E-2</v>
      </c>
      <c r="BH418">
        <v>0.4414895805517135</v>
      </c>
      <c r="BN418" s="79" t="s">
        <v>888</v>
      </c>
      <c r="BO418" s="79">
        <v>3</v>
      </c>
      <c r="BS418" s="79" t="s">
        <v>464</v>
      </c>
      <c r="BT418" s="79" t="s">
        <v>464</v>
      </c>
      <c r="CA418" t="e">
        <f t="shared" si="53"/>
        <v>#NUM!</v>
      </c>
    </row>
    <row r="419" spans="1:79" x14ac:dyDescent="0.3">
      <c r="A419" s="2" t="s">
        <v>246</v>
      </c>
      <c r="B419" s="13" t="s">
        <v>815</v>
      </c>
      <c r="C419" s="13"/>
      <c r="D419" s="2">
        <v>2.3199999999999998</v>
      </c>
      <c r="E419" s="2" t="s">
        <v>245</v>
      </c>
      <c r="F419" s="9" t="s">
        <v>592</v>
      </c>
      <c r="G419" t="s">
        <v>666</v>
      </c>
      <c r="H419" t="s">
        <v>1173</v>
      </c>
      <c r="I419" s="2"/>
      <c r="J419" s="25">
        <v>1</v>
      </c>
      <c r="K419">
        <v>2</v>
      </c>
      <c r="L419">
        <v>2</v>
      </c>
      <c r="M419" s="2"/>
      <c r="N419" s="2"/>
      <c r="O419" s="2"/>
      <c r="P419" s="2"/>
      <c r="Q419" s="2"/>
      <c r="R419" s="25">
        <v>4.2561477500000002</v>
      </c>
      <c r="S419" s="25">
        <v>4.2561477500000002</v>
      </c>
      <c r="T419" s="25">
        <v>5.9211799999999997</v>
      </c>
      <c r="U419">
        <v>4.1500000000000004</v>
      </c>
      <c r="V419">
        <v>4.1500000000000004</v>
      </c>
      <c r="W419">
        <v>6.7370000000000001</v>
      </c>
      <c r="X419">
        <v>0</v>
      </c>
      <c r="AA419" s="2"/>
      <c r="AB419">
        <v>2</v>
      </c>
      <c r="AC419" s="55">
        <f t="shared" si="51"/>
        <v>0</v>
      </c>
      <c r="AD419" s="57">
        <v>92.890714642371009</v>
      </c>
      <c r="AE419" s="55">
        <v>100.4831803948563</v>
      </c>
      <c r="AF419" s="55">
        <v>100.1</v>
      </c>
      <c r="AG419" s="52"/>
      <c r="AH419" s="51">
        <f>J419*AB419/AD419</f>
        <v>2.1530677287821442E-2</v>
      </c>
      <c r="AI419" s="52"/>
      <c r="AJ419" s="67">
        <f>L419*AB419/AF419</f>
        <v>3.996003996003996E-2</v>
      </c>
      <c r="AK419" s="28">
        <v>2</v>
      </c>
      <c r="AL419" s="28">
        <v>2</v>
      </c>
      <c r="AM419" s="28">
        <v>5</v>
      </c>
      <c r="AN419" s="28">
        <v>0</v>
      </c>
      <c r="AO419" s="28">
        <v>0.22222222222222221</v>
      </c>
      <c r="AP419" s="28">
        <v>0.22222222222222221</v>
      </c>
      <c r="AQ419" s="28">
        <v>0.55555555555555558</v>
      </c>
      <c r="AR419" s="28">
        <v>0</v>
      </c>
      <c r="AS419" s="25">
        <v>1.69</v>
      </c>
      <c r="AT419" s="25">
        <v>2.58</v>
      </c>
      <c r="AU419" s="25">
        <v>0.89000000000000012</v>
      </c>
      <c r="AV419" s="25">
        <v>2.1349999999999998</v>
      </c>
      <c r="AW419">
        <v>2.1349999999999998</v>
      </c>
      <c r="AX419">
        <v>5.1777336280000004</v>
      </c>
      <c r="AY419" s="75">
        <v>0.2799432770686035</v>
      </c>
      <c r="AZ419" s="75">
        <v>0.51758176769574038</v>
      </c>
      <c r="BA419" s="75">
        <v>0.51949166816826697</v>
      </c>
      <c r="BC419">
        <v>0</v>
      </c>
      <c r="BD419">
        <v>0</v>
      </c>
      <c r="BE419">
        <v>0</v>
      </c>
      <c r="BF419">
        <v>3.0745358623930699E-2</v>
      </c>
      <c r="BG419">
        <v>0</v>
      </c>
      <c r="BH419">
        <v>0.43900557097753701</v>
      </c>
      <c r="BS419" s="79" t="s">
        <v>464</v>
      </c>
      <c r="BT419" s="79" t="s">
        <v>464</v>
      </c>
      <c r="CA419" t="e">
        <f t="shared" si="53"/>
        <v>#NUM!</v>
      </c>
    </row>
    <row r="420" spans="1:79" x14ac:dyDescent="0.3">
      <c r="A420" s="5" t="s">
        <v>247</v>
      </c>
      <c r="B420" s="46" t="s">
        <v>940</v>
      </c>
      <c r="C420" s="39"/>
      <c r="D420" s="5">
        <v>2.41</v>
      </c>
      <c r="E420" s="5" t="s">
        <v>245</v>
      </c>
      <c r="F420" s="40">
        <v>-2</v>
      </c>
      <c r="G420" s="5">
        <v>-1</v>
      </c>
      <c r="H420" s="5"/>
      <c r="I420" s="5"/>
      <c r="J420" s="41">
        <v>0</v>
      </c>
      <c r="K420">
        <v>0</v>
      </c>
      <c r="L420">
        <v>0</v>
      </c>
      <c r="M420" s="5">
        <v>-1</v>
      </c>
      <c r="N420" s="5"/>
      <c r="O420" s="5"/>
      <c r="P420" s="5"/>
      <c r="Q420" s="5"/>
      <c r="R420" s="41">
        <v>0</v>
      </c>
      <c r="S420" s="41"/>
      <c r="T420" s="41"/>
      <c r="U420">
        <v>0</v>
      </c>
      <c r="X420">
        <v>0</v>
      </c>
      <c r="AA420" s="5"/>
      <c r="AB420" s="5">
        <v>0</v>
      </c>
      <c r="AC420" s="55">
        <f t="shared" si="51"/>
        <v>0</v>
      </c>
      <c r="AD420" s="57">
        <v>0</v>
      </c>
      <c r="AE420" s="55">
        <v>0</v>
      </c>
      <c r="AF420" s="55">
        <v>0</v>
      </c>
      <c r="AG420" s="52"/>
      <c r="AH420" s="51"/>
      <c r="AI420" s="52"/>
      <c r="AJ420" s="52"/>
      <c r="AK420" s="5">
        <v>2</v>
      </c>
      <c r="AL420" s="5">
        <v>0</v>
      </c>
      <c r="AM420" s="5">
        <v>10</v>
      </c>
      <c r="AN420" s="5">
        <v>0</v>
      </c>
      <c r="AO420" s="5">
        <v>0.16666666666666671</v>
      </c>
      <c r="AP420" s="5">
        <v>0</v>
      </c>
      <c r="AQ420" s="5">
        <v>0.83333333333333337</v>
      </c>
      <c r="AR420" s="5">
        <v>0</v>
      </c>
      <c r="AS420" s="41">
        <v>1.65</v>
      </c>
      <c r="AT420" s="41">
        <v>1.69</v>
      </c>
      <c r="AU420" s="41">
        <v>4.0000000000000042E-2</v>
      </c>
      <c r="AV420" s="41">
        <v>1.6859999999999999</v>
      </c>
      <c r="AW420" s="5">
        <v>1.6859999999999999</v>
      </c>
      <c r="AX420" s="5">
        <v>4.1619288499999998</v>
      </c>
      <c r="AY420" s="75"/>
      <c r="AZ420" s="75"/>
      <c r="BA420" s="75"/>
      <c r="BF420">
        <v>0</v>
      </c>
      <c r="BG420">
        <v>0</v>
      </c>
      <c r="BH420">
        <v>0</v>
      </c>
      <c r="BS420" s="79" t="s">
        <v>464</v>
      </c>
      <c r="BT420" s="79" t="s">
        <v>464</v>
      </c>
      <c r="CA420" t="e">
        <f t="shared" si="53"/>
        <v>#NUM!</v>
      </c>
    </row>
    <row r="421" spans="1:79" x14ac:dyDescent="0.3">
      <c r="A421" s="5" t="s">
        <v>252</v>
      </c>
      <c r="B421" s="46" t="s">
        <v>941</v>
      </c>
      <c r="C421" s="39"/>
      <c r="D421" s="5">
        <v>2.54</v>
      </c>
      <c r="E421" s="5" t="s">
        <v>245</v>
      </c>
      <c r="F421" s="40">
        <v>-2</v>
      </c>
      <c r="G421" s="5">
        <v>-1</v>
      </c>
      <c r="H421" s="5"/>
      <c r="I421" s="5"/>
      <c r="J421" s="41">
        <v>0</v>
      </c>
      <c r="K421">
        <v>0</v>
      </c>
      <c r="L421">
        <v>0</v>
      </c>
      <c r="M421" s="5">
        <v>-1</v>
      </c>
      <c r="N421" s="5"/>
      <c r="O421" s="5"/>
      <c r="P421" s="5"/>
      <c r="Q421" s="5"/>
      <c r="R421" s="41">
        <v>0</v>
      </c>
      <c r="S421" s="41"/>
      <c r="T421" s="41"/>
      <c r="U421">
        <v>0</v>
      </c>
      <c r="X421">
        <v>0</v>
      </c>
      <c r="AA421" s="5"/>
      <c r="AB421" s="5">
        <v>0</v>
      </c>
      <c r="AC421" s="55">
        <f t="shared" si="51"/>
        <v>0</v>
      </c>
      <c r="AD421" s="57">
        <v>0</v>
      </c>
      <c r="AE421" s="55">
        <v>0</v>
      </c>
      <c r="AF421" s="55">
        <v>0</v>
      </c>
      <c r="AG421" s="52"/>
      <c r="AH421" s="51"/>
      <c r="AI421" s="52"/>
      <c r="AJ421" s="52"/>
      <c r="AK421" s="5">
        <v>2</v>
      </c>
      <c r="AL421" s="5">
        <v>0</v>
      </c>
      <c r="AM421" s="5">
        <v>10</v>
      </c>
      <c r="AN421" s="5">
        <v>0</v>
      </c>
      <c r="AO421" s="5">
        <v>0.16666666666666671</v>
      </c>
      <c r="AP421" s="5">
        <v>0</v>
      </c>
      <c r="AQ421" s="5">
        <v>0.83333333333333348</v>
      </c>
      <c r="AR421" s="5">
        <v>0</v>
      </c>
      <c r="AS421" s="41">
        <v>1.65</v>
      </c>
      <c r="AT421" s="41">
        <v>1.69</v>
      </c>
      <c r="AU421" s="41">
        <v>4.0000000000000042E-2</v>
      </c>
      <c r="AV421" s="41">
        <v>1.6779999999999999</v>
      </c>
      <c r="AW421" s="5">
        <v>1.6779999999999999</v>
      </c>
      <c r="AX421" s="5">
        <v>4.2119665499999996</v>
      </c>
      <c r="AY421" s="75"/>
      <c r="AZ421" s="75"/>
      <c r="BA421" s="75"/>
      <c r="BF421">
        <v>0</v>
      </c>
      <c r="BG421">
        <v>0</v>
      </c>
      <c r="BH421">
        <v>0</v>
      </c>
      <c r="BS421" s="79" t="s">
        <v>464</v>
      </c>
      <c r="BT421" s="79" t="s">
        <v>464</v>
      </c>
      <c r="CA421" t="e">
        <f t="shared" si="53"/>
        <v>#NUM!</v>
      </c>
    </row>
    <row r="422" spans="1:79" x14ac:dyDescent="0.3">
      <c r="A422" s="5" t="s">
        <v>251</v>
      </c>
      <c r="B422" s="46" t="s">
        <v>942</v>
      </c>
      <c r="C422" s="39"/>
      <c r="D422" s="5">
        <v>2.68</v>
      </c>
      <c r="E422" s="5" t="s">
        <v>245</v>
      </c>
      <c r="F422" s="40">
        <v>-2</v>
      </c>
      <c r="G422" s="5">
        <v>-1</v>
      </c>
      <c r="H422" s="5"/>
      <c r="I422" s="5"/>
      <c r="J422" s="41">
        <v>0</v>
      </c>
      <c r="K422">
        <v>0</v>
      </c>
      <c r="L422">
        <v>0</v>
      </c>
      <c r="M422" s="5">
        <v>-1</v>
      </c>
      <c r="N422" s="5"/>
      <c r="O422" s="5"/>
      <c r="P422" s="5"/>
      <c r="Q422" s="5"/>
      <c r="R422" s="41">
        <v>0</v>
      </c>
      <c r="S422" s="41"/>
      <c r="T422" s="41"/>
      <c r="U422">
        <v>0</v>
      </c>
      <c r="X422">
        <v>0</v>
      </c>
      <c r="AA422" s="5"/>
      <c r="AB422" s="5">
        <v>0</v>
      </c>
      <c r="AC422" s="55">
        <f t="shared" si="51"/>
        <v>0</v>
      </c>
      <c r="AD422" s="57">
        <v>0</v>
      </c>
      <c r="AE422" s="55">
        <v>0</v>
      </c>
      <c r="AF422" s="55">
        <v>0</v>
      </c>
      <c r="AG422" s="52"/>
      <c r="AH422" s="51"/>
      <c r="AI422" s="52"/>
      <c r="AJ422" s="52"/>
      <c r="AK422" s="5">
        <v>2</v>
      </c>
      <c r="AL422" s="5">
        <v>0</v>
      </c>
      <c r="AM422" s="5">
        <v>10</v>
      </c>
      <c r="AN422" s="5">
        <v>0</v>
      </c>
      <c r="AO422" s="5">
        <v>0.16666666666666671</v>
      </c>
      <c r="AP422" s="5">
        <v>0</v>
      </c>
      <c r="AQ422" s="5">
        <v>0.83333333333333337</v>
      </c>
      <c r="AR422" s="5">
        <v>0</v>
      </c>
      <c r="AS422" s="41">
        <v>1.65</v>
      </c>
      <c r="AT422" s="41">
        <v>1.69</v>
      </c>
      <c r="AU422" s="41">
        <v>4.0000000000000042E-2</v>
      </c>
      <c r="AV422" s="41">
        <v>1.67</v>
      </c>
      <c r="AW422" s="5">
        <v>1.67</v>
      </c>
      <c r="AX422" s="5">
        <v>4.2620042500000004</v>
      </c>
      <c r="AY422" s="75"/>
      <c r="AZ422" s="75"/>
      <c r="BA422" s="75"/>
      <c r="BF422">
        <v>0</v>
      </c>
      <c r="BG422">
        <v>0</v>
      </c>
      <c r="BH422">
        <v>0</v>
      </c>
      <c r="BS422" s="79" t="s">
        <v>464</v>
      </c>
      <c r="BT422" s="79" t="s">
        <v>464</v>
      </c>
      <c r="CA422" t="e">
        <f t="shared" si="53"/>
        <v>#NUM!</v>
      </c>
    </row>
    <row r="423" spans="1:79" x14ac:dyDescent="0.3">
      <c r="A423" s="5" t="s">
        <v>250</v>
      </c>
      <c r="B423" s="46" t="s">
        <v>943</v>
      </c>
      <c r="C423" s="39"/>
      <c r="D423" s="5">
        <v>2.91</v>
      </c>
      <c r="E423" s="5" t="s">
        <v>245</v>
      </c>
      <c r="F423" s="40">
        <v>-2</v>
      </c>
      <c r="G423" s="5">
        <v>-1</v>
      </c>
      <c r="H423" s="5"/>
      <c r="I423" s="5"/>
      <c r="J423" s="41">
        <v>0</v>
      </c>
      <c r="K423">
        <v>0</v>
      </c>
      <c r="L423">
        <v>0</v>
      </c>
      <c r="M423" s="5">
        <v>-1</v>
      </c>
      <c r="N423" s="5"/>
      <c r="O423" s="5"/>
      <c r="P423" s="5"/>
      <c r="Q423" s="5"/>
      <c r="R423" s="41">
        <v>0</v>
      </c>
      <c r="S423" s="41"/>
      <c r="T423" s="41"/>
      <c r="U423">
        <v>0</v>
      </c>
      <c r="X423">
        <v>0</v>
      </c>
      <c r="AA423" s="5"/>
      <c r="AB423" s="5">
        <v>0</v>
      </c>
      <c r="AC423" s="55">
        <f t="shared" si="51"/>
        <v>0</v>
      </c>
      <c r="AD423" s="57">
        <v>0</v>
      </c>
      <c r="AE423" s="55">
        <v>0</v>
      </c>
      <c r="AF423" s="55">
        <v>0</v>
      </c>
      <c r="AG423" s="52"/>
      <c r="AH423" s="51"/>
      <c r="AI423" s="52"/>
      <c r="AJ423" s="52"/>
      <c r="AK423" s="5">
        <v>2</v>
      </c>
      <c r="AL423" s="5">
        <v>0</v>
      </c>
      <c r="AM423" s="5">
        <v>10</v>
      </c>
      <c r="AN423" s="5">
        <v>0</v>
      </c>
      <c r="AO423" s="5">
        <v>0.16666666666666671</v>
      </c>
      <c r="AP423" s="5">
        <v>0</v>
      </c>
      <c r="AQ423" s="5">
        <v>0.83333333333333348</v>
      </c>
      <c r="AR423" s="5">
        <v>0</v>
      </c>
      <c r="AS423" s="41">
        <v>1.65</v>
      </c>
      <c r="AT423" s="41">
        <v>1.69</v>
      </c>
      <c r="AU423" s="41">
        <v>4.0000000000000042E-2</v>
      </c>
      <c r="AV423" s="41">
        <v>1.6619999999999999</v>
      </c>
      <c r="AW423" s="5">
        <v>1.6619999999999999</v>
      </c>
      <c r="AX423" s="5">
        <v>4.3120419500000002</v>
      </c>
      <c r="AY423" s="75"/>
      <c r="AZ423" s="75"/>
      <c r="BA423" s="75"/>
      <c r="BF423">
        <v>0</v>
      </c>
      <c r="BG423">
        <v>0</v>
      </c>
      <c r="BH423">
        <v>0</v>
      </c>
      <c r="BS423" s="79" t="s">
        <v>464</v>
      </c>
      <c r="BT423" s="79" t="s">
        <v>464</v>
      </c>
      <c r="CA423" t="e">
        <f t="shared" si="53"/>
        <v>#NUM!</v>
      </c>
    </row>
    <row r="424" spans="1:79" x14ac:dyDescent="0.3">
      <c r="A424" s="5" t="s">
        <v>249</v>
      </c>
      <c r="B424" s="46" t="s">
        <v>944</v>
      </c>
      <c r="C424" s="39"/>
      <c r="D424" s="5">
        <v>3.36</v>
      </c>
      <c r="E424" s="5" t="s">
        <v>245</v>
      </c>
      <c r="F424" s="40">
        <v>-2</v>
      </c>
      <c r="G424" s="5">
        <v>-1</v>
      </c>
      <c r="H424" s="5"/>
      <c r="I424" s="5"/>
      <c r="J424" s="41">
        <v>0</v>
      </c>
      <c r="K424">
        <v>0</v>
      </c>
      <c r="L424">
        <v>0</v>
      </c>
      <c r="M424" s="5">
        <v>-1</v>
      </c>
      <c r="N424" s="5"/>
      <c r="O424" s="5"/>
      <c r="P424" s="5"/>
      <c r="Q424" s="5"/>
      <c r="R424" s="41">
        <v>0</v>
      </c>
      <c r="S424" s="41"/>
      <c r="T424" s="41"/>
      <c r="U424">
        <v>0</v>
      </c>
      <c r="X424">
        <v>0</v>
      </c>
      <c r="AA424" s="5"/>
      <c r="AB424" s="5">
        <v>0</v>
      </c>
      <c r="AC424" s="55">
        <f t="shared" si="51"/>
        <v>0</v>
      </c>
      <c r="AD424" s="57">
        <v>0</v>
      </c>
      <c r="AE424" s="55">
        <v>0</v>
      </c>
      <c r="AF424" s="55">
        <v>0</v>
      </c>
      <c r="AG424" s="52"/>
      <c r="AH424" s="51"/>
      <c r="AI424" s="52"/>
      <c r="AJ424" s="52"/>
      <c r="AK424" s="5">
        <v>2</v>
      </c>
      <c r="AL424" s="5">
        <v>0</v>
      </c>
      <c r="AM424" s="5">
        <v>10</v>
      </c>
      <c r="AN424" s="5">
        <v>0</v>
      </c>
      <c r="AO424" s="5">
        <v>0.16666666666666671</v>
      </c>
      <c r="AP424" s="5">
        <v>0</v>
      </c>
      <c r="AQ424" s="5">
        <v>0.83333333333333337</v>
      </c>
      <c r="AR424" s="5">
        <v>0</v>
      </c>
      <c r="AS424" s="41">
        <v>1.65</v>
      </c>
      <c r="AT424" s="41">
        <v>1.69</v>
      </c>
      <c r="AU424" s="41">
        <v>4.0000000000000042E-2</v>
      </c>
      <c r="AV424" s="41">
        <v>1.6539999999999999</v>
      </c>
      <c r="AW424" s="5">
        <v>1.6539999999999999</v>
      </c>
      <c r="AX424" s="5">
        <v>4.3620796500000001</v>
      </c>
      <c r="AY424" s="75"/>
      <c r="AZ424" s="75"/>
      <c r="BA424" s="75"/>
      <c r="BF424">
        <v>0</v>
      </c>
      <c r="BG424">
        <v>0</v>
      </c>
      <c r="BH424">
        <v>0</v>
      </c>
      <c r="BS424" s="79" t="s">
        <v>464</v>
      </c>
      <c r="BT424" s="79" t="s">
        <v>464</v>
      </c>
      <c r="CA424" t="e">
        <f t="shared" si="53"/>
        <v>#NUM!</v>
      </c>
    </row>
    <row r="425" spans="1:79" x14ac:dyDescent="0.3">
      <c r="A425" s="2" t="s">
        <v>248</v>
      </c>
      <c r="B425" s="13" t="s">
        <v>816</v>
      </c>
      <c r="C425" s="13"/>
      <c r="D425" s="2">
        <v>3.6</v>
      </c>
      <c r="E425" s="2" t="s">
        <v>245</v>
      </c>
      <c r="F425" s="9" t="s">
        <v>593</v>
      </c>
      <c r="G425" t="s">
        <v>667</v>
      </c>
      <c r="H425" t="s">
        <v>1172</v>
      </c>
      <c r="I425" s="2"/>
      <c r="J425" s="25">
        <v>50</v>
      </c>
      <c r="K425">
        <v>2</v>
      </c>
      <c r="L425">
        <v>0</v>
      </c>
      <c r="M425" s="2"/>
      <c r="N425" s="2"/>
      <c r="O425" s="2"/>
      <c r="P425" s="2"/>
      <c r="Q425" s="2"/>
      <c r="R425" s="25">
        <v>12.345150759999999</v>
      </c>
      <c r="S425" s="25">
        <v>15.34169717</v>
      </c>
      <c r="T425" s="25">
        <v>13.410947439999999</v>
      </c>
      <c r="U425">
        <v>3.8</v>
      </c>
      <c r="V425">
        <v>3.8</v>
      </c>
      <c r="W425">
        <v>6.23</v>
      </c>
      <c r="X425">
        <v>0</v>
      </c>
      <c r="AA425" s="2"/>
      <c r="AB425">
        <v>0</v>
      </c>
      <c r="AC425" s="55">
        <f t="shared" si="51"/>
        <v>0</v>
      </c>
      <c r="AD425" s="57">
        <v>2502.9167389596269</v>
      </c>
      <c r="AE425" s="55">
        <v>77.908684554932648</v>
      </c>
      <c r="AF425" s="55">
        <v>0</v>
      </c>
      <c r="AG425" s="52"/>
      <c r="AH425" s="51">
        <v>0</v>
      </c>
      <c r="AI425" s="52">
        <v>0</v>
      </c>
      <c r="AJ425" s="52"/>
      <c r="AK425" s="28">
        <v>2</v>
      </c>
      <c r="AL425" s="28">
        <v>2</v>
      </c>
      <c r="AM425" s="28">
        <v>5</v>
      </c>
      <c r="AN425" s="28">
        <v>0</v>
      </c>
      <c r="AO425" s="28">
        <v>0.22222222222222221</v>
      </c>
      <c r="AP425" s="28">
        <v>0.22222222222222221</v>
      </c>
      <c r="AQ425" s="28">
        <v>0.55555555555555558</v>
      </c>
      <c r="AR425" s="28">
        <v>0</v>
      </c>
      <c r="AS425" s="25">
        <v>1.65</v>
      </c>
      <c r="AT425" s="25">
        <v>2.58</v>
      </c>
      <c r="AU425" s="25">
        <v>0.93000000000000016</v>
      </c>
      <c r="AV425" s="25">
        <v>2.1150000000000002</v>
      </c>
      <c r="AW425">
        <v>2.1150000000000002</v>
      </c>
      <c r="AX425">
        <v>5.3028278780000004</v>
      </c>
      <c r="AY425" s="75">
        <v>0.46813521899838401</v>
      </c>
      <c r="AZ425" s="75">
        <v>0.6015778510039812</v>
      </c>
      <c r="BA425" s="75"/>
      <c r="BC425">
        <v>0</v>
      </c>
      <c r="BD425">
        <v>0</v>
      </c>
      <c r="BF425">
        <v>0</v>
      </c>
      <c r="BG425">
        <v>0</v>
      </c>
      <c r="BH425">
        <v>0.53485653500118258</v>
      </c>
      <c r="BS425" s="79" t="s">
        <v>464</v>
      </c>
      <c r="BT425" s="79" t="s">
        <v>464</v>
      </c>
      <c r="CA425" t="e">
        <f t="shared" si="53"/>
        <v>#NUM!</v>
      </c>
    </row>
    <row r="426" spans="1:79" x14ac:dyDescent="0.3">
      <c r="A426" s="2" t="s">
        <v>15</v>
      </c>
      <c r="B426" s="13" t="s">
        <v>700</v>
      </c>
      <c r="C426" s="13"/>
      <c r="D426" s="2">
        <v>4.49</v>
      </c>
      <c r="E426" s="2" t="s">
        <v>253</v>
      </c>
      <c r="F426" s="9" t="s">
        <v>533</v>
      </c>
      <c r="G426" t="s">
        <v>614</v>
      </c>
      <c r="I426" s="2"/>
      <c r="J426" s="25">
        <v>4</v>
      </c>
      <c r="K426">
        <v>4</v>
      </c>
      <c r="L426">
        <v>0</v>
      </c>
      <c r="M426" s="2"/>
      <c r="N426" s="2"/>
      <c r="O426" s="2"/>
      <c r="P426" s="2"/>
      <c r="Q426" s="2"/>
      <c r="R426" s="25">
        <v>5.63450966</v>
      </c>
      <c r="S426" s="25">
        <v>7.6422105</v>
      </c>
      <c r="T426" s="25">
        <v>11.066420430000001</v>
      </c>
      <c r="U426">
        <v>11.013</v>
      </c>
      <c r="V426">
        <v>7.6319999999999997</v>
      </c>
      <c r="W426">
        <v>5.6210000000000004</v>
      </c>
      <c r="X426">
        <v>0</v>
      </c>
      <c r="AA426" s="2"/>
      <c r="AB426">
        <v>12</v>
      </c>
      <c r="AC426" s="55">
        <f t="shared" si="51"/>
        <v>0</v>
      </c>
      <c r="AD426" s="57">
        <v>476.5212686940929</v>
      </c>
      <c r="AE426" s="55">
        <v>472.45188513599999</v>
      </c>
      <c r="AF426" s="55">
        <v>0</v>
      </c>
      <c r="AG426" s="52"/>
      <c r="AH426" s="51">
        <v>0.1007300264509579</v>
      </c>
      <c r="AI426" s="52">
        <v>0.1015976473163669</v>
      </c>
      <c r="AJ426" s="52"/>
      <c r="AK426" s="28">
        <v>2</v>
      </c>
      <c r="AL426" s="28">
        <v>2.666666666666667</v>
      </c>
      <c r="AM426" s="28">
        <v>0.66666666666666663</v>
      </c>
      <c r="AN426" s="28">
        <v>3.1111111111111112</v>
      </c>
      <c r="AO426" s="28">
        <v>0.23684210526315791</v>
      </c>
      <c r="AP426" s="28">
        <v>0.31578947368421051</v>
      </c>
      <c r="AQ426" s="28">
        <v>7.8947368421052627E-2</v>
      </c>
      <c r="AR426" s="28">
        <v>0.36842105263157893</v>
      </c>
      <c r="AS426" s="25">
        <v>0.95</v>
      </c>
      <c r="AT426" s="25">
        <v>3.44</v>
      </c>
      <c r="AU426" s="25">
        <v>2.4900000000000002</v>
      </c>
      <c r="AV426" s="25">
        <v>2.7322222222222221</v>
      </c>
      <c r="AW426">
        <v>2.7322222222222221</v>
      </c>
      <c r="AX426">
        <v>6.2204042916666662</v>
      </c>
      <c r="AY426" s="75">
        <v>0.5362582325986015</v>
      </c>
      <c r="AZ426" s="75">
        <v>0.54087720122437066</v>
      </c>
      <c r="BA426" s="75"/>
      <c r="BC426">
        <v>5.0365013225478962E-2</v>
      </c>
      <c r="BD426">
        <v>5.0798823658183438E-2</v>
      </c>
      <c r="BF426">
        <v>0.1011638368836624</v>
      </c>
      <c r="BG426">
        <v>5.05819184418312E-2</v>
      </c>
      <c r="BH426">
        <v>0.53856771691148608</v>
      </c>
      <c r="BS426" s="79" t="s">
        <v>464</v>
      </c>
      <c r="BT426" s="79" t="s">
        <v>464</v>
      </c>
      <c r="CA426" t="e">
        <f t="shared" si="53"/>
        <v>#NUM!</v>
      </c>
    </row>
    <row r="427" spans="1:79" x14ac:dyDescent="0.3">
      <c r="A427" s="2" t="s">
        <v>254</v>
      </c>
      <c r="B427" s="13" t="s">
        <v>817</v>
      </c>
      <c r="C427" s="13"/>
      <c r="D427" s="2">
        <v>4.8099999999999996</v>
      </c>
      <c r="E427" s="2" t="s">
        <v>253</v>
      </c>
      <c r="F427" s="9" t="s">
        <v>594</v>
      </c>
      <c r="G427">
        <v>-1</v>
      </c>
      <c r="I427" s="2"/>
      <c r="J427" s="25">
        <v>4</v>
      </c>
      <c r="K427">
        <v>0</v>
      </c>
      <c r="L427">
        <v>0</v>
      </c>
      <c r="M427" s="2"/>
      <c r="N427" s="2"/>
      <c r="O427" s="2"/>
      <c r="P427" s="2"/>
      <c r="Q427" s="2"/>
      <c r="R427" s="25">
        <v>5.8119930000000002</v>
      </c>
      <c r="S427" s="25">
        <v>10.228956</v>
      </c>
      <c r="T427" s="25">
        <v>17.904929589999998</v>
      </c>
      <c r="U427">
        <v>0</v>
      </c>
      <c r="X427">
        <v>0</v>
      </c>
      <c r="AA427" s="2"/>
      <c r="AB427">
        <v>18</v>
      </c>
      <c r="AC427" s="55">
        <f t="shared" ref="AC427:AC490" si="57">M427*N427*O427</f>
        <v>0</v>
      </c>
      <c r="AD427" s="57">
        <v>882.26177591634428</v>
      </c>
      <c r="AE427" s="55">
        <v>0</v>
      </c>
      <c r="AF427" s="55">
        <v>0</v>
      </c>
      <c r="AG427" s="52"/>
      <c r="AH427" s="51">
        <v>8.1608431834438916E-2</v>
      </c>
      <c r="AI427" s="52"/>
      <c r="AJ427" s="52"/>
      <c r="AK427" s="28">
        <v>2</v>
      </c>
      <c r="AL427" s="28">
        <v>2.4</v>
      </c>
      <c r="AM427" s="28">
        <v>0.4</v>
      </c>
      <c r="AN427" s="28">
        <v>1.8666666666666669</v>
      </c>
      <c r="AO427" s="28">
        <v>0.3</v>
      </c>
      <c r="AP427" s="28">
        <v>0.36</v>
      </c>
      <c r="AQ427" s="28">
        <v>0.06</v>
      </c>
      <c r="AR427" s="28">
        <v>0.28000000000000003</v>
      </c>
      <c r="AS427" s="25">
        <v>0.95</v>
      </c>
      <c r="AT427" s="25">
        <v>3.44</v>
      </c>
      <c r="AU427" s="25">
        <v>2.4900000000000002</v>
      </c>
      <c r="AV427" s="25">
        <v>2.5173333333333332</v>
      </c>
      <c r="AW427">
        <v>2.5173333333333341</v>
      </c>
      <c r="AX427">
        <v>5.8148519500000004</v>
      </c>
      <c r="AY427" s="75">
        <v>0.53464553504946077</v>
      </c>
      <c r="AZ427" s="75"/>
      <c r="BA427" s="75"/>
      <c r="BC427">
        <v>4.0804215917219458E-2</v>
      </c>
      <c r="BF427">
        <v>8.1608431834438916E-2</v>
      </c>
      <c r="BG427">
        <v>4.0804215917219458E-2</v>
      </c>
      <c r="BH427">
        <v>0.53464553504946077</v>
      </c>
      <c r="BS427" s="79" t="s">
        <v>464</v>
      </c>
      <c r="BT427" s="79" t="s">
        <v>464</v>
      </c>
      <c r="CA427" t="e">
        <f t="shared" si="53"/>
        <v>#NUM!</v>
      </c>
    </row>
    <row r="428" spans="1:79" x14ac:dyDescent="0.3">
      <c r="A428" s="2" t="s">
        <v>221</v>
      </c>
      <c r="B428" s="13" t="s">
        <v>808</v>
      </c>
      <c r="C428" s="13"/>
      <c r="D428" s="2">
        <v>4.75</v>
      </c>
      <c r="E428" s="2" t="s">
        <v>253</v>
      </c>
      <c r="F428" s="9" t="s">
        <v>589</v>
      </c>
      <c r="G428">
        <v>-1</v>
      </c>
      <c r="I428" s="2"/>
      <c r="J428" s="25">
        <v>1</v>
      </c>
      <c r="K428">
        <v>0</v>
      </c>
      <c r="L428">
        <v>0</v>
      </c>
      <c r="M428" s="2"/>
      <c r="N428" s="2"/>
      <c r="O428" s="2"/>
      <c r="P428" s="2"/>
      <c r="Q428" s="2"/>
      <c r="R428" s="25">
        <v>5.6694849300000003</v>
      </c>
      <c r="S428" s="25">
        <v>5.6694842000000003</v>
      </c>
      <c r="T428" s="25">
        <v>11.54266629</v>
      </c>
      <c r="U428">
        <v>0</v>
      </c>
      <c r="X428">
        <v>0</v>
      </c>
      <c r="AA428" s="2"/>
      <c r="AB428">
        <v>30</v>
      </c>
      <c r="AC428" s="55">
        <f t="shared" si="57"/>
        <v>0</v>
      </c>
      <c r="AD428" s="57">
        <v>321.30962315738361</v>
      </c>
      <c r="AE428" s="55">
        <v>0</v>
      </c>
      <c r="AF428" s="55">
        <v>0</v>
      </c>
      <c r="AG428" s="52"/>
      <c r="AH428" s="51">
        <v>9.3367885173191417E-2</v>
      </c>
      <c r="AI428" s="52"/>
      <c r="AJ428" s="52"/>
      <c r="AK428" s="28">
        <v>2</v>
      </c>
      <c r="AL428" s="28">
        <v>2.5</v>
      </c>
      <c r="AM428" s="28">
        <v>0.5</v>
      </c>
      <c r="AN428" s="28">
        <v>2.333333333333333</v>
      </c>
      <c r="AO428" s="28">
        <v>0.27272727272727282</v>
      </c>
      <c r="AP428" s="28">
        <v>0.34090909090909088</v>
      </c>
      <c r="AQ428" s="28">
        <v>6.8181818181818191E-2</v>
      </c>
      <c r="AR428" s="28">
        <v>0.31818181818181818</v>
      </c>
      <c r="AS428" s="25">
        <v>0.95</v>
      </c>
      <c r="AT428" s="25">
        <v>3.44</v>
      </c>
      <c r="AU428" s="25">
        <v>2.4900000000000002</v>
      </c>
      <c r="AV428" s="25">
        <v>2.5979166666666669</v>
      </c>
      <c r="AW428">
        <v>2.597916666666666</v>
      </c>
      <c r="AX428">
        <v>5.966934078125</v>
      </c>
      <c r="AY428" s="75">
        <v>0.56583721757051464</v>
      </c>
      <c r="AZ428" s="75"/>
      <c r="BA428" s="75"/>
      <c r="BC428">
        <v>4.6683942586595709E-2</v>
      </c>
      <c r="BF428">
        <v>9.3367885173191417E-2</v>
      </c>
      <c r="BG428">
        <v>4.6683942586595709E-2</v>
      </c>
      <c r="BH428">
        <v>0.56583721757051464</v>
      </c>
      <c r="BS428" s="79" t="s">
        <v>464</v>
      </c>
      <c r="BT428" s="79" t="s">
        <v>464</v>
      </c>
      <c r="CA428" t="e">
        <f t="shared" si="53"/>
        <v>#NUM!</v>
      </c>
    </row>
    <row r="429" spans="1:79" x14ac:dyDescent="0.3">
      <c r="A429" s="2" t="s">
        <v>255</v>
      </c>
      <c r="B429" s="13" t="s">
        <v>818</v>
      </c>
      <c r="C429" s="13"/>
      <c r="D429" s="2">
        <v>1.55</v>
      </c>
      <c r="E429" s="2" t="s">
        <v>256</v>
      </c>
      <c r="F429" s="9" t="s">
        <v>595</v>
      </c>
      <c r="G429" t="s">
        <v>668</v>
      </c>
      <c r="I429" s="2"/>
      <c r="J429" s="25">
        <v>2</v>
      </c>
      <c r="K429">
        <v>4</v>
      </c>
      <c r="L429">
        <v>0</v>
      </c>
      <c r="M429" s="2"/>
      <c r="N429" s="2"/>
      <c r="O429" s="2"/>
      <c r="P429" s="2"/>
      <c r="Q429" s="2"/>
      <c r="R429" s="25">
        <v>6.8866614799999999</v>
      </c>
      <c r="S429" s="25">
        <v>6.8866614799999999</v>
      </c>
      <c r="T429" s="25">
        <v>6.8866614799999999</v>
      </c>
      <c r="U429">
        <v>8.51</v>
      </c>
      <c r="V429">
        <v>8.51</v>
      </c>
      <c r="W429">
        <v>5.8140000000000001</v>
      </c>
      <c r="X429">
        <v>0</v>
      </c>
      <c r="AA429" s="2"/>
      <c r="AB429">
        <v>8</v>
      </c>
      <c r="AC429" s="55">
        <f t="shared" si="57"/>
        <v>0</v>
      </c>
      <c r="AD429" s="57">
        <v>222.33131811857061</v>
      </c>
      <c r="AE429" s="55">
        <v>421.05046140000002</v>
      </c>
      <c r="AF429" s="55">
        <v>0</v>
      </c>
      <c r="AG429" s="52"/>
      <c r="AH429" s="51">
        <v>7.1964670274059672E-2</v>
      </c>
      <c r="AI429" s="52">
        <v>7.6000391719318994E-2</v>
      </c>
      <c r="AJ429" s="52"/>
      <c r="AK429" s="28">
        <v>1.857142857142857</v>
      </c>
      <c r="AL429" s="28">
        <v>3.1428571428571428</v>
      </c>
      <c r="AM429" s="28">
        <v>4.2857142857142856</v>
      </c>
      <c r="AN429" s="28">
        <v>4</v>
      </c>
      <c r="AO429" s="28">
        <v>0.1397849462365591</v>
      </c>
      <c r="AP429" s="28">
        <v>0.23655913978494619</v>
      </c>
      <c r="AQ429" s="28">
        <v>0.32258064516129031</v>
      </c>
      <c r="AR429" s="28">
        <v>0.30107526881720431</v>
      </c>
      <c r="AS429" s="25">
        <v>1.9</v>
      </c>
      <c r="AT429" s="25">
        <v>3.44</v>
      </c>
      <c r="AU429" s="25">
        <v>1.54</v>
      </c>
      <c r="AV429" s="25">
        <v>2.8142857142857141</v>
      </c>
      <c r="AW429">
        <v>2.8142857142857141</v>
      </c>
      <c r="AX429">
        <v>6.1238972471428568</v>
      </c>
      <c r="AY429" s="75">
        <v>0.44701389447074941</v>
      </c>
      <c r="AZ429" s="75">
        <v>0.47208207797488139</v>
      </c>
      <c r="BA429" s="75"/>
      <c r="BC429">
        <v>3.5982335137029829E-2</v>
      </c>
      <c r="BD429">
        <v>3.800019585965949E-2</v>
      </c>
      <c r="BF429">
        <v>7.3982530996689333E-2</v>
      </c>
      <c r="BG429">
        <v>3.699126549834466E-2</v>
      </c>
      <c r="BH429">
        <v>0.4595479862228154</v>
      </c>
      <c r="BS429" s="79" t="s">
        <v>464</v>
      </c>
      <c r="BT429" s="79" t="s">
        <v>464</v>
      </c>
      <c r="CA429" t="e">
        <f t="shared" si="53"/>
        <v>#NUM!</v>
      </c>
    </row>
    <row r="430" spans="1:79" x14ac:dyDescent="0.3">
      <c r="A430" s="2" t="s">
        <v>0</v>
      </c>
      <c r="B430" s="13" t="s">
        <v>685</v>
      </c>
      <c r="C430" s="13"/>
      <c r="D430" s="2">
        <v>3.3</v>
      </c>
      <c r="E430" s="2" t="s">
        <v>257</v>
      </c>
      <c r="F430" s="9" t="s">
        <v>523</v>
      </c>
      <c r="G430" t="s">
        <v>606</v>
      </c>
      <c r="I430" s="2"/>
      <c r="J430" s="25">
        <v>4</v>
      </c>
      <c r="K430">
        <v>4</v>
      </c>
      <c r="L430">
        <v>0</v>
      </c>
      <c r="M430" s="2"/>
      <c r="N430" s="2"/>
      <c r="O430" s="2"/>
      <c r="P430" s="2"/>
      <c r="Q430" s="2"/>
      <c r="R430" s="25">
        <v>6.6040679999999998</v>
      </c>
      <c r="S430" s="25">
        <v>7.9389519999999996</v>
      </c>
      <c r="T430" s="25">
        <v>33.703336</v>
      </c>
      <c r="U430">
        <v>7.83</v>
      </c>
      <c r="V430">
        <v>33.209989999999998</v>
      </c>
      <c r="W430">
        <v>6.46</v>
      </c>
      <c r="X430">
        <v>0</v>
      </c>
      <c r="AA430" s="2"/>
      <c r="AB430">
        <v>34</v>
      </c>
      <c r="AC430" s="55">
        <f t="shared" si="57"/>
        <v>0</v>
      </c>
      <c r="AD430" s="57">
        <v>1767.0449718798691</v>
      </c>
      <c r="AE430" s="55">
        <v>1679.8210721820001</v>
      </c>
      <c r="AF430" s="55">
        <v>0</v>
      </c>
      <c r="AG430" s="52"/>
      <c r="AH430" s="51">
        <v>7.6964651247849417E-2</v>
      </c>
      <c r="AI430" s="52">
        <v>8.0961003676030277E-2</v>
      </c>
      <c r="AJ430" s="52"/>
      <c r="AK430" s="28">
        <v>1.62962962962963</v>
      </c>
      <c r="AL430" s="28">
        <v>2.518518518518519</v>
      </c>
      <c r="AM430" s="28">
        <v>0.88888888888888884</v>
      </c>
      <c r="AN430" s="28">
        <v>0</v>
      </c>
      <c r="AO430" s="28">
        <v>0.32352941176470579</v>
      </c>
      <c r="AP430" s="28">
        <v>0.5</v>
      </c>
      <c r="AQ430" s="28">
        <v>0.1764705882352941</v>
      </c>
      <c r="AR430" s="28">
        <v>0</v>
      </c>
      <c r="AS430" s="25">
        <v>0.82</v>
      </c>
      <c r="AT430" s="25">
        <v>3.44</v>
      </c>
      <c r="AU430" s="25">
        <v>2.62</v>
      </c>
      <c r="AV430" s="25">
        <v>2.642962962962963</v>
      </c>
      <c r="AW430">
        <v>2.642962962962963</v>
      </c>
      <c r="AX430">
        <v>5.9587362692592576</v>
      </c>
      <c r="AY430" s="75">
        <v>0.48264383878002159</v>
      </c>
      <c r="AZ430" s="75">
        <v>0.50770488753139842</v>
      </c>
      <c r="BA430" s="75"/>
      <c r="BC430">
        <v>3.8482325623924708E-2</v>
      </c>
      <c r="BD430">
        <v>4.0480501838015132E-2</v>
      </c>
      <c r="BF430">
        <v>7.8962827461939847E-2</v>
      </c>
      <c r="BG430">
        <v>3.9481413730969923E-2</v>
      </c>
      <c r="BH430">
        <v>0.49517436315571001</v>
      </c>
      <c r="BS430" s="79" t="s">
        <v>464</v>
      </c>
      <c r="BT430" s="79" t="s">
        <v>464</v>
      </c>
      <c r="CA430" t="e">
        <f t="shared" si="53"/>
        <v>#NUM!</v>
      </c>
    </row>
    <row r="431" spans="1:79" x14ac:dyDescent="0.3">
      <c r="A431" s="2" t="s">
        <v>215</v>
      </c>
      <c r="B431" s="13" t="s">
        <v>734</v>
      </c>
      <c r="C431" s="13"/>
      <c r="D431" s="2">
        <v>4.13</v>
      </c>
      <c r="E431" s="2" t="s">
        <v>258</v>
      </c>
      <c r="F431" s="9" t="s">
        <v>587</v>
      </c>
      <c r="G431" t="s">
        <v>636</v>
      </c>
      <c r="I431" s="2"/>
      <c r="J431" s="25">
        <v>1</v>
      </c>
      <c r="K431">
        <v>1</v>
      </c>
      <c r="L431">
        <v>0</v>
      </c>
      <c r="M431" s="2"/>
      <c r="N431" s="2"/>
      <c r="O431" s="2"/>
      <c r="P431" s="2"/>
      <c r="Q431" s="2"/>
      <c r="R431" s="25">
        <v>3.950634</v>
      </c>
      <c r="S431" s="25">
        <v>3.950634</v>
      </c>
      <c r="T431" s="25">
        <v>15.513552000000001</v>
      </c>
      <c r="U431">
        <v>3.8658999999999999</v>
      </c>
      <c r="V431">
        <v>3.8658999999999999</v>
      </c>
      <c r="W431">
        <v>15.2538</v>
      </c>
      <c r="X431">
        <v>0</v>
      </c>
      <c r="AA431" s="2"/>
      <c r="AB431">
        <v>20</v>
      </c>
      <c r="AC431" s="55">
        <f t="shared" si="57"/>
        <v>0</v>
      </c>
      <c r="AD431" s="57">
        <v>242.1279024923125</v>
      </c>
      <c r="AE431" s="55">
        <v>227.970829547178</v>
      </c>
      <c r="AF431" s="55">
        <v>0</v>
      </c>
      <c r="AG431" s="52"/>
      <c r="AH431" s="51">
        <v>8.2600971611006269E-2</v>
      </c>
      <c r="AI431" s="52">
        <v>8.7730522539775438E-2</v>
      </c>
      <c r="AJ431" s="52"/>
      <c r="AK431" s="28">
        <v>1.9375</v>
      </c>
      <c r="AL431" s="28">
        <v>2.5</v>
      </c>
      <c r="AM431" s="28">
        <v>0.5625</v>
      </c>
      <c r="AN431" s="28">
        <v>2.625</v>
      </c>
      <c r="AO431" s="28">
        <v>0.25409836065573771</v>
      </c>
      <c r="AP431" s="28">
        <v>0.32786885245901642</v>
      </c>
      <c r="AQ431" s="28">
        <v>7.3770491803278687E-2</v>
      </c>
      <c r="AR431" s="28">
        <v>0.34426229508196721</v>
      </c>
      <c r="AS431" s="25">
        <v>0.79</v>
      </c>
      <c r="AT431" s="25">
        <v>3.44</v>
      </c>
      <c r="AU431" s="25">
        <v>2.65</v>
      </c>
      <c r="AV431" s="25">
        <v>2.6056249999999999</v>
      </c>
      <c r="AW431">
        <v>2.6056249999999999</v>
      </c>
      <c r="AX431">
        <v>5.9703320286696879</v>
      </c>
      <c r="AY431" s="75">
        <v>0.52453741991489755</v>
      </c>
      <c r="AZ431" s="75">
        <v>0.55711138795694093</v>
      </c>
      <c r="BA431" s="75"/>
      <c r="BC431">
        <v>4.1300485805503127E-2</v>
      </c>
      <c r="BD431">
        <v>4.3865261269887712E-2</v>
      </c>
      <c r="BF431">
        <v>8.5165747075390846E-2</v>
      </c>
      <c r="BG431">
        <v>4.2582873537695423E-2</v>
      </c>
      <c r="BH431">
        <v>0.54082440393591924</v>
      </c>
      <c r="BS431" s="79" t="s">
        <v>464</v>
      </c>
      <c r="BT431" s="79" t="s">
        <v>464</v>
      </c>
      <c r="CA431" t="e">
        <f t="shared" si="53"/>
        <v>#NUM!</v>
      </c>
    </row>
    <row r="432" spans="1:79" x14ac:dyDescent="0.3">
      <c r="A432" s="2" t="s">
        <v>259</v>
      </c>
      <c r="B432" s="17" t="s">
        <v>734</v>
      </c>
      <c r="C432" s="13"/>
      <c r="D432" s="2">
        <v>2.17</v>
      </c>
      <c r="E432" s="2" t="s">
        <v>258</v>
      </c>
      <c r="F432" s="9" t="s">
        <v>587</v>
      </c>
      <c r="G432" t="s">
        <v>636</v>
      </c>
      <c r="I432" s="2"/>
      <c r="J432" s="25">
        <v>1</v>
      </c>
      <c r="K432">
        <v>1</v>
      </c>
      <c r="L432">
        <v>0</v>
      </c>
      <c r="M432" s="2"/>
      <c r="N432" s="2"/>
      <c r="O432" s="2"/>
      <c r="P432" s="2"/>
      <c r="Q432" s="2"/>
      <c r="R432" s="25">
        <v>3.950634</v>
      </c>
      <c r="S432" s="25">
        <v>3.950634</v>
      </c>
      <c r="T432" s="25">
        <v>15.513552000000001</v>
      </c>
      <c r="U432">
        <v>3.8658999999999999</v>
      </c>
      <c r="V432">
        <v>3.8658999999999999</v>
      </c>
      <c r="W432">
        <v>15.2538</v>
      </c>
      <c r="X432">
        <v>0</v>
      </c>
      <c r="AA432" s="2"/>
      <c r="AB432">
        <v>20</v>
      </c>
      <c r="AC432" s="55">
        <f t="shared" si="57"/>
        <v>0</v>
      </c>
      <c r="AD432" s="57">
        <v>242.1279024923125</v>
      </c>
      <c r="AE432" s="55">
        <v>227.970829547178</v>
      </c>
      <c r="AF432" s="55">
        <v>0</v>
      </c>
      <c r="AG432" s="52"/>
      <c r="AH432" s="51">
        <v>8.2600971611006269E-2</v>
      </c>
      <c r="AI432" s="52">
        <v>8.7730522539775438E-2</v>
      </c>
      <c r="AJ432" s="52"/>
      <c r="AK432" s="28">
        <v>1.9375</v>
      </c>
      <c r="AL432" s="28">
        <v>2.5</v>
      </c>
      <c r="AM432" s="28">
        <v>0.5625</v>
      </c>
      <c r="AN432" s="28">
        <v>2.625</v>
      </c>
      <c r="AO432" s="28">
        <v>0.25409836065573771</v>
      </c>
      <c r="AP432" s="28">
        <v>0.32786885245901642</v>
      </c>
      <c r="AQ432" s="28">
        <v>7.3770491803278687E-2</v>
      </c>
      <c r="AR432" s="28">
        <v>0.34426229508196721</v>
      </c>
      <c r="AS432" s="25">
        <v>0.79</v>
      </c>
      <c r="AT432" s="25">
        <v>3.44</v>
      </c>
      <c r="AU432" s="25">
        <v>2.65</v>
      </c>
      <c r="AV432" s="25">
        <v>2.6056249999999999</v>
      </c>
      <c r="AW432">
        <v>2.6056249999999999</v>
      </c>
      <c r="AX432">
        <v>5.9703320286696879</v>
      </c>
      <c r="AY432" s="75">
        <v>0.52453741991489755</v>
      </c>
      <c r="AZ432" s="75">
        <v>0.55711138795694093</v>
      </c>
      <c r="BA432" s="75"/>
      <c r="BC432">
        <v>4.1300485805503127E-2</v>
      </c>
      <c r="BD432">
        <v>4.3865261269887712E-2</v>
      </c>
      <c r="BF432">
        <v>8.5165747075390846E-2</v>
      </c>
      <c r="BG432">
        <v>4.2582873537695423E-2</v>
      </c>
      <c r="BH432">
        <v>0.54082440393591924</v>
      </c>
      <c r="BN432" s="79" t="s">
        <v>676</v>
      </c>
      <c r="BO432" s="79">
        <v>0.3</v>
      </c>
      <c r="BS432" s="79" t="s">
        <v>464</v>
      </c>
      <c r="BT432" s="79" t="s">
        <v>464</v>
      </c>
      <c r="CA432" t="e">
        <f t="shared" si="53"/>
        <v>#NUM!</v>
      </c>
    </row>
    <row r="433" spans="1:79" x14ac:dyDescent="0.3">
      <c r="A433" s="2" t="s">
        <v>4</v>
      </c>
      <c r="B433" s="13" t="s">
        <v>689</v>
      </c>
      <c r="C433" s="13"/>
      <c r="D433" s="2">
        <v>3.35</v>
      </c>
      <c r="E433" s="2" t="s">
        <v>260</v>
      </c>
      <c r="F433" s="9" t="s">
        <v>527</v>
      </c>
      <c r="G433" t="s">
        <v>609</v>
      </c>
      <c r="I433" s="2"/>
      <c r="J433" s="25">
        <v>4</v>
      </c>
      <c r="K433">
        <v>4</v>
      </c>
      <c r="L433">
        <v>0</v>
      </c>
      <c r="M433" s="2"/>
      <c r="N433" s="2"/>
      <c r="O433" s="2"/>
      <c r="P433" s="2"/>
      <c r="Q433" s="2"/>
      <c r="R433" s="25">
        <v>7.8084429999999996</v>
      </c>
      <c r="S433" s="25">
        <v>7.8548809999999998</v>
      </c>
      <c r="T433" s="25">
        <v>15.19056011</v>
      </c>
      <c r="U433">
        <v>3.8801999999999999</v>
      </c>
      <c r="V433">
        <v>29.507999999999999</v>
      </c>
      <c r="W433">
        <v>7.7140000000000004</v>
      </c>
      <c r="X433">
        <v>0</v>
      </c>
      <c r="AA433" s="2"/>
      <c r="AB433">
        <v>20</v>
      </c>
      <c r="AC433" s="55">
        <f t="shared" si="57"/>
        <v>0</v>
      </c>
      <c r="AD433" s="57">
        <v>924.74694800021894</v>
      </c>
      <c r="AE433" s="55">
        <v>883.22940750240002</v>
      </c>
      <c r="AF433" s="55">
        <v>0</v>
      </c>
      <c r="AG433" s="52"/>
      <c r="AH433" s="51">
        <v>8.6510153045653584E-2</v>
      </c>
      <c r="AI433" s="52">
        <v>9.0576694254581439E-2</v>
      </c>
      <c r="AJ433" s="52"/>
      <c r="AK433" s="28">
        <v>1.75</v>
      </c>
      <c r="AL433" s="28">
        <v>2.5</v>
      </c>
      <c r="AM433" s="28">
        <v>0.75</v>
      </c>
      <c r="AN433" s="28">
        <v>0</v>
      </c>
      <c r="AO433" s="28">
        <v>0.35</v>
      </c>
      <c r="AP433" s="28">
        <v>0.5</v>
      </c>
      <c r="AQ433" s="28">
        <v>0.15</v>
      </c>
      <c r="AR433" s="28">
        <v>0</v>
      </c>
      <c r="AS433" s="25">
        <v>0.82</v>
      </c>
      <c r="AT433" s="25">
        <v>3.44</v>
      </c>
      <c r="AU433" s="25">
        <v>2.62</v>
      </c>
      <c r="AV433" s="25">
        <v>2.6262500000000002</v>
      </c>
      <c r="AW433">
        <v>2.6262500000000002</v>
      </c>
      <c r="AX433">
        <v>5.96680968125</v>
      </c>
      <c r="AY433" s="75">
        <v>0.50555206026575039</v>
      </c>
      <c r="AZ433" s="75">
        <v>0</v>
      </c>
      <c r="BA433" s="75"/>
      <c r="BC433">
        <v>4.3255076522826792E-2</v>
      </c>
      <c r="BD433">
        <v>4.5288347127290719E-2</v>
      </c>
      <c r="BF433">
        <v>8.8543423650117511E-2</v>
      </c>
      <c r="BG433">
        <v>4.4271711825058763E-2</v>
      </c>
      <c r="BH433">
        <v>0.2527760301328752</v>
      </c>
      <c r="BS433" s="79" t="s">
        <v>464</v>
      </c>
      <c r="BT433" s="79" t="s">
        <v>464</v>
      </c>
      <c r="CA433" t="e">
        <f t="shared" si="53"/>
        <v>#NUM!</v>
      </c>
    </row>
    <row r="434" spans="1:79" x14ac:dyDescent="0.3">
      <c r="A434" s="2" t="s">
        <v>38</v>
      </c>
      <c r="B434" s="13" t="s">
        <v>714</v>
      </c>
      <c r="C434" s="13"/>
      <c r="D434" s="2">
        <v>3.92</v>
      </c>
      <c r="E434" s="2" t="s">
        <v>261</v>
      </c>
      <c r="F434" s="9" t="s">
        <v>545</v>
      </c>
      <c r="G434" t="s">
        <v>626</v>
      </c>
      <c r="I434" s="2"/>
      <c r="J434" s="25">
        <v>1</v>
      </c>
      <c r="K434">
        <v>1</v>
      </c>
      <c r="L434">
        <v>0</v>
      </c>
      <c r="M434" s="2"/>
      <c r="N434" s="2"/>
      <c r="O434" s="2"/>
      <c r="P434" s="2"/>
      <c r="Q434" s="2"/>
      <c r="R434" s="25">
        <v>5.8532381300000003</v>
      </c>
      <c r="S434" s="25">
        <v>5.8532371599999999</v>
      </c>
      <c r="T434" s="25">
        <v>11.912811489999999</v>
      </c>
      <c r="U434">
        <v>5.7946</v>
      </c>
      <c r="V434">
        <v>5.7946</v>
      </c>
      <c r="W434">
        <v>11.787599999999999</v>
      </c>
      <c r="X434">
        <v>0</v>
      </c>
      <c r="AA434" s="2"/>
      <c r="AB434">
        <v>30</v>
      </c>
      <c r="AC434" s="55">
        <f t="shared" si="57"/>
        <v>0</v>
      </c>
      <c r="AD434" s="57">
        <v>353.45760058531442</v>
      </c>
      <c r="AE434" s="55">
        <v>342.77011164986573</v>
      </c>
      <c r="AF434" s="55">
        <v>0</v>
      </c>
      <c r="AG434" s="52"/>
      <c r="AH434" s="51">
        <v>8.487580957467307E-2</v>
      </c>
      <c r="AI434" s="52">
        <v>8.752221672887435E-2</v>
      </c>
      <c r="AJ434" s="52"/>
      <c r="AK434" s="28">
        <v>1.833333333333333</v>
      </c>
      <c r="AL434" s="28">
        <v>2.5</v>
      </c>
      <c r="AM434" s="28">
        <v>0.66666666666666663</v>
      </c>
      <c r="AN434" s="28">
        <v>0</v>
      </c>
      <c r="AO434" s="28">
        <v>0.36666666666666659</v>
      </c>
      <c r="AP434" s="28">
        <v>0.5</v>
      </c>
      <c r="AQ434" s="28">
        <v>0.1333333333333333</v>
      </c>
      <c r="AR434" s="28">
        <v>0</v>
      </c>
      <c r="AS434" s="25">
        <v>0.89</v>
      </c>
      <c r="AT434" s="25">
        <v>3.44</v>
      </c>
      <c r="AU434" s="25">
        <v>2.5499999999999998</v>
      </c>
      <c r="AV434" s="25">
        <v>2.6020833333333329</v>
      </c>
      <c r="AW434">
        <v>2.6020833333333329</v>
      </c>
      <c r="AX434">
        <v>5.9098726145833336</v>
      </c>
      <c r="AY434" s="75">
        <v>0.57410011132036598</v>
      </c>
      <c r="AZ434" s="75">
        <v>0.59200041353179045</v>
      </c>
      <c r="BA434" s="75"/>
      <c r="BC434">
        <v>4.2437904787336528E-2</v>
      </c>
      <c r="BD434">
        <v>4.3761108364437168E-2</v>
      </c>
      <c r="BF434">
        <v>8.619901315177371E-2</v>
      </c>
      <c r="BG434">
        <v>4.3099506575886848E-2</v>
      </c>
      <c r="BH434">
        <v>0.58305026242607827</v>
      </c>
      <c r="BS434" s="79" t="s">
        <v>464</v>
      </c>
      <c r="BT434" s="79" t="s">
        <v>464</v>
      </c>
      <c r="CA434" t="e">
        <f t="shared" si="53"/>
        <v>#NUM!</v>
      </c>
    </row>
    <row r="435" spans="1:79" x14ac:dyDescent="0.3">
      <c r="A435" s="2" t="s">
        <v>4</v>
      </c>
      <c r="B435" s="20" t="s">
        <v>689</v>
      </c>
      <c r="C435" s="13"/>
      <c r="D435" s="2">
        <v>3.55</v>
      </c>
      <c r="E435" s="2" t="s">
        <v>263</v>
      </c>
      <c r="F435" s="9">
        <v>-1</v>
      </c>
      <c r="G435">
        <v>-1</v>
      </c>
      <c r="I435" s="2">
        <v>4</v>
      </c>
      <c r="J435" s="25">
        <v>0</v>
      </c>
      <c r="K435">
        <v>0</v>
      </c>
      <c r="L435">
        <v>0</v>
      </c>
      <c r="M435" s="2">
        <v>3.8450000000000002</v>
      </c>
      <c r="N435" s="2">
        <v>29.35</v>
      </c>
      <c r="O435" s="2">
        <v>7.6580000000000004</v>
      </c>
      <c r="P435" s="2" t="s">
        <v>472</v>
      </c>
      <c r="Q435" s="2"/>
      <c r="R435" s="25">
        <v>0</v>
      </c>
      <c r="S435" s="25"/>
      <c r="T435" s="25"/>
      <c r="U435">
        <v>0</v>
      </c>
      <c r="X435">
        <v>0</v>
      </c>
      <c r="AA435" s="2"/>
      <c r="AB435">
        <v>20</v>
      </c>
      <c r="AC435" s="55">
        <f t="shared" si="57"/>
        <v>864.21104350000007</v>
      </c>
      <c r="AD435" s="57">
        <v>0</v>
      </c>
      <c r="AE435" s="55">
        <v>0</v>
      </c>
      <c r="AF435" s="55">
        <v>0</v>
      </c>
      <c r="AG435" s="52">
        <f t="shared" ref="AG435:AG436" si="58">I435*AB435/AC435</f>
        <v>9.256998114257492E-2</v>
      </c>
      <c r="AH435" s="51"/>
      <c r="AI435" s="52"/>
      <c r="AJ435" s="52"/>
      <c r="AK435" s="28">
        <v>1.75</v>
      </c>
      <c r="AL435" s="28">
        <v>2.5</v>
      </c>
      <c r="AM435" s="28">
        <v>0.75</v>
      </c>
      <c r="AN435" s="28">
        <v>0</v>
      </c>
      <c r="AO435" s="28">
        <v>0.35</v>
      </c>
      <c r="AP435" s="28">
        <v>0.5</v>
      </c>
      <c r="AQ435" s="28">
        <v>0.15</v>
      </c>
      <c r="AR435" s="28">
        <v>0</v>
      </c>
      <c r="AS435" s="25">
        <v>0.82</v>
      </c>
      <c r="AT435" s="25">
        <v>3.44</v>
      </c>
      <c r="AU435" s="25">
        <v>2.62</v>
      </c>
      <c r="AV435" s="25">
        <v>2.6262500000000002</v>
      </c>
      <c r="AW435">
        <v>2.7466666666666661</v>
      </c>
      <c r="AX435">
        <v>6.2031928980000002</v>
      </c>
      <c r="AY435" s="75"/>
      <c r="AZ435" s="75"/>
      <c r="BA435" s="75"/>
      <c r="BB435">
        <v>4.628499057128746E-2</v>
      </c>
      <c r="BF435">
        <v>9.256998114257492E-2</v>
      </c>
      <c r="BG435">
        <v>4.628499057128746E-2</v>
      </c>
      <c r="BH435">
        <v>0</v>
      </c>
      <c r="BS435" s="79" t="s">
        <v>464</v>
      </c>
      <c r="BT435" s="79" t="s">
        <v>464</v>
      </c>
      <c r="CA435" t="e">
        <f t="shared" si="53"/>
        <v>#NUM!</v>
      </c>
    </row>
    <row r="436" spans="1:79" x14ac:dyDescent="0.3">
      <c r="A436" s="2" t="s">
        <v>4</v>
      </c>
      <c r="B436" s="20" t="s">
        <v>689</v>
      </c>
      <c r="C436" s="13"/>
      <c r="D436" s="2">
        <v>3.03</v>
      </c>
      <c r="E436" s="2" t="s">
        <v>263</v>
      </c>
      <c r="F436" s="9">
        <v>-1</v>
      </c>
      <c r="G436">
        <v>-1</v>
      </c>
      <c r="I436" s="2">
        <v>4</v>
      </c>
      <c r="J436" s="25">
        <v>0</v>
      </c>
      <c r="K436">
        <v>0</v>
      </c>
      <c r="L436">
        <v>0</v>
      </c>
      <c r="M436" s="2">
        <v>3.8490000000000002</v>
      </c>
      <c r="N436" s="2">
        <v>29.42</v>
      </c>
      <c r="O436" s="2">
        <v>7.6680000000000001</v>
      </c>
      <c r="P436" s="2" t="s">
        <v>472</v>
      </c>
      <c r="Q436" s="2"/>
      <c r="R436" s="25">
        <v>0</v>
      </c>
      <c r="S436" s="25"/>
      <c r="T436" s="25"/>
      <c r="U436">
        <v>0</v>
      </c>
      <c r="X436">
        <v>0</v>
      </c>
      <c r="AA436" s="2"/>
      <c r="AB436">
        <v>20</v>
      </c>
      <c r="AC436" s="55">
        <f t="shared" si="57"/>
        <v>868.30576344000008</v>
      </c>
      <c r="AD436" s="57">
        <v>0</v>
      </c>
      <c r="AE436" s="55">
        <v>0</v>
      </c>
      <c r="AF436" s="55">
        <v>0</v>
      </c>
      <c r="AG436" s="52">
        <f t="shared" si="58"/>
        <v>9.2133443503888482E-2</v>
      </c>
      <c r="AH436" s="51"/>
      <c r="AI436" s="52"/>
      <c r="AJ436" s="52"/>
      <c r="AK436" s="28">
        <v>1.75</v>
      </c>
      <c r="AL436" s="28">
        <v>2.5</v>
      </c>
      <c r="AM436" s="28">
        <v>0.75</v>
      </c>
      <c r="AN436" s="28">
        <v>0</v>
      </c>
      <c r="AO436" s="28">
        <v>0.35</v>
      </c>
      <c r="AP436" s="28">
        <v>0.5</v>
      </c>
      <c r="AQ436" s="28">
        <v>0.15</v>
      </c>
      <c r="AR436" s="28">
        <v>0</v>
      </c>
      <c r="AS436" s="25">
        <v>0.82</v>
      </c>
      <c r="AT436" s="25">
        <v>3.44</v>
      </c>
      <c r="AU436" s="25">
        <v>2.62</v>
      </c>
      <c r="AV436" s="25">
        <v>2.6262500000000002</v>
      </c>
      <c r="AW436">
        <v>2.7466666666666661</v>
      </c>
      <c r="AX436">
        <v>6.2031928980000002</v>
      </c>
      <c r="AY436" s="75"/>
      <c r="AZ436" s="75"/>
      <c r="BA436" s="75"/>
      <c r="BB436">
        <v>4.6066721751944241E-2</v>
      </c>
      <c r="BF436">
        <v>9.2133443503888482E-2</v>
      </c>
      <c r="BG436">
        <v>4.6066721751944241E-2</v>
      </c>
      <c r="BH436">
        <v>0</v>
      </c>
      <c r="BN436" s="79" t="s">
        <v>676</v>
      </c>
      <c r="BO436" s="79">
        <v>1.37</v>
      </c>
      <c r="BS436" s="79" t="s">
        <v>464</v>
      </c>
      <c r="BT436" s="79" t="s">
        <v>464</v>
      </c>
      <c r="CA436" t="e">
        <f t="shared" si="53"/>
        <v>#NUM!</v>
      </c>
    </row>
    <row r="437" spans="1:79" x14ac:dyDescent="0.3">
      <c r="A437" s="2" t="s">
        <v>889</v>
      </c>
      <c r="B437" s="17" t="s">
        <v>945</v>
      </c>
      <c r="C437" s="13"/>
      <c r="D437" s="2">
        <v>2.1800000000000002</v>
      </c>
      <c r="E437" s="2" t="s">
        <v>264</v>
      </c>
      <c r="F437" s="9">
        <v>-1</v>
      </c>
      <c r="G437">
        <v>-1</v>
      </c>
      <c r="H437" t="s">
        <v>1174</v>
      </c>
      <c r="I437" s="2">
        <v>1</v>
      </c>
      <c r="J437" s="25">
        <v>0</v>
      </c>
      <c r="K437">
        <v>0</v>
      </c>
      <c r="L437">
        <v>1</v>
      </c>
      <c r="M437" s="2">
        <v>3.899</v>
      </c>
      <c r="N437" s="2">
        <v>3.899</v>
      </c>
      <c r="O437" s="2">
        <v>15.5359</v>
      </c>
      <c r="P437" s="2"/>
      <c r="Q437" s="2"/>
      <c r="R437" s="25">
        <v>0</v>
      </c>
      <c r="S437" s="25"/>
      <c r="T437" s="25"/>
      <c r="U437">
        <v>0</v>
      </c>
      <c r="X437">
        <v>0</v>
      </c>
      <c r="AA437" s="2"/>
      <c r="AB437">
        <v>20</v>
      </c>
      <c r="AC437" s="55">
        <f t="shared" si="57"/>
        <v>236.1798745159</v>
      </c>
      <c r="AD437" s="57">
        <v>0</v>
      </c>
      <c r="AE437" s="55">
        <v>0</v>
      </c>
      <c r="AF437" s="55">
        <v>236.2</v>
      </c>
      <c r="AG437" s="52"/>
      <c r="AH437" s="51"/>
      <c r="AI437" s="52"/>
      <c r="AJ437" s="67">
        <f>L437*AB437/AF437</f>
        <v>8.4674005080440304E-2</v>
      </c>
      <c r="AK437" s="28">
        <v>1.9375</v>
      </c>
      <c r="AL437" s="28">
        <v>2.5</v>
      </c>
      <c r="AM437" s="28">
        <v>0.5625</v>
      </c>
      <c r="AN437" s="28">
        <v>2.625</v>
      </c>
      <c r="AO437" s="28">
        <v>0.25409836065573771</v>
      </c>
      <c r="AP437" s="28">
        <v>0.32786885245901642</v>
      </c>
      <c r="AQ437" s="28">
        <v>7.3770491803278687E-2</v>
      </c>
      <c r="AR437" s="28">
        <v>0.34426229508196721</v>
      </c>
      <c r="AS437" s="25">
        <v>0.79</v>
      </c>
      <c r="AT437" s="25">
        <v>3.44</v>
      </c>
      <c r="AU437" s="25">
        <v>2.65</v>
      </c>
      <c r="AV437" s="25">
        <v>2.5975000000000001</v>
      </c>
      <c r="AW437">
        <v>2.5975000000000001</v>
      </c>
      <c r="AX437">
        <v>5.9398049203884389</v>
      </c>
      <c r="AY437" s="75"/>
      <c r="AZ437" s="75"/>
      <c r="BA437" s="75">
        <v>0.56677800513792698</v>
      </c>
      <c r="BB437">
        <v>4.2340610183221959E-2</v>
      </c>
      <c r="BE437">
        <v>4.2337002540220152E-2</v>
      </c>
      <c r="BF437">
        <v>8.4674005080440304E-2</v>
      </c>
      <c r="BG437">
        <v>4.2338806361721062E-2</v>
      </c>
      <c r="BH437">
        <v>0.56677800513792698</v>
      </c>
      <c r="BN437" s="79" t="s">
        <v>676</v>
      </c>
      <c r="BO437" s="79">
        <v>0.41</v>
      </c>
      <c r="CA437" t="e">
        <f t="shared" si="53"/>
        <v>#NUM!</v>
      </c>
    </row>
    <row r="438" spans="1:79" x14ac:dyDescent="0.3">
      <c r="A438" s="2" t="s">
        <v>4</v>
      </c>
      <c r="B438" s="13" t="s">
        <v>689</v>
      </c>
      <c r="C438" s="13"/>
      <c r="D438" s="2">
        <v>2.92</v>
      </c>
      <c r="E438" s="2" t="s">
        <v>265</v>
      </c>
      <c r="F438" s="9" t="s">
        <v>527</v>
      </c>
      <c r="G438" t="s">
        <v>609</v>
      </c>
      <c r="I438" s="2"/>
      <c r="J438" s="25">
        <v>4</v>
      </c>
      <c r="K438">
        <v>4</v>
      </c>
      <c r="L438">
        <v>0</v>
      </c>
      <c r="M438" s="2"/>
      <c r="N438" s="2"/>
      <c r="O438" s="2"/>
      <c r="P438" s="2"/>
      <c r="Q438" s="2"/>
      <c r="R438" s="25">
        <v>7.8084429999999996</v>
      </c>
      <c r="S438" s="25">
        <v>7.8548809999999998</v>
      </c>
      <c r="T438" s="25">
        <v>15.19056011</v>
      </c>
      <c r="U438">
        <v>3.8801999999999999</v>
      </c>
      <c r="V438">
        <v>29.507999999999999</v>
      </c>
      <c r="W438">
        <v>7.7140000000000004</v>
      </c>
      <c r="X438">
        <v>0</v>
      </c>
      <c r="AA438" s="2"/>
      <c r="AB438">
        <v>20</v>
      </c>
      <c r="AC438" s="55">
        <f t="shared" si="57"/>
        <v>0</v>
      </c>
      <c r="AD438" s="57">
        <v>924.74694800021894</v>
      </c>
      <c r="AE438" s="55">
        <v>883.22940750240002</v>
      </c>
      <c r="AF438" s="55">
        <v>0</v>
      </c>
      <c r="AG438" s="52"/>
      <c r="AH438" s="51">
        <v>8.6510153045653584E-2</v>
      </c>
      <c r="AI438" s="52">
        <v>9.0576694254581439E-2</v>
      </c>
      <c r="AJ438" s="52"/>
      <c r="AK438" s="28">
        <v>1.75</v>
      </c>
      <c r="AL438" s="28">
        <v>2.5</v>
      </c>
      <c r="AM438" s="28">
        <v>0.75</v>
      </c>
      <c r="AN438" s="28">
        <v>0</v>
      </c>
      <c r="AO438" s="28">
        <v>0.35</v>
      </c>
      <c r="AP438" s="28">
        <v>0.5</v>
      </c>
      <c r="AQ438" s="28">
        <v>0.15</v>
      </c>
      <c r="AR438" s="28">
        <v>0</v>
      </c>
      <c r="AS438" s="25">
        <v>0.82</v>
      </c>
      <c r="AT438" s="25">
        <v>3.44</v>
      </c>
      <c r="AU438" s="25">
        <v>2.62</v>
      </c>
      <c r="AV438" s="25">
        <v>2.6262500000000002</v>
      </c>
      <c r="AW438">
        <v>2.6262500000000002</v>
      </c>
      <c r="AX438">
        <v>5.96680968125</v>
      </c>
      <c r="AY438" s="75">
        <v>0.50555206026575039</v>
      </c>
      <c r="AZ438" s="75">
        <v>0</v>
      </c>
      <c r="BA438" s="75"/>
      <c r="BC438">
        <v>4.3255076522826792E-2</v>
      </c>
      <c r="BD438">
        <v>4.5288347127290719E-2</v>
      </c>
      <c r="BF438">
        <v>8.8543423650117511E-2</v>
      </c>
      <c r="BG438">
        <v>4.4271711825058763E-2</v>
      </c>
      <c r="BH438">
        <v>0.2527760301328752</v>
      </c>
      <c r="BN438" s="79" t="s">
        <v>890</v>
      </c>
      <c r="BO438" s="79">
        <v>0.55000000000000004</v>
      </c>
      <c r="CA438" t="e">
        <f t="shared" si="53"/>
        <v>#NUM!</v>
      </c>
    </row>
    <row r="439" spans="1:79" x14ac:dyDescent="0.3">
      <c r="A439" s="2" t="s">
        <v>4</v>
      </c>
      <c r="B439" s="13" t="s">
        <v>689</v>
      </c>
      <c r="C439" s="13"/>
      <c r="D439" s="2">
        <v>3.55</v>
      </c>
      <c r="E439" s="2" t="s">
        <v>265</v>
      </c>
      <c r="F439" s="9" t="s">
        <v>527</v>
      </c>
      <c r="G439" t="s">
        <v>609</v>
      </c>
      <c r="I439" s="2"/>
      <c r="J439" s="25">
        <v>4</v>
      </c>
      <c r="K439">
        <v>4</v>
      </c>
      <c r="L439">
        <v>0</v>
      </c>
      <c r="M439" s="2"/>
      <c r="N439" s="2"/>
      <c r="O439" s="2"/>
      <c r="P439" s="2"/>
      <c r="Q439" s="2"/>
      <c r="R439" s="25">
        <v>7.8084429999999996</v>
      </c>
      <c r="S439" s="25">
        <v>7.8548809999999998</v>
      </c>
      <c r="T439" s="25">
        <v>15.19056011</v>
      </c>
      <c r="U439">
        <v>3.8801999999999999</v>
      </c>
      <c r="V439">
        <v>29.507999999999999</v>
      </c>
      <c r="W439">
        <v>7.7140000000000004</v>
      </c>
      <c r="X439">
        <v>0</v>
      </c>
      <c r="AA439" s="2"/>
      <c r="AB439">
        <v>20</v>
      </c>
      <c r="AC439" s="55">
        <f t="shared" si="57"/>
        <v>0</v>
      </c>
      <c r="AD439" s="57">
        <v>924.74694800021894</v>
      </c>
      <c r="AE439" s="55">
        <v>883.22940750240002</v>
      </c>
      <c r="AF439" s="55">
        <v>0</v>
      </c>
      <c r="AG439" s="52"/>
      <c r="AH439" s="51">
        <v>8.6510153045653584E-2</v>
      </c>
      <c r="AI439" s="52">
        <v>9.0576694254581439E-2</v>
      </c>
      <c r="AJ439" s="52"/>
      <c r="AK439" s="28">
        <v>1.75</v>
      </c>
      <c r="AL439" s="28">
        <v>2.5</v>
      </c>
      <c r="AM439" s="28">
        <v>0.75</v>
      </c>
      <c r="AN439" s="28">
        <v>0</v>
      </c>
      <c r="AO439" s="28">
        <v>0.35</v>
      </c>
      <c r="AP439" s="28">
        <v>0.5</v>
      </c>
      <c r="AQ439" s="28">
        <v>0.15</v>
      </c>
      <c r="AR439" s="28">
        <v>0</v>
      </c>
      <c r="AS439" s="25">
        <v>0.82</v>
      </c>
      <c r="AT439" s="25">
        <v>3.44</v>
      </c>
      <c r="AU439" s="25">
        <v>2.62</v>
      </c>
      <c r="AV439" s="25">
        <v>2.6262500000000002</v>
      </c>
      <c r="AW439">
        <v>2.6262500000000002</v>
      </c>
      <c r="AX439">
        <v>5.96680968125</v>
      </c>
      <c r="AY439" s="75">
        <v>0.50555206026575039</v>
      </c>
      <c r="AZ439" s="75">
        <v>0</v>
      </c>
      <c r="BA439" s="75"/>
      <c r="BC439">
        <v>4.3255076522826792E-2</v>
      </c>
      <c r="BD439">
        <v>4.5288347127290719E-2</v>
      </c>
      <c r="BF439">
        <v>8.8543423650117511E-2</v>
      </c>
      <c r="BG439">
        <v>4.4271711825058763E-2</v>
      </c>
      <c r="BH439">
        <v>0.2527760301328752</v>
      </c>
      <c r="CA439" t="e">
        <f t="shared" si="53"/>
        <v>#NUM!</v>
      </c>
    </row>
    <row r="440" spans="1:79" x14ac:dyDescent="0.3">
      <c r="A440" s="2" t="s">
        <v>266</v>
      </c>
      <c r="B440" s="13" t="s">
        <v>819</v>
      </c>
      <c r="C440" s="13"/>
      <c r="D440" s="2">
        <v>2.8</v>
      </c>
      <c r="E440" s="2" t="s">
        <v>267</v>
      </c>
      <c r="F440" s="9" t="s">
        <v>596</v>
      </c>
      <c r="G440" t="s">
        <v>669</v>
      </c>
      <c r="I440" s="2"/>
      <c r="J440" s="25">
        <v>1</v>
      </c>
      <c r="K440">
        <v>1</v>
      </c>
      <c r="L440">
        <v>0</v>
      </c>
      <c r="M440" s="2">
        <v>3.97</v>
      </c>
      <c r="N440" s="2">
        <v>3.97</v>
      </c>
      <c r="O440" s="2">
        <v>15.56</v>
      </c>
      <c r="P440" s="2" t="s">
        <v>519</v>
      </c>
      <c r="Q440" s="2"/>
      <c r="R440" s="25">
        <v>4.0290549999999996</v>
      </c>
      <c r="S440" s="25">
        <v>4.0290549999999996</v>
      </c>
      <c r="T440" s="25">
        <v>16.069894999999999</v>
      </c>
      <c r="U440">
        <v>3.9765999999999999</v>
      </c>
      <c r="V440">
        <v>3.9765999999999999</v>
      </c>
      <c r="W440">
        <v>15.5792</v>
      </c>
      <c r="X440">
        <v>0</v>
      </c>
      <c r="AA440" s="2"/>
      <c r="AB440">
        <v>20</v>
      </c>
      <c r="AC440" s="55">
        <f t="shared" si="57"/>
        <v>245.23960400000001</v>
      </c>
      <c r="AD440" s="57">
        <v>260.8671724870714</v>
      </c>
      <c r="AE440" s="55">
        <v>246.35930430675199</v>
      </c>
      <c r="AF440" s="55">
        <v>0</v>
      </c>
      <c r="AG440" s="52"/>
      <c r="AH440" s="51">
        <v>7.6667369869971663E-2</v>
      </c>
      <c r="AI440" s="52">
        <v>8.1182239316186677E-2</v>
      </c>
      <c r="AJ440" s="52"/>
      <c r="AK440" s="28">
        <v>1.75</v>
      </c>
      <c r="AL440" s="28">
        <v>2.5</v>
      </c>
      <c r="AM440" s="28">
        <v>0.75</v>
      </c>
      <c r="AN440" s="28">
        <v>0</v>
      </c>
      <c r="AO440" s="28">
        <v>0.35</v>
      </c>
      <c r="AP440" s="28">
        <v>0.5</v>
      </c>
      <c r="AQ440" s="28">
        <v>0.15</v>
      </c>
      <c r="AR440" s="28">
        <v>0</v>
      </c>
      <c r="AS440" s="25">
        <v>0.79</v>
      </c>
      <c r="AT440" s="25">
        <v>3.44</v>
      </c>
      <c r="AU440" s="25">
        <v>2.65</v>
      </c>
      <c r="AV440" s="25">
        <v>2.6106250000000002</v>
      </c>
      <c r="AW440">
        <v>2.6106250000000002</v>
      </c>
      <c r="AX440">
        <v>5.9030778492946876</v>
      </c>
      <c r="AY440" s="75">
        <v>0.54551133687670861</v>
      </c>
      <c r="AZ440" s="75">
        <v>0.57763598744977085</v>
      </c>
      <c r="BA440" s="75"/>
      <c r="BC440">
        <v>3.8333684934985832E-2</v>
      </c>
      <c r="BD440">
        <v>4.0591119658093339E-2</v>
      </c>
      <c r="BF440">
        <v>7.892480459307917E-2</v>
      </c>
      <c r="BG440">
        <v>3.9462402296539592E-2</v>
      </c>
      <c r="BH440">
        <v>0.56157366216323967</v>
      </c>
      <c r="CA440" t="e">
        <f t="shared" si="53"/>
        <v>#NUM!</v>
      </c>
    </row>
    <row r="441" spans="1:79" x14ac:dyDescent="0.3">
      <c r="A441" s="2" t="s">
        <v>268</v>
      </c>
      <c r="B441" s="13" t="s">
        <v>820</v>
      </c>
      <c r="C441" s="13"/>
      <c r="D441" s="2">
        <v>2.8</v>
      </c>
      <c r="E441" s="2" t="s">
        <v>267</v>
      </c>
      <c r="F441" s="9">
        <v>-1</v>
      </c>
      <c r="G441">
        <v>-1</v>
      </c>
      <c r="I441" s="2">
        <v>1</v>
      </c>
      <c r="J441" s="25">
        <v>0</v>
      </c>
      <c r="K441">
        <v>0</v>
      </c>
      <c r="L441">
        <v>0</v>
      </c>
      <c r="M441" s="2">
        <v>3.97</v>
      </c>
      <c r="N441" s="2">
        <v>3.97</v>
      </c>
      <c r="O441" s="2">
        <v>15.56</v>
      </c>
      <c r="P441" s="2" t="s">
        <v>519</v>
      </c>
      <c r="Q441" s="2"/>
      <c r="R441" s="25">
        <v>0</v>
      </c>
      <c r="S441" s="25"/>
      <c r="T441" s="25"/>
      <c r="U441">
        <v>0</v>
      </c>
      <c r="X441">
        <v>0</v>
      </c>
      <c r="AA441" s="2"/>
      <c r="AB441">
        <v>20</v>
      </c>
      <c r="AC441" s="55">
        <f t="shared" si="57"/>
        <v>245.23960400000001</v>
      </c>
      <c r="AD441" s="57">
        <v>0</v>
      </c>
      <c r="AE441" s="55">
        <v>0</v>
      </c>
      <c r="AF441" s="55">
        <v>0</v>
      </c>
      <c r="AG441" s="52">
        <f t="shared" ref="AG441:AG454" si="59">I441*AB441/AC441</f>
        <v>8.1552896325831611E-2</v>
      </c>
      <c r="AH441" s="51"/>
      <c r="AI441" s="52"/>
      <c r="AJ441" s="52"/>
      <c r="AK441" s="28">
        <v>1.75</v>
      </c>
      <c r="AL441" s="28">
        <v>2.5</v>
      </c>
      <c r="AM441" s="28">
        <v>0.75</v>
      </c>
      <c r="AN441" s="28">
        <v>0</v>
      </c>
      <c r="AO441" s="28">
        <v>0.35</v>
      </c>
      <c r="AP441" s="28">
        <v>0.5</v>
      </c>
      <c r="AQ441" s="28">
        <v>0.15</v>
      </c>
      <c r="AR441" s="28">
        <v>0</v>
      </c>
      <c r="AS441" s="25">
        <v>0.89</v>
      </c>
      <c r="AT441" s="25">
        <v>3.44</v>
      </c>
      <c r="AU441" s="25">
        <v>2.5499999999999998</v>
      </c>
      <c r="AV441" s="25">
        <v>2.69875</v>
      </c>
      <c r="AW441">
        <v>2.69875</v>
      </c>
      <c r="AX441">
        <v>6.2151871187406877</v>
      </c>
      <c r="AY441" s="75"/>
      <c r="AZ441" s="75"/>
      <c r="BA441" s="75"/>
      <c r="BB441">
        <v>4.0776448162915813E-2</v>
      </c>
      <c r="BF441">
        <v>8.1552896325831611E-2</v>
      </c>
      <c r="BG441">
        <v>4.0776448162915813E-2</v>
      </c>
      <c r="BH441">
        <v>0</v>
      </c>
      <c r="CA441" t="e">
        <f t="shared" si="53"/>
        <v>#NUM!</v>
      </c>
    </row>
    <row r="442" spans="1:79" x14ac:dyDescent="0.3">
      <c r="A442" s="2" t="s">
        <v>270</v>
      </c>
      <c r="B442" s="18" t="s">
        <v>977</v>
      </c>
      <c r="C442" s="13"/>
      <c r="D442" s="2">
        <v>3.29</v>
      </c>
      <c r="E442" s="2" t="s">
        <v>269</v>
      </c>
      <c r="F442" s="9">
        <v>-1</v>
      </c>
      <c r="G442">
        <v>-1</v>
      </c>
      <c r="I442" s="2">
        <v>1</v>
      </c>
      <c r="J442" s="25">
        <v>0</v>
      </c>
      <c r="K442">
        <v>0</v>
      </c>
      <c r="L442">
        <v>0</v>
      </c>
      <c r="M442" s="2">
        <v>3.89</v>
      </c>
      <c r="N442" s="2">
        <v>3.89</v>
      </c>
      <c r="O442" s="2">
        <v>16.43</v>
      </c>
      <c r="P442" s="2" t="s">
        <v>519</v>
      </c>
      <c r="Q442" s="2"/>
      <c r="R442" s="25">
        <v>0</v>
      </c>
      <c r="S442" s="25"/>
      <c r="T442" s="25"/>
      <c r="U442">
        <v>0</v>
      </c>
      <c r="X442">
        <v>0</v>
      </c>
      <c r="AA442" s="2"/>
      <c r="AB442">
        <v>38</v>
      </c>
      <c r="AC442" s="55">
        <f t="shared" si="57"/>
        <v>248.62040300000001</v>
      </c>
      <c r="AD442" s="57">
        <v>0</v>
      </c>
      <c r="AE442" s="55">
        <v>0</v>
      </c>
      <c r="AF442" s="55">
        <v>0</v>
      </c>
      <c r="AG442" s="52">
        <f t="shared" si="59"/>
        <v>0.15284344945736411</v>
      </c>
      <c r="AH442" s="51"/>
      <c r="AI442" s="52"/>
      <c r="AJ442" s="52"/>
      <c r="AK442" s="28">
        <v>1.84</v>
      </c>
      <c r="AL442" s="28">
        <v>3.04</v>
      </c>
      <c r="AM442" s="28">
        <v>0.48</v>
      </c>
      <c r="AN442" s="28">
        <v>0</v>
      </c>
      <c r="AO442" s="28">
        <v>0.34328358208955218</v>
      </c>
      <c r="AP442" s="28">
        <v>0.56716417910447758</v>
      </c>
      <c r="AQ442" s="28">
        <v>8.9552238805970144E-2</v>
      </c>
      <c r="AR442" s="28">
        <v>0</v>
      </c>
      <c r="AS442" s="25">
        <v>0.95</v>
      </c>
      <c r="AT442" s="25">
        <v>3.44</v>
      </c>
      <c r="AU442" s="25">
        <v>2.4900000000000002</v>
      </c>
      <c r="AV442" s="25">
        <v>2.9704000000000002</v>
      </c>
      <c r="AW442">
        <v>2.9704000000000002</v>
      </c>
      <c r="AX442">
        <v>6.7075943239940399</v>
      </c>
      <c r="AY442" s="75"/>
      <c r="AZ442" s="75"/>
      <c r="BA442" s="75"/>
      <c r="BB442">
        <v>7.6421724728682056E-2</v>
      </c>
      <c r="BF442">
        <v>0.15284344945736411</v>
      </c>
      <c r="BG442">
        <v>7.6421724728682056E-2</v>
      </c>
      <c r="BH442">
        <v>0</v>
      </c>
      <c r="CA442" t="e">
        <f t="shared" si="53"/>
        <v>#NUM!</v>
      </c>
    </row>
    <row r="443" spans="1:79" x14ac:dyDescent="0.3">
      <c r="A443" s="2" t="s">
        <v>271</v>
      </c>
      <c r="B443" s="18" t="s">
        <v>978</v>
      </c>
      <c r="C443" s="13"/>
      <c r="D443" s="2">
        <v>3.29</v>
      </c>
      <c r="E443" s="2" t="s">
        <v>269</v>
      </c>
      <c r="F443" s="9">
        <v>-1</v>
      </c>
      <c r="G443">
        <v>-1</v>
      </c>
      <c r="I443" s="2">
        <v>1</v>
      </c>
      <c r="J443" s="25">
        <v>0</v>
      </c>
      <c r="K443">
        <v>0</v>
      </c>
      <c r="L443">
        <v>0</v>
      </c>
      <c r="M443" s="2">
        <v>3.9</v>
      </c>
      <c r="N443" s="2">
        <v>3.9</v>
      </c>
      <c r="O443" s="2">
        <v>16.54</v>
      </c>
      <c r="P443" s="2" t="s">
        <v>519</v>
      </c>
      <c r="Q443" s="2"/>
      <c r="R443" s="25">
        <v>0</v>
      </c>
      <c r="S443" s="25"/>
      <c r="T443" s="25"/>
      <c r="U443">
        <v>0</v>
      </c>
      <c r="X443">
        <v>0</v>
      </c>
      <c r="AA443" s="2"/>
      <c r="AB443">
        <v>38</v>
      </c>
      <c r="AC443" s="55">
        <f t="shared" si="57"/>
        <v>251.57339999999996</v>
      </c>
      <c r="AD443" s="57">
        <v>0</v>
      </c>
      <c r="AE443" s="55">
        <v>0</v>
      </c>
      <c r="AF443" s="55">
        <v>0</v>
      </c>
      <c r="AG443" s="52">
        <f t="shared" si="59"/>
        <v>0.15104935577449766</v>
      </c>
      <c r="AH443" s="51"/>
      <c r="AI443" s="52"/>
      <c r="AJ443" s="52"/>
      <c r="AK443" s="28">
        <v>1.71875</v>
      </c>
      <c r="AL443" s="28">
        <v>2.53125</v>
      </c>
      <c r="AM443" s="28">
        <v>0.375</v>
      </c>
      <c r="AN443" s="28">
        <v>0</v>
      </c>
      <c r="AO443" s="28">
        <v>0.3716216216216216</v>
      </c>
      <c r="AP443" s="28">
        <v>0.54729729729729726</v>
      </c>
      <c r="AQ443" s="28">
        <v>8.1081081081081086E-2</v>
      </c>
      <c r="AR443" s="28">
        <v>0</v>
      </c>
      <c r="AS443" s="25">
        <v>0.95</v>
      </c>
      <c r="AT443" s="25">
        <v>3.44</v>
      </c>
      <c r="AU443" s="25">
        <v>2.4900000000000002</v>
      </c>
      <c r="AV443" s="25">
        <v>2.8390624999999998</v>
      </c>
      <c r="AW443">
        <v>2.8390624999999998</v>
      </c>
      <c r="AX443">
        <v>6.7833032939095634</v>
      </c>
      <c r="AY443" s="75"/>
      <c r="AZ443" s="75"/>
      <c r="BA443" s="75"/>
      <c r="BB443">
        <v>7.5524677887248828E-2</v>
      </c>
      <c r="BF443">
        <v>0.15104935577449771</v>
      </c>
      <c r="BG443">
        <v>7.5524677887248828E-2</v>
      </c>
      <c r="BH443">
        <v>0</v>
      </c>
      <c r="CA443" t="e">
        <f t="shared" si="53"/>
        <v>#NUM!</v>
      </c>
    </row>
    <row r="444" spans="1:79" x14ac:dyDescent="0.3">
      <c r="A444" s="2" t="s">
        <v>272</v>
      </c>
      <c r="B444" s="18" t="s">
        <v>983</v>
      </c>
      <c r="C444" s="13"/>
      <c r="D444" s="2">
        <v>3.3</v>
      </c>
      <c r="E444" s="2" t="s">
        <v>269</v>
      </c>
      <c r="F444" s="9">
        <v>-1</v>
      </c>
      <c r="G444">
        <v>-1</v>
      </c>
      <c r="I444" s="2">
        <v>1</v>
      </c>
      <c r="J444" s="25">
        <v>0</v>
      </c>
      <c r="K444">
        <v>0</v>
      </c>
      <c r="L444">
        <v>0</v>
      </c>
      <c r="M444" s="2">
        <v>3.9</v>
      </c>
      <c r="N444" s="2">
        <v>3.9</v>
      </c>
      <c r="O444" s="2">
        <v>20.78</v>
      </c>
      <c r="P444" s="2" t="s">
        <v>519</v>
      </c>
      <c r="Q444" s="2"/>
      <c r="R444" s="25">
        <v>0</v>
      </c>
      <c r="S444" s="25"/>
      <c r="T444" s="25"/>
      <c r="U444">
        <v>0</v>
      </c>
      <c r="X444">
        <v>0</v>
      </c>
      <c r="AA444" s="2"/>
      <c r="AB444">
        <v>38</v>
      </c>
      <c r="AC444" s="55">
        <f t="shared" si="57"/>
        <v>316.06380000000001</v>
      </c>
      <c r="AD444" s="57">
        <v>0</v>
      </c>
      <c r="AE444" s="55">
        <v>0</v>
      </c>
      <c r="AF444" s="55">
        <v>0</v>
      </c>
      <c r="AG444" s="52">
        <f t="shared" si="59"/>
        <v>0.12022889049615931</v>
      </c>
      <c r="AH444" s="51"/>
      <c r="AI444" s="52"/>
      <c r="AJ444" s="52"/>
      <c r="AK444" s="28">
        <v>1.6857142857142859</v>
      </c>
      <c r="AL444" s="28">
        <v>2.371428571428571</v>
      </c>
      <c r="AM444" s="28">
        <v>0.34285714285714292</v>
      </c>
      <c r="AN444" s="28">
        <v>0</v>
      </c>
      <c r="AO444" s="28">
        <v>0.38311688311688308</v>
      </c>
      <c r="AP444" s="28">
        <v>0.53896103896103897</v>
      </c>
      <c r="AQ444" s="28">
        <v>7.792207792207792E-2</v>
      </c>
      <c r="AR444" s="28">
        <v>0</v>
      </c>
      <c r="AS444" s="25">
        <v>0.95</v>
      </c>
      <c r="AT444" s="25">
        <v>3.44</v>
      </c>
      <c r="AU444" s="25">
        <v>2.4900000000000002</v>
      </c>
      <c r="AV444" s="25">
        <v>2.794285714285714</v>
      </c>
      <c r="AW444">
        <v>2.794285714285714</v>
      </c>
      <c r="AX444">
        <v>6.7908553945945132</v>
      </c>
      <c r="AY444" s="75"/>
      <c r="AZ444" s="75"/>
      <c r="BA444" s="75"/>
      <c r="BB444">
        <v>6.0114445248079663E-2</v>
      </c>
      <c r="BF444">
        <v>0.1202288904961593</v>
      </c>
      <c r="BG444">
        <v>6.0114445248079663E-2</v>
      </c>
      <c r="BH444">
        <v>0</v>
      </c>
      <c r="CA444" t="e">
        <f t="shared" si="53"/>
        <v>#NUM!</v>
      </c>
    </row>
    <row r="445" spans="1:79" x14ac:dyDescent="0.3">
      <c r="A445" s="2" t="s">
        <v>273</v>
      </c>
      <c r="B445" s="18" t="s">
        <v>982</v>
      </c>
      <c r="C445" s="13"/>
      <c r="D445" s="2">
        <v>3.31</v>
      </c>
      <c r="E445" s="2" t="s">
        <v>269</v>
      </c>
      <c r="F445" s="9">
        <v>-1</v>
      </c>
      <c r="G445">
        <v>-1</v>
      </c>
      <c r="I445" s="2">
        <v>1</v>
      </c>
      <c r="J445" s="25">
        <v>0</v>
      </c>
      <c r="K445">
        <v>0</v>
      </c>
      <c r="L445">
        <v>0</v>
      </c>
      <c r="M445" s="2">
        <v>3.89</v>
      </c>
      <c r="N445" s="2">
        <v>3.89</v>
      </c>
      <c r="O445" s="2">
        <v>22.41</v>
      </c>
      <c r="P445" s="2" t="s">
        <v>519</v>
      </c>
      <c r="Q445" s="2"/>
      <c r="R445" s="25">
        <v>0</v>
      </c>
      <c r="S445" s="25"/>
      <c r="T445" s="25"/>
      <c r="U445">
        <v>0</v>
      </c>
      <c r="X445">
        <v>0</v>
      </c>
      <c r="AA445" s="2"/>
      <c r="AB445">
        <v>38</v>
      </c>
      <c r="AC445" s="55">
        <f t="shared" si="57"/>
        <v>339.11036100000001</v>
      </c>
      <c r="AD445" s="57">
        <v>0</v>
      </c>
      <c r="AE445" s="55">
        <v>0</v>
      </c>
      <c r="AF445" s="55">
        <v>0</v>
      </c>
      <c r="AG445" s="52">
        <f t="shared" si="59"/>
        <v>0.11205791497476539</v>
      </c>
      <c r="AH445" s="51"/>
      <c r="AI445" s="52"/>
      <c r="AJ445" s="52"/>
      <c r="AK445" s="28">
        <v>1.6578947368421051</v>
      </c>
      <c r="AL445" s="28">
        <v>2.236842105263158</v>
      </c>
      <c r="AM445" s="28">
        <v>0.31578947368421051</v>
      </c>
      <c r="AN445" s="28">
        <v>0</v>
      </c>
      <c r="AO445" s="28">
        <v>0.39374999999999999</v>
      </c>
      <c r="AP445" s="28">
        <v>0.53125</v>
      </c>
      <c r="AQ445" s="28">
        <v>7.4999999999999997E-2</v>
      </c>
      <c r="AR445" s="28">
        <v>0</v>
      </c>
      <c r="AS445" s="25">
        <v>0.95</v>
      </c>
      <c r="AT445" s="25">
        <v>3.44</v>
      </c>
      <c r="AU445" s="25">
        <v>2.4900000000000002</v>
      </c>
      <c r="AV445" s="25">
        <v>2.7565789473684208</v>
      </c>
      <c r="AW445">
        <v>2.7565789473684208</v>
      </c>
      <c r="AX445">
        <v>6.7972150583292086</v>
      </c>
      <c r="AY445" s="75"/>
      <c r="AZ445" s="75"/>
      <c r="BA445" s="75"/>
      <c r="BB445">
        <v>5.6028957487382687E-2</v>
      </c>
      <c r="BF445">
        <v>0.1120579149747654</v>
      </c>
      <c r="BG445">
        <v>5.6028957487382687E-2</v>
      </c>
      <c r="BH445">
        <v>0</v>
      </c>
      <c r="CA445" t="e">
        <f t="shared" si="53"/>
        <v>#NUM!</v>
      </c>
    </row>
    <row r="446" spans="1:79" x14ac:dyDescent="0.3">
      <c r="A446" s="2" t="s">
        <v>274</v>
      </c>
      <c r="B446" s="18" t="s">
        <v>981</v>
      </c>
      <c r="C446" s="13"/>
      <c r="D446" s="2">
        <v>3.32</v>
      </c>
      <c r="E446" s="2" t="s">
        <v>269</v>
      </c>
      <c r="F446" s="9">
        <v>-1</v>
      </c>
      <c r="G446">
        <v>-1</v>
      </c>
      <c r="I446" s="2">
        <v>1</v>
      </c>
      <c r="J446" s="25">
        <v>0</v>
      </c>
      <c r="K446">
        <v>0</v>
      </c>
      <c r="L446">
        <v>0</v>
      </c>
      <c r="M446" s="2">
        <v>3.9</v>
      </c>
      <c r="N446" s="2">
        <v>3.9</v>
      </c>
      <c r="O446" s="2">
        <v>25.55</v>
      </c>
      <c r="P446" s="2" t="s">
        <v>519</v>
      </c>
      <c r="Q446" s="2"/>
      <c r="R446" s="25">
        <v>0</v>
      </c>
      <c r="S446" s="25"/>
      <c r="T446" s="25"/>
      <c r="U446">
        <v>0</v>
      </c>
      <c r="X446">
        <v>0</v>
      </c>
      <c r="AA446" s="2"/>
      <c r="AB446">
        <v>38</v>
      </c>
      <c r="AC446" s="55">
        <f t="shared" si="57"/>
        <v>388.6155</v>
      </c>
      <c r="AD446" s="57">
        <v>0</v>
      </c>
      <c r="AE446" s="55">
        <v>0</v>
      </c>
      <c r="AF446" s="55">
        <v>0</v>
      </c>
      <c r="AG446" s="52">
        <f t="shared" si="59"/>
        <v>9.7783027182394941E-2</v>
      </c>
      <c r="AH446" s="51"/>
      <c r="AI446" s="52"/>
      <c r="AJ446" s="52"/>
      <c r="AK446" s="28">
        <v>1.634146341463415</v>
      </c>
      <c r="AL446" s="28">
        <v>2.1219512195121948</v>
      </c>
      <c r="AM446" s="28">
        <v>0.29268292682926828</v>
      </c>
      <c r="AN446" s="28">
        <v>0</v>
      </c>
      <c r="AO446" s="28">
        <v>0.40361445783132532</v>
      </c>
      <c r="AP446" s="28">
        <v>0.52409638554216864</v>
      </c>
      <c r="AQ446" s="28">
        <v>7.2289156626506021E-2</v>
      </c>
      <c r="AR446" s="28">
        <v>0</v>
      </c>
      <c r="AS446" s="25">
        <v>0.95</v>
      </c>
      <c r="AT446" s="25">
        <v>3.44</v>
      </c>
      <c r="AU446" s="25">
        <v>2.4900000000000002</v>
      </c>
      <c r="AV446" s="25">
        <v>2.7243902439024388</v>
      </c>
      <c r="AW446">
        <v>2.7243902439024388</v>
      </c>
      <c r="AX446">
        <v>6.8026440395661458</v>
      </c>
      <c r="AY446" s="75"/>
      <c r="AZ446" s="75"/>
      <c r="BA446" s="75"/>
      <c r="BB446">
        <v>4.889151359119747E-2</v>
      </c>
      <c r="BF446">
        <v>9.7783027182394941E-2</v>
      </c>
      <c r="BG446">
        <v>4.889151359119747E-2</v>
      </c>
      <c r="BH446">
        <v>0</v>
      </c>
      <c r="CA446" t="e">
        <f t="shared" si="53"/>
        <v>#NUM!</v>
      </c>
    </row>
    <row r="447" spans="1:79" x14ac:dyDescent="0.3">
      <c r="A447" s="2" t="s">
        <v>275</v>
      </c>
      <c r="B447" s="18" t="s">
        <v>980</v>
      </c>
      <c r="C447" s="13"/>
      <c r="D447" s="2">
        <v>3.32</v>
      </c>
      <c r="E447" s="2" t="s">
        <v>269</v>
      </c>
      <c r="F447" s="9">
        <v>-1</v>
      </c>
      <c r="G447">
        <v>-1</v>
      </c>
      <c r="I447" s="2">
        <v>1</v>
      </c>
      <c r="J447" s="25">
        <v>0</v>
      </c>
      <c r="K447">
        <v>0</v>
      </c>
      <c r="L447">
        <v>0</v>
      </c>
      <c r="M447" s="2">
        <v>3.93</v>
      </c>
      <c r="N447" s="2">
        <v>3.93</v>
      </c>
      <c r="O447" s="2">
        <v>29.52</v>
      </c>
      <c r="P447" s="2" t="s">
        <v>519</v>
      </c>
      <c r="Q447" s="2"/>
      <c r="R447" s="25">
        <v>0</v>
      </c>
      <c r="S447" s="25"/>
      <c r="T447" s="25"/>
      <c r="U447">
        <v>0</v>
      </c>
      <c r="X447">
        <v>0</v>
      </c>
      <c r="AA447" s="2"/>
      <c r="AB447">
        <v>38</v>
      </c>
      <c r="AC447" s="55">
        <f t="shared" si="57"/>
        <v>455.933448</v>
      </c>
      <c r="AD447" s="57">
        <v>0</v>
      </c>
      <c r="AE447" s="55">
        <v>0</v>
      </c>
      <c r="AF447" s="55">
        <v>0</v>
      </c>
      <c r="AG447" s="52">
        <f t="shared" si="59"/>
        <v>8.3345497389347059E-2</v>
      </c>
      <c r="AH447" s="51"/>
      <c r="AI447" s="52"/>
      <c r="AJ447" s="52"/>
      <c r="AK447" s="28">
        <v>1.595744680851064</v>
      </c>
      <c r="AL447" s="28">
        <v>1.936170212765957</v>
      </c>
      <c r="AM447" s="28">
        <v>0.25531914893617019</v>
      </c>
      <c r="AN447" s="28">
        <v>0</v>
      </c>
      <c r="AO447" s="28">
        <v>0.42134831460674149</v>
      </c>
      <c r="AP447" s="28">
        <v>0.5112359550561798</v>
      </c>
      <c r="AQ447" s="28">
        <v>6.741573033707865E-2</v>
      </c>
      <c r="AR447" s="28">
        <v>0</v>
      </c>
      <c r="AS447" s="25">
        <v>0.95</v>
      </c>
      <c r="AT447" s="25">
        <v>3.44</v>
      </c>
      <c r="AU447" s="25">
        <v>2.4900000000000002</v>
      </c>
      <c r="AV447" s="25">
        <v>2.6723404255319152</v>
      </c>
      <c r="AW447">
        <v>2.6723404255319152</v>
      </c>
      <c r="AX447">
        <v>6.8114228177365099</v>
      </c>
      <c r="AY447" s="75"/>
      <c r="AZ447" s="75"/>
      <c r="BA447" s="75"/>
      <c r="BB447">
        <v>4.167274869467353E-2</v>
      </c>
      <c r="BF447">
        <v>8.3345497389347059E-2</v>
      </c>
      <c r="BG447">
        <v>4.167274869467353E-2</v>
      </c>
      <c r="BH447">
        <v>0</v>
      </c>
      <c r="CA447" t="e">
        <f t="shared" si="53"/>
        <v>#NUM!</v>
      </c>
    </row>
    <row r="448" spans="1:79" x14ac:dyDescent="0.3">
      <c r="A448" s="2" t="s">
        <v>276</v>
      </c>
      <c r="B448" s="18" t="s">
        <v>979</v>
      </c>
      <c r="C448" s="13"/>
      <c r="D448" s="2">
        <v>3.32</v>
      </c>
      <c r="E448" s="2" t="s">
        <v>269</v>
      </c>
      <c r="F448" s="9">
        <v>-1</v>
      </c>
      <c r="G448">
        <v>-1</v>
      </c>
      <c r="I448" s="2">
        <v>1</v>
      </c>
      <c r="J448" s="25">
        <v>0</v>
      </c>
      <c r="K448">
        <v>0</v>
      </c>
      <c r="L448">
        <v>0</v>
      </c>
      <c r="M448" s="2">
        <v>3.9</v>
      </c>
      <c r="N448" s="2">
        <v>3.9</v>
      </c>
      <c r="O448" s="2">
        <v>33.729999999999997</v>
      </c>
      <c r="P448" s="2" t="s">
        <v>519</v>
      </c>
      <c r="Q448" s="2"/>
      <c r="R448" s="25">
        <v>0</v>
      </c>
      <c r="S448" s="25"/>
      <c r="T448" s="25"/>
      <c r="U448">
        <v>0</v>
      </c>
      <c r="X448">
        <v>0</v>
      </c>
      <c r="AA448" s="2"/>
      <c r="AB448">
        <v>38</v>
      </c>
      <c r="AC448" s="55">
        <f t="shared" si="57"/>
        <v>513.03329999999994</v>
      </c>
      <c r="AD448" s="57">
        <v>0</v>
      </c>
      <c r="AE448" s="55">
        <v>0</v>
      </c>
      <c r="AF448" s="55">
        <v>0</v>
      </c>
      <c r="AG448" s="52">
        <f t="shared" si="59"/>
        <v>7.4069266069083636E-2</v>
      </c>
      <c r="AH448" s="51"/>
      <c r="AI448" s="52"/>
      <c r="AJ448" s="52"/>
      <c r="AK448" s="28">
        <v>1.5660377358490569</v>
      </c>
      <c r="AL448" s="28">
        <v>1.7924528301886791</v>
      </c>
      <c r="AM448" s="28">
        <v>0.22641509433962259</v>
      </c>
      <c r="AN448" s="28">
        <v>0</v>
      </c>
      <c r="AO448" s="28">
        <v>0.43684210526315792</v>
      </c>
      <c r="AP448" s="28">
        <v>0.5</v>
      </c>
      <c r="AQ448" s="28">
        <v>6.3157894736842107E-2</v>
      </c>
      <c r="AR448" s="28">
        <v>0</v>
      </c>
      <c r="AS448" s="25">
        <v>0.95</v>
      </c>
      <c r="AT448" s="25">
        <v>3.44</v>
      </c>
      <c r="AU448" s="25">
        <v>2.4900000000000002</v>
      </c>
      <c r="AV448" s="25">
        <v>2.6320754716981138</v>
      </c>
      <c r="AW448">
        <v>2.632075471698113</v>
      </c>
      <c r="AX448">
        <v>6.8182139480192454</v>
      </c>
      <c r="AY448" s="75"/>
      <c r="AZ448" s="75"/>
      <c r="BA448" s="75"/>
      <c r="BB448">
        <v>3.7034633034541818E-2</v>
      </c>
      <c r="BF448">
        <v>7.4069266069083636E-2</v>
      </c>
      <c r="BG448">
        <v>3.7034633034541818E-2</v>
      </c>
      <c r="BH448">
        <v>0</v>
      </c>
      <c r="CA448" t="e">
        <f t="shared" si="53"/>
        <v>#NUM!</v>
      </c>
    </row>
    <row r="449" spans="1:79" x14ac:dyDescent="0.3">
      <c r="A449" s="2" t="s">
        <v>277</v>
      </c>
      <c r="B449" s="18" t="s">
        <v>976</v>
      </c>
      <c r="C449" s="13"/>
      <c r="D449" s="2">
        <v>3.22</v>
      </c>
      <c r="E449" s="2" t="s">
        <v>269</v>
      </c>
      <c r="F449" s="9">
        <v>-1</v>
      </c>
      <c r="G449">
        <v>-1</v>
      </c>
      <c r="I449" s="2">
        <v>2</v>
      </c>
      <c r="J449" s="25">
        <v>0</v>
      </c>
      <c r="K449">
        <v>0</v>
      </c>
      <c r="L449">
        <v>0</v>
      </c>
      <c r="M449" s="2">
        <v>3.9</v>
      </c>
      <c r="N449" s="2">
        <v>3.9</v>
      </c>
      <c r="O449" s="2">
        <v>31.44</v>
      </c>
      <c r="P449" s="2" t="s">
        <v>519</v>
      </c>
      <c r="Q449" s="2"/>
      <c r="R449" s="25">
        <v>0</v>
      </c>
      <c r="S449" s="25"/>
      <c r="T449" s="25"/>
      <c r="U449">
        <v>0</v>
      </c>
      <c r="X449">
        <v>0</v>
      </c>
      <c r="AA449" s="2"/>
      <c r="AB449">
        <v>40</v>
      </c>
      <c r="AC449" s="55">
        <f t="shared" si="57"/>
        <v>478.20240000000001</v>
      </c>
      <c r="AD449" s="57">
        <v>0</v>
      </c>
      <c r="AE449" s="55">
        <v>0</v>
      </c>
      <c r="AF449" s="55">
        <v>0</v>
      </c>
      <c r="AG449" s="52">
        <f t="shared" si="59"/>
        <v>0.16729317962435988</v>
      </c>
      <c r="AH449" s="51"/>
      <c r="AI449" s="52"/>
      <c r="AJ449" s="52"/>
      <c r="AK449" s="28">
        <v>1.75</v>
      </c>
      <c r="AL449" s="28">
        <v>2.65625</v>
      </c>
      <c r="AM449" s="28">
        <v>0.375</v>
      </c>
      <c r="AN449" s="28">
        <v>0</v>
      </c>
      <c r="AO449" s="28">
        <v>0.36601307189542481</v>
      </c>
      <c r="AP449" s="28">
        <v>0.55555555555555558</v>
      </c>
      <c r="AQ449" s="28">
        <v>7.8431372549019607E-2</v>
      </c>
      <c r="AR449" s="28">
        <v>0</v>
      </c>
      <c r="AS449" s="25">
        <v>0.95</v>
      </c>
      <c r="AT449" s="25">
        <v>3.44</v>
      </c>
      <c r="AU449" s="25">
        <v>2.4900000000000002</v>
      </c>
      <c r="AV449" s="25">
        <v>2.8778125000000001</v>
      </c>
      <c r="AW449">
        <v>2.8778125000000001</v>
      </c>
      <c r="AX449">
        <v>6.7946490392267176</v>
      </c>
      <c r="AY449" s="75"/>
      <c r="AZ449" s="75"/>
      <c r="BA449" s="75"/>
      <c r="BB449">
        <v>8.3646589812179942E-2</v>
      </c>
      <c r="BF449">
        <v>0.16729317962435991</v>
      </c>
      <c r="BG449">
        <v>8.3646589812179942E-2</v>
      </c>
      <c r="BH449">
        <v>0</v>
      </c>
      <c r="CA449" t="e">
        <f t="shared" si="53"/>
        <v>#NUM!</v>
      </c>
    </row>
    <row r="450" spans="1:79" x14ac:dyDescent="0.3">
      <c r="A450" s="2" t="s">
        <v>278</v>
      </c>
      <c r="B450" s="18" t="s">
        <v>984</v>
      </c>
      <c r="C450" s="13"/>
      <c r="D450" s="2">
        <v>3.25</v>
      </c>
      <c r="E450" s="2" t="s">
        <v>269</v>
      </c>
      <c r="F450" s="9">
        <v>-1</v>
      </c>
      <c r="G450">
        <v>-1</v>
      </c>
      <c r="I450" s="2">
        <v>1</v>
      </c>
      <c r="J450" s="25">
        <v>0</v>
      </c>
      <c r="K450">
        <v>0</v>
      </c>
      <c r="L450">
        <v>0</v>
      </c>
      <c r="M450" s="2">
        <v>3.91</v>
      </c>
      <c r="N450" s="2">
        <v>3.91</v>
      </c>
      <c r="O450" s="2">
        <v>18.2</v>
      </c>
      <c r="P450" s="2" t="s">
        <v>519</v>
      </c>
      <c r="Q450" s="2"/>
      <c r="R450" s="25">
        <v>0</v>
      </c>
      <c r="S450" s="25"/>
      <c r="T450" s="25"/>
      <c r="U450">
        <v>0</v>
      </c>
      <c r="X450">
        <v>0</v>
      </c>
      <c r="AA450" s="2"/>
      <c r="AB450">
        <v>40</v>
      </c>
      <c r="AC450" s="55">
        <f t="shared" si="57"/>
        <v>278.24342000000001</v>
      </c>
      <c r="AD450" s="57">
        <v>0</v>
      </c>
      <c r="AE450" s="55">
        <v>0</v>
      </c>
      <c r="AF450" s="55">
        <v>0</v>
      </c>
      <c r="AG450" s="52">
        <f t="shared" si="59"/>
        <v>0.14375901503798363</v>
      </c>
      <c r="AH450" s="51"/>
      <c r="AI450" s="52"/>
      <c r="AJ450" s="52"/>
      <c r="AK450" s="28">
        <v>1.714285714285714</v>
      </c>
      <c r="AL450" s="28">
        <v>2.4857142857142862</v>
      </c>
      <c r="AM450" s="28">
        <v>0.34285714285714292</v>
      </c>
      <c r="AN450" s="28">
        <v>0</v>
      </c>
      <c r="AO450" s="28">
        <v>0.37735849056603771</v>
      </c>
      <c r="AP450" s="28">
        <v>0.54716981132075471</v>
      </c>
      <c r="AQ450" s="28">
        <v>7.5471698113207544E-2</v>
      </c>
      <c r="AR450" s="28">
        <v>0</v>
      </c>
      <c r="AS450" s="25">
        <v>0.95</v>
      </c>
      <c r="AT450" s="25">
        <v>3.44</v>
      </c>
      <c r="AU450" s="25">
        <v>2.4900000000000002</v>
      </c>
      <c r="AV450" s="25">
        <v>2.8297142857142861</v>
      </c>
      <c r="AW450">
        <v>2.8297142857142861</v>
      </c>
      <c r="AX450">
        <v>6.8012286474559138</v>
      </c>
      <c r="AY450" s="75"/>
      <c r="AZ450" s="75"/>
      <c r="BA450" s="75"/>
      <c r="BB450">
        <v>7.1879507518991817E-2</v>
      </c>
      <c r="BF450">
        <v>0.14375901503798361</v>
      </c>
      <c r="BG450">
        <v>7.1879507518991817E-2</v>
      </c>
      <c r="BH450">
        <v>0</v>
      </c>
      <c r="CA450" t="e">
        <f t="shared" si="53"/>
        <v>#NUM!</v>
      </c>
    </row>
    <row r="451" spans="1:79" x14ac:dyDescent="0.3">
      <c r="A451" s="2" t="s">
        <v>279</v>
      </c>
      <c r="B451" s="18" t="s">
        <v>985</v>
      </c>
      <c r="C451" s="13"/>
      <c r="D451" s="2">
        <v>3.27</v>
      </c>
      <c r="E451" s="2" t="s">
        <v>269</v>
      </c>
      <c r="F451" s="9">
        <v>-1</v>
      </c>
      <c r="G451">
        <v>-1</v>
      </c>
      <c r="I451" s="2">
        <v>1</v>
      </c>
      <c r="J451" s="25">
        <v>0</v>
      </c>
      <c r="K451">
        <v>0</v>
      </c>
      <c r="L451">
        <v>0</v>
      </c>
      <c r="M451" s="2">
        <v>3.9</v>
      </c>
      <c r="N451" s="2">
        <v>3.9</v>
      </c>
      <c r="O451" s="2">
        <v>20.25</v>
      </c>
      <c r="P451" s="2" t="s">
        <v>519</v>
      </c>
      <c r="Q451" s="2"/>
      <c r="R451" s="25">
        <v>0</v>
      </c>
      <c r="S451" s="25"/>
      <c r="T451" s="25"/>
      <c r="U451">
        <v>0</v>
      </c>
      <c r="X451">
        <v>0</v>
      </c>
      <c r="AA451" s="2"/>
      <c r="AB451">
        <v>40</v>
      </c>
      <c r="AC451" s="55">
        <f t="shared" si="57"/>
        <v>308.0025</v>
      </c>
      <c r="AD451" s="57">
        <v>0</v>
      </c>
      <c r="AE451" s="55">
        <v>0</v>
      </c>
      <c r="AF451" s="55">
        <v>0</v>
      </c>
      <c r="AG451" s="52">
        <f t="shared" si="59"/>
        <v>0.12986907573802162</v>
      </c>
      <c r="AH451" s="51"/>
      <c r="AI451" s="52"/>
      <c r="AJ451" s="52"/>
      <c r="AK451" s="28">
        <v>1.6842105263157889</v>
      </c>
      <c r="AL451" s="28">
        <v>2.3421052631578951</v>
      </c>
      <c r="AM451" s="28">
        <v>0.31578947368421051</v>
      </c>
      <c r="AN451" s="28">
        <v>0</v>
      </c>
      <c r="AO451" s="28">
        <v>0.38787878787878788</v>
      </c>
      <c r="AP451" s="28">
        <v>0.53939393939393943</v>
      </c>
      <c r="AQ451" s="28">
        <v>7.2727272727272724E-2</v>
      </c>
      <c r="AR451" s="28">
        <v>0</v>
      </c>
      <c r="AS451" s="25">
        <v>0.95</v>
      </c>
      <c r="AT451" s="25">
        <v>3.44</v>
      </c>
      <c r="AU451" s="25">
        <v>2.4900000000000002</v>
      </c>
      <c r="AV451" s="25">
        <v>2.7892105263157898</v>
      </c>
      <c r="AW451">
        <v>2.7892105263157889</v>
      </c>
      <c r="AX451">
        <v>6.8067693701752354</v>
      </c>
      <c r="AY451" s="75"/>
      <c r="AZ451" s="75"/>
      <c r="BA451" s="75"/>
      <c r="BB451">
        <v>6.4934537869010808E-2</v>
      </c>
      <c r="BF451">
        <v>0.12986907573802159</v>
      </c>
      <c r="BG451">
        <v>6.4934537869010808E-2</v>
      </c>
      <c r="BH451">
        <v>0</v>
      </c>
      <c r="CA451" t="e">
        <f t="shared" ref="CA451:CA514" si="60">LN(BZ451)</f>
        <v>#NUM!</v>
      </c>
    </row>
    <row r="452" spans="1:79" x14ac:dyDescent="0.3">
      <c r="A452" s="2" t="s">
        <v>280</v>
      </c>
      <c r="B452" s="18" t="s">
        <v>986</v>
      </c>
      <c r="C452" s="13"/>
      <c r="D452" s="2">
        <v>3.3</v>
      </c>
      <c r="E452" s="2" t="s">
        <v>269</v>
      </c>
      <c r="F452" s="9">
        <v>-1</v>
      </c>
      <c r="G452">
        <v>-1</v>
      </c>
      <c r="I452" s="2">
        <v>1</v>
      </c>
      <c r="J452" s="25">
        <v>0</v>
      </c>
      <c r="K452">
        <v>0</v>
      </c>
      <c r="L452">
        <v>0</v>
      </c>
      <c r="M452" s="2">
        <v>3.9</v>
      </c>
      <c r="N452" s="2">
        <v>3.9</v>
      </c>
      <c r="O452" s="2">
        <v>22.01</v>
      </c>
      <c r="P452" s="2" t="s">
        <v>519</v>
      </c>
      <c r="Q452" s="2"/>
      <c r="R452" s="25">
        <v>0</v>
      </c>
      <c r="S452" s="25"/>
      <c r="T452" s="25"/>
      <c r="U452">
        <v>0</v>
      </c>
      <c r="X452">
        <v>0</v>
      </c>
      <c r="AA452" s="2"/>
      <c r="AB452">
        <v>40</v>
      </c>
      <c r="AC452" s="55">
        <f t="shared" si="57"/>
        <v>334.77210000000002</v>
      </c>
      <c r="AD452" s="57">
        <v>0</v>
      </c>
      <c r="AE452" s="55">
        <v>0</v>
      </c>
      <c r="AF452" s="55">
        <v>0</v>
      </c>
      <c r="AG452" s="52">
        <f t="shared" si="59"/>
        <v>0.11948427004520387</v>
      </c>
      <c r="AH452" s="51"/>
      <c r="AI452" s="52"/>
      <c r="AJ452" s="52"/>
      <c r="AK452" s="28">
        <v>1.658536585365854</v>
      </c>
      <c r="AL452" s="28">
        <v>2.219512195121951</v>
      </c>
      <c r="AM452" s="28">
        <v>0.29268292682926828</v>
      </c>
      <c r="AN452" s="28">
        <v>0</v>
      </c>
      <c r="AO452" s="28">
        <v>0.39766081871345033</v>
      </c>
      <c r="AP452" s="28">
        <v>0.53216374269005851</v>
      </c>
      <c r="AQ452" s="28">
        <v>7.0175438596491224E-2</v>
      </c>
      <c r="AR452" s="28">
        <v>0</v>
      </c>
      <c r="AS452" s="25">
        <v>0.95</v>
      </c>
      <c r="AT452" s="25">
        <v>3.44</v>
      </c>
      <c r="AU452" s="25">
        <v>2.4900000000000002</v>
      </c>
      <c r="AV452" s="25">
        <v>2.7546341463414641</v>
      </c>
      <c r="AW452">
        <v>2.7546341463414632</v>
      </c>
      <c r="AX452">
        <v>6.8114992554234393</v>
      </c>
      <c r="AY452" s="75"/>
      <c r="AZ452" s="75"/>
      <c r="BA452" s="75"/>
      <c r="BB452">
        <v>5.9742135022601943E-2</v>
      </c>
      <c r="BF452">
        <v>0.1194842700452039</v>
      </c>
      <c r="BG452">
        <v>5.9742135022601943E-2</v>
      </c>
      <c r="BH452">
        <v>0</v>
      </c>
      <c r="CA452" t="e">
        <f t="shared" si="60"/>
        <v>#NUM!</v>
      </c>
    </row>
    <row r="453" spans="1:79" x14ac:dyDescent="0.3">
      <c r="A453" s="2" t="s">
        <v>281</v>
      </c>
      <c r="B453" s="18" t="s">
        <v>987</v>
      </c>
      <c r="C453" s="13"/>
      <c r="D453" s="2">
        <v>3.3</v>
      </c>
      <c r="E453" s="2" t="s">
        <v>269</v>
      </c>
      <c r="F453" s="9">
        <v>-1</v>
      </c>
      <c r="G453">
        <v>-1</v>
      </c>
      <c r="I453" s="2">
        <v>1</v>
      </c>
      <c r="J453" s="25">
        <v>0</v>
      </c>
      <c r="K453">
        <v>0</v>
      </c>
      <c r="L453">
        <v>0</v>
      </c>
      <c r="M453" s="2">
        <v>3.9</v>
      </c>
      <c r="N453" s="2">
        <v>3.9</v>
      </c>
      <c r="O453" s="2">
        <v>25.65</v>
      </c>
      <c r="P453" s="2" t="s">
        <v>519</v>
      </c>
      <c r="Q453" s="2"/>
      <c r="R453" s="25">
        <v>0</v>
      </c>
      <c r="S453" s="25"/>
      <c r="T453" s="25"/>
      <c r="U453">
        <v>0</v>
      </c>
      <c r="X453">
        <v>0</v>
      </c>
      <c r="AA453" s="2"/>
      <c r="AB453">
        <v>40</v>
      </c>
      <c r="AC453" s="55">
        <f t="shared" si="57"/>
        <v>390.13649999999996</v>
      </c>
      <c r="AD453" s="57">
        <v>0</v>
      </c>
      <c r="AE453" s="55">
        <v>0</v>
      </c>
      <c r="AF453" s="55">
        <v>0</v>
      </c>
      <c r="AG453" s="52">
        <f t="shared" si="59"/>
        <v>0.1025282176879118</v>
      </c>
      <c r="AH453" s="51"/>
      <c r="AI453" s="52"/>
      <c r="AJ453" s="52"/>
      <c r="AK453" s="28">
        <v>1.617021276595745</v>
      </c>
      <c r="AL453" s="28">
        <v>2.021276595744681</v>
      </c>
      <c r="AM453" s="28">
        <v>0.25531914893617019</v>
      </c>
      <c r="AN453" s="28">
        <v>0</v>
      </c>
      <c r="AO453" s="28">
        <v>0.41530054644808739</v>
      </c>
      <c r="AP453" s="28">
        <v>0.51912568306010931</v>
      </c>
      <c r="AQ453" s="28">
        <v>6.5573770491803268E-2</v>
      </c>
      <c r="AR453" s="28">
        <v>0</v>
      </c>
      <c r="AS453" s="25">
        <v>0.95</v>
      </c>
      <c r="AT453" s="25">
        <v>3.44</v>
      </c>
      <c r="AU453" s="25">
        <v>2.4900000000000002</v>
      </c>
      <c r="AV453" s="25">
        <v>2.6987234042553192</v>
      </c>
      <c r="AW453">
        <v>2.6987234042553192</v>
      </c>
      <c r="AX453">
        <v>6.8191475805056392</v>
      </c>
      <c r="AY453" s="75"/>
      <c r="AZ453" s="75"/>
      <c r="BA453" s="75"/>
      <c r="BB453">
        <v>5.1264108843955901E-2</v>
      </c>
      <c r="BF453">
        <v>0.1025282176879118</v>
      </c>
      <c r="BG453">
        <v>5.1264108843955901E-2</v>
      </c>
      <c r="BH453">
        <v>0</v>
      </c>
      <c r="CA453" t="e">
        <f t="shared" si="60"/>
        <v>#NUM!</v>
      </c>
    </row>
    <row r="454" spans="1:79" x14ac:dyDescent="0.3">
      <c r="A454" s="2" t="s">
        <v>276</v>
      </c>
      <c r="B454" s="18" t="s">
        <v>988</v>
      </c>
      <c r="C454" s="13"/>
      <c r="D454" s="2">
        <v>3.34</v>
      </c>
      <c r="E454" s="2" t="s">
        <v>269</v>
      </c>
      <c r="F454" s="9">
        <v>-1</v>
      </c>
      <c r="G454">
        <v>-1</v>
      </c>
      <c r="I454" s="2">
        <v>1</v>
      </c>
      <c r="J454" s="25">
        <v>0</v>
      </c>
      <c r="K454">
        <v>0</v>
      </c>
      <c r="L454">
        <v>0</v>
      </c>
      <c r="M454" s="2">
        <v>3.89</v>
      </c>
      <c r="N454" s="2">
        <v>3.89</v>
      </c>
      <c r="O454" s="2">
        <v>33.799999999999997</v>
      </c>
      <c r="P454" s="2" t="s">
        <v>519</v>
      </c>
      <c r="Q454" s="2"/>
      <c r="R454" s="25">
        <v>0</v>
      </c>
      <c r="S454" s="25"/>
      <c r="T454" s="25"/>
      <c r="U454">
        <v>0</v>
      </c>
      <c r="X454">
        <v>0</v>
      </c>
      <c r="AA454" s="2"/>
      <c r="AB454">
        <v>40</v>
      </c>
      <c r="AC454" s="55">
        <f t="shared" si="57"/>
        <v>511.46498000000003</v>
      </c>
      <c r="AD454" s="57">
        <v>0</v>
      </c>
      <c r="AE454" s="55">
        <v>0</v>
      </c>
      <c r="AF454" s="55">
        <v>0</v>
      </c>
      <c r="AG454" s="52">
        <f t="shared" si="59"/>
        <v>7.8206722970554116E-2</v>
      </c>
      <c r="AH454" s="51"/>
      <c r="AI454" s="52"/>
      <c r="AJ454" s="52"/>
      <c r="AK454" s="28">
        <v>1.584905660377359</v>
      </c>
      <c r="AL454" s="28">
        <v>1.867924528301887</v>
      </c>
      <c r="AM454" s="28">
        <v>0.22641509433962259</v>
      </c>
      <c r="AN454" s="28">
        <v>0</v>
      </c>
      <c r="AO454" s="28">
        <v>0.43076923076923079</v>
      </c>
      <c r="AP454" s="28">
        <v>0.50769230769230778</v>
      </c>
      <c r="AQ454" s="28">
        <v>6.1538461538461542E-2</v>
      </c>
      <c r="AR454" s="28">
        <v>0</v>
      </c>
      <c r="AS454" s="25">
        <v>0.95</v>
      </c>
      <c r="AT454" s="25">
        <v>3.44</v>
      </c>
      <c r="AU454" s="25">
        <v>2.4900000000000002</v>
      </c>
      <c r="AV454" s="25">
        <v>2.655471698113208</v>
      </c>
      <c r="AW454">
        <v>2.655471698113208</v>
      </c>
      <c r="AX454">
        <v>6.8250642093428109</v>
      </c>
      <c r="AY454" s="75"/>
      <c r="AZ454" s="75"/>
      <c r="BA454" s="75"/>
      <c r="BB454">
        <v>3.9103361485277058E-2</v>
      </c>
      <c r="BF454">
        <v>7.8206722970554116E-2</v>
      </c>
      <c r="BG454">
        <v>3.9103361485277058E-2</v>
      </c>
      <c r="BH454">
        <v>0</v>
      </c>
      <c r="CA454" t="e">
        <f t="shared" si="60"/>
        <v>#NUM!</v>
      </c>
    </row>
    <row r="455" spans="1:79" x14ac:dyDescent="0.3">
      <c r="A455" s="2" t="s">
        <v>282</v>
      </c>
      <c r="B455" s="13" t="s">
        <v>821</v>
      </c>
      <c r="C455" s="13"/>
      <c r="D455" s="2">
        <v>3.5</v>
      </c>
      <c r="E455" s="2" t="s">
        <v>283</v>
      </c>
      <c r="F455" s="9" t="s">
        <v>597</v>
      </c>
      <c r="G455">
        <v>-1</v>
      </c>
      <c r="I455" s="2"/>
      <c r="J455" s="25">
        <v>1</v>
      </c>
      <c r="K455">
        <v>0</v>
      </c>
      <c r="L455">
        <v>0</v>
      </c>
      <c r="M455" s="2"/>
      <c r="N455" s="2"/>
      <c r="O455" s="2"/>
      <c r="P455" s="2"/>
      <c r="Q455" s="2"/>
      <c r="R455" s="25">
        <v>13.656835900000001</v>
      </c>
      <c r="S455" s="25">
        <v>13.656835900000001</v>
      </c>
      <c r="T455" s="25">
        <v>13.656835900000001</v>
      </c>
      <c r="U455">
        <v>0</v>
      </c>
      <c r="X455">
        <v>0</v>
      </c>
      <c r="AA455" s="2"/>
      <c r="AB455">
        <v>20</v>
      </c>
      <c r="AC455" s="55">
        <f t="shared" si="57"/>
        <v>0</v>
      </c>
      <c r="AD455" s="57">
        <v>201.0880346354428</v>
      </c>
      <c r="AE455" s="55">
        <v>0</v>
      </c>
      <c r="AF455" s="55">
        <v>0</v>
      </c>
      <c r="AG455" s="52"/>
      <c r="AH455" s="51">
        <v>9.9458926217357829E-2</v>
      </c>
      <c r="AI455" s="52"/>
      <c r="AJ455" s="52"/>
      <c r="AK455" s="28">
        <v>1.882352941176471</v>
      </c>
      <c r="AL455" s="28">
        <v>2.3529411764705879</v>
      </c>
      <c r="AM455" s="28">
        <v>0.47058823529411759</v>
      </c>
      <c r="AN455" s="28">
        <v>0</v>
      </c>
      <c r="AO455" s="28">
        <v>0.4</v>
      </c>
      <c r="AP455" s="28">
        <v>0.5</v>
      </c>
      <c r="AQ455" s="28">
        <v>9.9999999999999992E-2</v>
      </c>
      <c r="AR455" s="28">
        <v>0</v>
      </c>
      <c r="AS455" s="25">
        <v>0.98</v>
      </c>
      <c r="AT455" s="25">
        <v>3.44</v>
      </c>
      <c r="AU455" s="25">
        <v>2.46</v>
      </c>
      <c r="AV455" s="25">
        <v>2.54</v>
      </c>
      <c r="AW455">
        <v>2.54</v>
      </c>
      <c r="AX455">
        <v>5.758559377411764</v>
      </c>
      <c r="AY455" s="75">
        <v>0.53996993008785332</v>
      </c>
      <c r="AZ455" s="75"/>
      <c r="BA455" s="75"/>
      <c r="BC455">
        <v>4.9729463108678908E-2</v>
      </c>
      <c r="BF455">
        <v>9.9458926217357829E-2</v>
      </c>
      <c r="BG455">
        <v>4.9729463108678908E-2</v>
      </c>
      <c r="BH455">
        <v>0.53996993008785332</v>
      </c>
      <c r="CA455" t="e">
        <f t="shared" si="60"/>
        <v>#NUM!</v>
      </c>
    </row>
    <row r="456" spans="1:79" x14ac:dyDescent="0.3">
      <c r="A456" s="2" t="s">
        <v>284</v>
      </c>
      <c r="B456" s="13" t="s">
        <v>822</v>
      </c>
      <c r="C456" s="13"/>
      <c r="D456" s="2">
        <v>3.3</v>
      </c>
      <c r="E456" s="2" t="s">
        <v>283</v>
      </c>
      <c r="F456" s="9" t="s">
        <v>598</v>
      </c>
      <c r="G456" t="s">
        <v>670</v>
      </c>
      <c r="I456" s="2"/>
      <c r="J456" s="25">
        <v>1</v>
      </c>
      <c r="K456">
        <v>2</v>
      </c>
      <c r="L456">
        <v>0</v>
      </c>
      <c r="M456" s="2"/>
      <c r="N456" s="2"/>
      <c r="O456" s="2"/>
      <c r="P456" s="2"/>
      <c r="Q456" s="2"/>
      <c r="R456" s="25">
        <v>14.696413339999999</v>
      </c>
      <c r="S456" s="25">
        <v>14.696413339999999</v>
      </c>
      <c r="T456" s="25">
        <v>14.696413339999999</v>
      </c>
      <c r="U456">
        <v>3.83528</v>
      </c>
      <c r="V456">
        <v>3.83528</v>
      </c>
      <c r="W456">
        <v>28.573699999999999</v>
      </c>
      <c r="X456">
        <v>0</v>
      </c>
      <c r="AA456" s="2"/>
      <c r="AB456">
        <v>20</v>
      </c>
      <c r="AC456" s="55">
        <f t="shared" si="57"/>
        <v>0</v>
      </c>
      <c r="AD456" s="57">
        <v>216.40687730768099</v>
      </c>
      <c r="AE456" s="55">
        <v>420.30120210079798</v>
      </c>
      <c r="AF456" s="55">
        <v>0</v>
      </c>
      <c r="AG456" s="52"/>
      <c r="AH456" s="51">
        <v>9.2418504665009241E-2</v>
      </c>
      <c r="AI456" s="52">
        <v>9.516984438794697E-2</v>
      </c>
      <c r="AJ456" s="52"/>
      <c r="AK456" s="28">
        <v>1.882352941176471</v>
      </c>
      <c r="AL456" s="28">
        <v>2.3529411764705879</v>
      </c>
      <c r="AM456" s="28">
        <v>0.47058823529411759</v>
      </c>
      <c r="AN456" s="28">
        <v>0</v>
      </c>
      <c r="AO456" s="28">
        <v>0.4</v>
      </c>
      <c r="AP456" s="28">
        <v>0.5</v>
      </c>
      <c r="AQ456" s="28">
        <v>9.9999999999999992E-2</v>
      </c>
      <c r="AR456" s="28">
        <v>0</v>
      </c>
      <c r="AS456" s="25">
        <v>0.93</v>
      </c>
      <c r="AT456" s="25">
        <v>3.44</v>
      </c>
      <c r="AU456" s="25">
        <v>2.5099999999999998</v>
      </c>
      <c r="AV456" s="25">
        <v>2.534117647058824</v>
      </c>
      <c r="AW456">
        <v>2.534117647058824</v>
      </c>
      <c r="AX456">
        <v>5.7395734358823516</v>
      </c>
      <c r="AY456" s="75">
        <v>0.5339514578906801</v>
      </c>
      <c r="AZ456" s="75">
        <v>0.54984742874132453</v>
      </c>
      <c r="BA456" s="75"/>
      <c r="BC456">
        <v>4.6209252332504627E-2</v>
      </c>
      <c r="BD456">
        <v>4.7584922193973492E-2</v>
      </c>
      <c r="BF456">
        <v>9.3794174526478105E-2</v>
      </c>
      <c r="BG456">
        <v>4.689708726323906E-2</v>
      </c>
      <c r="BH456">
        <v>0.54189944331600226</v>
      </c>
      <c r="CA456" t="e">
        <f t="shared" si="60"/>
        <v>#NUM!</v>
      </c>
    </row>
    <row r="457" spans="1:79" x14ac:dyDescent="0.3">
      <c r="A457" s="2" t="s">
        <v>44</v>
      </c>
      <c r="B457" s="13" t="s">
        <v>720</v>
      </c>
      <c r="C457" s="13"/>
      <c r="D457" s="2">
        <v>3.2</v>
      </c>
      <c r="E457" s="2" t="s">
        <v>283</v>
      </c>
      <c r="F457" s="9" t="s">
        <v>549</v>
      </c>
      <c r="G457">
        <v>-1</v>
      </c>
      <c r="I457" s="2"/>
      <c r="J457" s="25">
        <v>1</v>
      </c>
      <c r="K457">
        <v>0</v>
      </c>
      <c r="L457">
        <v>0</v>
      </c>
      <c r="M457" s="2"/>
      <c r="N457" s="2"/>
      <c r="O457" s="2"/>
      <c r="P457" s="2"/>
      <c r="Q457" s="2"/>
      <c r="R457" s="25">
        <v>15.28115725</v>
      </c>
      <c r="S457" s="25">
        <v>15.28115725</v>
      </c>
      <c r="T457" s="25">
        <v>15.28115725</v>
      </c>
      <c r="U457">
        <v>0</v>
      </c>
      <c r="X457">
        <v>0</v>
      </c>
      <c r="AA457" s="2"/>
      <c r="AB457">
        <v>20</v>
      </c>
      <c r="AC457" s="55">
        <f t="shared" si="57"/>
        <v>0</v>
      </c>
      <c r="AD457" s="57">
        <v>229.90248606119221</v>
      </c>
      <c r="AE457" s="55">
        <v>0</v>
      </c>
      <c r="AF457" s="55">
        <v>0</v>
      </c>
      <c r="AG457" s="52"/>
      <c r="AH457" s="51">
        <v>8.6993404650164072E-2</v>
      </c>
      <c r="AI457" s="52"/>
      <c r="AJ457" s="52"/>
      <c r="AK457" s="28">
        <v>1.882352941176471</v>
      </c>
      <c r="AL457" s="28">
        <v>2.3529411764705879</v>
      </c>
      <c r="AM457" s="28">
        <v>0.47058823529411759</v>
      </c>
      <c r="AN457" s="28">
        <v>0</v>
      </c>
      <c r="AO457" s="28">
        <v>0.4</v>
      </c>
      <c r="AP457" s="28">
        <v>0.5</v>
      </c>
      <c r="AQ457" s="28">
        <v>9.9999999999999992E-2</v>
      </c>
      <c r="AR457" s="28">
        <v>0</v>
      </c>
      <c r="AS457" s="25">
        <v>0.82</v>
      </c>
      <c r="AT457" s="25">
        <v>3.44</v>
      </c>
      <c r="AU457" s="25">
        <v>2.62</v>
      </c>
      <c r="AV457" s="25">
        <v>2.5211764705882351</v>
      </c>
      <c r="AW457">
        <v>2.521176470588236</v>
      </c>
      <c r="AX457">
        <v>5.6898745917647062</v>
      </c>
      <c r="AY457" s="75">
        <v>0.57369840599679445</v>
      </c>
      <c r="AZ457" s="75"/>
      <c r="BA457" s="75"/>
      <c r="BC457">
        <v>4.3496702325082043E-2</v>
      </c>
      <c r="BF457">
        <v>8.6993404650164072E-2</v>
      </c>
      <c r="BG457">
        <v>4.3496702325082043E-2</v>
      </c>
      <c r="BH457">
        <v>0.57369840599679445</v>
      </c>
      <c r="CA457" t="e">
        <f t="shared" si="60"/>
        <v>#NUM!</v>
      </c>
    </row>
    <row r="458" spans="1:79" x14ac:dyDescent="0.3">
      <c r="A458" s="5" t="s">
        <v>285</v>
      </c>
      <c r="B458" s="39" t="s">
        <v>823</v>
      </c>
      <c r="C458" s="39"/>
      <c r="D458" s="5">
        <v>3.6</v>
      </c>
      <c r="E458" s="5" t="s">
        <v>283</v>
      </c>
      <c r="F458" s="40">
        <v>-2</v>
      </c>
      <c r="G458" s="5">
        <v>-1</v>
      </c>
      <c r="H458" s="5"/>
      <c r="I458" s="5"/>
      <c r="J458" s="41">
        <v>0</v>
      </c>
      <c r="K458">
        <v>0</v>
      </c>
      <c r="L458">
        <v>0</v>
      </c>
      <c r="M458" s="5">
        <v>-1</v>
      </c>
      <c r="N458" s="5"/>
      <c r="O458" s="5"/>
      <c r="P458" s="5"/>
      <c r="Q458" s="5"/>
      <c r="R458" s="41">
        <v>0</v>
      </c>
      <c r="S458" s="41"/>
      <c r="T458" s="41"/>
      <c r="U458">
        <v>0</v>
      </c>
      <c r="X458">
        <v>0</v>
      </c>
      <c r="AA458" s="5"/>
      <c r="AB458" s="5">
        <v>20</v>
      </c>
      <c r="AC458" s="55">
        <f t="shared" si="57"/>
        <v>0</v>
      </c>
      <c r="AD458" s="57">
        <v>0</v>
      </c>
      <c r="AE458" s="55">
        <v>0</v>
      </c>
      <c r="AF458" s="55">
        <v>0</v>
      </c>
      <c r="AG458" s="52"/>
      <c r="AH458" s="51"/>
      <c r="AI458" s="52"/>
      <c r="AJ458" s="52"/>
      <c r="AK458" s="5">
        <v>1.882352941176471</v>
      </c>
      <c r="AL458" s="5">
        <v>2.3529411764705879</v>
      </c>
      <c r="AM458" s="5">
        <v>0.35294117647058831</v>
      </c>
      <c r="AN458" s="5">
        <v>0.47058823529411759</v>
      </c>
      <c r="AO458" s="5">
        <v>0.37209302325581389</v>
      </c>
      <c r="AP458" s="5">
        <v>0.46511627906976749</v>
      </c>
      <c r="AQ458" s="5">
        <v>6.9767441860465129E-2</v>
      </c>
      <c r="AR458" s="5">
        <v>9.3023255813953487E-2</v>
      </c>
      <c r="AS458" s="41">
        <v>0.98</v>
      </c>
      <c r="AT458" s="41">
        <v>3.44</v>
      </c>
      <c r="AU458" s="41">
        <v>2.46</v>
      </c>
      <c r="AV458" s="41">
        <v>2.5447058823529409</v>
      </c>
      <c r="AW458" s="5">
        <v>2.5447058823529409</v>
      </c>
      <c r="AX458" s="5">
        <v>5.7284445009411762</v>
      </c>
      <c r="AY458" s="75"/>
      <c r="AZ458" s="75"/>
      <c r="BA458" s="75"/>
      <c r="BF458">
        <v>0</v>
      </c>
      <c r="BG458">
        <v>0</v>
      </c>
      <c r="BH458">
        <v>0</v>
      </c>
      <c r="CA458" t="e">
        <f t="shared" si="60"/>
        <v>#NUM!</v>
      </c>
    </row>
    <row r="459" spans="1:79" x14ac:dyDescent="0.3">
      <c r="A459" s="2" t="s">
        <v>286</v>
      </c>
      <c r="B459" s="13" t="s">
        <v>824</v>
      </c>
      <c r="C459" s="13"/>
      <c r="D459" s="2">
        <v>3.4</v>
      </c>
      <c r="E459" s="2" t="s">
        <v>283</v>
      </c>
      <c r="F459" s="9" t="s">
        <v>599</v>
      </c>
      <c r="G459">
        <v>-1</v>
      </c>
      <c r="I459" s="2"/>
      <c r="J459" s="25">
        <v>1</v>
      </c>
      <c r="K459">
        <v>0</v>
      </c>
      <c r="L459">
        <v>0</v>
      </c>
      <c r="M459" s="2"/>
      <c r="N459" s="2"/>
      <c r="O459" s="2"/>
      <c r="P459" s="2"/>
      <c r="Q459" s="2"/>
      <c r="R459" s="25">
        <v>14.64115209</v>
      </c>
      <c r="S459" s="25">
        <v>14.64115209</v>
      </c>
      <c r="T459" s="25">
        <v>14.64115209</v>
      </c>
      <c r="U459">
        <v>0</v>
      </c>
      <c r="X459">
        <v>0</v>
      </c>
      <c r="AA459" s="2"/>
      <c r="AB459">
        <v>20</v>
      </c>
      <c r="AC459" s="55">
        <f t="shared" si="57"/>
        <v>0</v>
      </c>
      <c r="AD459" s="57">
        <v>213.3423200442661</v>
      </c>
      <c r="AE459" s="55">
        <v>0</v>
      </c>
      <c r="AF459" s="55">
        <v>0</v>
      </c>
      <c r="AG459" s="52"/>
      <c r="AH459" s="51">
        <v>9.374605092815258E-2</v>
      </c>
      <c r="AI459" s="52"/>
      <c r="AJ459" s="52"/>
      <c r="AK459" s="28">
        <v>1.882352941176471</v>
      </c>
      <c r="AL459" s="28">
        <v>2.3529411764705879</v>
      </c>
      <c r="AM459" s="28">
        <v>0.35294117647058831</v>
      </c>
      <c r="AN459" s="28">
        <v>0.47058823529411759</v>
      </c>
      <c r="AO459" s="28">
        <v>0.37209302325581389</v>
      </c>
      <c r="AP459" s="28">
        <v>0.46511627906976749</v>
      </c>
      <c r="AQ459" s="28">
        <v>6.9767441860465129E-2</v>
      </c>
      <c r="AR459" s="28">
        <v>9.3023255813953487E-2</v>
      </c>
      <c r="AS459" s="25">
        <v>0.93</v>
      </c>
      <c r="AT459" s="25">
        <v>3.44</v>
      </c>
      <c r="AU459" s="25">
        <v>2.5099999999999998</v>
      </c>
      <c r="AV459" s="25">
        <v>2.538823529411764</v>
      </c>
      <c r="AW459">
        <v>2.5388235294117649</v>
      </c>
      <c r="AX459">
        <v>5.7094585594117646</v>
      </c>
      <c r="AY459" s="75">
        <v>0.53401936473899148</v>
      </c>
      <c r="AZ459" s="75"/>
      <c r="BA459" s="75"/>
      <c r="BC459">
        <v>4.6873025464076297E-2</v>
      </c>
      <c r="BF459">
        <v>9.374605092815258E-2</v>
      </c>
      <c r="BG459">
        <v>4.6873025464076297E-2</v>
      </c>
      <c r="BH459">
        <v>0.53401936473899148</v>
      </c>
      <c r="CA459" t="e">
        <f t="shared" si="60"/>
        <v>#NUM!</v>
      </c>
    </row>
    <row r="460" spans="1:79" x14ac:dyDescent="0.3">
      <c r="A460" s="2" t="s">
        <v>287</v>
      </c>
      <c r="B460" s="13" t="s">
        <v>825</v>
      </c>
      <c r="C460" s="13"/>
      <c r="D460" s="2">
        <v>3.3</v>
      </c>
      <c r="E460" s="2" t="s">
        <v>283</v>
      </c>
      <c r="F460" s="9" t="s">
        <v>600</v>
      </c>
      <c r="G460" t="s">
        <v>671</v>
      </c>
      <c r="I460" s="2"/>
      <c r="J460" s="25">
        <v>1</v>
      </c>
      <c r="K460">
        <v>2</v>
      </c>
      <c r="L460">
        <v>0</v>
      </c>
      <c r="M460" s="2"/>
      <c r="N460" s="2"/>
      <c r="O460" s="2"/>
      <c r="P460" s="2"/>
      <c r="Q460" s="2"/>
      <c r="R460" s="25">
        <v>15.19820412</v>
      </c>
      <c r="S460" s="25">
        <v>15.194836840000001</v>
      </c>
      <c r="T460" s="25">
        <v>3.9043439100000001</v>
      </c>
      <c r="U460">
        <v>3.8588</v>
      </c>
      <c r="V460">
        <v>3.8588</v>
      </c>
      <c r="W460">
        <v>29.656099999999999</v>
      </c>
      <c r="X460">
        <v>0</v>
      </c>
      <c r="AA460" s="2"/>
      <c r="AB460">
        <v>20</v>
      </c>
      <c r="AC460" s="55">
        <f t="shared" si="57"/>
        <v>0</v>
      </c>
      <c r="AD460" s="57">
        <v>227.79419475650769</v>
      </c>
      <c r="AE460" s="55">
        <v>441.58933615438389</v>
      </c>
      <c r="AF460" s="55">
        <v>0</v>
      </c>
      <c r="AG460" s="52"/>
      <c r="AH460" s="51">
        <v>8.7798550008608742E-2</v>
      </c>
      <c r="AI460" s="52">
        <v>9.0581897534807332E-2</v>
      </c>
      <c r="AJ460" s="52"/>
      <c r="AK460" s="28">
        <v>1.882352941176471</v>
      </c>
      <c r="AL460" s="28">
        <v>2.3529411764705879</v>
      </c>
      <c r="AM460" s="28">
        <v>0.35294117647058831</v>
      </c>
      <c r="AN460" s="28">
        <v>0.47058823529411759</v>
      </c>
      <c r="AO460" s="28">
        <v>0.37209302325581389</v>
      </c>
      <c r="AP460" s="28">
        <v>0.46511627906976749</v>
      </c>
      <c r="AQ460" s="28">
        <v>6.9767441860465129E-2</v>
      </c>
      <c r="AR460" s="28">
        <v>9.3023255813953487E-2</v>
      </c>
      <c r="AS460" s="25">
        <v>0.82</v>
      </c>
      <c r="AT460" s="25">
        <v>3.44</v>
      </c>
      <c r="AU460" s="25">
        <v>2.62</v>
      </c>
      <c r="AV460" s="25">
        <v>2.525882352941176</v>
      </c>
      <c r="AW460">
        <v>2.525882352941176</v>
      </c>
      <c r="AX460">
        <v>5.6597597152941184</v>
      </c>
      <c r="AY460" s="75">
        <v>0.57188837719605823</v>
      </c>
      <c r="AZ460" s="75">
        <v>0</v>
      </c>
      <c r="BA460" s="75"/>
      <c r="BC460">
        <v>4.3899275004304371E-2</v>
      </c>
      <c r="BD460">
        <v>4.5290948767403673E-2</v>
      </c>
      <c r="BF460">
        <v>8.9190223771708044E-2</v>
      </c>
      <c r="BG460">
        <v>4.4595111885854022E-2</v>
      </c>
      <c r="BH460">
        <v>0.28594418859802911</v>
      </c>
      <c r="CA460" t="e">
        <f t="shared" si="60"/>
        <v>#NUM!</v>
      </c>
    </row>
    <row r="461" spans="1:79" x14ac:dyDescent="0.3">
      <c r="A461" s="2" t="s">
        <v>4</v>
      </c>
      <c r="B461" s="13" t="s">
        <v>689</v>
      </c>
      <c r="C461" s="13"/>
      <c r="D461" s="2">
        <v>3.26</v>
      </c>
      <c r="E461" s="2" t="s">
        <v>290</v>
      </c>
      <c r="F461" s="9" t="s">
        <v>527</v>
      </c>
      <c r="G461" t="s">
        <v>609</v>
      </c>
      <c r="I461" s="2"/>
      <c r="J461" s="25">
        <v>4</v>
      </c>
      <c r="K461">
        <v>4</v>
      </c>
      <c r="L461">
        <v>0</v>
      </c>
      <c r="M461" s="2"/>
      <c r="N461" s="2"/>
      <c r="O461" s="2"/>
      <c r="P461" s="2"/>
      <c r="Q461" s="2"/>
      <c r="R461" s="25">
        <v>7.8084429999999996</v>
      </c>
      <c r="S461" s="25">
        <v>7.8548809999999998</v>
      </c>
      <c r="T461" s="25">
        <v>15.19056011</v>
      </c>
      <c r="U461">
        <v>3.8801999999999999</v>
      </c>
      <c r="V461">
        <v>29.507999999999999</v>
      </c>
      <c r="W461">
        <v>7.7140000000000004</v>
      </c>
      <c r="X461">
        <v>0</v>
      </c>
      <c r="AA461" s="2"/>
      <c r="AB461">
        <v>20</v>
      </c>
      <c r="AC461" s="55">
        <f t="shared" si="57"/>
        <v>0</v>
      </c>
      <c r="AD461" s="57">
        <v>924.74694800021894</v>
      </c>
      <c r="AE461" s="55">
        <v>883.22940750240002</v>
      </c>
      <c r="AF461" s="55">
        <v>0</v>
      </c>
      <c r="AG461" s="52"/>
      <c r="AH461" s="51">
        <v>8.6510153045653584E-2</v>
      </c>
      <c r="AI461" s="52">
        <v>9.0576694254581439E-2</v>
      </c>
      <c r="AJ461" s="52"/>
      <c r="AK461" s="28">
        <v>1.75</v>
      </c>
      <c r="AL461" s="28">
        <v>2.5</v>
      </c>
      <c r="AM461" s="28">
        <v>0.75</v>
      </c>
      <c r="AN461" s="28">
        <v>0</v>
      </c>
      <c r="AO461" s="28">
        <v>0.35</v>
      </c>
      <c r="AP461" s="28">
        <v>0.5</v>
      </c>
      <c r="AQ461" s="28">
        <v>0.15</v>
      </c>
      <c r="AR461" s="28">
        <v>0</v>
      </c>
      <c r="AS461" s="25">
        <v>0.82</v>
      </c>
      <c r="AT461" s="25">
        <v>3.44</v>
      </c>
      <c r="AU461" s="25">
        <v>2.62</v>
      </c>
      <c r="AV461" s="25">
        <v>2.6262500000000002</v>
      </c>
      <c r="AW461">
        <v>2.6262500000000002</v>
      </c>
      <c r="AX461">
        <v>5.96680968125</v>
      </c>
      <c r="AY461" s="75">
        <v>0.50555206026575039</v>
      </c>
      <c r="AZ461" s="75">
        <v>0</v>
      </c>
      <c r="BA461" s="75"/>
      <c r="BC461">
        <v>4.3255076522826792E-2</v>
      </c>
      <c r="BD461">
        <v>4.5288347127290719E-2</v>
      </c>
      <c r="BF461">
        <v>8.8543423650117511E-2</v>
      </c>
      <c r="BG461">
        <v>4.4271711825058763E-2</v>
      </c>
      <c r="BH461">
        <v>0.2527760301328752</v>
      </c>
      <c r="CA461" t="e">
        <f t="shared" si="60"/>
        <v>#NUM!</v>
      </c>
    </row>
    <row r="462" spans="1:79" x14ac:dyDescent="0.3">
      <c r="A462" s="1" t="s">
        <v>288</v>
      </c>
      <c r="B462" s="13" t="s">
        <v>689</v>
      </c>
      <c r="C462" s="15"/>
      <c r="D462" s="1">
        <v>2.4700000000000002</v>
      </c>
      <c r="E462" s="1" t="s">
        <v>290</v>
      </c>
      <c r="F462" s="9" t="s">
        <v>527</v>
      </c>
      <c r="G462" t="s">
        <v>609</v>
      </c>
      <c r="I462" s="1"/>
      <c r="J462" s="25">
        <v>4</v>
      </c>
      <c r="K462">
        <v>4</v>
      </c>
      <c r="L462">
        <v>0</v>
      </c>
      <c r="M462" s="1"/>
      <c r="N462" s="1"/>
      <c r="O462" s="1"/>
      <c r="P462" s="1"/>
      <c r="Q462" s="1"/>
      <c r="R462" s="25">
        <v>7.8084429999999996</v>
      </c>
      <c r="S462" s="25">
        <v>7.8548809999999998</v>
      </c>
      <c r="T462" s="25">
        <v>15.19056011</v>
      </c>
      <c r="U462">
        <v>3.8801999999999999</v>
      </c>
      <c r="V462">
        <v>29.507999999999999</v>
      </c>
      <c r="W462">
        <v>7.7140000000000004</v>
      </c>
      <c r="X462">
        <v>0</v>
      </c>
      <c r="AA462" s="1"/>
      <c r="AB462">
        <v>20</v>
      </c>
      <c r="AC462" s="55">
        <f t="shared" si="57"/>
        <v>0</v>
      </c>
      <c r="AD462" s="57">
        <v>924.74694800021894</v>
      </c>
      <c r="AE462" s="55">
        <v>883.22940750240002</v>
      </c>
      <c r="AF462" s="55">
        <v>0</v>
      </c>
      <c r="AG462" s="52"/>
      <c r="AH462" s="51">
        <v>8.6510153045653584E-2</v>
      </c>
      <c r="AI462" s="52">
        <v>9.0576694254581439E-2</v>
      </c>
      <c r="AJ462" s="52"/>
      <c r="AK462" s="28">
        <v>1.75</v>
      </c>
      <c r="AL462" s="28">
        <v>2.5</v>
      </c>
      <c r="AM462" s="28">
        <v>0.75</v>
      </c>
      <c r="AN462" s="28">
        <v>0</v>
      </c>
      <c r="AO462" s="28">
        <v>0.35</v>
      </c>
      <c r="AP462" s="28">
        <v>0.5</v>
      </c>
      <c r="AQ462" s="28">
        <v>0.15</v>
      </c>
      <c r="AR462" s="28">
        <v>0</v>
      </c>
      <c r="AS462" s="25">
        <v>0.82</v>
      </c>
      <c r="AT462" s="25">
        <v>3.44</v>
      </c>
      <c r="AU462" s="25">
        <v>2.62</v>
      </c>
      <c r="AV462" s="25">
        <v>2.6262500000000002</v>
      </c>
      <c r="AW462">
        <v>2.6262500000000002</v>
      </c>
      <c r="AX462">
        <v>5.96680968125</v>
      </c>
      <c r="AY462" s="75">
        <v>0.50555206026575039</v>
      </c>
      <c r="AZ462" s="75">
        <v>0</v>
      </c>
      <c r="BA462" s="75"/>
      <c r="BC462">
        <v>4.3255076522826792E-2</v>
      </c>
      <c r="BD462">
        <v>4.5288347127290719E-2</v>
      </c>
      <c r="BF462">
        <v>8.8543423650117511E-2</v>
      </c>
      <c r="BG462">
        <v>4.4271711825058763E-2</v>
      </c>
      <c r="BH462">
        <v>0.2527760301328752</v>
      </c>
      <c r="BN462" s="79" t="s">
        <v>676</v>
      </c>
      <c r="BO462" s="79" t="s">
        <v>1067</v>
      </c>
      <c r="CA462" t="e">
        <f t="shared" si="60"/>
        <v>#NUM!</v>
      </c>
    </row>
    <row r="463" spans="1:79" x14ac:dyDescent="0.3">
      <c r="A463" s="1" t="s">
        <v>289</v>
      </c>
      <c r="B463" s="13" t="s">
        <v>689</v>
      </c>
      <c r="C463" s="15"/>
      <c r="D463" s="1">
        <v>2.4700000000000002</v>
      </c>
      <c r="E463" s="1" t="s">
        <v>290</v>
      </c>
      <c r="F463" s="9" t="s">
        <v>527</v>
      </c>
      <c r="G463" t="s">
        <v>609</v>
      </c>
      <c r="I463" s="1"/>
      <c r="J463" s="25">
        <v>4</v>
      </c>
      <c r="K463">
        <v>4</v>
      </c>
      <c r="L463">
        <v>0</v>
      </c>
      <c r="M463" s="1"/>
      <c r="N463" s="1"/>
      <c r="O463" s="1"/>
      <c r="P463" s="1"/>
      <c r="Q463" s="1"/>
      <c r="R463" s="25">
        <v>7.8084429999999996</v>
      </c>
      <c r="S463" s="25">
        <v>7.8548809999999998</v>
      </c>
      <c r="T463" s="25">
        <v>15.19056011</v>
      </c>
      <c r="U463">
        <v>3.8801999999999999</v>
      </c>
      <c r="V463">
        <v>29.507999999999999</v>
      </c>
      <c r="W463">
        <v>7.7140000000000004</v>
      </c>
      <c r="X463">
        <v>0</v>
      </c>
      <c r="AA463" s="1"/>
      <c r="AB463">
        <v>20</v>
      </c>
      <c r="AC463" s="55">
        <f t="shared" si="57"/>
        <v>0</v>
      </c>
      <c r="AD463" s="57">
        <v>924.74694800021894</v>
      </c>
      <c r="AE463" s="55">
        <v>883.22940750240002</v>
      </c>
      <c r="AF463" s="55">
        <v>0</v>
      </c>
      <c r="AG463" s="52"/>
      <c r="AH463" s="51">
        <v>8.6510153045653584E-2</v>
      </c>
      <c r="AI463" s="52">
        <v>9.0576694254581439E-2</v>
      </c>
      <c r="AJ463" s="52"/>
      <c r="AK463" s="28">
        <v>1.75</v>
      </c>
      <c r="AL463" s="28">
        <v>2.5</v>
      </c>
      <c r="AM463" s="28">
        <v>0.75</v>
      </c>
      <c r="AN463" s="28">
        <v>0</v>
      </c>
      <c r="AO463" s="28">
        <v>0.35</v>
      </c>
      <c r="AP463" s="28">
        <v>0.5</v>
      </c>
      <c r="AQ463" s="28">
        <v>0.15</v>
      </c>
      <c r="AR463" s="28">
        <v>0</v>
      </c>
      <c r="AS463" s="25">
        <v>0.82</v>
      </c>
      <c r="AT463" s="25">
        <v>3.44</v>
      </c>
      <c r="AU463" s="25">
        <v>2.62</v>
      </c>
      <c r="AV463" s="25">
        <v>2.6262500000000002</v>
      </c>
      <c r="AW463">
        <v>2.6262500000000002</v>
      </c>
      <c r="AX463">
        <v>5.96680968125</v>
      </c>
      <c r="AY463" s="75">
        <v>0.50555206026575039</v>
      </c>
      <c r="AZ463" s="75">
        <v>0</v>
      </c>
      <c r="BA463" s="75"/>
      <c r="BC463">
        <v>4.3255076522826792E-2</v>
      </c>
      <c r="BD463">
        <v>4.5288347127290719E-2</v>
      </c>
      <c r="BF463">
        <v>8.8543423650117511E-2</v>
      </c>
      <c r="BG463">
        <v>4.4271711825058763E-2</v>
      </c>
      <c r="BH463">
        <v>0.2527760301328752</v>
      </c>
      <c r="BN463" s="79" t="s">
        <v>946</v>
      </c>
      <c r="BO463" s="79" t="s">
        <v>1067</v>
      </c>
      <c r="CA463" t="e">
        <f t="shared" si="60"/>
        <v>#NUM!</v>
      </c>
    </row>
    <row r="464" spans="1:79" x14ac:dyDescent="0.3">
      <c r="A464" s="2" t="s">
        <v>10</v>
      </c>
      <c r="B464" s="13" t="s">
        <v>695</v>
      </c>
      <c r="C464" s="13"/>
      <c r="D464" s="2">
        <v>4.26</v>
      </c>
      <c r="E464" s="2" t="s">
        <v>291</v>
      </c>
      <c r="F464" s="9" t="s">
        <v>531</v>
      </c>
      <c r="G464">
        <v>-1</v>
      </c>
      <c r="I464" s="2"/>
      <c r="J464" s="25">
        <v>1</v>
      </c>
      <c r="K464">
        <v>0</v>
      </c>
      <c r="L464">
        <v>0</v>
      </c>
      <c r="M464" s="2"/>
      <c r="N464" s="2"/>
      <c r="O464" s="2"/>
      <c r="P464" s="2"/>
      <c r="Q464" s="2"/>
      <c r="R464" s="25">
        <v>3.9103940000000001</v>
      </c>
      <c r="S464" s="25">
        <v>3.9103940000000001</v>
      </c>
      <c r="T464" s="25">
        <v>11.314458</v>
      </c>
      <c r="U464">
        <v>0</v>
      </c>
      <c r="X464">
        <v>0</v>
      </c>
      <c r="AA464" s="2"/>
      <c r="AB464">
        <v>14</v>
      </c>
      <c r="AC464" s="55">
        <f t="shared" si="57"/>
        <v>0</v>
      </c>
      <c r="AD464" s="57">
        <v>173.0114278564659</v>
      </c>
      <c r="AE464" s="55">
        <v>0</v>
      </c>
      <c r="AF464" s="55">
        <v>0</v>
      </c>
      <c r="AG464" s="52"/>
      <c r="AH464" s="51">
        <v>8.0919510193365449E-2</v>
      </c>
      <c r="AI464" s="52"/>
      <c r="AJ464" s="52"/>
      <c r="AK464" s="28">
        <v>1.9090909090909089</v>
      </c>
      <c r="AL464" s="28">
        <v>2.545454545454545</v>
      </c>
      <c r="AM464" s="28">
        <v>0.63636363636363635</v>
      </c>
      <c r="AN464" s="28">
        <v>2.545454545454545</v>
      </c>
      <c r="AO464" s="28">
        <v>0.25</v>
      </c>
      <c r="AP464" s="28">
        <v>0.33333333333333331</v>
      </c>
      <c r="AQ464" s="28">
        <v>8.3333333333333329E-2</v>
      </c>
      <c r="AR464" s="28">
        <v>0.33333333333333331</v>
      </c>
      <c r="AS464" s="25">
        <v>0.82</v>
      </c>
      <c r="AT464" s="25">
        <v>3.44</v>
      </c>
      <c r="AU464" s="25">
        <v>2.62</v>
      </c>
      <c r="AV464" s="25">
        <v>2.6363636363636358</v>
      </c>
      <c r="AW464">
        <v>2.6363636363636371</v>
      </c>
      <c r="AX464">
        <v>6.0044088459090901</v>
      </c>
      <c r="AY464" s="75">
        <v>0.5117218936152963</v>
      </c>
      <c r="AZ464" s="75"/>
      <c r="BA464" s="75"/>
      <c r="BC464">
        <v>4.0459755096682717E-2</v>
      </c>
      <c r="BF464">
        <v>8.0919510193365449E-2</v>
      </c>
      <c r="BG464">
        <v>4.0459755096682717E-2</v>
      </c>
      <c r="BH464">
        <v>0.5117218936152963</v>
      </c>
      <c r="CA464" t="e">
        <f t="shared" si="60"/>
        <v>#NUM!</v>
      </c>
    </row>
    <row r="465" spans="1:79" x14ac:dyDescent="0.3">
      <c r="A465" s="2" t="s">
        <v>10</v>
      </c>
      <c r="B465" s="13" t="s">
        <v>695</v>
      </c>
      <c r="C465" s="13"/>
      <c r="D465" s="2">
        <v>2.16</v>
      </c>
      <c r="E465" s="2" t="s">
        <v>291</v>
      </c>
      <c r="F465" s="9" t="s">
        <v>531</v>
      </c>
      <c r="G465">
        <v>-1</v>
      </c>
      <c r="I465" s="2"/>
      <c r="J465" s="25">
        <v>1</v>
      </c>
      <c r="K465">
        <v>0</v>
      </c>
      <c r="L465">
        <v>0</v>
      </c>
      <c r="M465" s="2"/>
      <c r="N465" s="2"/>
      <c r="O465" s="2"/>
      <c r="P465" s="2"/>
      <c r="Q465" s="2"/>
      <c r="R465" s="25">
        <v>3.9103940000000001</v>
      </c>
      <c r="S465" s="25">
        <v>3.9103940000000001</v>
      </c>
      <c r="T465" s="25">
        <v>11.314458</v>
      </c>
      <c r="U465">
        <v>0</v>
      </c>
      <c r="X465">
        <v>0</v>
      </c>
      <c r="AA465" s="2"/>
      <c r="AB465">
        <v>14</v>
      </c>
      <c r="AC465" s="55">
        <f t="shared" si="57"/>
        <v>0</v>
      </c>
      <c r="AD465" s="57">
        <v>173.0114278564659</v>
      </c>
      <c r="AE465" s="55">
        <v>0</v>
      </c>
      <c r="AF465" s="55">
        <v>0</v>
      </c>
      <c r="AG465" s="52"/>
      <c r="AH465" s="51">
        <v>8.0919510193365449E-2</v>
      </c>
      <c r="AI465" s="52"/>
      <c r="AJ465" s="52"/>
      <c r="AK465" s="28">
        <v>1.9090909090909089</v>
      </c>
      <c r="AL465" s="28">
        <v>2.545454545454545</v>
      </c>
      <c r="AM465" s="28">
        <v>0.63636363636363635</v>
      </c>
      <c r="AN465" s="28">
        <v>2.545454545454545</v>
      </c>
      <c r="AO465" s="28">
        <v>0.25</v>
      </c>
      <c r="AP465" s="28">
        <v>0.33333333333333331</v>
      </c>
      <c r="AQ465" s="28">
        <v>8.3333333333333329E-2</v>
      </c>
      <c r="AR465" s="28">
        <v>0.33333333333333331</v>
      </c>
      <c r="AS465" s="25">
        <v>0.82</v>
      </c>
      <c r="AT465" s="25">
        <v>3.44</v>
      </c>
      <c r="AU465" s="25">
        <v>2.62</v>
      </c>
      <c r="AV465" s="25">
        <v>2.6363636363636358</v>
      </c>
      <c r="AW465">
        <v>2.6363636363636371</v>
      </c>
      <c r="AX465">
        <v>6.0044088459090901</v>
      </c>
      <c r="AY465" s="75">
        <v>0.5117218936152963</v>
      </c>
      <c r="AZ465" s="75"/>
      <c r="BA465" s="75"/>
      <c r="BC465">
        <v>4.0459755096682717E-2</v>
      </c>
      <c r="BF465">
        <v>8.0919510193365449E-2</v>
      </c>
      <c r="BG465">
        <v>4.0459755096682717E-2</v>
      </c>
      <c r="BH465">
        <v>0.5117218936152963</v>
      </c>
      <c r="BN465" s="79" t="s">
        <v>676</v>
      </c>
      <c r="BO465" s="79">
        <v>0.3</v>
      </c>
      <c r="CA465" t="e">
        <f t="shared" si="60"/>
        <v>#NUM!</v>
      </c>
    </row>
    <row r="466" spans="1:79" x14ac:dyDescent="0.3">
      <c r="A466" s="2" t="s">
        <v>4</v>
      </c>
      <c r="B466" s="13" t="s">
        <v>689</v>
      </c>
      <c r="C466" s="13"/>
      <c r="D466" s="2">
        <v>3.22</v>
      </c>
      <c r="E466" s="2" t="s">
        <v>292</v>
      </c>
      <c r="F466" s="70" t="s">
        <v>527</v>
      </c>
      <c r="G466">
        <v>-1</v>
      </c>
      <c r="I466" s="2">
        <v>4</v>
      </c>
      <c r="J466" s="25">
        <v>4</v>
      </c>
      <c r="K466">
        <v>0</v>
      </c>
      <c r="L466">
        <v>0</v>
      </c>
      <c r="M466" s="2">
        <v>-1</v>
      </c>
      <c r="N466" s="2"/>
      <c r="O466" s="2"/>
      <c r="P466" s="2"/>
      <c r="Q466" s="2"/>
      <c r="R466" s="25">
        <v>7.8084429999999996</v>
      </c>
      <c r="S466" s="25">
        <v>7.8548809999999998</v>
      </c>
      <c r="T466" s="25">
        <v>15.19056011</v>
      </c>
      <c r="U466">
        <v>0</v>
      </c>
      <c r="X466">
        <v>0</v>
      </c>
      <c r="AA466" s="2"/>
      <c r="AB466">
        <v>20</v>
      </c>
      <c r="AC466" s="55">
        <v>850</v>
      </c>
      <c r="AD466" s="57">
        <v>924.74694795000005</v>
      </c>
      <c r="AE466" s="55">
        <v>0</v>
      </c>
      <c r="AF466" s="55">
        <v>0</v>
      </c>
      <c r="AG466" s="52">
        <f t="shared" ref="AG466:AG477" si="61">I466*AB466/AC466</f>
        <v>9.4117647058823528E-2</v>
      </c>
      <c r="AH466" s="51">
        <f>J466*AB466/AD466</f>
        <v>8.6510153050351563E-2</v>
      </c>
      <c r="AI466" s="52"/>
      <c r="AJ466" s="52"/>
      <c r="AK466" s="28">
        <v>1.75</v>
      </c>
      <c r="AL466" s="28">
        <v>2.5</v>
      </c>
      <c r="AM466" s="28">
        <v>0.75</v>
      </c>
      <c r="AN466" s="28">
        <v>0</v>
      </c>
      <c r="AO466" s="28">
        <v>0.35</v>
      </c>
      <c r="AP466" s="28">
        <v>0.5</v>
      </c>
      <c r="AQ466" s="28">
        <v>0.15</v>
      </c>
      <c r="AR466" s="28">
        <v>0</v>
      </c>
      <c r="AS466" s="25">
        <v>0.82</v>
      </c>
      <c r="AT466" s="25">
        <v>3.44</v>
      </c>
      <c r="AU466" s="25">
        <v>2.62</v>
      </c>
      <c r="AV466" s="25">
        <v>2.6262500000000002</v>
      </c>
      <c r="AW466">
        <v>2.6262500000000002</v>
      </c>
      <c r="AX466">
        <v>5.96680968125</v>
      </c>
      <c r="AY466" s="75">
        <v>0.50555206026575039</v>
      </c>
      <c r="AZ466" s="75"/>
      <c r="BA466" s="75"/>
      <c r="BB466">
        <v>4.7058823529411757E-2</v>
      </c>
      <c r="BC466">
        <v>4.3255076525175781E-2</v>
      </c>
      <c r="BF466">
        <v>9.0313900054587545E-2</v>
      </c>
      <c r="BG466">
        <v>4.5156950027293773E-2</v>
      </c>
      <c r="BH466">
        <v>0.50555206026575039</v>
      </c>
      <c r="CA466" t="e">
        <f t="shared" si="60"/>
        <v>#NUM!</v>
      </c>
    </row>
    <row r="467" spans="1:79" x14ac:dyDescent="0.3">
      <c r="A467" s="42" t="s">
        <v>991</v>
      </c>
      <c r="B467" s="18" t="s">
        <v>693</v>
      </c>
      <c r="C467" s="13"/>
      <c r="D467" s="2">
        <v>3.1</v>
      </c>
      <c r="E467" s="2" t="s">
        <v>292</v>
      </c>
      <c r="F467" s="9">
        <v>-1</v>
      </c>
      <c r="G467">
        <v>-1</v>
      </c>
      <c r="I467" s="2">
        <v>4</v>
      </c>
      <c r="J467" s="25">
        <v>0</v>
      </c>
      <c r="K467">
        <v>0</v>
      </c>
      <c r="L467">
        <v>0</v>
      </c>
      <c r="M467" s="2">
        <v>3.8759999999999999</v>
      </c>
      <c r="N467" s="2">
        <v>3.8849999999999998</v>
      </c>
      <c r="O467" s="2">
        <v>37.359000000000002</v>
      </c>
      <c r="P467" s="2" t="s">
        <v>1175</v>
      </c>
      <c r="Q467" s="2"/>
      <c r="R467" s="25">
        <v>0</v>
      </c>
      <c r="S467" s="25"/>
      <c r="T467" s="25"/>
      <c r="U467">
        <v>0</v>
      </c>
      <c r="X467">
        <v>0</v>
      </c>
      <c r="AA467" s="2"/>
      <c r="AB467">
        <v>26</v>
      </c>
      <c r="AC467" s="55">
        <v>1100</v>
      </c>
      <c r="AD467" s="57">
        <v>0</v>
      </c>
      <c r="AE467" s="55">
        <v>0</v>
      </c>
      <c r="AF467" s="55">
        <v>0</v>
      </c>
      <c r="AG467" s="52">
        <f t="shared" si="61"/>
        <v>9.4545454545454544E-2</v>
      </c>
      <c r="AH467" s="51"/>
      <c r="AI467" s="52"/>
      <c r="AJ467" s="52"/>
      <c r="AK467" s="28">
        <v>1.714285714285714</v>
      </c>
      <c r="AL467" s="28">
        <v>2.4761904761904758</v>
      </c>
      <c r="AM467" s="28">
        <v>0.76190476190476186</v>
      </c>
      <c r="AN467" s="28">
        <v>0</v>
      </c>
      <c r="AO467" s="28">
        <v>0.34615384615384609</v>
      </c>
      <c r="AP467" s="28">
        <v>0.5</v>
      </c>
      <c r="AQ467" s="28">
        <v>0.1538461538461538</v>
      </c>
      <c r="AR467" s="28">
        <v>0</v>
      </c>
      <c r="AS467" s="25">
        <v>0.82</v>
      </c>
      <c r="AT467" s="25">
        <v>3.44</v>
      </c>
      <c r="AU467" s="25">
        <v>2.62</v>
      </c>
      <c r="AV467" s="25">
        <v>2.612857142857143</v>
      </c>
      <c r="AW467">
        <v>2.612857142857143</v>
      </c>
      <c r="AX467">
        <v>5.9413964502380949</v>
      </c>
      <c r="AY467" s="75"/>
      <c r="AZ467" s="75"/>
      <c r="BA467" s="75"/>
      <c r="BB467">
        <v>4.7272727272727272E-2</v>
      </c>
      <c r="BF467">
        <v>9.4545454545454544E-2</v>
      </c>
      <c r="BG467">
        <v>4.7272727272727272E-2</v>
      </c>
      <c r="BH467">
        <v>0</v>
      </c>
      <c r="CA467" t="e">
        <f t="shared" si="60"/>
        <v>#NUM!</v>
      </c>
    </row>
    <row r="468" spans="1:79" x14ac:dyDescent="0.3">
      <c r="A468" s="5" t="s">
        <v>992</v>
      </c>
      <c r="B468" s="43" t="s">
        <v>989</v>
      </c>
      <c r="C468" s="39"/>
      <c r="D468" s="5">
        <v>3.08</v>
      </c>
      <c r="E468" s="5" t="s">
        <v>292</v>
      </c>
      <c r="F468" s="40">
        <v>-2</v>
      </c>
      <c r="G468" s="5">
        <v>-1</v>
      </c>
      <c r="H468" s="5"/>
      <c r="I468" s="5">
        <v>4</v>
      </c>
      <c r="J468" s="41">
        <v>0</v>
      </c>
      <c r="K468">
        <v>0</v>
      </c>
      <c r="L468">
        <v>0</v>
      </c>
      <c r="M468" s="5">
        <v>-1</v>
      </c>
      <c r="N468" s="5"/>
      <c r="O468" s="5"/>
      <c r="P468" s="5"/>
      <c r="Q468" s="5"/>
      <c r="R468" s="41">
        <v>0</v>
      </c>
      <c r="S468" s="41"/>
      <c r="T468" s="41"/>
      <c r="U468">
        <v>0</v>
      </c>
      <c r="X468">
        <v>0</v>
      </c>
      <c r="AA468" s="5"/>
      <c r="AB468" s="5">
        <v>32</v>
      </c>
      <c r="AC468" s="55">
        <v>1350</v>
      </c>
      <c r="AD468" s="57">
        <v>0</v>
      </c>
      <c r="AE468" s="55">
        <v>0</v>
      </c>
      <c r="AF468" s="55">
        <v>0</v>
      </c>
      <c r="AG468" s="52">
        <f t="shared" si="61"/>
        <v>9.481481481481481E-2</v>
      </c>
      <c r="AH468" s="51"/>
      <c r="AI468" s="52"/>
      <c r="AJ468" s="52"/>
      <c r="AK468" s="5">
        <v>1.6923076923076921</v>
      </c>
      <c r="AL468" s="5">
        <v>2.4615384615384621</v>
      </c>
      <c r="AM468" s="5">
        <v>0.76923076923076927</v>
      </c>
      <c r="AN468" s="5">
        <v>0</v>
      </c>
      <c r="AO468" s="5">
        <v>0.34375</v>
      </c>
      <c r="AP468" s="5">
        <v>0.5</v>
      </c>
      <c r="AQ468" s="5">
        <v>0.15625</v>
      </c>
      <c r="AR468" s="5">
        <v>0</v>
      </c>
      <c r="AS468" s="41">
        <v>0.82</v>
      </c>
      <c r="AT468" s="41">
        <v>3.44</v>
      </c>
      <c r="AU468" s="41">
        <v>2.62</v>
      </c>
      <c r="AV468" s="41">
        <v>2.6046153846153852</v>
      </c>
      <c r="AW468" s="5">
        <v>2.6046153846153852</v>
      </c>
      <c r="AX468" s="5">
        <v>5.9257575388461543</v>
      </c>
      <c r="AY468" s="75"/>
      <c r="AZ468" s="75"/>
      <c r="BA468" s="75"/>
      <c r="BB468">
        <v>4.7407407407407412E-2</v>
      </c>
      <c r="BF468">
        <v>9.481481481481481E-2</v>
      </c>
      <c r="BG468">
        <v>4.7407407407407412E-2</v>
      </c>
      <c r="BH468">
        <v>0</v>
      </c>
      <c r="CA468" t="e">
        <f t="shared" si="60"/>
        <v>#NUM!</v>
      </c>
    </row>
    <row r="469" spans="1:79" x14ac:dyDescent="0.3">
      <c r="A469" s="5" t="s">
        <v>993</v>
      </c>
      <c r="B469" s="43" t="s">
        <v>990</v>
      </c>
      <c r="C469" s="39"/>
      <c r="D469" s="5">
        <v>3.06</v>
      </c>
      <c r="E469" s="5" t="s">
        <v>292</v>
      </c>
      <c r="F469" s="40">
        <v>-2</v>
      </c>
      <c r="G469" s="5">
        <v>-1</v>
      </c>
      <c r="H469" s="5"/>
      <c r="I469" s="5">
        <v>4</v>
      </c>
      <c r="J469" s="41">
        <v>0</v>
      </c>
      <c r="K469">
        <v>0</v>
      </c>
      <c r="L469">
        <v>0</v>
      </c>
      <c r="M469" s="5">
        <v>-1</v>
      </c>
      <c r="N469" s="5"/>
      <c r="O469" s="5"/>
      <c r="P469" s="5"/>
      <c r="Q469" s="5"/>
      <c r="R469" s="41">
        <v>0</v>
      </c>
      <c r="S469" s="41"/>
      <c r="T469" s="41"/>
      <c r="U469">
        <v>0</v>
      </c>
      <c r="X469">
        <v>0</v>
      </c>
      <c r="AA469" s="5"/>
      <c r="AB469" s="5">
        <v>38</v>
      </c>
      <c r="AC469" s="55">
        <v>1600</v>
      </c>
      <c r="AD469" s="57">
        <v>0</v>
      </c>
      <c r="AE469" s="55">
        <v>0</v>
      </c>
      <c r="AF469" s="55">
        <v>0</v>
      </c>
      <c r="AG469" s="52">
        <f t="shared" si="61"/>
        <v>9.5000000000000001E-2</v>
      </c>
      <c r="AH469" s="51"/>
      <c r="AI469" s="52"/>
      <c r="AJ469" s="52"/>
      <c r="AK469" s="5">
        <v>1.67741935483871</v>
      </c>
      <c r="AL469" s="5">
        <v>2.4516129032258061</v>
      </c>
      <c r="AM469" s="5">
        <v>0.77419354838709675</v>
      </c>
      <c r="AN469" s="5">
        <v>0</v>
      </c>
      <c r="AO469" s="5">
        <v>0.34210526315789469</v>
      </c>
      <c r="AP469" s="5">
        <v>0.5</v>
      </c>
      <c r="AQ469" s="5">
        <v>0.15789473684210531</v>
      </c>
      <c r="AR469" s="5">
        <v>0</v>
      </c>
      <c r="AS469" s="41">
        <v>0.82</v>
      </c>
      <c r="AT469" s="41">
        <v>3.44</v>
      </c>
      <c r="AU469" s="41">
        <v>2.62</v>
      </c>
      <c r="AV469" s="41">
        <v>2.5990322580645162</v>
      </c>
      <c r="AW469" s="5">
        <v>2.5990322580645162</v>
      </c>
      <c r="AX469" s="5">
        <v>5.9151634375806452</v>
      </c>
      <c r="AY469" s="75"/>
      <c r="AZ469" s="75"/>
      <c r="BA469" s="75"/>
      <c r="BB469">
        <v>4.7500000000000001E-2</v>
      </c>
      <c r="BF469">
        <v>9.5000000000000001E-2</v>
      </c>
      <c r="BG469">
        <v>4.7500000000000001E-2</v>
      </c>
      <c r="BH469">
        <v>0</v>
      </c>
      <c r="CA469" t="e">
        <f t="shared" si="60"/>
        <v>#NUM!</v>
      </c>
    </row>
    <row r="470" spans="1:79" x14ac:dyDescent="0.3">
      <c r="A470" s="44" t="s">
        <v>63</v>
      </c>
      <c r="B470" s="13" t="s">
        <v>773</v>
      </c>
      <c r="C470" s="13"/>
      <c r="D470" s="2">
        <v>3.59</v>
      </c>
      <c r="E470" s="2" t="s">
        <v>295</v>
      </c>
      <c r="F470" s="9">
        <v>-1</v>
      </c>
      <c r="G470">
        <v>-1</v>
      </c>
      <c r="H470" t="s">
        <v>1179</v>
      </c>
      <c r="I470" s="2">
        <v>1</v>
      </c>
      <c r="J470" s="25">
        <v>1</v>
      </c>
      <c r="K470">
        <v>0</v>
      </c>
      <c r="L470">
        <v>1</v>
      </c>
      <c r="M470" s="25">
        <v>3.86</v>
      </c>
      <c r="N470" s="25">
        <v>3.86</v>
      </c>
      <c r="O470" s="2">
        <v>14.995541551467477</v>
      </c>
      <c r="P470" s="2"/>
      <c r="Q470" s="2"/>
      <c r="R470" s="25">
        <v>3.86</v>
      </c>
      <c r="S470" s="25">
        <v>3.86</v>
      </c>
      <c r="T470" s="25">
        <v>14.97</v>
      </c>
      <c r="U470">
        <v>3.8504999999999998</v>
      </c>
      <c r="V470">
        <v>3.8504999999999998</v>
      </c>
      <c r="W470">
        <v>14.379</v>
      </c>
      <c r="AA470" s="2"/>
      <c r="AB470">
        <v>20</v>
      </c>
      <c r="AC470" s="55">
        <f t="shared" si="57"/>
        <v>223.4275709002448</v>
      </c>
      <c r="AD470" s="57">
        <v>0</v>
      </c>
      <c r="AE470" s="55"/>
      <c r="AF470" s="55">
        <v>213.2</v>
      </c>
      <c r="AG470" s="52">
        <f t="shared" si="61"/>
        <v>8.9514467348031701E-2</v>
      </c>
      <c r="AH470" s="51"/>
      <c r="AI470" s="52"/>
      <c r="AJ470" s="67">
        <f>L470*AB470/AF470</f>
        <v>9.3808630393996256E-2</v>
      </c>
      <c r="AK470" s="28">
        <v>1.75</v>
      </c>
      <c r="AL470" s="28">
        <v>2.5</v>
      </c>
      <c r="AM470" s="28">
        <v>0.75</v>
      </c>
      <c r="AN470" s="28">
        <v>0</v>
      </c>
      <c r="AO470" s="28">
        <v>0.35</v>
      </c>
      <c r="AP470" s="28">
        <v>0.5</v>
      </c>
      <c r="AQ470" s="28">
        <v>0.15</v>
      </c>
      <c r="AR470" s="28">
        <v>0</v>
      </c>
      <c r="AS470" s="25">
        <v>1</v>
      </c>
      <c r="AT470" s="25">
        <v>3.44</v>
      </c>
      <c r="AU470" s="25">
        <v>2.44</v>
      </c>
      <c r="AV470" s="25">
        <v>2.7124999999999999</v>
      </c>
      <c r="AW470">
        <v>2.7124999999999999</v>
      </c>
      <c r="AX470">
        <v>6.264025610615688</v>
      </c>
      <c r="AY470" s="75"/>
      <c r="AZ470" s="75"/>
      <c r="BA470" s="75">
        <v>0</v>
      </c>
      <c r="BB470">
        <v>4.4757233674015851E-2</v>
      </c>
      <c r="BC470" t="s">
        <v>459</v>
      </c>
      <c r="BE470">
        <v>4.6904315196998128E-2</v>
      </c>
      <c r="BF470">
        <v>9.1661548871013979E-2</v>
      </c>
      <c r="BG470" t="s">
        <v>459</v>
      </c>
      <c r="BH470">
        <v>0</v>
      </c>
      <c r="CA470" t="e">
        <f t="shared" si="60"/>
        <v>#NUM!</v>
      </c>
    </row>
    <row r="471" spans="1:79" x14ac:dyDescent="0.3">
      <c r="A471" s="2" t="s">
        <v>296</v>
      </c>
      <c r="B471" s="17" t="s">
        <v>947</v>
      </c>
      <c r="C471" s="13"/>
      <c r="D471" s="2">
        <v>3.55</v>
      </c>
      <c r="E471" s="2" t="s">
        <v>295</v>
      </c>
      <c r="F471" s="9">
        <v>-1</v>
      </c>
      <c r="G471">
        <v>-1</v>
      </c>
      <c r="I471" s="2">
        <v>1</v>
      </c>
      <c r="J471" s="25">
        <v>1</v>
      </c>
      <c r="K471">
        <v>0</v>
      </c>
      <c r="L471">
        <v>0</v>
      </c>
      <c r="M471" s="25">
        <v>3.86</v>
      </c>
      <c r="N471" s="25">
        <v>3.86</v>
      </c>
      <c r="O471" s="2">
        <v>15.615511227317649</v>
      </c>
      <c r="P471" s="2"/>
      <c r="Q471" s="2"/>
      <c r="R471" s="25">
        <v>3.86</v>
      </c>
      <c r="S471" s="25">
        <v>3.86</v>
      </c>
      <c r="T471" s="25">
        <f>(T470+T472)/2</f>
        <v>15.342750000000001</v>
      </c>
      <c r="U471">
        <v>0</v>
      </c>
      <c r="AA471" s="2"/>
      <c r="AB471">
        <v>20</v>
      </c>
      <c r="AC471" s="55">
        <f t="shared" si="57"/>
        <v>232.66487108254202</v>
      </c>
      <c r="AD471" s="57">
        <v>0</v>
      </c>
      <c r="AE471" s="55"/>
      <c r="AF471" s="55"/>
      <c r="AG471" s="52">
        <f t="shared" si="61"/>
        <v>8.5960548779642126E-2</v>
      </c>
      <c r="AH471" s="51"/>
      <c r="AI471" s="52"/>
      <c r="AJ471" s="52"/>
      <c r="AK471" s="28">
        <v>1.75</v>
      </c>
      <c r="AL471" s="28">
        <v>2.5</v>
      </c>
      <c r="AM471" s="28">
        <v>0.75</v>
      </c>
      <c r="AN471" s="28">
        <v>0</v>
      </c>
      <c r="AO471" s="28">
        <v>0.35</v>
      </c>
      <c r="AP471" s="28">
        <v>0.5</v>
      </c>
      <c r="AQ471" s="28">
        <v>0.15</v>
      </c>
      <c r="AR471" s="28">
        <v>0</v>
      </c>
      <c r="AS471" s="25">
        <v>0.95</v>
      </c>
      <c r="AT471" s="25">
        <v>3.44</v>
      </c>
      <c r="AU471" s="25">
        <v>2.4900000000000002</v>
      </c>
      <c r="AV471" s="25">
        <v>2.7109375</v>
      </c>
      <c r="AW471">
        <v>2.7109375</v>
      </c>
      <c r="AX471">
        <v>6.2579197821781882</v>
      </c>
      <c r="AY471" s="75"/>
      <c r="AZ471" s="75"/>
      <c r="BA471" s="75"/>
      <c r="BB471">
        <v>4.2980274389821063E-2</v>
      </c>
      <c r="BC471" t="s">
        <v>459</v>
      </c>
      <c r="BF471">
        <v>8.5960548779642126E-2</v>
      </c>
      <c r="BG471" t="s">
        <v>459</v>
      </c>
      <c r="BH471">
        <v>0</v>
      </c>
      <c r="CA471" t="e">
        <f t="shared" si="60"/>
        <v>#NUM!</v>
      </c>
    </row>
    <row r="472" spans="1:79" x14ac:dyDescent="0.3">
      <c r="A472" s="2" t="s">
        <v>297</v>
      </c>
      <c r="B472" s="13" t="s">
        <v>827</v>
      </c>
      <c r="C472" s="13"/>
      <c r="D472" s="2">
        <v>3.5</v>
      </c>
      <c r="E472" s="2" t="s">
        <v>295</v>
      </c>
      <c r="F472" s="9">
        <v>-1</v>
      </c>
      <c r="G472">
        <v>-1</v>
      </c>
      <c r="I472" s="2">
        <v>1</v>
      </c>
      <c r="J472" s="25">
        <v>1</v>
      </c>
      <c r="K472">
        <v>0</v>
      </c>
      <c r="L472">
        <v>0</v>
      </c>
      <c r="M472" s="25">
        <v>3.86</v>
      </c>
      <c r="N472" s="25">
        <v>3.86</v>
      </c>
      <c r="O472" s="2">
        <v>15.994210692250023</v>
      </c>
      <c r="P472" s="2"/>
      <c r="Q472" s="2"/>
      <c r="R472" s="25">
        <v>3.86</v>
      </c>
      <c r="S472" s="25">
        <v>3.86</v>
      </c>
      <c r="T472" s="25">
        <v>15.7155</v>
      </c>
      <c r="U472">
        <v>0</v>
      </c>
      <c r="X472">
        <v>0</v>
      </c>
      <c r="AA472" s="2"/>
      <c r="AB472">
        <v>20</v>
      </c>
      <c r="AC472" s="55">
        <f t="shared" si="57"/>
        <v>238.30734163024843</v>
      </c>
      <c r="AD472" s="57">
        <v>0</v>
      </c>
      <c r="AE472" s="55"/>
      <c r="AF472" s="55">
        <v>0</v>
      </c>
      <c r="AG472" s="52">
        <f t="shared" si="61"/>
        <v>8.3925236474801893E-2</v>
      </c>
      <c r="AH472" s="51"/>
      <c r="AI472" s="52"/>
      <c r="AJ472" s="52"/>
      <c r="AK472" s="28">
        <v>1.75</v>
      </c>
      <c r="AL472" s="28">
        <v>2.5</v>
      </c>
      <c r="AM472" s="28">
        <v>0.75</v>
      </c>
      <c r="AN472" s="28">
        <v>0</v>
      </c>
      <c r="AO472" s="28">
        <v>0.35</v>
      </c>
      <c r="AP472" s="28">
        <v>0.5</v>
      </c>
      <c r="AQ472" s="28">
        <v>0.15</v>
      </c>
      <c r="AR472" s="28">
        <v>0</v>
      </c>
      <c r="AS472" s="25">
        <v>0.95</v>
      </c>
      <c r="AT472" s="25">
        <v>3.44</v>
      </c>
      <c r="AU472" s="25">
        <v>2.4900000000000002</v>
      </c>
      <c r="AV472" s="25">
        <v>2.7093750000000001</v>
      </c>
      <c r="AW472">
        <v>2.7093750000000001</v>
      </c>
      <c r="AX472">
        <v>6.2518139537406876</v>
      </c>
      <c r="AY472" s="75"/>
      <c r="AZ472" s="75"/>
      <c r="BA472" s="75"/>
      <c r="BB472">
        <v>4.1962618237400953E-2</v>
      </c>
      <c r="BC472" t="s">
        <v>459</v>
      </c>
      <c r="BF472">
        <v>8.3925236474801893E-2</v>
      </c>
      <c r="BG472" t="s">
        <v>459</v>
      </c>
      <c r="BH472">
        <v>0</v>
      </c>
      <c r="CA472" t="e">
        <f t="shared" si="60"/>
        <v>#NUM!</v>
      </c>
    </row>
    <row r="473" spans="1:79" x14ac:dyDescent="0.3">
      <c r="A473" s="2" t="s">
        <v>298</v>
      </c>
      <c r="B473" s="17" t="s">
        <v>948</v>
      </c>
      <c r="C473" s="13"/>
      <c r="D473" s="2">
        <v>3.45</v>
      </c>
      <c r="E473" s="2" t="s">
        <v>295</v>
      </c>
      <c r="F473" s="9">
        <v>-1</v>
      </c>
      <c r="G473">
        <v>-1</v>
      </c>
      <c r="I473" s="2">
        <v>1</v>
      </c>
      <c r="J473" s="25">
        <v>1</v>
      </c>
      <c r="K473">
        <v>0</v>
      </c>
      <c r="L473">
        <v>0</v>
      </c>
      <c r="M473" s="25">
        <v>3.86</v>
      </c>
      <c r="N473" s="25">
        <v>3.86</v>
      </c>
      <c r="O473" s="2">
        <v>16.28902613653251</v>
      </c>
      <c r="P473" s="2"/>
      <c r="Q473" s="2"/>
      <c r="R473" s="25">
        <v>3.86</v>
      </c>
      <c r="S473" s="25">
        <v>3.86</v>
      </c>
      <c r="T473" s="25">
        <v>16.312000000000001</v>
      </c>
      <c r="U473">
        <v>0</v>
      </c>
      <c r="X473">
        <v>0</v>
      </c>
      <c r="AA473" s="2"/>
      <c r="AB473">
        <v>20</v>
      </c>
      <c r="AC473" s="55">
        <f t="shared" si="57"/>
        <v>242.69997382387976</v>
      </c>
      <c r="AD473" s="57">
        <v>0</v>
      </c>
      <c r="AE473" s="55"/>
      <c r="AF473" s="55">
        <v>0</v>
      </c>
      <c r="AG473" s="52">
        <f t="shared" si="61"/>
        <v>8.2406271763809144E-2</v>
      </c>
      <c r="AH473" s="51"/>
      <c r="AI473" s="52"/>
      <c r="AJ473" s="52"/>
      <c r="AK473" s="28">
        <v>1.75</v>
      </c>
      <c r="AL473" s="28">
        <v>2.5</v>
      </c>
      <c r="AM473" s="28">
        <v>0.75</v>
      </c>
      <c r="AN473" s="28">
        <v>0</v>
      </c>
      <c r="AO473" s="28">
        <v>0.35</v>
      </c>
      <c r="AP473" s="28">
        <v>0.5</v>
      </c>
      <c r="AQ473" s="28">
        <v>0.15</v>
      </c>
      <c r="AR473" s="28">
        <v>0</v>
      </c>
      <c r="AS473" s="25">
        <v>0.95</v>
      </c>
      <c r="AT473" s="25">
        <v>3.44</v>
      </c>
      <c r="AU473" s="25">
        <v>2.4900000000000002</v>
      </c>
      <c r="AV473" s="25">
        <v>2.7078125000000002</v>
      </c>
      <c r="AW473">
        <v>2.7078125000000002</v>
      </c>
      <c r="AX473">
        <v>6.245708125303187</v>
      </c>
      <c r="AY473" s="75"/>
      <c r="AZ473" s="75"/>
      <c r="BA473" s="75"/>
      <c r="BB473">
        <v>4.1203135881904572E-2</v>
      </c>
      <c r="BC473" t="s">
        <v>459</v>
      </c>
      <c r="BF473">
        <v>8.2406271763809144E-2</v>
      </c>
      <c r="BG473" t="s">
        <v>459</v>
      </c>
      <c r="BH473">
        <v>0</v>
      </c>
      <c r="CA473" t="e">
        <f t="shared" si="60"/>
        <v>#NUM!</v>
      </c>
    </row>
    <row r="474" spans="1:79" x14ac:dyDescent="0.3">
      <c r="A474" s="2" t="s">
        <v>151</v>
      </c>
      <c r="B474" s="13" t="s">
        <v>774</v>
      </c>
      <c r="C474" s="13"/>
      <c r="D474" s="2">
        <v>3.4</v>
      </c>
      <c r="E474" s="2" t="s">
        <v>295</v>
      </c>
      <c r="F474" s="9">
        <v>-1</v>
      </c>
      <c r="G474">
        <v>-1</v>
      </c>
      <c r="I474" s="2">
        <v>1</v>
      </c>
      <c r="J474" s="25">
        <v>1</v>
      </c>
      <c r="K474">
        <v>0</v>
      </c>
      <c r="L474">
        <v>0</v>
      </c>
      <c r="M474" s="25">
        <v>3.86</v>
      </c>
      <c r="N474" s="25">
        <v>3.86</v>
      </c>
      <c r="O474" s="2">
        <v>17.505628149549622</v>
      </c>
      <c r="P474" s="2"/>
      <c r="Q474" s="2"/>
      <c r="R474" s="25">
        <v>3.86</v>
      </c>
      <c r="S474" s="25">
        <v>3.86</v>
      </c>
      <c r="T474" s="25">
        <v>17.599</v>
      </c>
      <c r="U474">
        <v>0</v>
      </c>
      <c r="X474">
        <v>0</v>
      </c>
      <c r="AA474" s="2"/>
      <c r="AB474">
        <v>20</v>
      </c>
      <c r="AC474" s="55">
        <f t="shared" si="57"/>
        <v>260.82685717702952</v>
      </c>
      <c r="AD474" s="57">
        <v>0</v>
      </c>
      <c r="AE474" s="55"/>
      <c r="AF474" s="55">
        <v>0</v>
      </c>
      <c r="AG474" s="52">
        <f t="shared" si="61"/>
        <v>7.667922014037655E-2</v>
      </c>
      <c r="AH474" s="51"/>
      <c r="AI474" s="52"/>
      <c r="AJ474" s="52"/>
      <c r="AK474" s="28">
        <v>1.75</v>
      </c>
      <c r="AL474" s="28">
        <v>2.5</v>
      </c>
      <c r="AM474" s="28">
        <v>0.75</v>
      </c>
      <c r="AN474" s="28">
        <v>0</v>
      </c>
      <c r="AO474" s="28">
        <v>0.35</v>
      </c>
      <c r="AP474" s="28">
        <v>0.5</v>
      </c>
      <c r="AQ474" s="28">
        <v>0.15</v>
      </c>
      <c r="AR474" s="28">
        <v>0</v>
      </c>
      <c r="AS474" s="25">
        <v>0.95</v>
      </c>
      <c r="AT474" s="25">
        <v>3.44</v>
      </c>
      <c r="AU474" s="25">
        <v>2.4900000000000002</v>
      </c>
      <c r="AV474" s="25">
        <v>2.7062499999999998</v>
      </c>
      <c r="AW474">
        <v>2.7062499999999998</v>
      </c>
      <c r="AX474">
        <v>6.2396022968656872</v>
      </c>
      <c r="AY474" s="75"/>
      <c r="AZ474" s="75"/>
      <c r="BA474" s="75"/>
      <c r="BB474">
        <v>3.8339610070188268E-2</v>
      </c>
      <c r="BC474" t="s">
        <v>459</v>
      </c>
      <c r="BF474">
        <v>7.667922014037655E-2</v>
      </c>
      <c r="BG474" t="s">
        <v>459</v>
      </c>
      <c r="BH474">
        <v>0</v>
      </c>
      <c r="CA474" t="e">
        <f t="shared" si="60"/>
        <v>#NUM!</v>
      </c>
    </row>
    <row r="475" spans="1:79" x14ac:dyDescent="0.3">
      <c r="A475" s="2" t="s">
        <v>299</v>
      </c>
      <c r="B475" s="17" t="s">
        <v>949</v>
      </c>
      <c r="C475" s="13"/>
      <c r="D475" s="2">
        <v>3.65</v>
      </c>
      <c r="E475" s="2" t="s">
        <v>295</v>
      </c>
      <c r="F475" s="9">
        <v>-1</v>
      </c>
      <c r="G475">
        <v>-1</v>
      </c>
      <c r="I475" s="2">
        <v>1</v>
      </c>
      <c r="J475" s="25">
        <v>1</v>
      </c>
      <c r="K475">
        <v>0</v>
      </c>
      <c r="L475">
        <v>0</v>
      </c>
      <c r="M475" s="25">
        <v>3.86</v>
      </c>
      <c r="N475" s="25">
        <v>3.86</v>
      </c>
      <c r="O475" s="2">
        <v>14.582394405034421</v>
      </c>
      <c r="P475" s="2"/>
      <c r="Q475" s="2"/>
      <c r="R475" s="25">
        <v>3.86</v>
      </c>
      <c r="S475" s="25">
        <v>3.86</v>
      </c>
      <c r="T475" s="25">
        <v>14.85</v>
      </c>
      <c r="U475">
        <v>0</v>
      </c>
      <c r="X475">
        <v>0</v>
      </c>
      <c r="AA475" s="2"/>
      <c r="AB475">
        <v>20</v>
      </c>
      <c r="AC475" s="55">
        <f t="shared" si="57"/>
        <v>217.27184367725084</v>
      </c>
      <c r="AD475" s="57">
        <v>0</v>
      </c>
      <c r="AE475" s="55"/>
      <c r="AF475" s="55">
        <v>0</v>
      </c>
      <c r="AG475" s="52">
        <f t="shared" si="61"/>
        <v>9.2050583552414869E-2</v>
      </c>
      <c r="AH475" s="51"/>
      <c r="AI475" s="52"/>
      <c r="AJ475" s="52"/>
      <c r="AK475" s="28">
        <v>1.76875</v>
      </c>
      <c r="AL475" s="28">
        <v>2.5</v>
      </c>
      <c r="AM475" s="28">
        <v>0.73125000000000007</v>
      </c>
      <c r="AN475" s="28">
        <v>0.26250000000000001</v>
      </c>
      <c r="AO475" s="28">
        <v>0.33610451306413303</v>
      </c>
      <c r="AP475" s="28">
        <v>0.47505938242280282</v>
      </c>
      <c r="AQ475" s="28">
        <v>0.13895486935866991</v>
      </c>
      <c r="AR475" s="28">
        <v>4.9881235154394299E-2</v>
      </c>
      <c r="AS475" s="25">
        <v>1</v>
      </c>
      <c r="AT475" s="25">
        <v>3.44</v>
      </c>
      <c r="AU475" s="25">
        <v>2.44</v>
      </c>
      <c r="AV475" s="25">
        <v>2.7106249999999998</v>
      </c>
      <c r="AW475">
        <v>2.7106249999999998</v>
      </c>
      <c r="AX475">
        <v>6.2658671793656886</v>
      </c>
      <c r="AY475" s="75"/>
      <c r="AZ475" s="75"/>
      <c r="BA475" s="75"/>
      <c r="BB475">
        <v>4.6025291776207428E-2</v>
      </c>
      <c r="BC475" t="s">
        <v>459</v>
      </c>
      <c r="BF475">
        <v>9.2050583552414869E-2</v>
      </c>
      <c r="BG475" t="s">
        <v>459</v>
      </c>
      <c r="BH475">
        <v>0</v>
      </c>
      <c r="CA475" t="e">
        <f t="shared" si="60"/>
        <v>#NUM!</v>
      </c>
    </row>
    <row r="476" spans="1:79" x14ac:dyDescent="0.3">
      <c r="A476" s="2" t="s">
        <v>300</v>
      </c>
      <c r="B476" s="13" t="s">
        <v>809</v>
      </c>
      <c r="C476" s="13"/>
      <c r="D476" s="2">
        <v>3.26</v>
      </c>
      <c r="E476" s="2" t="s">
        <v>295</v>
      </c>
      <c r="F476" s="9">
        <v>-1</v>
      </c>
      <c r="G476">
        <v>-1</v>
      </c>
      <c r="I476" s="2">
        <v>1</v>
      </c>
      <c r="J476" s="25">
        <v>1</v>
      </c>
      <c r="K476">
        <v>0</v>
      </c>
      <c r="L476">
        <v>0</v>
      </c>
      <c r="M476" s="25">
        <v>3.86</v>
      </c>
      <c r="N476" s="25">
        <v>3.86</v>
      </c>
      <c r="O476" s="2">
        <v>14.909538142748223</v>
      </c>
      <c r="P476" s="2"/>
      <c r="Q476" s="2"/>
      <c r="R476" s="25">
        <v>3.86</v>
      </c>
      <c r="S476" s="25">
        <v>3.86</v>
      </c>
      <c r="T476" s="25">
        <v>15.022</v>
      </c>
      <c r="U476">
        <v>0</v>
      </c>
      <c r="X476">
        <v>0</v>
      </c>
      <c r="AA476" s="2"/>
      <c r="AB476">
        <v>20</v>
      </c>
      <c r="AC476" s="55">
        <f t="shared" si="57"/>
        <v>222.14615451169144</v>
      </c>
      <c r="AD476" s="57">
        <v>0</v>
      </c>
      <c r="AE476" s="55"/>
      <c r="AF476" s="55">
        <v>0</v>
      </c>
      <c r="AG476" s="52">
        <f t="shared" si="61"/>
        <v>9.0030817971901517E-2</v>
      </c>
      <c r="AH476" s="51"/>
      <c r="AI476" s="52"/>
      <c r="AJ476" s="52"/>
      <c r="AK476" s="28">
        <v>1.8125</v>
      </c>
      <c r="AL476" s="28">
        <v>2.5</v>
      </c>
      <c r="AM476" s="28">
        <v>0.6875</v>
      </c>
      <c r="AN476" s="28">
        <v>0.875</v>
      </c>
      <c r="AO476" s="28">
        <v>0.30851063829787229</v>
      </c>
      <c r="AP476" s="28">
        <v>0.42553191489361702</v>
      </c>
      <c r="AQ476" s="28">
        <v>0.1170212765957447</v>
      </c>
      <c r="AR476" s="28">
        <v>0.14893617021276601</v>
      </c>
      <c r="AS476" s="25">
        <v>1</v>
      </c>
      <c r="AT476" s="25">
        <v>3.44</v>
      </c>
      <c r="AU476" s="25">
        <v>2.44</v>
      </c>
      <c r="AV476" s="25">
        <v>2.7062499999999998</v>
      </c>
      <c r="AW476">
        <v>2.7062499999999998</v>
      </c>
      <c r="AX476">
        <v>6.2701641731156874</v>
      </c>
      <c r="AY476" s="75"/>
      <c r="AZ476" s="75"/>
      <c r="BA476" s="75"/>
      <c r="BB476">
        <v>4.5015408985950758E-2</v>
      </c>
      <c r="BC476" t="s">
        <v>459</v>
      </c>
      <c r="BF476">
        <v>9.0030817971901517E-2</v>
      </c>
      <c r="BG476" t="s">
        <v>459</v>
      </c>
      <c r="BH476">
        <v>0</v>
      </c>
      <c r="CA476" t="e">
        <f t="shared" si="60"/>
        <v>#NUM!</v>
      </c>
    </row>
    <row r="477" spans="1:79" x14ac:dyDescent="0.3">
      <c r="A477" s="2" t="s">
        <v>301</v>
      </c>
      <c r="B477" s="17" t="s">
        <v>950</v>
      </c>
      <c r="C477" s="13"/>
      <c r="D477" s="2">
        <v>3.2</v>
      </c>
      <c r="E477" s="2" t="s">
        <v>295</v>
      </c>
      <c r="F477" s="9">
        <v>-1</v>
      </c>
      <c r="G477">
        <v>-1</v>
      </c>
      <c r="I477" s="2">
        <v>1</v>
      </c>
      <c r="J477" s="25">
        <v>1</v>
      </c>
      <c r="K477">
        <v>0</v>
      </c>
      <c r="L477">
        <v>0</v>
      </c>
      <c r="M477" s="25">
        <v>3.86</v>
      </c>
      <c r="N477" s="25">
        <v>3.86</v>
      </c>
      <c r="O477" s="2">
        <v>15.013371612679299</v>
      </c>
      <c r="P477" s="2"/>
      <c r="Q477" s="2"/>
      <c r="R477" s="25">
        <v>3.86</v>
      </c>
      <c r="S477" s="25">
        <v>3.86</v>
      </c>
      <c r="T477" s="45">
        <v>15.380100000000001</v>
      </c>
      <c r="U477">
        <v>0</v>
      </c>
      <c r="X477">
        <v>0</v>
      </c>
      <c r="AA477" s="2"/>
      <c r="AB477">
        <v>20</v>
      </c>
      <c r="AC477" s="55">
        <f t="shared" si="57"/>
        <v>223.69323168027648</v>
      </c>
      <c r="AD477" s="57">
        <v>0</v>
      </c>
      <c r="AE477" s="55"/>
      <c r="AF477" s="55">
        <v>0</v>
      </c>
      <c r="AG477" s="52">
        <f t="shared" si="61"/>
        <v>8.9408158886925521E-2</v>
      </c>
      <c r="AH477" s="51"/>
      <c r="AI477" s="52"/>
      <c r="AJ477" s="52"/>
      <c r="AK477" s="28">
        <v>1.84375</v>
      </c>
      <c r="AL477" s="28">
        <v>2.5</v>
      </c>
      <c r="AM477" s="28">
        <v>0.65625</v>
      </c>
      <c r="AN477" s="28">
        <v>1.3125</v>
      </c>
      <c r="AO477" s="28">
        <v>0.29207920792079212</v>
      </c>
      <c r="AP477" s="28">
        <v>0.39603960396039611</v>
      </c>
      <c r="AQ477" s="28">
        <v>0.103960396039604</v>
      </c>
      <c r="AR477" s="28">
        <v>0.20792079207920791</v>
      </c>
      <c r="AS477" s="25">
        <v>1</v>
      </c>
      <c r="AT477" s="25">
        <v>3.44</v>
      </c>
      <c r="AU477" s="25">
        <v>2.44</v>
      </c>
      <c r="AV477" s="25">
        <v>2.703125</v>
      </c>
      <c r="AW477">
        <v>2.703125</v>
      </c>
      <c r="AX477">
        <v>6.2732334543656876</v>
      </c>
      <c r="AY477" s="75"/>
      <c r="AZ477" s="75"/>
      <c r="BA477" s="75"/>
      <c r="BB477">
        <v>4.470407944346276E-2</v>
      </c>
      <c r="BC477" t="s">
        <v>459</v>
      </c>
      <c r="BF477">
        <v>8.9408158886925521E-2</v>
      </c>
      <c r="BG477" t="s">
        <v>459</v>
      </c>
      <c r="BH477">
        <v>0</v>
      </c>
      <c r="CA477" t="e">
        <f t="shared" si="60"/>
        <v>#NUM!</v>
      </c>
    </row>
    <row r="478" spans="1:79" x14ac:dyDescent="0.3">
      <c r="A478" s="2" t="s">
        <v>4</v>
      </c>
      <c r="B478" s="13" t="s">
        <v>689</v>
      </c>
      <c r="C478" s="13"/>
      <c r="D478" s="2">
        <v>3.5</v>
      </c>
      <c r="E478" s="2" t="s">
        <v>302</v>
      </c>
      <c r="F478" s="9" t="s">
        <v>527</v>
      </c>
      <c r="G478" t="s">
        <v>609</v>
      </c>
      <c r="I478" s="2"/>
      <c r="J478" s="25">
        <v>4</v>
      </c>
      <c r="K478">
        <v>4</v>
      </c>
      <c r="L478">
        <v>0</v>
      </c>
      <c r="M478" s="2"/>
      <c r="N478" s="2"/>
      <c r="O478" s="2"/>
      <c r="P478" s="2"/>
      <c r="Q478" s="2"/>
      <c r="R478" s="25">
        <v>3.86</v>
      </c>
      <c r="S478" s="25">
        <v>3.86</v>
      </c>
      <c r="T478" s="25">
        <v>15.19056011</v>
      </c>
      <c r="U478">
        <v>3.8801999999999999</v>
      </c>
      <c r="V478">
        <v>29.507999999999999</v>
      </c>
      <c r="W478">
        <v>7.7140000000000004</v>
      </c>
      <c r="X478">
        <v>0</v>
      </c>
      <c r="AA478" s="2"/>
      <c r="AB478">
        <v>20</v>
      </c>
      <c r="AC478" s="55">
        <f t="shared" si="57"/>
        <v>0</v>
      </c>
      <c r="AD478" s="57">
        <v>924.74694800021894</v>
      </c>
      <c r="AE478" s="55">
        <v>883.22940750240002</v>
      </c>
      <c r="AF478" s="55">
        <v>0</v>
      </c>
      <c r="AG478" s="52"/>
      <c r="AH478" s="51">
        <v>8.6510153045653584E-2</v>
      </c>
      <c r="AI478" s="52">
        <v>9.0576694254581439E-2</v>
      </c>
      <c r="AJ478" s="52"/>
      <c r="AK478" s="28">
        <v>1.75</v>
      </c>
      <c r="AL478" s="28">
        <v>2.5</v>
      </c>
      <c r="AM478" s="28">
        <v>0.75</v>
      </c>
      <c r="AN478" s="28">
        <v>0</v>
      </c>
      <c r="AO478" s="28">
        <v>0.35</v>
      </c>
      <c r="AP478" s="28">
        <v>0.5</v>
      </c>
      <c r="AQ478" s="28">
        <v>0.15</v>
      </c>
      <c r="AR478" s="28">
        <v>0</v>
      </c>
      <c r="AS478" s="25">
        <v>0.82</v>
      </c>
      <c r="AT478" s="25">
        <v>3.44</v>
      </c>
      <c r="AU478" s="25">
        <v>2.62</v>
      </c>
      <c r="AV478" s="25">
        <v>2.6262500000000002</v>
      </c>
      <c r="AW478">
        <v>2.6262500000000002</v>
      </c>
      <c r="AX478">
        <v>5.96680968125</v>
      </c>
      <c r="AY478" s="75">
        <v>0.50555206026575039</v>
      </c>
      <c r="AZ478" s="75">
        <v>0</v>
      </c>
      <c r="BA478" s="75"/>
      <c r="BC478">
        <v>4.3255076522826792E-2</v>
      </c>
      <c r="BD478">
        <v>4.5288347127290719E-2</v>
      </c>
      <c r="BF478">
        <v>8.8543423650117511E-2</v>
      </c>
      <c r="BG478">
        <v>4.4271711825058763E-2</v>
      </c>
      <c r="BH478">
        <v>0.2527760301328752</v>
      </c>
      <c r="CA478" t="e">
        <f t="shared" si="60"/>
        <v>#NUM!</v>
      </c>
    </row>
    <row r="479" spans="1:79" x14ac:dyDescent="0.3">
      <c r="A479" s="2" t="s">
        <v>303</v>
      </c>
      <c r="B479" s="13" t="s">
        <v>828</v>
      </c>
      <c r="C479" s="13"/>
      <c r="D479" s="2">
        <v>3.4</v>
      </c>
      <c r="E479" s="2" t="s">
        <v>302</v>
      </c>
      <c r="F479" s="32" t="s">
        <v>527</v>
      </c>
      <c r="G479" s="1" t="s">
        <v>609</v>
      </c>
      <c r="I479" s="2"/>
      <c r="J479" s="25">
        <v>0</v>
      </c>
      <c r="K479">
        <v>4</v>
      </c>
      <c r="L479">
        <v>0</v>
      </c>
      <c r="M479" s="2">
        <v>-1</v>
      </c>
      <c r="N479" s="2"/>
      <c r="O479" s="2"/>
      <c r="P479" s="2"/>
      <c r="Q479" s="2"/>
      <c r="R479" s="36">
        <v>3.86</v>
      </c>
      <c r="S479" s="36">
        <v>3.86</v>
      </c>
      <c r="T479" s="36">
        <v>15.19056011</v>
      </c>
      <c r="U479">
        <v>3.8801999999999999</v>
      </c>
      <c r="V479">
        <v>29.507999999999999</v>
      </c>
      <c r="W479">
        <v>7.7140000000000004</v>
      </c>
      <c r="X479">
        <v>0</v>
      </c>
      <c r="AA479" s="2"/>
      <c r="AB479">
        <v>20</v>
      </c>
      <c r="AC479" s="55">
        <f t="shared" si="57"/>
        <v>0</v>
      </c>
      <c r="AD479" s="57">
        <v>0</v>
      </c>
      <c r="AE479" s="55">
        <v>883.22940750240002</v>
      </c>
      <c r="AF479" s="55">
        <v>0</v>
      </c>
      <c r="AG479" s="52"/>
      <c r="AH479" s="51"/>
      <c r="AI479" s="52">
        <v>9.0576694254581439E-2</v>
      </c>
      <c r="AJ479" s="52"/>
      <c r="AK479" s="28">
        <v>1.75</v>
      </c>
      <c r="AL479" s="28">
        <v>2.5</v>
      </c>
      <c r="AM479" s="28">
        <v>0.75</v>
      </c>
      <c r="AN479" s="28">
        <v>0</v>
      </c>
      <c r="AO479" s="28">
        <v>0.35</v>
      </c>
      <c r="AP479" s="28">
        <v>0.5</v>
      </c>
      <c r="AQ479" s="28">
        <v>0.15</v>
      </c>
      <c r="AR479" s="28">
        <v>0</v>
      </c>
      <c r="AS479" s="25">
        <v>0.82</v>
      </c>
      <c r="AT479" s="25">
        <v>3.44</v>
      </c>
      <c r="AU479" s="25">
        <v>2.62</v>
      </c>
      <c r="AV479" s="25">
        <v>2.6231249999999999</v>
      </c>
      <c r="AW479">
        <v>2.6231249999999999</v>
      </c>
      <c r="AX479">
        <v>5.9545980243750014</v>
      </c>
      <c r="AY479" s="75">
        <v>0.50555206026575039</v>
      </c>
      <c r="AZ479" s="75">
        <v>0</v>
      </c>
      <c r="BA479" s="75"/>
      <c r="BD479">
        <v>4.5288347127290719E-2</v>
      </c>
      <c r="BF479">
        <v>9.0576694254581439E-2</v>
      </c>
      <c r="BG479">
        <v>4.5288347127290719E-2</v>
      </c>
      <c r="BH479">
        <v>0.2527760301328752</v>
      </c>
      <c r="CA479" t="e">
        <f t="shared" si="60"/>
        <v>#NUM!</v>
      </c>
    </row>
    <row r="480" spans="1:79" x14ac:dyDescent="0.3">
      <c r="A480" s="2" t="s">
        <v>7</v>
      </c>
      <c r="B480" s="13" t="s">
        <v>692</v>
      </c>
      <c r="C480" s="13"/>
      <c r="D480" s="2">
        <v>3.3</v>
      </c>
      <c r="E480" s="2" t="s">
        <v>302</v>
      </c>
      <c r="F480" s="32" t="s">
        <v>527</v>
      </c>
      <c r="G480" s="1" t="s">
        <v>609</v>
      </c>
      <c r="I480" s="2"/>
      <c r="J480" s="25">
        <v>0</v>
      </c>
      <c r="K480">
        <v>4</v>
      </c>
      <c r="L480">
        <v>0</v>
      </c>
      <c r="M480" s="2">
        <v>-1</v>
      </c>
      <c r="N480" s="2"/>
      <c r="O480" s="2"/>
      <c r="P480" s="2"/>
      <c r="Q480" s="2"/>
      <c r="R480" s="36">
        <v>3.86</v>
      </c>
      <c r="S480" s="36">
        <v>3.86</v>
      </c>
      <c r="T480" s="36">
        <v>15.19056011</v>
      </c>
      <c r="U480">
        <v>3.8801999999999999</v>
      </c>
      <c r="V480">
        <v>29.507999999999999</v>
      </c>
      <c r="W480">
        <v>7.7140000000000004</v>
      </c>
      <c r="X480">
        <v>0</v>
      </c>
      <c r="AA480" s="2"/>
      <c r="AB480">
        <v>20</v>
      </c>
      <c r="AC480" s="55">
        <f t="shared" si="57"/>
        <v>0</v>
      </c>
      <c r="AD480" s="57">
        <v>0</v>
      </c>
      <c r="AE480" s="55">
        <v>883.22940750240002</v>
      </c>
      <c r="AF480" s="55">
        <v>0</v>
      </c>
      <c r="AG480" s="52"/>
      <c r="AH480" s="51"/>
      <c r="AI480" s="52">
        <v>9.0576694254581439E-2</v>
      </c>
      <c r="AJ480" s="52"/>
      <c r="AK480" s="28">
        <v>1.75</v>
      </c>
      <c r="AL480" s="28">
        <v>2.5</v>
      </c>
      <c r="AM480" s="28">
        <v>0.75</v>
      </c>
      <c r="AN480" s="28">
        <v>0</v>
      </c>
      <c r="AO480" s="28">
        <v>0.35</v>
      </c>
      <c r="AP480" s="28">
        <v>0.5</v>
      </c>
      <c r="AQ480" s="28">
        <v>0.15</v>
      </c>
      <c r="AR480" s="28">
        <v>0</v>
      </c>
      <c r="AS480" s="25">
        <v>0.82</v>
      </c>
      <c r="AT480" s="25">
        <v>3.44</v>
      </c>
      <c r="AU480" s="25">
        <v>2.62</v>
      </c>
      <c r="AV480" s="25">
        <v>2.62</v>
      </c>
      <c r="AW480">
        <v>2.62</v>
      </c>
      <c r="AX480">
        <v>5.9423863675000002</v>
      </c>
      <c r="AY480" s="75">
        <v>0.50555206026575039</v>
      </c>
      <c r="AZ480" s="75">
        <v>0</v>
      </c>
      <c r="BA480" s="75"/>
      <c r="BD480">
        <v>4.5288347127290719E-2</v>
      </c>
      <c r="BF480">
        <v>9.0576694254581439E-2</v>
      </c>
      <c r="BG480">
        <v>4.5288347127290719E-2</v>
      </c>
      <c r="BH480">
        <v>0.2527760301328752</v>
      </c>
      <c r="CA480" t="e">
        <f t="shared" si="60"/>
        <v>#NUM!</v>
      </c>
    </row>
    <row r="481" spans="1:79" x14ac:dyDescent="0.3">
      <c r="A481" s="2" t="s">
        <v>63</v>
      </c>
      <c r="B481" s="13" t="s">
        <v>773</v>
      </c>
      <c r="C481" s="13"/>
      <c r="D481" s="2">
        <v>3.5</v>
      </c>
      <c r="E481" s="2" t="s">
        <v>305</v>
      </c>
      <c r="F481" s="9">
        <v>-1</v>
      </c>
      <c r="G481">
        <v>-1</v>
      </c>
      <c r="H481" t="s">
        <v>1179</v>
      </c>
      <c r="I481" s="2">
        <v>1</v>
      </c>
      <c r="J481" s="25">
        <v>0</v>
      </c>
      <c r="K481">
        <v>0</v>
      </c>
      <c r="L481">
        <v>1</v>
      </c>
      <c r="M481" s="2">
        <v>-1</v>
      </c>
      <c r="N481" s="2"/>
      <c r="O481" s="2"/>
      <c r="P481" s="2"/>
      <c r="Q481" s="2"/>
      <c r="R481" s="25">
        <v>3.84</v>
      </c>
      <c r="S481" s="25">
        <v>3.84</v>
      </c>
      <c r="T481" s="25">
        <v>13.97</v>
      </c>
      <c r="U481">
        <v>3.8504999999999998</v>
      </c>
      <c r="V481">
        <v>3.8504999999999998</v>
      </c>
      <c r="W481">
        <v>14.379</v>
      </c>
      <c r="AA481" s="2"/>
      <c r="AB481">
        <v>20</v>
      </c>
      <c r="AC481" s="55">
        <f t="shared" si="57"/>
        <v>0</v>
      </c>
      <c r="AD481" s="57">
        <v>0</v>
      </c>
      <c r="AE481" s="55">
        <v>0</v>
      </c>
      <c r="AF481" s="55">
        <v>213.2</v>
      </c>
      <c r="AG481" s="52"/>
      <c r="AH481" s="51"/>
      <c r="AI481" s="52"/>
      <c r="AJ481" s="67">
        <f>L481*AB481/AF481</f>
        <v>9.3808630393996256E-2</v>
      </c>
      <c r="AK481" s="28">
        <v>1.75</v>
      </c>
      <c r="AL481" s="28">
        <v>2.5</v>
      </c>
      <c r="AM481" s="28">
        <v>0.75</v>
      </c>
      <c r="AN481" s="28">
        <v>0</v>
      </c>
      <c r="AO481" s="28">
        <v>0.35</v>
      </c>
      <c r="AP481" s="28">
        <v>0.5</v>
      </c>
      <c r="AQ481" s="28">
        <v>0.15</v>
      </c>
      <c r="AR481" s="28">
        <v>0</v>
      </c>
      <c r="AS481" s="25">
        <v>1</v>
      </c>
      <c r="AT481" s="25">
        <v>3.44</v>
      </c>
      <c r="AU481" s="25">
        <v>2.44</v>
      </c>
      <c r="AV481" s="25">
        <v>2.7124999999999999</v>
      </c>
      <c r="AW481">
        <v>2.7124999999999999</v>
      </c>
      <c r="AX481">
        <v>6.264025610615688</v>
      </c>
      <c r="AY481" s="75"/>
      <c r="AZ481" s="75"/>
      <c r="BA481" s="75">
        <v>0</v>
      </c>
      <c r="BB481" t="s">
        <v>459</v>
      </c>
      <c r="BE481">
        <v>4.6904315196998128E-2</v>
      </c>
      <c r="BF481">
        <v>9.3808630393996256E-2</v>
      </c>
      <c r="BG481" t="s">
        <v>459</v>
      </c>
      <c r="BH481">
        <v>0</v>
      </c>
      <c r="CA481" t="e">
        <f t="shared" si="60"/>
        <v>#NUM!</v>
      </c>
    </row>
    <row r="482" spans="1:79" x14ac:dyDescent="0.3">
      <c r="A482" s="2" t="s">
        <v>304</v>
      </c>
      <c r="B482" s="34" t="s">
        <v>829</v>
      </c>
      <c r="C482" s="34"/>
      <c r="D482" s="2">
        <v>3.33</v>
      </c>
      <c r="E482" s="2" t="s">
        <v>305</v>
      </c>
      <c r="F482" s="35">
        <v>-1</v>
      </c>
      <c r="G482" s="2">
        <v>-1</v>
      </c>
      <c r="H482" s="2"/>
      <c r="I482" s="2">
        <v>4</v>
      </c>
      <c r="J482" s="29">
        <v>0</v>
      </c>
      <c r="K482">
        <v>0</v>
      </c>
      <c r="L482">
        <v>0</v>
      </c>
      <c r="M482" s="2">
        <v>6.47</v>
      </c>
      <c r="N482" s="2">
        <v>6.47</v>
      </c>
      <c r="O482" s="2">
        <v>30.69</v>
      </c>
      <c r="P482" s="2"/>
      <c r="Q482" s="2"/>
      <c r="R482" s="29">
        <v>0</v>
      </c>
      <c r="S482" s="29"/>
      <c r="T482" s="29"/>
      <c r="U482">
        <v>0</v>
      </c>
      <c r="X482">
        <v>0</v>
      </c>
      <c r="AA482" s="2"/>
      <c r="AB482" s="2">
        <v>34</v>
      </c>
      <c r="AC482" s="55">
        <f t="shared" si="57"/>
        <v>1284.7110209999998</v>
      </c>
      <c r="AD482" s="57">
        <v>0</v>
      </c>
      <c r="AE482" s="55">
        <v>0</v>
      </c>
      <c r="AF482" s="55">
        <v>0</v>
      </c>
      <c r="AG482" s="52">
        <f t="shared" ref="AG482:AG484" si="62">I482*AB482/AC482</f>
        <v>0.1058603824338174</v>
      </c>
      <c r="AH482" s="51"/>
      <c r="AI482" s="52"/>
      <c r="AJ482" s="52"/>
      <c r="AK482" s="2">
        <v>1.62962962962963</v>
      </c>
      <c r="AL482" s="2">
        <v>2.518518518518519</v>
      </c>
      <c r="AM482" s="2">
        <v>0.88888888888888884</v>
      </c>
      <c r="AN482" s="2">
        <v>0</v>
      </c>
      <c r="AO482" s="2">
        <v>0.32352941176470579</v>
      </c>
      <c r="AP482" s="2">
        <v>0.5</v>
      </c>
      <c r="AQ482" s="2">
        <v>0.1764705882352941</v>
      </c>
      <c r="AR482" s="2">
        <v>0</v>
      </c>
      <c r="AS482" s="29">
        <v>1.6</v>
      </c>
      <c r="AT482" s="29">
        <v>3.44</v>
      </c>
      <c r="AU482" s="29">
        <v>1.84</v>
      </c>
      <c r="AV482" s="29">
        <v>2.8474074074074069</v>
      </c>
      <c r="AW482" s="2">
        <v>2.8474074074074069</v>
      </c>
      <c r="AX482" s="2">
        <v>6.6632481018297778</v>
      </c>
      <c r="AY482" s="75"/>
      <c r="AZ482" s="75"/>
      <c r="BA482" s="75"/>
      <c r="BB482">
        <v>5.2930191216908701E-2</v>
      </c>
      <c r="BF482">
        <v>0.1058603824338174</v>
      </c>
      <c r="BG482">
        <v>5.2930191216908701E-2</v>
      </c>
      <c r="BH482">
        <v>0</v>
      </c>
      <c r="CA482" t="e">
        <f t="shared" si="60"/>
        <v>#NUM!</v>
      </c>
    </row>
    <row r="483" spans="1:79" x14ac:dyDescent="0.3">
      <c r="A483" s="2" t="s">
        <v>299</v>
      </c>
      <c r="B483" s="33" t="s">
        <v>949</v>
      </c>
      <c r="C483" s="34"/>
      <c r="D483" s="2">
        <v>3.65</v>
      </c>
      <c r="E483" s="2" t="s">
        <v>306</v>
      </c>
      <c r="F483" s="35">
        <v>-1</v>
      </c>
      <c r="G483" s="2">
        <v>-1</v>
      </c>
      <c r="H483" s="2"/>
      <c r="I483" s="2">
        <v>1</v>
      </c>
      <c r="J483" s="29">
        <v>0</v>
      </c>
      <c r="K483">
        <v>0</v>
      </c>
      <c r="L483">
        <v>0</v>
      </c>
      <c r="M483" s="2">
        <v>3.8531</v>
      </c>
      <c r="N483" s="2">
        <v>3.8531</v>
      </c>
      <c r="O483" s="2">
        <v>16.2151</v>
      </c>
      <c r="P483" s="2"/>
      <c r="Q483" s="2"/>
      <c r="R483" s="29">
        <v>0</v>
      </c>
      <c r="S483" s="29"/>
      <c r="T483" s="29"/>
      <c r="U483">
        <v>0</v>
      </c>
      <c r="X483">
        <v>0</v>
      </c>
      <c r="AA483" s="2"/>
      <c r="AB483" s="2">
        <v>20</v>
      </c>
      <c r="AC483" s="55">
        <f t="shared" si="57"/>
        <v>240.73553001411099</v>
      </c>
      <c r="AD483" s="57">
        <v>0</v>
      </c>
      <c r="AE483" s="55">
        <v>0</v>
      </c>
      <c r="AF483" s="55">
        <v>0</v>
      </c>
      <c r="AG483" s="52">
        <f t="shared" si="62"/>
        <v>8.3078721279022161E-2</v>
      </c>
      <c r="AH483" s="51"/>
      <c r="AI483" s="52"/>
      <c r="AJ483" s="52"/>
      <c r="AK483" s="2">
        <v>1.76875</v>
      </c>
      <c r="AL483" s="2">
        <v>2.5</v>
      </c>
      <c r="AM483" s="2">
        <v>0.73125000000000007</v>
      </c>
      <c r="AN483" s="2">
        <v>0.26250000000000001</v>
      </c>
      <c r="AO483" s="2">
        <v>0.33610451306413303</v>
      </c>
      <c r="AP483" s="2">
        <v>0.47505938242280282</v>
      </c>
      <c r="AQ483" s="2">
        <v>0.13895486935866991</v>
      </c>
      <c r="AR483" s="2">
        <v>4.9881235154394299E-2</v>
      </c>
      <c r="AS483" s="29">
        <v>1</v>
      </c>
      <c r="AT483" s="29">
        <v>3.44</v>
      </c>
      <c r="AU483" s="29">
        <v>2.44</v>
      </c>
      <c r="AV483" s="29">
        <v>2.7106249999999998</v>
      </c>
      <c r="AW483" s="2">
        <v>2.7106249999999998</v>
      </c>
      <c r="AX483" s="2">
        <v>6.2658671793656886</v>
      </c>
      <c r="AY483" s="75"/>
      <c r="AZ483" s="75"/>
      <c r="BA483" s="75"/>
      <c r="BB483">
        <v>4.153936063951108E-2</v>
      </c>
      <c r="BF483">
        <v>8.3078721279022161E-2</v>
      </c>
      <c r="BG483">
        <v>4.153936063951108E-2</v>
      </c>
      <c r="BH483">
        <v>0</v>
      </c>
      <c r="CA483" t="e">
        <f t="shared" si="60"/>
        <v>#NUM!</v>
      </c>
    </row>
    <row r="484" spans="1:79" x14ac:dyDescent="0.3">
      <c r="A484" s="2" t="s">
        <v>301</v>
      </c>
      <c r="B484" s="33" t="s">
        <v>950</v>
      </c>
      <c r="C484" s="34"/>
      <c r="D484" s="2">
        <v>3.8</v>
      </c>
      <c r="E484" s="2" t="s">
        <v>306</v>
      </c>
      <c r="F484" s="35">
        <v>-1</v>
      </c>
      <c r="G484" s="2">
        <v>-1</v>
      </c>
      <c r="H484" s="2"/>
      <c r="I484" s="2">
        <v>1</v>
      </c>
      <c r="J484" s="29">
        <v>0</v>
      </c>
      <c r="K484">
        <v>0</v>
      </c>
      <c r="L484">
        <v>0</v>
      </c>
      <c r="M484" s="2">
        <v>3.8531</v>
      </c>
      <c r="N484" s="2">
        <v>3.8531</v>
      </c>
      <c r="O484" s="2">
        <v>16.2151</v>
      </c>
      <c r="P484" s="2"/>
      <c r="Q484" s="2"/>
      <c r="R484" s="29">
        <v>0</v>
      </c>
      <c r="S484" s="29"/>
      <c r="T484" s="29"/>
      <c r="U484">
        <v>0</v>
      </c>
      <c r="X484">
        <v>0</v>
      </c>
      <c r="AA484" s="2"/>
      <c r="AB484" s="2">
        <v>20</v>
      </c>
      <c r="AC484" s="55">
        <f t="shared" si="57"/>
        <v>240.73553001411099</v>
      </c>
      <c r="AD484" s="57">
        <v>0</v>
      </c>
      <c r="AE484" s="55">
        <v>0</v>
      </c>
      <c r="AF484" s="55">
        <v>0</v>
      </c>
      <c r="AG484" s="52">
        <f t="shared" si="62"/>
        <v>8.3078721279022161E-2</v>
      </c>
      <c r="AH484" s="51"/>
      <c r="AI484" s="52"/>
      <c r="AJ484" s="52"/>
      <c r="AK484" s="2">
        <v>1.84375</v>
      </c>
      <c r="AL484" s="2">
        <v>2.5</v>
      </c>
      <c r="AM484" s="2">
        <v>0.65625</v>
      </c>
      <c r="AN484" s="2">
        <v>1.3125</v>
      </c>
      <c r="AO484" s="2">
        <v>0.29207920792079212</v>
      </c>
      <c r="AP484" s="2">
        <v>0.39603960396039611</v>
      </c>
      <c r="AQ484" s="2">
        <v>0.103960396039604</v>
      </c>
      <c r="AR484" s="2">
        <v>0.20792079207920791</v>
      </c>
      <c r="AS484" s="29">
        <v>1</v>
      </c>
      <c r="AT484" s="29">
        <v>3.44</v>
      </c>
      <c r="AU484" s="29">
        <v>2.44</v>
      </c>
      <c r="AV484" s="29">
        <v>2.703125</v>
      </c>
      <c r="AW484" s="2">
        <v>2.703125</v>
      </c>
      <c r="AX484" s="2">
        <v>6.2732334543656876</v>
      </c>
      <c r="AY484" s="75"/>
      <c r="AZ484" s="75"/>
      <c r="BA484" s="75"/>
      <c r="BB484">
        <v>4.153936063951108E-2</v>
      </c>
      <c r="BF484">
        <v>8.3078721279022161E-2</v>
      </c>
      <c r="BG484">
        <v>4.153936063951108E-2</v>
      </c>
      <c r="BH484">
        <v>0</v>
      </c>
      <c r="CA484" t="e">
        <f t="shared" si="60"/>
        <v>#NUM!</v>
      </c>
    </row>
    <row r="485" spans="1:79" x14ac:dyDescent="0.3">
      <c r="A485" s="2" t="s">
        <v>46</v>
      </c>
      <c r="B485" s="34" t="s">
        <v>722</v>
      </c>
      <c r="C485" s="34"/>
      <c r="D485" s="2">
        <v>3.34</v>
      </c>
      <c r="E485" s="2" t="s">
        <v>307</v>
      </c>
      <c r="F485" s="35" t="s">
        <v>551</v>
      </c>
      <c r="G485" s="2" t="s">
        <v>629</v>
      </c>
      <c r="H485" s="2"/>
      <c r="I485" s="2"/>
      <c r="J485" s="29">
        <v>2</v>
      </c>
      <c r="K485">
        <v>4</v>
      </c>
      <c r="L485">
        <v>0</v>
      </c>
      <c r="M485" s="2"/>
      <c r="N485" s="2"/>
      <c r="O485" s="2"/>
      <c r="P485" s="2"/>
      <c r="Q485" s="2"/>
      <c r="R485" s="29">
        <v>7.41544296</v>
      </c>
      <c r="S485" s="29">
        <v>7.4154429599999991</v>
      </c>
      <c r="T485" s="29">
        <v>7.41544296</v>
      </c>
      <c r="U485">
        <v>7.8</v>
      </c>
      <c r="V485">
        <v>13.010999999999999</v>
      </c>
      <c r="W485">
        <v>5.5460000000000003</v>
      </c>
      <c r="X485">
        <v>0</v>
      </c>
      <c r="AA485" s="2"/>
      <c r="AB485" s="2" t="s">
        <v>1241</v>
      </c>
      <c r="AC485" s="55">
        <f t="shared" si="57"/>
        <v>0</v>
      </c>
      <c r="AD485" s="57">
        <v>288.33429290182369</v>
      </c>
      <c r="AE485" s="55">
        <v>556.51188553357167</v>
      </c>
      <c r="AF485" s="55">
        <v>0</v>
      </c>
      <c r="AG485" s="52"/>
      <c r="AH485" s="51">
        <v>9.7109503410799117E-2</v>
      </c>
      <c r="AI485" s="52">
        <v>0.10062678166578309</v>
      </c>
      <c r="AJ485" s="52"/>
      <c r="AK485" s="2">
        <v>2</v>
      </c>
      <c r="AL485" s="2">
        <v>2.545454545454545</v>
      </c>
      <c r="AM485" s="2">
        <v>0.54545454545454541</v>
      </c>
      <c r="AN485" s="2">
        <v>0</v>
      </c>
      <c r="AO485" s="2">
        <v>0.39285714285714279</v>
      </c>
      <c r="AP485" s="2">
        <v>0.5</v>
      </c>
      <c r="AQ485" s="2">
        <v>0.1071428571428571</v>
      </c>
      <c r="AR485" s="2">
        <v>0</v>
      </c>
      <c r="AS485" s="29">
        <v>1.1000000000000001</v>
      </c>
      <c r="AT485" s="29">
        <v>3.44</v>
      </c>
      <c r="AU485" s="29">
        <v>2.34</v>
      </c>
      <c r="AV485" s="29">
        <v>2.669090909090909</v>
      </c>
      <c r="AW485" s="2">
        <v>2.669090909090909</v>
      </c>
      <c r="AX485" s="2">
        <v>5.9831974772727277</v>
      </c>
      <c r="AY485" s="75">
        <v>0.52442413903612473</v>
      </c>
      <c r="AZ485" s="75">
        <v>0.54341863036636606</v>
      </c>
      <c r="BA485" s="75"/>
      <c r="BC485">
        <v>4.8554751705399558E-2</v>
      </c>
      <c r="BD485">
        <v>5.0313390832891547E-2</v>
      </c>
      <c r="BF485">
        <v>9.8868142538291098E-2</v>
      </c>
      <c r="BG485">
        <v>4.9434071269145549E-2</v>
      </c>
      <c r="BH485">
        <v>0.53392138470124539</v>
      </c>
      <c r="CA485" t="e">
        <f t="shared" si="60"/>
        <v>#NUM!</v>
      </c>
    </row>
    <row r="486" spans="1:79" x14ac:dyDescent="0.3">
      <c r="A486" s="2" t="s">
        <v>891</v>
      </c>
      <c r="B486" s="34" t="s">
        <v>722</v>
      </c>
      <c r="C486" s="34"/>
      <c r="D486" s="2">
        <v>3.17</v>
      </c>
      <c r="E486" s="2" t="s">
        <v>307</v>
      </c>
      <c r="F486" s="35" t="s">
        <v>551</v>
      </c>
      <c r="G486" s="2" t="s">
        <v>629</v>
      </c>
      <c r="H486" s="2"/>
      <c r="I486" s="2"/>
      <c r="J486" s="29">
        <v>2</v>
      </c>
      <c r="K486">
        <v>4</v>
      </c>
      <c r="L486">
        <v>0</v>
      </c>
      <c r="M486" s="2"/>
      <c r="N486" s="2"/>
      <c r="O486" s="2"/>
      <c r="P486" s="2"/>
      <c r="Q486" s="2"/>
      <c r="R486" s="29">
        <v>7.41544296</v>
      </c>
      <c r="S486" s="29">
        <v>7.4154429599999991</v>
      </c>
      <c r="T486" s="29">
        <v>7.41544296</v>
      </c>
      <c r="U486">
        <v>7.8</v>
      </c>
      <c r="V486">
        <v>13.010999999999999</v>
      </c>
      <c r="W486">
        <v>5.5460000000000003</v>
      </c>
      <c r="X486">
        <v>0</v>
      </c>
      <c r="AA486" s="2"/>
      <c r="AB486" s="2">
        <v>14</v>
      </c>
      <c r="AC486" s="55">
        <f t="shared" si="57"/>
        <v>0</v>
      </c>
      <c r="AD486" s="57">
        <v>288.33429290182369</v>
      </c>
      <c r="AE486" s="55">
        <v>556.51188553357167</v>
      </c>
      <c r="AF486" s="55">
        <v>0</v>
      </c>
      <c r="AG486" s="52"/>
      <c r="AH486" s="51">
        <v>9.7109503410799117E-2</v>
      </c>
      <c r="AI486" s="52">
        <v>0.10062678166578309</v>
      </c>
      <c r="AJ486" s="52"/>
      <c r="AK486" s="2">
        <v>2</v>
      </c>
      <c r="AL486" s="2">
        <v>2.545454545454545</v>
      </c>
      <c r="AM486" s="2">
        <v>0.54545454545454541</v>
      </c>
      <c r="AN486" s="2">
        <v>0</v>
      </c>
      <c r="AO486" s="2">
        <v>0.39285714285714279</v>
      </c>
      <c r="AP486" s="2">
        <v>0.5</v>
      </c>
      <c r="AQ486" s="2">
        <v>0.1071428571428571</v>
      </c>
      <c r="AR486" s="2">
        <v>0</v>
      </c>
      <c r="AS486" s="29">
        <v>1.1000000000000001</v>
      </c>
      <c r="AT486" s="29">
        <v>3.44</v>
      </c>
      <c r="AU486" s="29">
        <v>2.34</v>
      </c>
      <c r="AV486" s="29">
        <v>2.669090909090909</v>
      </c>
      <c r="AW486" s="2">
        <v>2.669090909090909</v>
      </c>
      <c r="AX486" s="2">
        <v>5.9831974772727277</v>
      </c>
      <c r="AY486" s="75">
        <v>0.52442413903612473</v>
      </c>
      <c r="AZ486" s="75">
        <v>0.54341863036636606</v>
      </c>
      <c r="BA486" s="75"/>
      <c r="BC486">
        <v>4.8554751705399558E-2</v>
      </c>
      <c r="BD486">
        <v>5.0313390832891547E-2</v>
      </c>
      <c r="BF486">
        <v>9.8868142538291098E-2</v>
      </c>
      <c r="BG486">
        <v>4.9434071269145549E-2</v>
      </c>
      <c r="BH486">
        <v>0.53392138470124539</v>
      </c>
      <c r="BN486" s="79" t="s">
        <v>676</v>
      </c>
      <c r="BO486" s="79">
        <v>0.22</v>
      </c>
      <c r="CA486" t="e">
        <f t="shared" si="60"/>
        <v>#NUM!</v>
      </c>
    </row>
    <row r="487" spans="1:79" x14ac:dyDescent="0.3">
      <c r="A487" s="2" t="s">
        <v>308</v>
      </c>
      <c r="B487" s="34" t="s">
        <v>830</v>
      </c>
      <c r="C487" s="34"/>
      <c r="D487" s="2">
        <v>3.44</v>
      </c>
      <c r="E487" s="2" t="s">
        <v>309</v>
      </c>
      <c r="F487" s="35" t="s">
        <v>601</v>
      </c>
      <c r="G487" s="2" t="s">
        <v>672</v>
      </c>
      <c r="H487" s="2"/>
      <c r="I487" s="2"/>
      <c r="J487" s="29">
        <v>1</v>
      </c>
      <c r="K487">
        <v>2</v>
      </c>
      <c r="L487">
        <v>0</v>
      </c>
      <c r="M487" s="2"/>
      <c r="N487" s="2"/>
      <c r="O487" s="2"/>
      <c r="P487" s="2"/>
      <c r="Q487" s="2"/>
      <c r="R487" s="29">
        <v>3.9408639999999999</v>
      </c>
      <c r="S487" s="29">
        <v>3.9455239999999989</v>
      </c>
      <c r="T487" s="29">
        <v>15.25730117</v>
      </c>
      <c r="U487">
        <v>3.8656999999999999</v>
      </c>
      <c r="V487">
        <v>29.777000000000001</v>
      </c>
      <c r="W487">
        <v>3.8519999999999999</v>
      </c>
      <c r="X487">
        <v>0</v>
      </c>
      <c r="AA487" s="2"/>
      <c r="AB487" s="2">
        <v>20</v>
      </c>
      <c r="AC487" s="55">
        <f t="shared" si="57"/>
        <v>0</v>
      </c>
      <c r="AD487" s="57">
        <v>235.24089263777751</v>
      </c>
      <c r="AE487" s="55">
        <v>443.39967116280002</v>
      </c>
      <c r="AF487" s="55">
        <v>0</v>
      </c>
      <c r="AG487" s="52"/>
      <c r="AH487" s="51">
        <v>8.5019231884976218E-2</v>
      </c>
      <c r="AI487" s="52">
        <v>9.0212065099420147E-2</v>
      </c>
      <c r="AJ487" s="52"/>
      <c r="AK487" s="2">
        <v>1.9375</v>
      </c>
      <c r="AL487" s="2">
        <v>2.5</v>
      </c>
      <c r="AM487" s="2">
        <v>0.5625</v>
      </c>
      <c r="AN487" s="2">
        <v>2.625</v>
      </c>
      <c r="AO487" s="2">
        <v>0.25409836065573771</v>
      </c>
      <c r="AP487" s="2">
        <v>0.32786885245901642</v>
      </c>
      <c r="AQ487" s="2">
        <v>7.3770491803278687E-2</v>
      </c>
      <c r="AR487" s="2">
        <v>0.34426229508196721</v>
      </c>
      <c r="AS487" s="29">
        <v>0.82</v>
      </c>
      <c r="AT487" s="29">
        <v>3.44</v>
      </c>
      <c r="AU487" s="29">
        <v>2.62</v>
      </c>
      <c r="AV487" s="29">
        <v>2.6074999999999999</v>
      </c>
      <c r="AW487" s="2">
        <v>2.6074999999999999</v>
      </c>
      <c r="AX487" s="2">
        <v>5.9852253687500001</v>
      </c>
      <c r="AY487" s="75">
        <v>0.49683934576995548</v>
      </c>
      <c r="AZ487" s="75">
        <v>0</v>
      </c>
      <c r="BA487" s="75"/>
      <c r="BC487">
        <v>4.2509615942488109E-2</v>
      </c>
      <c r="BD487">
        <v>4.5106032549710073E-2</v>
      </c>
      <c r="BF487">
        <v>8.7615648492198189E-2</v>
      </c>
      <c r="BG487">
        <v>4.3807824246099088E-2</v>
      </c>
      <c r="BH487">
        <v>0.24841967288497771</v>
      </c>
      <c r="CA487" t="e">
        <f t="shared" si="60"/>
        <v>#NUM!</v>
      </c>
    </row>
    <row r="488" spans="1:79" x14ac:dyDescent="0.3">
      <c r="A488" s="2" t="s">
        <v>63</v>
      </c>
      <c r="B488" s="34" t="s">
        <v>773</v>
      </c>
      <c r="C488" s="34"/>
      <c r="D488" s="2">
        <v>3.4</v>
      </c>
      <c r="E488" s="2" t="s">
        <v>310</v>
      </c>
      <c r="F488" s="35">
        <v>-1</v>
      </c>
      <c r="G488" s="2">
        <v>-1</v>
      </c>
      <c r="H488" s="2"/>
      <c r="I488" s="2">
        <v>1</v>
      </c>
      <c r="J488" s="29">
        <v>0</v>
      </c>
      <c r="K488">
        <v>0</v>
      </c>
      <c r="L488">
        <v>0</v>
      </c>
      <c r="M488" s="2">
        <v>3.8531</v>
      </c>
      <c r="N488" s="2">
        <v>3.8531</v>
      </c>
      <c r="O488" s="2">
        <v>16.2151</v>
      </c>
      <c r="P488" s="2"/>
      <c r="Q488" s="2"/>
      <c r="R488" s="29">
        <v>0</v>
      </c>
      <c r="S488" s="29"/>
      <c r="T488" s="29"/>
      <c r="U488">
        <v>0</v>
      </c>
      <c r="X488">
        <v>0</v>
      </c>
      <c r="AA488" s="2"/>
      <c r="AB488" s="2">
        <v>20</v>
      </c>
      <c r="AC488" s="55">
        <f t="shared" si="57"/>
        <v>240.73553001411099</v>
      </c>
      <c r="AD488" s="57">
        <v>0</v>
      </c>
      <c r="AE488" s="55">
        <v>0</v>
      </c>
      <c r="AF488" s="55">
        <v>0</v>
      </c>
      <c r="AG488" s="52">
        <f t="shared" ref="AG488:AG490" si="63">I488*AB488/AC488</f>
        <v>8.3078721279022161E-2</v>
      </c>
      <c r="AH488" s="51"/>
      <c r="AI488" s="52"/>
      <c r="AJ488" s="52"/>
      <c r="AK488" s="2">
        <v>1.75</v>
      </c>
      <c r="AL488" s="2">
        <v>2.5</v>
      </c>
      <c r="AM488" s="2">
        <v>0.75</v>
      </c>
      <c r="AN488" s="2">
        <v>0</v>
      </c>
      <c r="AO488" s="2">
        <v>0.35</v>
      </c>
      <c r="AP488" s="2">
        <v>0.5</v>
      </c>
      <c r="AQ488" s="2">
        <v>0.15</v>
      </c>
      <c r="AR488" s="2">
        <v>0</v>
      </c>
      <c r="AS488" s="29">
        <v>1</v>
      </c>
      <c r="AT488" s="29">
        <v>3.44</v>
      </c>
      <c r="AU488" s="29">
        <v>2.44</v>
      </c>
      <c r="AV488" s="29">
        <v>2.7124999999999999</v>
      </c>
      <c r="AW488" s="2">
        <v>2.7124999999999999</v>
      </c>
      <c r="AX488" s="2">
        <v>6.264025610615688</v>
      </c>
      <c r="AY488" s="75"/>
      <c r="AZ488" s="75"/>
      <c r="BA488" s="75"/>
      <c r="BB488">
        <v>4.153936063951108E-2</v>
      </c>
      <c r="BF488">
        <v>8.3078721279022161E-2</v>
      </c>
      <c r="BG488">
        <v>4.153936063951108E-2</v>
      </c>
      <c r="BH488">
        <v>0</v>
      </c>
      <c r="CA488" t="e">
        <f t="shared" si="60"/>
        <v>#NUM!</v>
      </c>
    </row>
    <row r="489" spans="1:79" x14ac:dyDescent="0.3">
      <c r="A489" s="2" t="s">
        <v>63</v>
      </c>
      <c r="B489" s="34" t="s">
        <v>773</v>
      </c>
      <c r="C489" s="34"/>
      <c r="D489" s="2">
        <v>2.15</v>
      </c>
      <c r="E489" s="2" t="s">
        <v>310</v>
      </c>
      <c r="F489" s="35">
        <v>-1</v>
      </c>
      <c r="G489" s="2">
        <v>-1</v>
      </c>
      <c r="H489" s="2"/>
      <c r="I489" s="2">
        <v>1</v>
      </c>
      <c r="J489" s="29">
        <v>0</v>
      </c>
      <c r="K489">
        <v>0</v>
      </c>
      <c r="L489">
        <v>0</v>
      </c>
      <c r="M489" s="2">
        <v>3.8531</v>
      </c>
      <c r="N489" s="2">
        <v>3.8531</v>
      </c>
      <c r="O489" s="2">
        <v>16.2151</v>
      </c>
      <c r="P489" s="2"/>
      <c r="Q489" s="2"/>
      <c r="R489" s="29">
        <v>0</v>
      </c>
      <c r="S489" s="29"/>
      <c r="T489" s="29"/>
      <c r="U489">
        <v>0</v>
      </c>
      <c r="X489">
        <v>0</v>
      </c>
      <c r="AA489" s="2"/>
      <c r="AB489" s="2">
        <v>20</v>
      </c>
      <c r="AC489" s="55">
        <f t="shared" si="57"/>
        <v>240.73553001411099</v>
      </c>
      <c r="AD489" s="57">
        <v>0</v>
      </c>
      <c r="AE489" s="55">
        <v>0</v>
      </c>
      <c r="AF489" s="55">
        <v>0</v>
      </c>
      <c r="AG489" s="52">
        <f t="shared" si="63"/>
        <v>8.3078721279022161E-2</v>
      </c>
      <c r="AH489" s="51"/>
      <c r="AI489" s="52"/>
      <c r="AJ489" s="52"/>
      <c r="AK489" s="2">
        <v>1.75</v>
      </c>
      <c r="AL489" s="2">
        <v>2.5</v>
      </c>
      <c r="AM489" s="2">
        <v>0.75</v>
      </c>
      <c r="AN489" s="2">
        <v>0</v>
      </c>
      <c r="AO489" s="2">
        <v>0.35</v>
      </c>
      <c r="AP489" s="2">
        <v>0.5</v>
      </c>
      <c r="AQ489" s="2">
        <v>0.15</v>
      </c>
      <c r="AR489" s="2">
        <v>0</v>
      </c>
      <c r="AS489" s="29">
        <v>1</v>
      </c>
      <c r="AT489" s="29">
        <v>3.44</v>
      </c>
      <c r="AU489" s="29">
        <v>2.44</v>
      </c>
      <c r="AV489" s="29">
        <v>2.7124999999999999</v>
      </c>
      <c r="AW489" s="2">
        <v>2.7124999999999999</v>
      </c>
      <c r="AX489" s="2">
        <v>6.264025610615688</v>
      </c>
      <c r="AY489" s="75"/>
      <c r="AZ489" s="75"/>
      <c r="BA489" s="75"/>
      <c r="BB489">
        <v>4.153936063951108E-2</v>
      </c>
      <c r="BF489">
        <v>8.3078721279022161E-2</v>
      </c>
      <c r="BG489">
        <v>4.153936063951108E-2</v>
      </c>
      <c r="BH489">
        <v>0</v>
      </c>
      <c r="BN489" s="79" t="s">
        <v>246</v>
      </c>
      <c r="BO489" s="79">
        <v>0.7</v>
      </c>
      <c r="CA489" t="e">
        <f t="shared" si="60"/>
        <v>#NUM!</v>
      </c>
    </row>
    <row r="490" spans="1:79" x14ac:dyDescent="0.3">
      <c r="A490" s="2" t="s">
        <v>311</v>
      </c>
      <c r="B490" s="13" t="s">
        <v>831</v>
      </c>
      <c r="C490" s="13"/>
      <c r="D490" s="2">
        <v>3.54</v>
      </c>
      <c r="E490" s="2" t="s">
        <v>312</v>
      </c>
      <c r="F490" s="9">
        <v>-1</v>
      </c>
      <c r="G490">
        <v>-1</v>
      </c>
      <c r="I490" s="2">
        <v>1</v>
      </c>
      <c r="J490" s="25">
        <v>0</v>
      </c>
      <c r="K490">
        <v>0</v>
      </c>
      <c r="L490">
        <v>0</v>
      </c>
      <c r="M490" s="2">
        <v>3.9647999999999999</v>
      </c>
      <c r="N490" s="2">
        <v>3.9647999999999999</v>
      </c>
      <c r="O490" s="2">
        <v>15.7392</v>
      </c>
      <c r="P490" s="2" t="s">
        <v>439</v>
      </c>
      <c r="Q490" s="2"/>
      <c r="R490" s="25">
        <v>0</v>
      </c>
      <c r="S490" s="25"/>
      <c r="T490" s="25"/>
      <c r="U490">
        <v>0</v>
      </c>
      <c r="X490">
        <v>0</v>
      </c>
      <c r="AA490" s="2"/>
      <c r="AB490">
        <v>20</v>
      </c>
      <c r="AC490" s="55">
        <f t="shared" si="57"/>
        <v>247.41454277836797</v>
      </c>
      <c r="AD490" s="57">
        <v>0</v>
      </c>
      <c r="AE490" s="55">
        <v>0</v>
      </c>
      <c r="AF490" s="55">
        <v>0</v>
      </c>
      <c r="AG490" s="52">
        <f t="shared" si="63"/>
        <v>8.0835991997106837E-2</v>
      </c>
      <c r="AH490" s="51"/>
      <c r="AI490" s="52"/>
      <c r="AJ490" s="52"/>
      <c r="AK490" s="28">
        <v>1.9375</v>
      </c>
      <c r="AL490" s="28">
        <v>2.5</v>
      </c>
      <c r="AM490" s="28">
        <v>0.5625</v>
      </c>
      <c r="AN490" s="28">
        <v>2.625</v>
      </c>
      <c r="AO490" s="28">
        <v>0.25409836065573771</v>
      </c>
      <c r="AP490" s="28">
        <v>0.32786885245901642</v>
      </c>
      <c r="AQ490" s="28">
        <v>7.3770491803278687E-2</v>
      </c>
      <c r="AR490" s="28">
        <v>0.34426229508196721</v>
      </c>
      <c r="AS490" s="25">
        <v>0.79</v>
      </c>
      <c r="AT490" s="25">
        <v>3.44</v>
      </c>
      <c r="AU490" s="25">
        <v>2.65</v>
      </c>
      <c r="AV490" s="25">
        <v>2.5918749999999999</v>
      </c>
      <c r="AW490">
        <v>2.5918749999999999</v>
      </c>
      <c r="AX490">
        <v>5.9214935367946877</v>
      </c>
      <c r="AY490" s="75"/>
      <c r="AZ490" s="75"/>
      <c r="BA490" s="75"/>
      <c r="BB490">
        <v>4.0417995998553419E-2</v>
      </c>
      <c r="BF490">
        <v>8.0835991997106837E-2</v>
      </c>
      <c r="BG490">
        <v>4.0417995998553419E-2</v>
      </c>
      <c r="BH490">
        <v>0</v>
      </c>
      <c r="CA490" t="e">
        <f t="shared" si="60"/>
        <v>#NUM!</v>
      </c>
    </row>
    <row r="491" spans="1:79" x14ac:dyDescent="0.3">
      <c r="A491" s="2" t="s">
        <v>313</v>
      </c>
      <c r="B491" s="13" t="s">
        <v>720</v>
      </c>
      <c r="C491" s="13"/>
      <c r="D491" s="2">
        <v>3.5</v>
      </c>
      <c r="E491" s="2" t="s">
        <v>314</v>
      </c>
      <c r="F491" s="9" t="s">
        <v>549</v>
      </c>
      <c r="G491">
        <v>-1</v>
      </c>
      <c r="I491" s="2"/>
      <c r="J491" s="25">
        <v>1</v>
      </c>
      <c r="K491">
        <v>0</v>
      </c>
      <c r="L491">
        <v>0</v>
      </c>
      <c r="M491" s="2">
        <v>-1</v>
      </c>
      <c r="N491" s="2"/>
      <c r="O491" s="2"/>
      <c r="P491" s="2"/>
      <c r="Q491" s="2"/>
      <c r="R491" s="25">
        <v>15.28115725</v>
      </c>
      <c r="S491" s="25">
        <v>15.28115725</v>
      </c>
      <c r="T491" s="25">
        <v>15.28115725</v>
      </c>
      <c r="U491">
        <v>0</v>
      </c>
      <c r="X491">
        <v>0</v>
      </c>
      <c r="AA491" s="2"/>
      <c r="AB491">
        <v>20</v>
      </c>
      <c r="AC491" s="55">
        <f t="shared" ref="AC491:AC554" si="64">M491*N491*O491</f>
        <v>0</v>
      </c>
      <c r="AD491" s="57">
        <v>229.90248606119221</v>
      </c>
      <c r="AE491" s="55">
        <v>0</v>
      </c>
      <c r="AF491" s="55">
        <v>0</v>
      </c>
      <c r="AG491" s="52"/>
      <c r="AH491" s="51">
        <v>8.6993404650164072E-2</v>
      </c>
      <c r="AI491" s="52"/>
      <c r="AJ491" s="52"/>
      <c r="AK491" s="28">
        <v>1.882352941176471</v>
      </c>
      <c r="AL491" s="28">
        <v>2.3529411764705879</v>
      </c>
      <c r="AM491" s="28">
        <v>0.47058823529411759</v>
      </c>
      <c r="AN491" s="28">
        <v>0</v>
      </c>
      <c r="AO491" s="28">
        <v>0.4</v>
      </c>
      <c r="AP491" s="28">
        <v>0.5</v>
      </c>
      <c r="AQ491" s="28">
        <v>9.9999999999999992E-2</v>
      </c>
      <c r="AR491" s="28">
        <v>0</v>
      </c>
      <c r="AS491" s="25">
        <v>0.82</v>
      </c>
      <c r="AT491" s="25">
        <v>3.44</v>
      </c>
      <c r="AU491" s="25">
        <v>2.62</v>
      </c>
      <c r="AV491" s="25">
        <v>2.5211764705882351</v>
      </c>
      <c r="AW491">
        <v>2.521176470588236</v>
      </c>
      <c r="AX491">
        <v>5.6898745917647062</v>
      </c>
      <c r="AY491" s="75">
        <v>0.57369840599679445</v>
      </c>
      <c r="AZ491" s="75"/>
      <c r="BA491" s="75"/>
      <c r="BC491">
        <v>4.3496702325082043E-2</v>
      </c>
      <c r="BF491">
        <v>8.6993404650164072E-2</v>
      </c>
      <c r="BG491">
        <v>4.3496702325082043E-2</v>
      </c>
      <c r="BH491">
        <v>0.57369840599679445</v>
      </c>
      <c r="CA491" t="e">
        <f t="shared" si="60"/>
        <v>#NUM!</v>
      </c>
    </row>
    <row r="492" spans="1:79" x14ac:dyDescent="0.3">
      <c r="A492" s="2" t="s">
        <v>44</v>
      </c>
      <c r="B492" s="13" t="s">
        <v>720</v>
      </c>
      <c r="C492" s="13"/>
      <c r="D492" s="2">
        <v>2.2599999999999998</v>
      </c>
      <c r="E492" s="2" t="s">
        <v>314</v>
      </c>
      <c r="F492" s="9" t="s">
        <v>549</v>
      </c>
      <c r="G492">
        <v>-1</v>
      </c>
      <c r="I492" s="2"/>
      <c r="J492" s="25">
        <v>1</v>
      </c>
      <c r="K492">
        <v>0</v>
      </c>
      <c r="L492">
        <v>0</v>
      </c>
      <c r="M492" s="2">
        <v>-1</v>
      </c>
      <c r="N492" s="2"/>
      <c r="O492" s="2"/>
      <c r="P492" s="2"/>
      <c r="Q492" s="2"/>
      <c r="R492" s="25">
        <v>15.28115725</v>
      </c>
      <c r="S492" s="25">
        <v>15.28115725</v>
      </c>
      <c r="T492" s="25">
        <v>15.28115725</v>
      </c>
      <c r="U492">
        <v>0</v>
      </c>
      <c r="X492">
        <v>0</v>
      </c>
      <c r="AA492" s="2"/>
      <c r="AB492">
        <v>20</v>
      </c>
      <c r="AC492" s="55">
        <f t="shared" si="64"/>
        <v>0</v>
      </c>
      <c r="AD492" s="57">
        <v>229.90248606119221</v>
      </c>
      <c r="AE492" s="55">
        <v>0</v>
      </c>
      <c r="AF492" s="55">
        <v>0</v>
      </c>
      <c r="AG492" s="52"/>
      <c r="AH492" s="51">
        <v>8.6993404650164072E-2</v>
      </c>
      <c r="AI492" s="52"/>
      <c r="AJ492" s="52"/>
      <c r="AK492" s="28">
        <v>1.882352941176471</v>
      </c>
      <c r="AL492" s="28">
        <v>2.3529411764705879</v>
      </c>
      <c r="AM492" s="28">
        <v>0.47058823529411759</v>
      </c>
      <c r="AN492" s="28">
        <v>0</v>
      </c>
      <c r="AO492" s="28">
        <v>0.4</v>
      </c>
      <c r="AP492" s="28">
        <v>0.5</v>
      </c>
      <c r="AQ492" s="28">
        <v>9.9999999999999992E-2</v>
      </c>
      <c r="AR492" s="28">
        <v>0</v>
      </c>
      <c r="AS492" s="25">
        <v>0.82</v>
      </c>
      <c r="AT492" s="25">
        <v>3.44</v>
      </c>
      <c r="AU492" s="25">
        <v>2.62</v>
      </c>
      <c r="AV492" s="25">
        <v>2.5211764705882351</v>
      </c>
      <c r="AW492">
        <v>2.521176470588236</v>
      </c>
      <c r="AX492">
        <v>5.6898745917647062</v>
      </c>
      <c r="AY492" s="75">
        <v>0.57369840599679445</v>
      </c>
      <c r="AZ492" s="75"/>
      <c r="BA492" s="75"/>
      <c r="BC492">
        <v>4.3496702325082043E-2</v>
      </c>
      <c r="BF492">
        <v>8.6993404650164072E-2</v>
      </c>
      <c r="BG492">
        <v>4.3496702325082043E-2</v>
      </c>
      <c r="BH492">
        <v>0.57369840599679445</v>
      </c>
      <c r="BN492" s="79" t="s">
        <v>246</v>
      </c>
      <c r="BO492" s="79" t="s">
        <v>1067</v>
      </c>
      <c r="CA492" t="e">
        <f t="shared" si="60"/>
        <v>#NUM!</v>
      </c>
    </row>
    <row r="493" spans="1:79" ht="15" x14ac:dyDescent="0.35">
      <c r="A493" s="2" t="s">
        <v>69</v>
      </c>
      <c r="B493" s="13" t="s">
        <v>738</v>
      </c>
      <c r="C493" s="13"/>
      <c r="D493" s="2">
        <v>2.82</v>
      </c>
      <c r="E493" s="8" t="s">
        <v>315</v>
      </c>
      <c r="F493" s="9" t="s">
        <v>560</v>
      </c>
      <c r="G493" t="s">
        <v>638</v>
      </c>
      <c r="I493" s="8"/>
      <c r="J493" s="25">
        <v>2</v>
      </c>
      <c r="K493">
        <v>4</v>
      </c>
      <c r="L493">
        <v>0</v>
      </c>
      <c r="M493" s="2">
        <v>-1</v>
      </c>
      <c r="N493" s="2"/>
      <c r="O493" s="2"/>
      <c r="P493" s="2"/>
      <c r="Q493" s="2"/>
      <c r="R493" s="25">
        <v>8.3195821399999996</v>
      </c>
      <c r="S493" s="25">
        <v>8.3195821399999996</v>
      </c>
      <c r="T493" s="25">
        <v>8.2425581700000006</v>
      </c>
      <c r="U493">
        <v>5.5339970000000003</v>
      </c>
      <c r="V493">
        <v>5.4998300000000002</v>
      </c>
      <c r="W493">
        <v>16.550709999999999</v>
      </c>
      <c r="X493">
        <v>0</v>
      </c>
      <c r="AA493" s="2"/>
      <c r="AB493">
        <v>12</v>
      </c>
      <c r="AC493" s="55">
        <f t="shared" si="64"/>
        <v>0</v>
      </c>
      <c r="AD493" s="57">
        <v>248.80917443900231</v>
      </c>
      <c r="AE493" s="55">
        <v>503.73811661477208</v>
      </c>
      <c r="AF493" s="55">
        <v>0</v>
      </c>
      <c r="AG493" s="52"/>
      <c r="AH493" s="51">
        <v>9.6459465588893734E-2</v>
      </c>
      <c r="AI493" s="52">
        <v>9.5287607621536111E-2</v>
      </c>
      <c r="AJ493" s="52"/>
      <c r="AK493" s="28">
        <v>2</v>
      </c>
      <c r="AL493" s="28">
        <v>3.333333333333333</v>
      </c>
      <c r="AM493" s="28">
        <v>2.666666666666667</v>
      </c>
      <c r="AN493" s="28">
        <v>4.666666666666667</v>
      </c>
      <c r="AO493" s="28">
        <v>0.15789473684210531</v>
      </c>
      <c r="AP493" s="28">
        <v>0.26315789473684209</v>
      </c>
      <c r="AQ493" s="28">
        <v>0.2105263157894737</v>
      </c>
      <c r="AR493" s="28">
        <v>0.36842105263157898</v>
      </c>
      <c r="AS493" s="25">
        <v>2.02</v>
      </c>
      <c r="AT493" s="25">
        <v>3.44</v>
      </c>
      <c r="AU493" s="25">
        <v>1.42</v>
      </c>
      <c r="AV493" s="25">
        <v>3.0044444444444438</v>
      </c>
      <c r="AW493">
        <v>3.0044444444444438</v>
      </c>
      <c r="AX493">
        <v>6.4228342255555546</v>
      </c>
      <c r="AY493" s="75">
        <v>0.52562348257484404</v>
      </c>
      <c r="AZ493" s="75">
        <v>0.51923783589802341</v>
      </c>
      <c r="BA493" s="75"/>
      <c r="BC493">
        <v>4.8229732794446867E-2</v>
      </c>
      <c r="BD493">
        <v>4.7643803810768062E-2</v>
      </c>
      <c r="BF493">
        <v>9.5873536605214915E-2</v>
      </c>
      <c r="BG493">
        <v>4.7936768302607458E-2</v>
      </c>
      <c r="BH493">
        <v>0.52243065923643373</v>
      </c>
      <c r="CA493" t="e">
        <f t="shared" si="60"/>
        <v>#NUM!</v>
      </c>
    </row>
    <row r="494" spans="1:79" x14ac:dyDescent="0.3">
      <c r="A494" s="2" t="s">
        <v>316</v>
      </c>
      <c r="B494" s="17" t="s">
        <v>951</v>
      </c>
      <c r="C494" s="13"/>
      <c r="D494" s="2">
        <v>3.6</v>
      </c>
      <c r="E494" s="2" t="s">
        <v>317</v>
      </c>
      <c r="F494" s="9">
        <v>-1</v>
      </c>
      <c r="G494">
        <v>-1</v>
      </c>
      <c r="I494" s="2">
        <v>2</v>
      </c>
      <c r="J494" s="25">
        <v>0</v>
      </c>
      <c r="K494">
        <v>0</v>
      </c>
      <c r="L494">
        <v>0</v>
      </c>
      <c r="M494" s="2">
        <v>3.823</v>
      </c>
      <c r="N494" s="2">
        <v>17.215</v>
      </c>
      <c r="O494" s="2">
        <v>2.9550000000000001</v>
      </c>
      <c r="P494" s="2" t="s">
        <v>519</v>
      </c>
      <c r="Q494" s="2"/>
      <c r="R494" s="25">
        <v>0</v>
      </c>
      <c r="S494" s="25"/>
      <c r="T494" s="25"/>
      <c r="U494">
        <v>0</v>
      </c>
      <c r="X494">
        <v>0</v>
      </c>
      <c r="AA494" s="2"/>
      <c r="AB494">
        <v>8</v>
      </c>
      <c r="AC494" s="55">
        <f t="shared" si="64"/>
        <v>194.477252475</v>
      </c>
      <c r="AD494" s="57">
        <v>0</v>
      </c>
      <c r="AE494" s="55">
        <v>0</v>
      </c>
      <c r="AF494" s="55">
        <v>0</v>
      </c>
      <c r="AG494" s="52">
        <f t="shared" ref="AG494:AG535" si="65">I494*AB494/AC494</f>
        <v>8.2271832805005288E-2</v>
      </c>
      <c r="AH494" s="51"/>
      <c r="AI494" s="52"/>
      <c r="AJ494" s="52"/>
      <c r="AK494" s="28">
        <v>1.8969230769230769</v>
      </c>
      <c r="AL494" s="28">
        <v>2.4615384615384621</v>
      </c>
      <c r="AM494" s="28">
        <v>0.56307692307692314</v>
      </c>
      <c r="AN494" s="28">
        <v>0</v>
      </c>
      <c r="AO494" s="28">
        <v>0.38543294779618631</v>
      </c>
      <c r="AP494" s="28">
        <v>0.50015629884338852</v>
      </c>
      <c r="AQ494" s="28">
        <v>0.1144107533604251</v>
      </c>
      <c r="AR494" s="28">
        <v>0</v>
      </c>
      <c r="AS494" s="25">
        <v>0.79</v>
      </c>
      <c r="AT494" s="25">
        <v>3.44</v>
      </c>
      <c r="AU494" s="25">
        <v>2.65</v>
      </c>
      <c r="AV494" s="25">
        <v>2.6319230769230768</v>
      </c>
      <c r="AW494">
        <v>2.6319230769230768</v>
      </c>
      <c r="AX494">
        <v>5.8365582503752389</v>
      </c>
      <c r="AY494" s="75"/>
      <c r="AZ494" s="75"/>
      <c r="BA494" s="75"/>
      <c r="BB494">
        <v>4.1135916402502637E-2</v>
      </c>
      <c r="BF494">
        <v>8.2271832805005288E-2</v>
      </c>
      <c r="BG494">
        <v>4.1135916402502637E-2</v>
      </c>
      <c r="BH494">
        <v>0</v>
      </c>
      <c r="CA494" t="e">
        <f t="shared" si="60"/>
        <v>#NUM!</v>
      </c>
    </row>
    <row r="495" spans="1:79" x14ac:dyDescent="0.3">
      <c r="A495" s="2" t="s">
        <v>318</v>
      </c>
      <c r="B495" s="13" t="s">
        <v>832</v>
      </c>
      <c r="C495" s="13"/>
      <c r="D495" s="2">
        <v>3.45</v>
      </c>
      <c r="E495" s="2" t="s">
        <v>319</v>
      </c>
      <c r="F495" s="9">
        <v>-1</v>
      </c>
      <c r="G495">
        <v>-1</v>
      </c>
      <c r="H495" t="s">
        <v>1173</v>
      </c>
      <c r="I495" s="2">
        <v>2</v>
      </c>
      <c r="J495" s="25">
        <v>0</v>
      </c>
      <c r="K495">
        <v>0</v>
      </c>
      <c r="L495">
        <v>2</v>
      </c>
      <c r="M495" s="71">
        <v>3.71</v>
      </c>
      <c r="N495" s="71">
        <v>3.71</v>
      </c>
      <c r="O495" s="71">
        <v>12.2</v>
      </c>
      <c r="P495" s="2" t="s">
        <v>519</v>
      </c>
      <c r="Q495" s="2"/>
      <c r="R495" s="25">
        <v>0</v>
      </c>
      <c r="S495" s="25"/>
      <c r="T495" s="25"/>
      <c r="U495">
        <v>0</v>
      </c>
      <c r="X495">
        <v>3.72</v>
      </c>
      <c r="Y495">
        <v>3.72</v>
      </c>
      <c r="Z495">
        <v>12.3012</v>
      </c>
      <c r="AA495" s="2"/>
      <c r="AB495">
        <v>8</v>
      </c>
      <c r="AC495" s="55">
        <f t="shared" si="64"/>
        <v>167.92201999999997</v>
      </c>
      <c r="AD495" s="57">
        <v>0</v>
      </c>
      <c r="AE495" s="55">
        <v>0</v>
      </c>
      <c r="AF495" s="55">
        <v>170.2</v>
      </c>
      <c r="AG495" s="52">
        <f t="shared" si="65"/>
        <v>9.5282322115944076E-2</v>
      </c>
      <c r="AH495" s="51"/>
      <c r="AI495" s="52"/>
      <c r="AJ495" s="67">
        <f>L495*AB495/AF495</f>
        <v>9.400705052878966E-2</v>
      </c>
      <c r="AK495" s="28">
        <v>1.857142857142857</v>
      </c>
      <c r="AL495" s="28">
        <v>2.285714285714286</v>
      </c>
      <c r="AM495" s="28">
        <v>0.42857142857142849</v>
      </c>
      <c r="AN495" s="28">
        <v>0</v>
      </c>
      <c r="AO495" s="28">
        <v>0.40625000000000011</v>
      </c>
      <c r="AP495" s="28">
        <v>0.5</v>
      </c>
      <c r="AQ495" s="28">
        <v>9.375E-2</v>
      </c>
      <c r="AR495" s="28">
        <v>0</v>
      </c>
      <c r="AS495" s="25">
        <v>1.1000000000000001</v>
      </c>
      <c r="AT495" s="25">
        <v>3.44</v>
      </c>
      <c r="AU495" s="25">
        <v>2.34</v>
      </c>
      <c r="AV495" s="25">
        <v>2.657142857142857</v>
      </c>
      <c r="AW495">
        <v>2.657142857142857</v>
      </c>
      <c r="AX495">
        <v>6.2648417856930001</v>
      </c>
      <c r="AY495" s="75"/>
      <c r="AZ495" s="75"/>
      <c r="BA495" s="75">
        <v>0.51949166816826697</v>
      </c>
      <c r="BB495">
        <v>4.7641161057972038E-2</v>
      </c>
      <c r="BE495">
        <v>4.700352526439483E-2</v>
      </c>
      <c r="BF495">
        <v>9.4644686322366861E-2</v>
      </c>
      <c r="BG495">
        <v>4.7322343161183431E-2</v>
      </c>
      <c r="BH495">
        <v>0.51949166816826697</v>
      </c>
      <c r="CA495" t="e">
        <f t="shared" si="60"/>
        <v>#NUM!</v>
      </c>
    </row>
    <row r="496" spans="1:79" x14ac:dyDescent="0.3">
      <c r="A496" s="2" t="s">
        <v>320</v>
      </c>
      <c r="B496" s="18" t="s">
        <v>994</v>
      </c>
      <c r="C496" s="13"/>
      <c r="D496" s="2">
        <v>3.58</v>
      </c>
      <c r="E496" s="2" t="s">
        <v>319</v>
      </c>
      <c r="F496" s="9">
        <v>-1</v>
      </c>
      <c r="G496">
        <v>-1</v>
      </c>
      <c r="I496" s="2">
        <v>4</v>
      </c>
      <c r="J496" s="25">
        <v>0</v>
      </c>
      <c r="K496">
        <v>0</v>
      </c>
      <c r="L496">
        <v>0</v>
      </c>
      <c r="M496" s="2">
        <v>3.77</v>
      </c>
      <c r="N496" s="2">
        <v>3.77</v>
      </c>
      <c r="O496" s="2">
        <v>33.299999999999997</v>
      </c>
      <c r="P496" s="2" t="s">
        <v>519</v>
      </c>
      <c r="Q496" s="2"/>
      <c r="R496" s="25">
        <v>0</v>
      </c>
      <c r="S496" s="25"/>
      <c r="T496" s="25"/>
      <c r="U496">
        <v>0</v>
      </c>
      <c r="X496">
        <v>0</v>
      </c>
      <c r="AA496" s="2"/>
      <c r="AB496">
        <v>8</v>
      </c>
      <c r="AC496" s="55">
        <f t="shared" si="64"/>
        <v>473.28956999999991</v>
      </c>
      <c r="AD496" s="57">
        <v>0</v>
      </c>
      <c r="AE496" s="55">
        <v>0</v>
      </c>
      <c r="AF496" s="55">
        <v>0</v>
      </c>
      <c r="AG496" s="52">
        <f t="shared" si="65"/>
        <v>6.7611885045343392E-2</v>
      </c>
      <c r="AH496" s="51"/>
      <c r="AI496" s="52"/>
      <c r="AJ496" s="52"/>
      <c r="AK496" s="28">
        <v>1.571428571428571</v>
      </c>
      <c r="AL496" s="28">
        <v>1.5</v>
      </c>
      <c r="AM496" s="28">
        <v>0.2142857142857143</v>
      </c>
      <c r="AN496" s="28">
        <v>0</v>
      </c>
      <c r="AO496" s="28">
        <v>0.47826086956521741</v>
      </c>
      <c r="AP496" s="28">
        <v>0.45652173913043481</v>
      </c>
      <c r="AQ496" s="28">
        <v>6.5217391304347824E-2</v>
      </c>
      <c r="AR496" s="28">
        <v>0</v>
      </c>
      <c r="AS496" s="25">
        <v>1.1000000000000001</v>
      </c>
      <c r="AT496" s="25">
        <v>3.44</v>
      </c>
      <c r="AU496" s="25">
        <v>2.34</v>
      </c>
      <c r="AV496" s="25">
        <v>2.5135714285714279</v>
      </c>
      <c r="AW496">
        <v>2.5135714285714279</v>
      </c>
      <c r="AX496">
        <v>6.6592671289361416</v>
      </c>
      <c r="AY496" s="75"/>
      <c r="AZ496" s="75"/>
      <c r="BA496" s="75"/>
      <c r="BB496">
        <v>3.3805942522671703E-2</v>
      </c>
      <c r="BF496">
        <v>6.7611885045343392E-2</v>
      </c>
      <c r="BG496">
        <v>3.3805942522671703E-2</v>
      </c>
      <c r="BH496">
        <v>0</v>
      </c>
      <c r="CA496" t="e">
        <f t="shared" si="60"/>
        <v>#NUM!</v>
      </c>
    </row>
    <row r="497" spans="1:79" x14ac:dyDescent="0.3">
      <c r="A497" s="2" t="s">
        <v>321</v>
      </c>
      <c r="B497" s="18" t="s">
        <v>995</v>
      </c>
      <c r="C497" s="13"/>
      <c r="D497" s="2">
        <v>3.48</v>
      </c>
      <c r="E497" s="2" t="s">
        <v>319</v>
      </c>
      <c r="F497" s="9">
        <v>-1</v>
      </c>
      <c r="G497">
        <v>-1</v>
      </c>
      <c r="I497" s="2">
        <v>4</v>
      </c>
      <c r="J497" s="25">
        <v>0</v>
      </c>
      <c r="K497">
        <v>0</v>
      </c>
      <c r="L497">
        <v>0</v>
      </c>
      <c r="M497" s="2">
        <v>3.75</v>
      </c>
      <c r="N497" s="2">
        <v>3.75</v>
      </c>
      <c r="O497" s="2">
        <v>37.299999999999997</v>
      </c>
      <c r="P497" s="2" t="s">
        <v>519</v>
      </c>
      <c r="Q497" s="2"/>
      <c r="R497" s="25">
        <v>0</v>
      </c>
      <c r="S497" s="25"/>
      <c r="T497" s="25"/>
      <c r="U497">
        <v>0</v>
      </c>
      <c r="X497">
        <v>0</v>
      </c>
      <c r="AA497" s="2"/>
      <c r="AB497">
        <v>8</v>
      </c>
      <c r="AC497" s="55">
        <f t="shared" si="64"/>
        <v>524.53125</v>
      </c>
      <c r="AD497" s="57">
        <v>0</v>
      </c>
      <c r="AE497" s="55">
        <v>0</v>
      </c>
      <c r="AF497" s="55">
        <v>0</v>
      </c>
      <c r="AG497" s="52">
        <f t="shared" si="65"/>
        <v>6.1006851355376826E-2</v>
      </c>
      <c r="AH497" s="51"/>
      <c r="AI497" s="52"/>
      <c r="AJ497" s="52"/>
      <c r="AK497" s="28">
        <v>1.529411764705882</v>
      </c>
      <c r="AL497" s="28">
        <v>1.3529411764705881</v>
      </c>
      <c r="AM497" s="28">
        <v>0.1764705882352941</v>
      </c>
      <c r="AN497" s="28">
        <v>0</v>
      </c>
      <c r="AO497" s="28">
        <v>0.5</v>
      </c>
      <c r="AP497" s="28">
        <v>0.44230769230769229</v>
      </c>
      <c r="AQ497" s="28">
        <v>5.7692307692307702E-2</v>
      </c>
      <c r="AR497" s="28">
        <v>0</v>
      </c>
      <c r="AS497" s="25">
        <v>1.1000000000000001</v>
      </c>
      <c r="AT497" s="25">
        <v>3.44</v>
      </c>
      <c r="AU497" s="25">
        <v>2.34</v>
      </c>
      <c r="AV497" s="25">
        <v>2.4788235294117649</v>
      </c>
      <c r="AW497">
        <v>2.4788235294117649</v>
      </c>
      <c r="AX497">
        <v>6.6967043065181171</v>
      </c>
      <c r="AY497" s="75"/>
      <c r="AZ497" s="75"/>
      <c r="BA497" s="75"/>
      <c r="BB497">
        <v>3.050342567768841E-2</v>
      </c>
      <c r="BF497">
        <v>6.1006851355376833E-2</v>
      </c>
      <c r="BG497">
        <v>3.050342567768841E-2</v>
      </c>
      <c r="BH497">
        <v>0</v>
      </c>
      <c r="CA497" t="e">
        <f t="shared" si="60"/>
        <v>#NUM!</v>
      </c>
    </row>
    <row r="498" spans="1:79" x14ac:dyDescent="0.3">
      <c r="A498" s="2" t="s">
        <v>322</v>
      </c>
      <c r="B498" s="18" t="s">
        <v>996</v>
      </c>
      <c r="C498" s="13"/>
      <c r="D498" s="2">
        <v>3.5</v>
      </c>
      <c r="E498" s="2" t="s">
        <v>319</v>
      </c>
      <c r="F498" s="9">
        <v>-1</v>
      </c>
      <c r="G498">
        <v>-1</v>
      </c>
      <c r="I498" s="2">
        <v>4</v>
      </c>
      <c r="J498" s="25">
        <v>0</v>
      </c>
      <c r="K498">
        <v>0</v>
      </c>
      <c r="L498">
        <v>0</v>
      </c>
      <c r="M498" s="2">
        <v>3.76</v>
      </c>
      <c r="N498" s="2">
        <v>3.76</v>
      </c>
      <c r="O498" s="2">
        <v>41.2</v>
      </c>
      <c r="P498" s="2" t="s">
        <v>519</v>
      </c>
      <c r="Q498" s="2"/>
      <c r="R498" s="25">
        <v>0</v>
      </c>
      <c r="S498" s="25"/>
      <c r="T498" s="25"/>
      <c r="U498">
        <v>0</v>
      </c>
      <c r="X498">
        <v>0</v>
      </c>
      <c r="AA498" s="2"/>
      <c r="AB498">
        <v>8</v>
      </c>
      <c r="AC498" s="55">
        <f t="shared" si="64"/>
        <v>582.46911999999998</v>
      </c>
      <c r="AD498" s="57">
        <v>0</v>
      </c>
      <c r="AE498" s="55">
        <v>0</v>
      </c>
      <c r="AF498" s="55">
        <v>0</v>
      </c>
      <c r="AG498" s="52">
        <f t="shared" si="65"/>
        <v>5.4938534767302344E-2</v>
      </c>
      <c r="AH498" s="51"/>
      <c r="AI498" s="52"/>
      <c r="AJ498" s="52"/>
      <c r="AK498" s="28">
        <v>1.5</v>
      </c>
      <c r="AL498" s="28">
        <v>1.25</v>
      </c>
      <c r="AM498" s="28">
        <v>0.15</v>
      </c>
      <c r="AN498" s="28">
        <v>0</v>
      </c>
      <c r="AO498" s="28">
        <v>0.51724137931034486</v>
      </c>
      <c r="AP498" s="28">
        <v>0.43103448275862072</v>
      </c>
      <c r="AQ498" s="28">
        <v>5.1724137931034482E-2</v>
      </c>
      <c r="AR498" s="28">
        <v>0</v>
      </c>
      <c r="AS498" s="25">
        <v>1.1000000000000001</v>
      </c>
      <c r="AT498" s="25">
        <v>3.44</v>
      </c>
      <c r="AU498" s="25">
        <v>2.34</v>
      </c>
      <c r="AV498" s="25">
        <v>2.4544999999999999</v>
      </c>
      <c r="AW498">
        <v>2.4544999999999999</v>
      </c>
      <c r="AX498">
        <v>6.7229103308255</v>
      </c>
      <c r="AY498" s="75"/>
      <c r="AZ498" s="75"/>
      <c r="BA498" s="75"/>
      <c r="BB498">
        <v>2.7469267383651168E-2</v>
      </c>
      <c r="BF498">
        <v>5.4938534767302337E-2</v>
      </c>
      <c r="BG498">
        <v>2.7469267383651168E-2</v>
      </c>
      <c r="BH498">
        <v>0</v>
      </c>
      <c r="CA498" t="e">
        <f t="shared" si="60"/>
        <v>#NUM!</v>
      </c>
    </row>
    <row r="499" spans="1:79" x14ac:dyDescent="0.3">
      <c r="A499" s="2" t="s">
        <v>323</v>
      </c>
      <c r="B499" s="18" t="s">
        <v>997</v>
      </c>
      <c r="C499" s="13"/>
      <c r="D499" s="2">
        <v>3.61</v>
      </c>
      <c r="E499" s="2" t="s">
        <v>319</v>
      </c>
      <c r="F499" s="9">
        <v>-1</v>
      </c>
      <c r="G499">
        <v>-1</v>
      </c>
      <c r="I499" s="2">
        <v>4</v>
      </c>
      <c r="J499" s="25">
        <v>0</v>
      </c>
      <c r="K499">
        <v>0</v>
      </c>
      <c r="L499">
        <v>0</v>
      </c>
      <c r="M499" s="2">
        <v>3.76</v>
      </c>
      <c r="N499" s="2">
        <v>3.76</v>
      </c>
      <c r="O499" s="2">
        <v>47.8</v>
      </c>
      <c r="P499" s="2" t="s">
        <v>519</v>
      </c>
      <c r="Q499" s="2"/>
      <c r="R499" s="25">
        <v>0</v>
      </c>
      <c r="S499" s="25"/>
      <c r="T499" s="25"/>
      <c r="U499">
        <v>0</v>
      </c>
      <c r="X499">
        <v>0</v>
      </c>
      <c r="AA499" s="2"/>
      <c r="AB499">
        <v>8</v>
      </c>
      <c r="AC499" s="55">
        <f t="shared" si="64"/>
        <v>675.77727999999991</v>
      </c>
      <c r="AD499" s="57">
        <v>0</v>
      </c>
      <c r="AE499" s="55">
        <v>0</v>
      </c>
      <c r="AF499" s="55">
        <v>0</v>
      </c>
      <c r="AG499" s="52">
        <f t="shared" si="65"/>
        <v>4.7352879339181107E-2</v>
      </c>
      <c r="AH499" s="51"/>
      <c r="AI499" s="52"/>
      <c r="AJ499" s="52"/>
      <c r="AK499" s="28">
        <v>1.4782608695652171</v>
      </c>
      <c r="AL499" s="28">
        <v>1.173913043478261</v>
      </c>
      <c r="AM499" s="28">
        <v>0.13043478260869559</v>
      </c>
      <c r="AN499" s="28">
        <v>0</v>
      </c>
      <c r="AO499" s="28">
        <v>0.53125</v>
      </c>
      <c r="AP499" s="28">
        <v>0.42187500000000011</v>
      </c>
      <c r="AQ499" s="28">
        <v>4.6875E-2</v>
      </c>
      <c r="AR499" s="28">
        <v>0</v>
      </c>
      <c r="AS499" s="25">
        <v>1.1000000000000001</v>
      </c>
      <c r="AT499" s="25">
        <v>3.44</v>
      </c>
      <c r="AU499" s="25">
        <v>2.34</v>
      </c>
      <c r="AV499" s="25">
        <v>2.436521739130435</v>
      </c>
      <c r="AW499">
        <v>2.436521739130435</v>
      </c>
      <c r="AX499">
        <v>6.7422800009657378</v>
      </c>
      <c r="AY499" s="75"/>
      <c r="AZ499" s="75"/>
      <c r="BA499" s="75"/>
      <c r="BB499">
        <v>2.367643966959055E-2</v>
      </c>
      <c r="BF499">
        <v>4.7352879339181107E-2</v>
      </c>
      <c r="BG499">
        <v>2.367643966959055E-2</v>
      </c>
      <c r="BH499">
        <v>0</v>
      </c>
      <c r="CA499" t="e">
        <f t="shared" si="60"/>
        <v>#NUM!</v>
      </c>
    </row>
    <row r="500" spans="1:79" x14ac:dyDescent="0.3">
      <c r="A500" s="2" t="s">
        <v>324</v>
      </c>
      <c r="B500" s="18" t="s">
        <v>999</v>
      </c>
      <c r="C500" s="13"/>
      <c r="D500" s="2">
        <v>3.47</v>
      </c>
      <c r="E500" s="2" t="s">
        <v>319</v>
      </c>
      <c r="F500" s="9">
        <v>-1</v>
      </c>
      <c r="G500">
        <v>-1</v>
      </c>
      <c r="I500" s="2">
        <v>4</v>
      </c>
      <c r="J500" s="25">
        <v>0</v>
      </c>
      <c r="K500">
        <v>0</v>
      </c>
      <c r="L500">
        <v>0</v>
      </c>
      <c r="M500" s="2">
        <v>3.76</v>
      </c>
      <c r="N500" s="2">
        <v>3.76</v>
      </c>
      <c r="O500" s="2">
        <v>54.9</v>
      </c>
      <c r="P500" s="2" t="s">
        <v>519</v>
      </c>
      <c r="Q500" s="2"/>
      <c r="R500" s="25">
        <v>0</v>
      </c>
      <c r="S500" s="25"/>
      <c r="T500" s="25"/>
      <c r="U500">
        <v>0</v>
      </c>
      <c r="X500">
        <v>0</v>
      </c>
      <c r="AA500" s="2"/>
      <c r="AB500">
        <v>8</v>
      </c>
      <c r="AC500" s="55">
        <f t="shared" si="64"/>
        <v>776.15423999999996</v>
      </c>
      <c r="AD500" s="57">
        <v>0</v>
      </c>
      <c r="AE500" s="55">
        <v>0</v>
      </c>
      <c r="AF500" s="55">
        <v>0</v>
      </c>
      <c r="AG500" s="52">
        <f t="shared" si="65"/>
        <v>4.1228918623185E-2</v>
      </c>
      <c r="AH500" s="51"/>
      <c r="AI500" s="52"/>
      <c r="AJ500" s="52"/>
      <c r="AK500" s="28">
        <v>1.448275862068966</v>
      </c>
      <c r="AL500" s="28">
        <v>1.068965517241379</v>
      </c>
      <c r="AM500" s="28">
        <v>0.10344827586206901</v>
      </c>
      <c r="AN500" s="28">
        <v>0</v>
      </c>
      <c r="AO500" s="28">
        <v>0.55263157894736847</v>
      </c>
      <c r="AP500" s="28">
        <v>0.40789473684210531</v>
      </c>
      <c r="AQ500" s="28">
        <v>3.9473684210526307E-2</v>
      </c>
      <c r="AR500" s="28">
        <v>0</v>
      </c>
      <c r="AS500" s="25">
        <v>1.1000000000000001</v>
      </c>
      <c r="AT500" s="25">
        <v>3.44</v>
      </c>
      <c r="AU500" s="25">
        <v>2.34</v>
      </c>
      <c r="AV500" s="25">
        <v>2.411724137931035</v>
      </c>
      <c r="AW500">
        <v>2.4117241379310341</v>
      </c>
      <c r="AX500">
        <v>6.7689967873660688</v>
      </c>
      <c r="AY500" s="75"/>
      <c r="AZ500" s="75"/>
      <c r="BA500" s="75"/>
      <c r="BB500">
        <v>2.06144593115925E-2</v>
      </c>
      <c r="BF500">
        <v>4.1228918623185E-2</v>
      </c>
      <c r="BG500">
        <v>2.06144593115925E-2</v>
      </c>
      <c r="BH500">
        <v>0</v>
      </c>
      <c r="CA500" t="e">
        <f t="shared" si="60"/>
        <v>#NUM!</v>
      </c>
    </row>
    <row r="501" spans="1:79" x14ac:dyDescent="0.3">
      <c r="A501" s="2" t="s">
        <v>325</v>
      </c>
      <c r="B501" s="18" t="s">
        <v>998</v>
      </c>
      <c r="C501" s="13"/>
      <c r="D501" s="2">
        <v>3.49</v>
      </c>
      <c r="E501" s="2" t="s">
        <v>319</v>
      </c>
      <c r="F501" s="9">
        <v>-1</v>
      </c>
      <c r="G501">
        <v>-1</v>
      </c>
      <c r="I501" s="2">
        <v>4</v>
      </c>
      <c r="J501" s="25">
        <v>0</v>
      </c>
      <c r="K501">
        <v>0</v>
      </c>
      <c r="L501">
        <v>0</v>
      </c>
      <c r="M501" s="2">
        <v>3.78</v>
      </c>
      <c r="N501" s="2">
        <v>3.78</v>
      </c>
      <c r="O501" s="2">
        <v>66.3</v>
      </c>
      <c r="P501" s="2" t="s">
        <v>519</v>
      </c>
      <c r="Q501" s="2"/>
      <c r="R501" s="25">
        <v>0</v>
      </c>
      <c r="S501" s="25"/>
      <c r="T501" s="25"/>
      <c r="U501">
        <v>0</v>
      </c>
      <c r="X501">
        <v>0</v>
      </c>
      <c r="AA501" s="2"/>
      <c r="AB501">
        <v>8</v>
      </c>
      <c r="AC501" s="55">
        <f t="shared" si="64"/>
        <v>947.32091999999989</v>
      </c>
      <c r="AD501" s="57">
        <v>0</v>
      </c>
      <c r="AE501" s="55">
        <v>0</v>
      </c>
      <c r="AF501" s="55">
        <v>0</v>
      </c>
      <c r="AG501" s="52">
        <f t="shared" si="65"/>
        <v>3.3779471480477816E-2</v>
      </c>
      <c r="AH501" s="51"/>
      <c r="AI501" s="52"/>
      <c r="AJ501" s="52"/>
      <c r="AK501" s="28">
        <v>1.428571428571429</v>
      </c>
      <c r="AL501" s="28">
        <v>1</v>
      </c>
      <c r="AM501" s="28">
        <v>8.5714285714285715E-2</v>
      </c>
      <c r="AN501" s="28">
        <v>0</v>
      </c>
      <c r="AO501" s="28">
        <v>0.56818181818181823</v>
      </c>
      <c r="AP501" s="28">
        <v>0.39772727272727282</v>
      </c>
      <c r="AQ501" s="28">
        <v>3.4090909090909102E-2</v>
      </c>
      <c r="AR501" s="28">
        <v>0</v>
      </c>
      <c r="AS501" s="25">
        <v>1.1000000000000001</v>
      </c>
      <c r="AT501" s="25">
        <v>3.44</v>
      </c>
      <c r="AU501" s="25">
        <v>2.34</v>
      </c>
      <c r="AV501" s="25">
        <v>2.3954285714285719</v>
      </c>
      <c r="AW501">
        <v>2.395428571428571</v>
      </c>
      <c r="AX501">
        <v>6.7865535327148558</v>
      </c>
      <c r="AY501" s="75"/>
      <c r="AZ501" s="75"/>
      <c r="BA501" s="75"/>
      <c r="BB501">
        <v>1.6889735740238911E-2</v>
      </c>
      <c r="BF501">
        <v>3.3779471480477823E-2</v>
      </c>
      <c r="BG501">
        <v>1.6889735740238911E-2</v>
      </c>
      <c r="BH501">
        <v>0</v>
      </c>
      <c r="CA501" t="e">
        <f t="shared" si="60"/>
        <v>#NUM!</v>
      </c>
    </row>
    <row r="502" spans="1:79" x14ac:dyDescent="0.3">
      <c r="A502" s="2" t="s">
        <v>326</v>
      </c>
      <c r="B502" s="18" t="s">
        <v>1005</v>
      </c>
      <c r="C502" s="13"/>
      <c r="D502" s="2">
        <v>3.47</v>
      </c>
      <c r="E502" s="2" t="s">
        <v>319</v>
      </c>
      <c r="F502" s="9">
        <v>-1</v>
      </c>
      <c r="G502">
        <v>-1</v>
      </c>
      <c r="I502" s="2">
        <v>4</v>
      </c>
      <c r="J502" s="25">
        <v>0</v>
      </c>
      <c r="K502">
        <v>0</v>
      </c>
      <c r="L502">
        <v>0</v>
      </c>
      <c r="M502" s="2">
        <v>3.72</v>
      </c>
      <c r="N502" s="2">
        <v>3.72</v>
      </c>
      <c r="O502" s="2">
        <v>32.299999999999997</v>
      </c>
      <c r="P502" s="2" t="s">
        <v>519</v>
      </c>
      <c r="Q502" s="2"/>
      <c r="R502" s="25">
        <v>0</v>
      </c>
      <c r="S502" s="25"/>
      <c r="T502" s="25"/>
      <c r="U502">
        <v>0</v>
      </c>
      <c r="X502">
        <v>0</v>
      </c>
      <c r="AA502" s="2"/>
      <c r="AB502">
        <v>10</v>
      </c>
      <c r="AC502" s="55">
        <f t="shared" si="64"/>
        <v>446.98032000000001</v>
      </c>
      <c r="AD502" s="57">
        <v>0</v>
      </c>
      <c r="AE502" s="55">
        <v>0</v>
      </c>
      <c r="AF502" s="55">
        <v>0</v>
      </c>
      <c r="AG502" s="52">
        <f t="shared" si="65"/>
        <v>8.9489398548911497E-2</v>
      </c>
      <c r="AH502" s="51"/>
      <c r="AI502" s="52"/>
      <c r="AJ502" s="52"/>
      <c r="AK502" s="28">
        <v>1.615384615384615</v>
      </c>
      <c r="AL502" s="28">
        <v>1.6923076923076921</v>
      </c>
      <c r="AM502" s="28">
        <v>0.23076923076923081</v>
      </c>
      <c r="AN502" s="28">
        <v>0</v>
      </c>
      <c r="AO502" s="28">
        <v>0.45652173913043481</v>
      </c>
      <c r="AP502" s="28">
        <v>0.47826086956521741</v>
      </c>
      <c r="AQ502" s="28">
        <v>6.5217391304347838E-2</v>
      </c>
      <c r="AR502" s="28">
        <v>0</v>
      </c>
      <c r="AS502" s="25">
        <v>1.1000000000000001</v>
      </c>
      <c r="AT502" s="25">
        <v>3.44</v>
      </c>
      <c r="AU502" s="25">
        <v>2.34</v>
      </c>
      <c r="AV502" s="25">
        <v>2.568461538461539</v>
      </c>
      <c r="AW502">
        <v>2.568461538461539</v>
      </c>
      <c r="AX502">
        <v>6.6431337427119228</v>
      </c>
      <c r="AY502" s="75"/>
      <c r="AZ502" s="75"/>
      <c r="BA502" s="75"/>
      <c r="BB502">
        <v>4.4744699274455749E-2</v>
      </c>
      <c r="BF502">
        <v>8.9489398548911497E-2</v>
      </c>
      <c r="BG502">
        <v>4.4744699274455749E-2</v>
      </c>
      <c r="BH502">
        <v>0</v>
      </c>
      <c r="CA502" t="e">
        <f t="shared" si="60"/>
        <v>#NUM!</v>
      </c>
    </row>
    <row r="503" spans="1:79" x14ac:dyDescent="0.3">
      <c r="A503" s="2" t="s">
        <v>327</v>
      </c>
      <c r="B503" s="18" t="s">
        <v>1004</v>
      </c>
      <c r="C503" s="13"/>
      <c r="D503" s="2">
        <v>3.47</v>
      </c>
      <c r="E503" s="2" t="s">
        <v>319</v>
      </c>
      <c r="F503" s="9">
        <v>-1</v>
      </c>
      <c r="G503">
        <v>-1</v>
      </c>
      <c r="I503" s="2">
        <v>4</v>
      </c>
      <c r="J503" s="25">
        <v>0</v>
      </c>
      <c r="K503">
        <v>0</v>
      </c>
      <c r="L503">
        <v>0</v>
      </c>
      <c r="M503" s="2">
        <v>3.72</v>
      </c>
      <c r="N503" s="2">
        <v>3.72</v>
      </c>
      <c r="O503" s="2">
        <v>36.6</v>
      </c>
      <c r="P503" s="2" t="s">
        <v>519</v>
      </c>
      <c r="Q503" s="2"/>
      <c r="R503" s="25">
        <v>0</v>
      </c>
      <c r="U503">
        <v>0</v>
      </c>
      <c r="X503">
        <v>0</v>
      </c>
      <c r="AA503" s="2"/>
      <c r="AB503">
        <v>10</v>
      </c>
      <c r="AC503" s="55">
        <f t="shared" si="64"/>
        <v>506.4854400000001</v>
      </c>
      <c r="AD503" s="57">
        <v>0</v>
      </c>
      <c r="AE503" s="55">
        <v>0</v>
      </c>
      <c r="AF503" s="55">
        <v>0</v>
      </c>
      <c r="AG503" s="52">
        <f t="shared" si="65"/>
        <v>7.8975616752181454E-2</v>
      </c>
      <c r="AH503" s="52"/>
      <c r="AI503" s="52"/>
      <c r="AJ503" s="52"/>
      <c r="AK503" s="28">
        <v>1.5625</v>
      </c>
      <c r="AL503" s="28">
        <v>1.5</v>
      </c>
      <c r="AM503" s="28">
        <v>0.1875</v>
      </c>
      <c r="AN503" s="28">
        <v>0</v>
      </c>
      <c r="AO503" s="28">
        <v>0.48076923076923078</v>
      </c>
      <c r="AP503" s="28">
        <v>0.46153846153846162</v>
      </c>
      <c r="AQ503" s="28">
        <v>5.7692307692307702E-2</v>
      </c>
      <c r="AR503" s="28">
        <v>0</v>
      </c>
      <c r="AS503" s="25">
        <v>1.1000000000000001</v>
      </c>
      <c r="AT503" s="25">
        <v>3.44</v>
      </c>
      <c r="AU503" s="25">
        <v>2.34</v>
      </c>
      <c r="AV503" s="25">
        <v>2.5212500000000002</v>
      </c>
      <c r="AW503">
        <v>2.5212500000000002</v>
      </c>
      <c r="AX503">
        <v>6.6859357538098134</v>
      </c>
      <c r="AY503" s="75"/>
      <c r="AZ503" s="75"/>
      <c r="BA503" s="75"/>
      <c r="BB503">
        <v>3.9487808376090727E-2</v>
      </c>
      <c r="BF503">
        <v>7.8975616752181454E-2</v>
      </c>
      <c r="BG503">
        <v>3.9487808376090727E-2</v>
      </c>
      <c r="BH503">
        <v>0</v>
      </c>
      <c r="CA503" t="e">
        <f t="shared" si="60"/>
        <v>#NUM!</v>
      </c>
    </row>
    <row r="504" spans="1:79" x14ac:dyDescent="0.3">
      <c r="A504" s="2" t="s">
        <v>328</v>
      </c>
      <c r="B504" s="18" t="s">
        <v>1003</v>
      </c>
      <c r="C504" s="13"/>
      <c r="D504" s="2">
        <v>3.45</v>
      </c>
      <c r="E504" s="2" t="s">
        <v>319</v>
      </c>
      <c r="F504" s="9">
        <v>-1</v>
      </c>
      <c r="G504">
        <v>-1</v>
      </c>
      <c r="I504" s="2">
        <v>4</v>
      </c>
      <c r="J504" s="25">
        <v>0</v>
      </c>
      <c r="K504">
        <v>0</v>
      </c>
      <c r="L504">
        <v>0</v>
      </c>
      <c r="M504" s="2">
        <v>3.73</v>
      </c>
      <c r="N504" s="2">
        <v>3.73</v>
      </c>
      <c r="O504" s="2">
        <v>41.6</v>
      </c>
      <c r="P504" s="2" t="s">
        <v>519</v>
      </c>
      <c r="Q504" s="2"/>
      <c r="R504" s="25">
        <v>0</v>
      </c>
      <c r="U504">
        <v>0</v>
      </c>
      <c r="X504">
        <v>0</v>
      </c>
      <c r="AA504" s="2"/>
      <c r="AB504">
        <v>10</v>
      </c>
      <c r="AC504" s="55">
        <f t="shared" si="64"/>
        <v>578.77664000000004</v>
      </c>
      <c r="AD504" s="57">
        <v>0</v>
      </c>
      <c r="AE504" s="55">
        <v>0</v>
      </c>
      <c r="AF504" s="55">
        <v>0</v>
      </c>
      <c r="AG504" s="52">
        <f t="shared" si="65"/>
        <v>6.9111289633251263E-2</v>
      </c>
      <c r="AH504" s="52"/>
      <c r="AI504" s="52"/>
      <c r="AJ504" s="52"/>
      <c r="AK504" s="28">
        <v>1.5263157894736841</v>
      </c>
      <c r="AL504" s="28">
        <v>1.368421052631579</v>
      </c>
      <c r="AM504" s="28">
        <v>0.15789473684210531</v>
      </c>
      <c r="AN504" s="28">
        <v>0</v>
      </c>
      <c r="AO504" s="28">
        <v>0.5</v>
      </c>
      <c r="AP504" s="28">
        <v>0.44827586206896552</v>
      </c>
      <c r="AQ504" s="28">
        <v>5.1724137931034482E-2</v>
      </c>
      <c r="AR504" s="28">
        <v>0</v>
      </c>
      <c r="AS504" s="25">
        <v>1.1000000000000001</v>
      </c>
      <c r="AT504" s="25">
        <v>3.44</v>
      </c>
      <c r="AU504" s="25">
        <v>2.34</v>
      </c>
      <c r="AV504" s="25">
        <v>2.4889473684210528</v>
      </c>
      <c r="AW504">
        <v>2.4889473684210528</v>
      </c>
      <c r="AX504">
        <v>6.7152213403504719</v>
      </c>
      <c r="AY504" s="75"/>
      <c r="AZ504" s="75"/>
      <c r="BA504" s="75"/>
      <c r="BB504">
        <v>3.4555644816625632E-2</v>
      </c>
      <c r="BF504">
        <v>6.9111289633251263E-2</v>
      </c>
      <c r="BG504">
        <v>3.4555644816625632E-2</v>
      </c>
      <c r="BH504">
        <v>0</v>
      </c>
      <c r="CA504" t="e">
        <f t="shared" si="60"/>
        <v>#NUM!</v>
      </c>
    </row>
    <row r="505" spans="1:79" x14ac:dyDescent="0.3">
      <c r="A505" s="2" t="s">
        <v>329</v>
      </c>
      <c r="B505" s="18" t="s">
        <v>1002</v>
      </c>
      <c r="C505" s="13"/>
      <c r="D505" s="2">
        <v>3.45</v>
      </c>
      <c r="E505" s="2" t="s">
        <v>319</v>
      </c>
      <c r="F505" s="9">
        <v>-1</v>
      </c>
      <c r="G505">
        <v>-1</v>
      </c>
      <c r="I505" s="2">
        <v>4</v>
      </c>
      <c r="J505" s="25">
        <v>0</v>
      </c>
      <c r="K505">
        <v>0</v>
      </c>
      <c r="L505">
        <v>0</v>
      </c>
      <c r="M505" s="2">
        <v>3.73</v>
      </c>
      <c r="N505" s="2">
        <v>3.73</v>
      </c>
      <c r="O505" s="2">
        <v>45.6</v>
      </c>
      <c r="P505" s="2" t="s">
        <v>519</v>
      </c>
      <c r="Q505" s="2"/>
      <c r="R505" s="25">
        <v>0</v>
      </c>
      <c r="U505">
        <v>0</v>
      </c>
      <c r="X505">
        <v>0</v>
      </c>
      <c r="AA505" s="2"/>
      <c r="AB505">
        <v>10</v>
      </c>
      <c r="AC505" s="55">
        <f t="shared" si="64"/>
        <v>634.42824000000007</v>
      </c>
      <c r="AD505" s="57">
        <v>0</v>
      </c>
      <c r="AE505" s="55">
        <v>0</v>
      </c>
      <c r="AF505" s="55">
        <v>0</v>
      </c>
      <c r="AG505" s="52">
        <f t="shared" si="65"/>
        <v>6.3048895805773081E-2</v>
      </c>
      <c r="AH505" s="52"/>
      <c r="AI505" s="52"/>
      <c r="AJ505" s="52"/>
      <c r="AK505" s="28">
        <v>1.5</v>
      </c>
      <c r="AL505" s="28">
        <v>1.2727272727272729</v>
      </c>
      <c r="AM505" s="28">
        <v>0.13636363636363641</v>
      </c>
      <c r="AN505" s="28">
        <v>0</v>
      </c>
      <c r="AO505" s="28">
        <v>0.515625</v>
      </c>
      <c r="AP505" s="28">
        <v>0.4375</v>
      </c>
      <c r="AQ505" s="28">
        <v>4.6874999999999993E-2</v>
      </c>
      <c r="AR505" s="28">
        <v>0</v>
      </c>
      <c r="AS505" s="25">
        <v>1.1000000000000001</v>
      </c>
      <c r="AT505" s="25">
        <v>3.44</v>
      </c>
      <c r="AU505" s="25">
        <v>2.34</v>
      </c>
      <c r="AV505" s="25">
        <v>2.4654545454545449</v>
      </c>
      <c r="AW505">
        <v>2.4654545454545449</v>
      </c>
      <c r="AX505">
        <v>6.7365199487436813</v>
      </c>
      <c r="AY505" s="75"/>
      <c r="AZ505" s="75"/>
      <c r="BA505" s="75"/>
      <c r="BB505">
        <v>3.152444790288654E-2</v>
      </c>
      <c r="BF505">
        <v>6.3048895805773081E-2</v>
      </c>
      <c r="BG505">
        <v>3.152444790288654E-2</v>
      </c>
      <c r="BH505">
        <v>0</v>
      </c>
      <c r="CA505" t="e">
        <f t="shared" si="60"/>
        <v>#NUM!</v>
      </c>
    </row>
    <row r="506" spans="1:79" x14ac:dyDescent="0.3">
      <c r="A506" s="2" t="s">
        <v>330</v>
      </c>
      <c r="B506" s="18" t="s">
        <v>1001</v>
      </c>
      <c r="C506" s="13"/>
      <c r="D506" s="2">
        <v>3.46</v>
      </c>
      <c r="E506" s="2" t="s">
        <v>319</v>
      </c>
      <c r="F506" s="9">
        <v>-1</v>
      </c>
      <c r="G506">
        <v>-1</v>
      </c>
      <c r="I506" s="2">
        <v>4</v>
      </c>
      <c r="J506" s="25">
        <v>0</v>
      </c>
      <c r="K506">
        <v>0</v>
      </c>
      <c r="L506">
        <v>0</v>
      </c>
      <c r="M506" s="2">
        <v>3.74</v>
      </c>
      <c r="N506" s="2">
        <v>3.74</v>
      </c>
      <c r="O506" s="2">
        <v>55.4</v>
      </c>
      <c r="P506" s="2" t="s">
        <v>519</v>
      </c>
      <c r="Q506" s="2"/>
      <c r="R506" s="25">
        <v>0</v>
      </c>
      <c r="U506">
        <v>0</v>
      </c>
      <c r="X506">
        <v>0</v>
      </c>
      <c r="AA506" s="2"/>
      <c r="AB506">
        <v>10</v>
      </c>
      <c r="AC506" s="55">
        <f t="shared" si="64"/>
        <v>774.91304000000014</v>
      </c>
      <c r="AD506" s="57">
        <v>0</v>
      </c>
      <c r="AE506" s="55">
        <v>0</v>
      </c>
      <c r="AF506" s="55">
        <v>0</v>
      </c>
      <c r="AG506" s="52">
        <f t="shared" si="65"/>
        <v>5.1618695176429079E-2</v>
      </c>
      <c r="AH506" s="52"/>
      <c r="AI506" s="52"/>
      <c r="AJ506" s="52"/>
      <c r="AK506" s="28">
        <v>1.464285714285714</v>
      </c>
      <c r="AL506" s="28">
        <v>1.142857142857143</v>
      </c>
      <c r="AM506" s="28">
        <v>0.1071428571428571</v>
      </c>
      <c r="AN506" s="28">
        <v>0</v>
      </c>
      <c r="AO506" s="28">
        <v>0.53947368421052622</v>
      </c>
      <c r="AP506" s="28">
        <v>0.42105263157894729</v>
      </c>
      <c r="AQ506" s="28">
        <v>3.9473684210526307E-2</v>
      </c>
      <c r="AR506" s="28">
        <v>0</v>
      </c>
      <c r="AS506" s="25">
        <v>1.1000000000000001</v>
      </c>
      <c r="AT506" s="25">
        <v>3.44</v>
      </c>
      <c r="AU506" s="25">
        <v>2.34</v>
      </c>
      <c r="AV506" s="25">
        <v>2.4335714285714292</v>
      </c>
      <c r="AW506">
        <v>2.4335714285714292</v>
      </c>
      <c r="AX506">
        <v>6.7654252029916062</v>
      </c>
      <c r="AY506" s="75"/>
      <c r="AZ506" s="75"/>
      <c r="BA506" s="75"/>
      <c r="BB506">
        <v>2.5809347588214539E-2</v>
      </c>
      <c r="BF506">
        <v>5.1618695176429079E-2</v>
      </c>
      <c r="BG506">
        <v>2.5809347588214539E-2</v>
      </c>
      <c r="BH506">
        <v>0</v>
      </c>
      <c r="CA506" t="e">
        <f t="shared" si="60"/>
        <v>#NUM!</v>
      </c>
    </row>
    <row r="507" spans="1:79" x14ac:dyDescent="0.3">
      <c r="A507" s="2" t="s">
        <v>331</v>
      </c>
      <c r="B507" s="18" t="s">
        <v>1000</v>
      </c>
      <c r="C507" s="13"/>
      <c r="D507" s="2">
        <v>3.46</v>
      </c>
      <c r="E507" s="2" t="s">
        <v>319</v>
      </c>
      <c r="F507" s="9">
        <v>-1</v>
      </c>
      <c r="G507">
        <v>-1</v>
      </c>
      <c r="I507" s="2">
        <v>4</v>
      </c>
      <c r="J507" s="25">
        <v>0</v>
      </c>
      <c r="K507">
        <v>0</v>
      </c>
      <c r="L507">
        <v>0</v>
      </c>
      <c r="M507" s="2">
        <v>3.73</v>
      </c>
      <c r="N507" s="2">
        <v>3.73</v>
      </c>
      <c r="O507" s="2">
        <v>56.8</v>
      </c>
      <c r="P507" s="2" t="s">
        <v>519</v>
      </c>
      <c r="Q507" s="2"/>
      <c r="R507" s="25">
        <v>0</v>
      </c>
      <c r="U507">
        <v>0</v>
      </c>
      <c r="X507">
        <v>0</v>
      </c>
      <c r="AA507" s="2"/>
      <c r="AB507">
        <v>10</v>
      </c>
      <c r="AC507" s="55">
        <f t="shared" si="64"/>
        <v>790.25271999999995</v>
      </c>
      <c r="AD507" s="57">
        <v>0</v>
      </c>
      <c r="AE507" s="55">
        <v>0</v>
      </c>
      <c r="AF507" s="55">
        <v>0</v>
      </c>
      <c r="AG507" s="52">
        <f t="shared" si="65"/>
        <v>5.0616719168015016E-2</v>
      </c>
      <c r="AH507" s="52"/>
      <c r="AI507" s="52"/>
      <c r="AJ507" s="52"/>
      <c r="AK507" s="28">
        <v>1.4411764705882351</v>
      </c>
      <c r="AL507" s="28">
        <v>1.0588235294117649</v>
      </c>
      <c r="AM507" s="28">
        <v>8.8235294117647065E-2</v>
      </c>
      <c r="AN507" s="28">
        <v>0</v>
      </c>
      <c r="AO507" s="28">
        <v>0.55681818181818177</v>
      </c>
      <c r="AP507" s="28">
        <v>0.40909090909090912</v>
      </c>
      <c r="AQ507" s="28">
        <v>3.4090909090909088E-2</v>
      </c>
      <c r="AR507" s="28">
        <v>0</v>
      </c>
      <c r="AS507" s="25">
        <v>1.1000000000000001</v>
      </c>
      <c r="AT507" s="25">
        <v>3.44</v>
      </c>
      <c r="AU507" s="25">
        <v>2.34</v>
      </c>
      <c r="AV507" s="25">
        <v>2.4129411764705879</v>
      </c>
      <c r="AW507">
        <v>2.4129411764705888</v>
      </c>
      <c r="AX507">
        <v>6.7841286027990879</v>
      </c>
      <c r="AY507" s="75"/>
      <c r="AZ507" s="75"/>
      <c r="BA507" s="75"/>
      <c r="BB507">
        <v>2.5308359584007512E-2</v>
      </c>
      <c r="BF507">
        <v>5.0616719168015023E-2</v>
      </c>
      <c r="BG507">
        <v>2.5308359584007512E-2</v>
      </c>
      <c r="BH507">
        <v>0</v>
      </c>
      <c r="CA507" t="e">
        <f t="shared" si="60"/>
        <v>#NUM!</v>
      </c>
    </row>
    <row r="508" spans="1:79" x14ac:dyDescent="0.3">
      <c r="A508" s="2" t="s">
        <v>332</v>
      </c>
      <c r="B508" s="18" t="s">
        <v>833</v>
      </c>
      <c r="C508" s="13"/>
      <c r="D508" s="2">
        <v>3.48</v>
      </c>
      <c r="E508" s="2" t="s">
        <v>319</v>
      </c>
      <c r="F508" s="9">
        <v>-1</v>
      </c>
      <c r="G508">
        <v>-1</v>
      </c>
      <c r="I508" s="2">
        <v>2</v>
      </c>
      <c r="J508" s="25">
        <v>0</v>
      </c>
      <c r="K508">
        <v>0</v>
      </c>
      <c r="L508">
        <v>2</v>
      </c>
      <c r="M508" s="2">
        <v>3.68</v>
      </c>
      <c r="N508" s="2">
        <v>3.68</v>
      </c>
      <c r="O508" s="2">
        <v>12.1</v>
      </c>
      <c r="P508" s="2" t="s">
        <v>519</v>
      </c>
      <c r="Q508" s="2"/>
      <c r="R508" s="25">
        <v>0</v>
      </c>
      <c r="U508">
        <v>0</v>
      </c>
      <c r="X508">
        <v>3.6970999999999998</v>
      </c>
      <c r="Y508">
        <v>3.6970999999999998</v>
      </c>
      <c r="Z508">
        <v>12.0928</v>
      </c>
      <c r="AA508" s="2"/>
      <c r="AB508">
        <v>8</v>
      </c>
      <c r="AC508" s="55">
        <f t="shared" si="64"/>
        <v>163.86304000000001</v>
      </c>
      <c r="AD508" s="57">
        <v>0</v>
      </c>
      <c r="AE508" s="55">
        <v>0</v>
      </c>
      <c r="AF508" s="55">
        <v>165.3</v>
      </c>
      <c r="AG508" s="52">
        <f t="shared" si="65"/>
        <v>9.7642519020762694E-2</v>
      </c>
      <c r="AH508" s="52"/>
      <c r="AI508" s="52"/>
      <c r="AJ508" s="67">
        <f>L508*AB508/AF508</f>
        <v>9.6793708408953405E-2</v>
      </c>
      <c r="AK508" s="28">
        <v>1.857142857142857</v>
      </c>
      <c r="AL508" s="28">
        <v>2.285714285714286</v>
      </c>
      <c r="AM508" s="28">
        <v>0.2857142857142857</v>
      </c>
      <c r="AN508" s="28">
        <v>0.5714285714285714</v>
      </c>
      <c r="AO508" s="28">
        <v>0.37142857142857139</v>
      </c>
      <c r="AP508" s="28">
        <v>0.45714285714285707</v>
      </c>
      <c r="AQ508" s="28">
        <v>5.7142857142857141E-2</v>
      </c>
      <c r="AR508" s="28">
        <v>0.1142857142857143</v>
      </c>
      <c r="AS508" s="25">
        <v>1.1399999999999999</v>
      </c>
      <c r="AT508" s="25">
        <v>3.44</v>
      </c>
      <c r="AU508" s="25">
        <v>2.2999999999999998</v>
      </c>
      <c r="AV508" s="25">
        <v>2.6628571428571428</v>
      </c>
      <c r="AW508">
        <v>2.6628571428571428</v>
      </c>
      <c r="AX508">
        <v>6.2282737214072856</v>
      </c>
      <c r="AY508" s="75"/>
      <c r="AZ508" s="75"/>
      <c r="BA508" s="75"/>
      <c r="BB508">
        <v>4.8821259510381347E-2</v>
      </c>
      <c r="BE508">
        <v>4.8396854204476702E-2</v>
      </c>
      <c r="BF508">
        <v>9.7218113714858057E-2</v>
      </c>
      <c r="BG508">
        <v>4.8609056857429028E-2</v>
      </c>
      <c r="BH508">
        <v>0</v>
      </c>
      <c r="CA508" t="e">
        <f t="shared" si="60"/>
        <v>#NUM!</v>
      </c>
    </row>
    <row r="509" spans="1:79" x14ac:dyDescent="0.3">
      <c r="A509" s="2" t="s">
        <v>333</v>
      </c>
      <c r="B509" s="18" t="s">
        <v>1006</v>
      </c>
      <c r="C509" s="13"/>
      <c r="D509" s="2">
        <v>3.41</v>
      </c>
      <c r="E509" s="2" t="s">
        <v>319</v>
      </c>
      <c r="F509" s="9">
        <v>-1</v>
      </c>
      <c r="G509">
        <v>-1</v>
      </c>
      <c r="I509" s="2">
        <v>4</v>
      </c>
      <c r="J509" s="25">
        <v>0</v>
      </c>
      <c r="K509">
        <v>0</v>
      </c>
      <c r="L509">
        <v>0</v>
      </c>
      <c r="M509" s="2">
        <v>3.74</v>
      </c>
      <c r="N509" s="2">
        <v>3.74</v>
      </c>
      <c r="O509" s="2">
        <v>33.1</v>
      </c>
      <c r="P509" s="2" t="s">
        <v>519</v>
      </c>
      <c r="Q509" s="2"/>
      <c r="R509" s="25">
        <v>0</v>
      </c>
      <c r="U509">
        <v>0</v>
      </c>
      <c r="X509">
        <v>0</v>
      </c>
      <c r="AA509" s="2"/>
      <c r="AB509">
        <v>8</v>
      </c>
      <c r="AC509" s="55">
        <f t="shared" si="64"/>
        <v>462.9895600000001</v>
      </c>
      <c r="AD509" s="57">
        <v>0</v>
      </c>
      <c r="AE509" s="55">
        <v>0</v>
      </c>
      <c r="AF509" s="55">
        <v>0</v>
      </c>
      <c r="AG509" s="52">
        <f t="shared" si="65"/>
        <v>6.9116029311762431E-2</v>
      </c>
      <c r="AH509" s="52"/>
      <c r="AI509" s="52"/>
      <c r="AJ509" s="52"/>
      <c r="AK509" s="28">
        <v>1.571428571428571</v>
      </c>
      <c r="AL509" s="28">
        <v>1.5</v>
      </c>
      <c r="AM509" s="28">
        <v>0.14285714285714279</v>
      </c>
      <c r="AN509" s="28">
        <v>0.2857142857142857</v>
      </c>
      <c r="AO509" s="28">
        <v>0.44897959183673469</v>
      </c>
      <c r="AP509" s="28">
        <v>0.42857142857142849</v>
      </c>
      <c r="AQ509" s="28">
        <v>4.0816326530612242E-2</v>
      </c>
      <c r="AR509" s="28">
        <v>8.1632653061224483E-2</v>
      </c>
      <c r="AS509" s="25">
        <v>1.1399999999999999</v>
      </c>
      <c r="AT509" s="25">
        <v>3.44</v>
      </c>
      <c r="AU509" s="25">
        <v>2.2999999999999998</v>
      </c>
      <c r="AV509" s="25">
        <v>2.516428571428571</v>
      </c>
      <c r="AW509">
        <v>2.516428571428571</v>
      </c>
      <c r="AX509">
        <v>6.6409830967932857</v>
      </c>
      <c r="AY509" s="75"/>
      <c r="AZ509" s="75"/>
      <c r="BA509" s="75"/>
      <c r="BB509">
        <v>3.4558014655881222E-2</v>
      </c>
      <c r="BF509">
        <v>6.9116029311762431E-2</v>
      </c>
      <c r="BG509">
        <v>3.4558014655881222E-2</v>
      </c>
      <c r="BH509">
        <v>0</v>
      </c>
      <c r="CA509" t="e">
        <f t="shared" si="60"/>
        <v>#NUM!</v>
      </c>
    </row>
    <row r="510" spans="1:79" x14ac:dyDescent="0.3">
      <c r="A510" s="2" t="s">
        <v>334</v>
      </c>
      <c r="B510" s="18" t="s">
        <v>1007</v>
      </c>
      <c r="C510" s="13"/>
      <c r="D510" s="2">
        <v>3.5</v>
      </c>
      <c r="E510" s="2" t="s">
        <v>319</v>
      </c>
      <c r="F510" s="9">
        <v>-1</v>
      </c>
      <c r="G510">
        <v>-1</v>
      </c>
      <c r="I510" s="2">
        <v>4</v>
      </c>
      <c r="J510" s="25">
        <v>0</v>
      </c>
      <c r="K510">
        <v>0</v>
      </c>
      <c r="L510">
        <v>0</v>
      </c>
      <c r="M510" s="2">
        <v>3.74</v>
      </c>
      <c r="N510" s="2">
        <v>3.74</v>
      </c>
      <c r="O510" s="2">
        <v>37.6</v>
      </c>
      <c r="P510" s="2" t="s">
        <v>519</v>
      </c>
      <c r="Q510" s="2"/>
      <c r="R510" s="25">
        <v>0</v>
      </c>
      <c r="U510">
        <v>0</v>
      </c>
      <c r="X510">
        <v>0</v>
      </c>
      <c r="AA510" s="2"/>
      <c r="AB510">
        <v>8</v>
      </c>
      <c r="AC510" s="55">
        <f t="shared" si="64"/>
        <v>525.93376000000012</v>
      </c>
      <c r="AD510" s="57">
        <v>0</v>
      </c>
      <c r="AE510" s="55">
        <v>0</v>
      </c>
      <c r="AF510" s="55">
        <v>0</v>
      </c>
      <c r="AG510" s="52">
        <f t="shared" si="65"/>
        <v>6.0844164101578099E-2</v>
      </c>
      <c r="AH510" s="52"/>
      <c r="AI510" s="52"/>
      <c r="AJ510" s="52"/>
      <c r="AK510" s="28">
        <v>1.529411764705882</v>
      </c>
      <c r="AL510" s="28">
        <v>1.3529411764705881</v>
      </c>
      <c r="AM510" s="28">
        <v>0.1176470588235294</v>
      </c>
      <c r="AN510" s="28">
        <v>0.23529411764705879</v>
      </c>
      <c r="AO510" s="28">
        <v>0.47272727272727272</v>
      </c>
      <c r="AP510" s="28">
        <v>0.41818181818181821</v>
      </c>
      <c r="AQ510" s="28">
        <v>3.6363636363636362E-2</v>
      </c>
      <c r="AR510" s="28">
        <v>7.2727272727272724E-2</v>
      </c>
      <c r="AS510" s="25">
        <v>1.1399999999999999</v>
      </c>
      <c r="AT510" s="25">
        <v>3.44</v>
      </c>
      <c r="AU510" s="25">
        <v>2.2999999999999998</v>
      </c>
      <c r="AV510" s="25">
        <v>2.4811764705882351</v>
      </c>
      <c r="AW510">
        <v>2.481176470588236</v>
      </c>
      <c r="AX510">
        <v>6.6816468682828232</v>
      </c>
      <c r="AY510" s="75"/>
      <c r="AZ510" s="75"/>
      <c r="BA510" s="75"/>
      <c r="BB510">
        <v>3.042208205078905E-2</v>
      </c>
      <c r="BF510">
        <v>6.0844164101578099E-2</v>
      </c>
      <c r="BG510">
        <v>3.042208205078905E-2</v>
      </c>
      <c r="BH510">
        <v>0</v>
      </c>
      <c r="CA510" t="e">
        <f t="shared" si="60"/>
        <v>#NUM!</v>
      </c>
    </row>
    <row r="511" spans="1:79" x14ac:dyDescent="0.3">
      <c r="A511" s="2" t="s">
        <v>335</v>
      </c>
      <c r="B511" s="18" t="s">
        <v>1008</v>
      </c>
      <c r="C511" s="13"/>
      <c r="D511" s="2">
        <v>3.43</v>
      </c>
      <c r="E511" s="2" t="s">
        <v>319</v>
      </c>
      <c r="F511" s="9">
        <v>-1</v>
      </c>
      <c r="G511">
        <v>-1</v>
      </c>
      <c r="I511" s="2">
        <v>4</v>
      </c>
      <c r="J511" s="25">
        <v>0</v>
      </c>
      <c r="K511">
        <v>0</v>
      </c>
      <c r="L511">
        <v>0</v>
      </c>
      <c r="M511" s="2">
        <v>3.74</v>
      </c>
      <c r="N511" s="2">
        <v>3.74</v>
      </c>
      <c r="O511" s="2">
        <v>40.4</v>
      </c>
      <c r="P511" s="2" t="s">
        <v>519</v>
      </c>
      <c r="Q511" s="2"/>
      <c r="R511" s="25">
        <v>0</v>
      </c>
      <c r="U511">
        <v>0</v>
      </c>
      <c r="X511">
        <v>0</v>
      </c>
      <c r="AA511" s="2"/>
      <c r="AB511">
        <v>8</v>
      </c>
      <c r="AC511" s="55">
        <f t="shared" si="64"/>
        <v>565.09904000000006</v>
      </c>
      <c r="AD511" s="57">
        <v>0</v>
      </c>
      <c r="AE511" s="55">
        <v>0</v>
      </c>
      <c r="AF511" s="55">
        <v>0</v>
      </c>
      <c r="AG511" s="52">
        <f t="shared" si="65"/>
        <v>5.6627241837112298E-2</v>
      </c>
      <c r="AH511" s="52"/>
      <c r="AI511" s="52"/>
      <c r="AJ511" s="52"/>
      <c r="AK511" s="28">
        <v>1.5</v>
      </c>
      <c r="AL511" s="28">
        <v>1.25</v>
      </c>
      <c r="AM511" s="28">
        <v>0.1</v>
      </c>
      <c r="AN511" s="28">
        <v>0.2</v>
      </c>
      <c r="AO511" s="28">
        <v>0.49180327868852458</v>
      </c>
      <c r="AP511" s="28">
        <v>0.4098360655737705</v>
      </c>
      <c r="AQ511" s="28">
        <v>3.2786885245901641E-2</v>
      </c>
      <c r="AR511" s="28">
        <v>6.5573770491803282E-2</v>
      </c>
      <c r="AS511" s="25">
        <v>1.1399999999999999</v>
      </c>
      <c r="AT511" s="25">
        <v>3.44</v>
      </c>
      <c r="AU511" s="25">
        <v>2.2999999999999998</v>
      </c>
      <c r="AV511" s="25">
        <v>2.4565000000000001</v>
      </c>
      <c r="AW511">
        <v>2.4565000000000001</v>
      </c>
      <c r="AX511">
        <v>6.7101115083254994</v>
      </c>
      <c r="AY511" s="75"/>
      <c r="AZ511" s="75"/>
      <c r="BA511" s="75"/>
      <c r="BB511">
        <v>2.8313620918556149E-2</v>
      </c>
      <c r="BF511">
        <v>5.6627241837112298E-2</v>
      </c>
      <c r="BG511">
        <v>2.8313620918556149E-2</v>
      </c>
      <c r="BH511">
        <v>0</v>
      </c>
      <c r="CA511" t="e">
        <f t="shared" si="60"/>
        <v>#NUM!</v>
      </c>
    </row>
    <row r="512" spans="1:79" x14ac:dyDescent="0.3">
      <c r="A512" s="2" t="s">
        <v>336</v>
      </c>
      <c r="B512" s="18" t="s">
        <v>1009</v>
      </c>
      <c r="C512" s="13"/>
      <c r="D512" s="2">
        <v>3.5</v>
      </c>
      <c r="E512" s="2" t="s">
        <v>319</v>
      </c>
      <c r="F512" s="9">
        <v>-1</v>
      </c>
      <c r="G512">
        <v>-1</v>
      </c>
      <c r="I512" s="2">
        <v>4</v>
      </c>
      <c r="J512" s="25">
        <v>0</v>
      </c>
      <c r="K512">
        <v>0</v>
      </c>
      <c r="L512">
        <v>0</v>
      </c>
      <c r="M512" s="2">
        <v>3.74</v>
      </c>
      <c r="N512" s="2">
        <v>3.74</v>
      </c>
      <c r="O512" s="2">
        <v>47.7</v>
      </c>
      <c r="P512" s="2" t="s">
        <v>519</v>
      </c>
      <c r="Q512" s="2"/>
      <c r="R512" s="25">
        <v>0</v>
      </c>
      <c r="U512">
        <v>0</v>
      </c>
      <c r="X512">
        <v>0</v>
      </c>
      <c r="AA512" s="2"/>
      <c r="AB512">
        <v>8</v>
      </c>
      <c r="AC512" s="55">
        <f t="shared" si="64"/>
        <v>667.20852000000014</v>
      </c>
      <c r="AD512" s="57">
        <v>0</v>
      </c>
      <c r="AE512" s="55">
        <v>0</v>
      </c>
      <c r="AF512" s="55">
        <v>0</v>
      </c>
      <c r="AG512" s="52">
        <f t="shared" si="65"/>
        <v>4.796101824359196E-2</v>
      </c>
      <c r="AH512" s="52"/>
      <c r="AI512" s="52"/>
      <c r="AJ512" s="52"/>
      <c r="AK512" s="28">
        <v>1.4782608695652171</v>
      </c>
      <c r="AL512" s="28">
        <v>1.173913043478261</v>
      </c>
      <c r="AM512" s="28">
        <v>8.6956521739130432E-2</v>
      </c>
      <c r="AN512" s="28">
        <v>0.17391304347826089</v>
      </c>
      <c r="AO512" s="28">
        <v>0.50746268656716409</v>
      </c>
      <c r="AP512" s="28">
        <v>0.40298507462686572</v>
      </c>
      <c r="AQ512" s="28">
        <v>2.9850746268656719E-2</v>
      </c>
      <c r="AR512" s="28">
        <v>5.9701492537313432E-2</v>
      </c>
      <c r="AS512" s="25">
        <v>1.1399999999999999</v>
      </c>
      <c r="AT512" s="25">
        <v>3.44</v>
      </c>
      <c r="AU512" s="25">
        <v>2.2999999999999998</v>
      </c>
      <c r="AV512" s="25">
        <v>2.4382608695652168</v>
      </c>
      <c r="AW512">
        <v>2.4382608695652168</v>
      </c>
      <c r="AX512">
        <v>6.7311505900961732</v>
      </c>
      <c r="AY512" s="75"/>
      <c r="AZ512" s="75"/>
      <c r="BA512" s="75"/>
      <c r="BB512">
        <v>2.398050912179598E-2</v>
      </c>
      <c r="BF512">
        <v>4.796101824359196E-2</v>
      </c>
      <c r="BG512">
        <v>2.398050912179598E-2</v>
      </c>
      <c r="BH512">
        <v>0</v>
      </c>
      <c r="CA512" t="e">
        <f t="shared" si="60"/>
        <v>#NUM!</v>
      </c>
    </row>
    <row r="513" spans="1:79" x14ac:dyDescent="0.3">
      <c r="A513" s="2" t="s">
        <v>337</v>
      </c>
      <c r="B513" s="18" t="s">
        <v>1010</v>
      </c>
      <c r="C513" s="13"/>
      <c r="D513" s="2">
        <v>3.42</v>
      </c>
      <c r="E513" s="2" t="s">
        <v>319</v>
      </c>
      <c r="F513" s="9">
        <v>-1</v>
      </c>
      <c r="G513">
        <v>-1</v>
      </c>
      <c r="I513" s="2">
        <v>4</v>
      </c>
      <c r="J513" s="25">
        <v>0</v>
      </c>
      <c r="K513">
        <v>0</v>
      </c>
      <c r="L513">
        <v>0</v>
      </c>
      <c r="M513" s="2">
        <v>3.72</v>
      </c>
      <c r="N513" s="2">
        <v>3.72</v>
      </c>
      <c r="O513" s="2">
        <v>54</v>
      </c>
      <c r="P513" s="2" t="s">
        <v>519</v>
      </c>
      <c r="Q513" s="2"/>
      <c r="R513" s="25">
        <v>0</v>
      </c>
      <c r="U513">
        <v>0</v>
      </c>
      <c r="X513">
        <v>0</v>
      </c>
      <c r="AA513" s="2"/>
      <c r="AB513">
        <v>8</v>
      </c>
      <c r="AC513" s="55">
        <f t="shared" si="64"/>
        <v>747.2736000000001</v>
      </c>
      <c r="AD513" s="57">
        <v>0</v>
      </c>
      <c r="AE513" s="55">
        <v>0</v>
      </c>
      <c r="AF513" s="55">
        <v>0</v>
      </c>
      <c r="AG513" s="52">
        <f t="shared" si="65"/>
        <v>4.282233441673839E-2</v>
      </c>
      <c r="AH513" s="52"/>
      <c r="AI513" s="52"/>
      <c r="AJ513" s="52"/>
      <c r="AK513" s="28">
        <v>1.448275862068966</v>
      </c>
      <c r="AL513" s="28">
        <v>1.068965517241379</v>
      </c>
      <c r="AM513" s="28">
        <v>6.8965517241379309E-2</v>
      </c>
      <c r="AN513" s="28">
        <v>0.13793103448275859</v>
      </c>
      <c r="AO513" s="28">
        <v>0.53164556962025322</v>
      </c>
      <c r="AP513" s="28">
        <v>0.39240506329113922</v>
      </c>
      <c r="AQ513" s="28">
        <v>2.5316455696202531E-2</v>
      </c>
      <c r="AR513" s="28">
        <v>5.0632911392405063E-2</v>
      </c>
      <c r="AS513" s="25">
        <v>1.1399999999999999</v>
      </c>
      <c r="AT513" s="25">
        <v>3.44</v>
      </c>
      <c r="AU513" s="25">
        <v>2.2999999999999998</v>
      </c>
      <c r="AV513" s="25">
        <v>2.4131034482758622</v>
      </c>
      <c r="AW513">
        <v>2.4131034482758622</v>
      </c>
      <c r="AX513">
        <v>6.7601700132281373</v>
      </c>
      <c r="AY513" s="75"/>
      <c r="AZ513" s="75"/>
      <c r="BA513" s="75"/>
      <c r="BB513">
        <v>2.1411167208369199E-2</v>
      </c>
      <c r="BF513">
        <v>4.282233441673839E-2</v>
      </c>
      <c r="BG513">
        <v>2.1411167208369199E-2</v>
      </c>
      <c r="BH513">
        <v>0</v>
      </c>
      <c r="CA513" t="e">
        <f t="shared" si="60"/>
        <v>#NUM!</v>
      </c>
    </row>
    <row r="514" spans="1:79" x14ac:dyDescent="0.3">
      <c r="A514" s="2" t="s">
        <v>338</v>
      </c>
      <c r="B514" s="18" t="s">
        <v>1011</v>
      </c>
      <c r="C514" s="13"/>
      <c r="D514" s="2">
        <v>3.45</v>
      </c>
      <c r="E514" s="2" t="s">
        <v>319</v>
      </c>
      <c r="F514" s="9">
        <v>-1</v>
      </c>
      <c r="G514">
        <v>-1</v>
      </c>
      <c r="I514" s="2">
        <v>4</v>
      </c>
      <c r="J514" s="25">
        <v>0</v>
      </c>
      <c r="K514">
        <v>0</v>
      </c>
      <c r="L514">
        <v>0</v>
      </c>
      <c r="M514" s="2">
        <v>3.81</v>
      </c>
      <c r="N514" s="2">
        <v>3.81</v>
      </c>
      <c r="O514" s="2">
        <v>65.400000000000006</v>
      </c>
      <c r="P514" s="2" t="s">
        <v>519</v>
      </c>
      <c r="Q514" s="2"/>
      <c r="R514" s="25">
        <v>0</v>
      </c>
      <c r="U514">
        <v>0</v>
      </c>
      <c r="X514">
        <v>0</v>
      </c>
      <c r="AA514" s="2"/>
      <c r="AB514">
        <v>8</v>
      </c>
      <c r="AC514" s="55">
        <f t="shared" si="64"/>
        <v>949.3529400000001</v>
      </c>
      <c r="AD514" s="57">
        <v>0</v>
      </c>
      <c r="AE514" s="55">
        <v>0</v>
      </c>
      <c r="AF514" s="55">
        <v>0</v>
      </c>
      <c r="AG514" s="52">
        <f t="shared" si="65"/>
        <v>3.3707169011347876E-2</v>
      </c>
      <c r="AH514" s="52"/>
      <c r="AI514" s="52"/>
      <c r="AJ514" s="52"/>
      <c r="AK514" s="28">
        <v>1.428571428571429</v>
      </c>
      <c r="AL514" s="28">
        <v>1</v>
      </c>
      <c r="AM514" s="28">
        <v>5.7142857142857141E-2</v>
      </c>
      <c r="AN514" s="28">
        <v>0.1142857142857143</v>
      </c>
      <c r="AO514" s="28">
        <v>0.5494505494505495</v>
      </c>
      <c r="AP514" s="28">
        <v>0.38461538461538458</v>
      </c>
      <c r="AQ514" s="28">
        <v>2.197802197802198E-2</v>
      </c>
      <c r="AR514" s="28">
        <v>4.3956043956043953E-2</v>
      </c>
      <c r="AS514" s="25">
        <v>1.1399999999999999</v>
      </c>
      <c r="AT514" s="25">
        <v>3.44</v>
      </c>
      <c r="AU514" s="25">
        <v>2.2999999999999998</v>
      </c>
      <c r="AV514" s="25">
        <v>2.3965714285714288</v>
      </c>
      <c r="AW514">
        <v>2.3965714285714279</v>
      </c>
      <c r="AX514">
        <v>6.7792399198577131</v>
      </c>
      <c r="AY514" s="75"/>
      <c r="AZ514" s="75"/>
      <c r="BA514" s="75"/>
      <c r="BB514">
        <v>1.6853584505673942E-2</v>
      </c>
      <c r="BF514">
        <v>3.3707169011347883E-2</v>
      </c>
      <c r="BG514">
        <v>1.6853584505673942E-2</v>
      </c>
      <c r="BH514">
        <v>0</v>
      </c>
      <c r="CA514" t="e">
        <f t="shared" si="60"/>
        <v>#NUM!</v>
      </c>
    </row>
    <row r="515" spans="1:79" x14ac:dyDescent="0.3">
      <c r="A515" s="2" t="s">
        <v>339</v>
      </c>
      <c r="B515" s="18" t="s">
        <v>1012</v>
      </c>
      <c r="C515" s="13"/>
      <c r="D515" s="2">
        <v>3.42</v>
      </c>
      <c r="E515" s="2" t="s">
        <v>319</v>
      </c>
      <c r="F515" s="9">
        <v>-1</v>
      </c>
      <c r="G515">
        <v>-1</v>
      </c>
      <c r="I515" s="2">
        <v>4</v>
      </c>
      <c r="J515" s="25">
        <v>0</v>
      </c>
      <c r="K515">
        <v>0</v>
      </c>
      <c r="L515">
        <v>0</v>
      </c>
      <c r="M515" s="2">
        <v>3.71</v>
      </c>
      <c r="N515" s="2">
        <v>3.71</v>
      </c>
      <c r="O515" s="2">
        <v>32</v>
      </c>
      <c r="P515" s="2" t="s">
        <v>519</v>
      </c>
      <c r="Q515" s="2"/>
      <c r="R515" s="25">
        <v>0</v>
      </c>
      <c r="U515">
        <v>0</v>
      </c>
      <c r="X515">
        <v>0</v>
      </c>
      <c r="AA515" s="2"/>
      <c r="AB515">
        <v>10</v>
      </c>
      <c r="AC515" s="55">
        <f t="shared" si="64"/>
        <v>440.45119999999997</v>
      </c>
      <c r="AD515" s="57">
        <v>0</v>
      </c>
      <c r="AE515" s="55">
        <v>0</v>
      </c>
      <c r="AF515" s="55">
        <v>0</v>
      </c>
      <c r="AG515" s="52">
        <f t="shared" si="65"/>
        <v>9.0815963266759184E-2</v>
      </c>
      <c r="AH515" s="52"/>
      <c r="AI515" s="52"/>
      <c r="AJ515" s="52"/>
      <c r="AK515" s="28">
        <v>1.615384615384615</v>
      </c>
      <c r="AL515" s="28">
        <v>1.6923076923076921</v>
      </c>
      <c r="AM515" s="28">
        <v>0.15384615384615391</v>
      </c>
      <c r="AN515" s="28">
        <v>0.30769230769230771</v>
      </c>
      <c r="AO515" s="28">
        <v>0.4285714285714286</v>
      </c>
      <c r="AP515" s="28">
        <v>0.44897959183673469</v>
      </c>
      <c r="AQ515" s="28">
        <v>4.0816326530612249E-2</v>
      </c>
      <c r="AR515" s="28">
        <v>8.1632653061224497E-2</v>
      </c>
      <c r="AS515" s="25">
        <v>1.1399999999999999</v>
      </c>
      <c r="AT515" s="25">
        <v>3.44</v>
      </c>
      <c r="AU515" s="25">
        <v>2.2999999999999998</v>
      </c>
      <c r="AV515" s="25">
        <v>2.571538461538462</v>
      </c>
      <c r="AW515">
        <v>2.571538461538462</v>
      </c>
      <c r="AX515">
        <v>6.623443246558077</v>
      </c>
      <c r="AY515" s="75"/>
      <c r="AZ515" s="75"/>
      <c r="BA515" s="75"/>
      <c r="BB515">
        <v>4.5407981633379592E-2</v>
      </c>
      <c r="BF515">
        <v>9.0815963266759184E-2</v>
      </c>
      <c r="BG515">
        <v>4.5407981633379592E-2</v>
      </c>
      <c r="BH515">
        <v>0</v>
      </c>
      <c r="CA515" t="e">
        <f t="shared" ref="CA515:CA578" si="66">LN(BZ515)</f>
        <v>#NUM!</v>
      </c>
    </row>
    <row r="516" spans="1:79" x14ac:dyDescent="0.3">
      <c r="A516" s="2" t="s">
        <v>340</v>
      </c>
      <c r="B516" s="18" t="s">
        <v>1013</v>
      </c>
      <c r="C516" s="13"/>
      <c r="D516" s="2">
        <v>3.39</v>
      </c>
      <c r="E516" s="2" t="s">
        <v>319</v>
      </c>
      <c r="F516" s="9">
        <v>-1</v>
      </c>
      <c r="G516">
        <v>-1</v>
      </c>
      <c r="I516" s="2">
        <v>4</v>
      </c>
      <c r="J516" s="25">
        <v>0</v>
      </c>
      <c r="K516">
        <v>0</v>
      </c>
      <c r="L516">
        <v>0</v>
      </c>
      <c r="M516" s="2">
        <v>3.7</v>
      </c>
      <c r="N516" s="2">
        <v>3.7</v>
      </c>
      <c r="O516" s="2">
        <v>36.4</v>
      </c>
      <c r="P516" s="2" t="s">
        <v>519</v>
      </c>
      <c r="Q516" s="2"/>
      <c r="R516" s="25">
        <v>0</v>
      </c>
      <c r="U516">
        <v>0</v>
      </c>
      <c r="X516">
        <v>0</v>
      </c>
      <c r="AA516" s="2"/>
      <c r="AB516">
        <v>10</v>
      </c>
      <c r="AC516" s="55">
        <f t="shared" si="64"/>
        <v>498.31600000000003</v>
      </c>
      <c r="AD516" s="57">
        <v>0</v>
      </c>
      <c r="AE516" s="55">
        <v>0</v>
      </c>
      <c r="AF516" s="55">
        <v>0</v>
      </c>
      <c r="AG516" s="52">
        <f t="shared" si="65"/>
        <v>8.0270350540620802E-2</v>
      </c>
      <c r="AH516" s="52"/>
      <c r="AI516" s="52"/>
      <c r="AJ516" s="52"/>
      <c r="AK516" s="28">
        <v>1.5625</v>
      </c>
      <c r="AL516" s="28">
        <v>1.5</v>
      </c>
      <c r="AM516" s="28">
        <v>0.125</v>
      </c>
      <c r="AN516" s="28">
        <v>0.25</v>
      </c>
      <c r="AO516" s="28">
        <v>0.45454545454545447</v>
      </c>
      <c r="AP516" s="28">
        <v>0.43636363636363629</v>
      </c>
      <c r="AQ516" s="28">
        <v>3.6363636363636362E-2</v>
      </c>
      <c r="AR516" s="28">
        <v>7.2727272727272724E-2</v>
      </c>
      <c r="AS516" s="25">
        <v>1.1399999999999999</v>
      </c>
      <c r="AT516" s="25">
        <v>3.44</v>
      </c>
      <c r="AU516" s="25">
        <v>2.2999999999999998</v>
      </c>
      <c r="AV516" s="25">
        <v>2.5237500000000002</v>
      </c>
      <c r="AW516">
        <v>2.5237500000000002</v>
      </c>
      <c r="AX516">
        <v>6.6699372256848122</v>
      </c>
      <c r="AY516" s="75"/>
      <c r="AZ516" s="75"/>
      <c r="BA516" s="75"/>
      <c r="BB516">
        <v>4.0135175270310401E-2</v>
      </c>
      <c r="BF516">
        <v>8.0270350540620802E-2</v>
      </c>
      <c r="BG516">
        <v>4.0135175270310401E-2</v>
      </c>
      <c r="BH516">
        <v>0</v>
      </c>
      <c r="CA516" t="e">
        <f t="shared" si="66"/>
        <v>#NUM!</v>
      </c>
    </row>
    <row r="517" spans="1:79" x14ac:dyDescent="0.3">
      <c r="A517" s="2" t="s">
        <v>341</v>
      </c>
      <c r="B517" s="18" t="s">
        <v>1014</v>
      </c>
      <c r="C517" s="13"/>
      <c r="D517" s="2">
        <v>3.45</v>
      </c>
      <c r="E517" s="2" t="s">
        <v>319</v>
      </c>
      <c r="F517" s="9">
        <v>-1</v>
      </c>
      <c r="G517">
        <v>-1</v>
      </c>
      <c r="I517" s="2">
        <v>4</v>
      </c>
      <c r="J517" s="25">
        <v>0</v>
      </c>
      <c r="K517">
        <v>0</v>
      </c>
      <c r="L517">
        <v>0</v>
      </c>
      <c r="M517" s="2">
        <v>3.72</v>
      </c>
      <c r="N517" s="2">
        <v>3.72</v>
      </c>
      <c r="O517" s="2">
        <v>41.1</v>
      </c>
      <c r="P517" s="2" t="s">
        <v>519</v>
      </c>
      <c r="Q517" s="2"/>
      <c r="R517" s="25">
        <v>0</v>
      </c>
      <c r="U517">
        <v>0</v>
      </c>
      <c r="X517">
        <v>0</v>
      </c>
      <c r="AA517" s="2"/>
      <c r="AB517">
        <v>10</v>
      </c>
      <c r="AC517" s="55">
        <f t="shared" si="64"/>
        <v>568.75824000000011</v>
      </c>
      <c r="AD517" s="57">
        <v>0</v>
      </c>
      <c r="AE517" s="55">
        <v>0</v>
      </c>
      <c r="AF517" s="55">
        <v>0</v>
      </c>
      <c r="AG517" s="52">
        <f t="shared" si="65"/>
        <v>7.0328651414351365E-2</v>
      </c>
      <c r="AH517" s="52"/>
      <c r="AI517" s="52"/>
      <c r="AJ517" s="52"/>
      <c r="AK517" s="28">
        <v>1.5263157894736841</v>
      </c>
      <c r="AL517" s="28">
        <v>1.368421052631579</v>
      </c>
      <c r="AM517" s="28">
        <v>0.10526315789473679</v>
      </c>
      <c r="AN517" s="28">
        <v>0.2105263157894737</v>
      </c>
      <c r="AO517" s="28">
        <v>0.47540983606557369</v>
      </c>
      <c r="AP517" s="28">
        <v>0.42622950819672129</v>
      </c>
      <c r="AQ517" s="28">
        <v>3.2786885245901627E-2</v>
      </c>
      <c r="AR517" s="28">
        <v>6.5573770491803268E-2</v>
      </c>
      <c r="AS517" s="25">
        <v>1.1399999999999999</v>
      </c>
      <c r="AT517" s="25">
        <v>3.44</v>
      </c>
      <c r="AU517" s="25">
        <v>2.2999999999999998</v>
      </c>
      <c r="AV517" s="25">
        <v>2.4910526315789472</v>
      </c>
      <c r="AW517">
        <v>2.4910526315789481</v>
      </c>
      <c r="AX517">
        <v>6.7017488956136306</v>
      </c>
      <c r="AY517" s="75"/>
      <c r="AZ517" s="75"/>
      <c r="BA517" s="75"/>
      <c r="BB517">
        <v>3.5164325707175682E-2</v>
      </c>
      <c r="BF517">
        <v>7.0328651414351365E-2</v>
      </c>
      <c r="BG517">
        <v>3.5164325707175682E-2</v>
      </c>
      <c r="BH517">
        <v>0</v>
      </c>
      <c r="CA517" t="e">
        <f t="shared" si="66"/>
        <v>#NUM!</v>
      </c>
    </row>
    <row r="518" spans="1:79" x14ac:dyDescent="0.3">
      <c r="A518" s="2" t="s">
        <v>342</v>
      </c>
      <c r="B518" s="18" t="s">
        <v>1015</v>
      </c>
      <c r="C518" s="13"/>
      <c r="D518" s="2">
        <v>3.45</v>
      </c>
      <c r="E518" s="2" t="s">
        <v>319</v>
      </c>
      <c r="F518" s="9">
        <v>-1</v>
      </c>
      <c r="G518">
        <v>-1</v>
      </c>
      <c r="I518" s="2">
        <v>4</v>
      </c>
      <c r="J518" s="25">
        <v>0</v>
      </c>
      <c r="K518">
        <v>0</v>
      </c>
      <c r="L518">
        <v>0</v>
      </c>
      <c r="M518" s="2">
        <v>3.71</v>
      </c>
      <c r="N518" s="2">
        <v>3.71</v>
      </c>
      <c r="O518" s="2">
        <v>44.5</v>
      </c>
      <c r="P518" s="2" t="s">
        <v>519</v>
      </c>
      <c r="Q518" s="2"/>
      <c r="R518" s="25">
        <v>0</v>
      </c>
      <c r="U518">
        <v>0</v>
      </c>
      <c r="X518">
        <v>0</v>
      </c>
      <c r="AA518" s="2"/>
      <c r="AB518">
        <v>10</v>
      </c>
      <c r="AC518" s="55">
        <f t="shared" si="64"/>
        <v>612.50244999999995</v>
      </c>
      <c r="AD518" s="57">
        <v>0</v>
      </c>
      <c r="AE518" s="55">
        <v>0</v>
      </c>
      <c r="AF518" s="55">
        <v>0</v>
      </c>
      <c r="AG518" s="52">
        <f t="shared" si="65"/>
        <v>6.5305861225534695E-2</v>
      </c>
      <c r="AH518" s="52"/>
      <c r="AI518" s="52"/>
      <c r="AJ518" s="52"/>
      <c r="AK518" s="28">
        <v>1.5</v>
      </c>
      <c r="AL518" s="28">
        <v>1.2727272727272729</v>
      </c>
      <c r="AM518" s="28">
        <v>9.0909090909090912E-2</v>
      </c>
      <c r="AN518" s="28">
        <v>0.1818181818181818</v>
      </c>
      <c r="AO518" s="28">
        <v>0.49253731343283591</v>
      </c>
      <c r="AP518" s="28">
        <v>0.41791044776119401</v>
      </c>
      <c r="AQ518" s="28">
        <v>2.9850746268656719E-2</v>
      </c>
      <c r="AR518" s="28">
        <v>5.9701492537313439E-2</v>
      </c>
      <c r="AS518" s="25">
        <v>1.1399999999999999</v>
      </c>
      <c r="AT518" s="25">
        <v>3.44</v>
      </c>
      <c r="AU518" s="25">
        <v>2.2999999999999998</v>
      </c>
      <c r="AV518" s="25">
        <v>2.4672727272727282</v>
      </c>
      <c r="AW518">
        <v>2.4672727272727268</v>
      </c>
      <c r="AX518">
        <v>6.7248846555618629</v>
      </c>
      <c r="AY518" s="75"/>
      <c r="AZ518" s="75"/>
      <c r="BA518" s="75"/>
      <c r="BB518">
        <v>3.2652930612767347E-2</v>
      </c>
      <c r="BF518">
        <v>6.5305861225534695E-2</v>
      </c>
      <c r="BG518">
        <v>3.2652930612767347E-2</v>
      </c>
      <c r="BH518">
        <v>0</v>
      </c>
      <c r="CA518" t="e">
        <f t="shared" si="66"/>
        <v>#NUM!</v>
      </c>
    </row>
    <row r="519" spans="1:79" x14ac:dyDescent="0.3">
      <c r="A519" s="2" t="s">
        <v>343</v>
      </c>
      <c r="B519" s="18" t="s">
        <v>1016</v>
      </c>
      <c r="C519" s="13"/>
      <c r="D519" s="2">
        <v>3.41</v>
      </c>
      <c r="E519" s="2" t="s">
        <v>319</v>
      </c>
      <c r="F519" s="9">
        <v>-1</v>
      </c>
      <c r="G519">
        <v>-1</v>
      </c>
      <c r="I519" s="2">
        <v>4</v>
      </c>
      <c r="J519" s="25">
        <v>0</v>
      </c>
      <c r="K519">
        <v>0</v>
      </c>
      <c r="L519">
        <v>0</v>
      </c>
      <c r="M519" s="2">
        <v>3.71</v>
      </c>
      <c r="N519" s="2">
        <v>3.71</v>
      </c>
      <c r="O519" s="2">
        <v>54.9</v>
      </c>
      <c r="P519" s="2" t="s">
        <v>519</v>
      </c>
      <c r="Q519" s="2"/>
      <c r="R519" s="25">
        <v>0</v>
      </c>
      <c r="S519" s="25"/>
      <c r="T519" s="25"/>
      <c r="U519">
        <v>0</v>
      </c>
      <c r="X519">
        <v>0</v>
      </c>
      <c r="AA519" s="2"/>
      <c r="AB519">
        <v>10</v>
      </c>
      <c r="AC519" s="55">
        <f t="shared" si="64"/>
        <v>755.64908999999989</v>
      </c>
      <c r="AD519" s="57">
        <v>0</v>
      </c>
      <c r="AE519" s="55">
        <v>0</v>
      </c>
      <c r="AF519" s="55">
        <v>0</v>
      </c>
      <c r="AG519" s="52">
        <f t="shared" si="65"/>
        <v>5.2934623397746704E-2</v>
      </c>
      <c r="AH519" s="51"/>
      <c r="AI519" s="52"/>
      <c r="AJ519" s="52"/>
      <c r="AK519" s="28">
        <v>1.464285714285714</v>
      </c>
      <c r="AL519" s="28">
        <v>1.142857142857143</v>
      </c>
      <c r="AM519" s="28">
        <v>7.1428571428571425E-2</v>
      </c>
      <c r="AN519" s="28">
        <v>0.14285714285714279</v>
      </c>
      <c r="AO519" s="28">
        <v>0.51898734177215178</v>
      </c>
      <c r="AP519" s="28">
        <v>0.40506329113924039</v>
      </c>
      <c r="AQ519" s="28">
        <v>2.5316455696202531E-2</v>
      </c>
      <c r="AR519" s="28">
        <v>5.0632911392405063E-2</v>
      </c>
      <c r="AS519" s="25">
        <v>1.1399999999999999</v>
      </c>
      <c r="AT519" s="25">
        <v>3.44</v>
      </c>
      <c r="AU519" s="25">
        <v>2.2999999999999998</v>
      </c>
      <c r="AV519" s="25">
        <v>2.4350000000000001</v>
      </c>
      <c r="AW519">
        <v>2.4350000000000001</v>
      </c>
      <c r="AX519">
        <v>6.7562831869201787</v>
      </c>
      <c r="AY519" s="75"/>
      <c r="AZ519" s="75"/>
      <c r="BA519" s="75"/>
      <c r="BB519">
        <v>2.6467311698873348E-2</v>
      </c>
      <c r="BF519">
        <v>5.2934623397746697E-2</v>
      </c>
      <c r="BG519">
        <v>2.6467311698873348E-2</v>
      </c>
      <c r="BH519">
        <v>0</v>
      </c>
      <c r="CA519" t="e">
        <f t="shared" si="66"/>
        <v>#NUM!</v>
      </c>
    </row>
    <row r="520" spans="1:79" x14ac:dyDescent="0.3">
      <c r="A520" s="2" t="s">
        <v>344</v>
      </c>
      <c r="B520" s="18" t="s">
        <v>1017</v>
      </c>
      <c r="C520" s="13"/>
      <c r="D520" s="2">
        <v>3.41</v>
      </c>
      <c r="E520" s="2" t="s">
        <v>319</v>
      </c>
      <c r="F520" s="9">
        <v>-1</v>
      </c>
      <c r="G520">
        <v>-1</v>
      </c>
      <c r="I520" s="2">
        <v>4</v>
      </c>
      <c r="J520" s="25">
        <v>0</v>
      </c>
      <c r="K520">
        <v>0</v>
      </c>
      <c r="L520">
        <v>0</v>
      </c>
      <c r="M520" s="2">
        <v>3.71</v>
      </c>
      <c r="N520" s="2">
        <v>3.71</v>
      </c>
      <c r="O520" s="2">
        <v>58</v>
      </c>
      <c r="P520" s="2" t="s">
        <v>519</v>
      </c>
      <c r="Q520" s="2"/>
      <c r="R520" s="25">
        <v>0</v>
      </c>
      <c r="S520" s="25"/>
      <c r="T520" s="25"/>
      <c r="U520">
        <v>0</v>
      </c>
      <c r="X520">
        <v>0</v>
      </c>
      <c r="AA520" s="2"/>
      <c r="AB520">
        <v>10</v>
      </c>
      <c r="AC520" s="55">
        <f t="shared" si="64"/>
        <v>798.31779999999992</v>
      </c>
      <c r="AD520" s="57">
        <v>0</v>
      </c>
      <c r="AE520" s="55">
        <v>0</v>
      </c>
      <c r="AF520" s="55">
        <v>0</v>
      </c>
      <c r="AG520" s="52">
        <f t="shared" si="65"/>
        <v>5.010535904372921E-2</v>
      </c>
      <c r="AH520" s="51"/>
      <c r="AI520" s="52"/>
      <c r="AJ520" s="52"/>
      <c r="AK520" s="28">
        <v>1.4411764705882351</v>
      </c>
      <c r="AL520" s="28">
        <v>1.0588235294117649</v>
      </c>
      <c r="AM520" s="28">
        <v>5.8823529411764712E-2</v>
      </c>
      <c r="AN520" s="28">
        <v>0.1176470588235294</v>
      </c>
      <c r="AO520" s="28">
        <v>0.53846153846153855</v>
      </c>
      <c r="AP520" s="28">
        <v>0.39560439560439559</v>
      </c>
      <c r="AQ520" s="28">
        <v>2.197802197802198E-2</v>
      </c>
      <c r="AR520" s="28">
        <v>4.3956043956043959E-2</v>
      </c>
      <c r="AS520" s="25">
        <v>1.1399999999999999</v>
      </c>
      <c r="AT520" s="25">
        <v>3.44</v>
      </c>
      <c r="AU520" s="25">
        <v>2.2999999999999998</v>
      </c>
      <c r="AV520" s="25">
        <v>2.4141176470588239</v>
      </c>
      <c r="AW520">
        <v>2.4141176470588239</v>
      </c>
      <c r="AX520">
        <v>6.776599883681441</v>
      </c>
      <c r="AY520" s="75"/>
      <c r="AZ520" s="75"/>
      <c r="BA520" s="75"/>
      <c r="BB520">
        <v>2.5052679521864601E-2</v>
      </c>
      <c r="BF520">
        <v>5.010535904372921E-2</v>
      </c>
      <c r="BG520">
        <v>2.5052679521864601E-2</v>
      </c>
      <c r="BH520">
        <v>0</v>
      </c>
      <c r="CA520" t="e">
        <f t="shared" si="66"/>
        <v>#NUM!</v>
      </c>
    </row>
    <row r="521" spans="1:79" x14ac:dyDescent="0.3">
      <c r="A521" s="2" t="s">
        <v>151</v>
      </c>
      <c r="B521" s="13" t="s">
        <v>774</v>
      </c>
      <c r="C521" s="13"/>
      <c r="D521" s="2">
        <v>3.26</v>
      </c>
      <c r="E521" s="2" t="s">
        <v>345</v>
      </c>
      <c r="F521" s="9">
        <v>-1</v>
      </c>
      <c r="G521">
        <v>-1</v>
      </c>
      <c r="I521" s="2"/>
      <c r="J521" s="25">
        <v>0</v>
      </c>
      <c r="K521">
        <v>0</v>
      </c>
      <c r="L521">
        <v>0</v>
      </c>
      <c r="M521" s="2">
        <v>3.89</v>
      </c>
      <c r="N521" s="2">
        <v>3.89</v>
      </c>
      <c r="O521" s="2">
        <v>16.399999999999999</v>
      </c>
      <c r="P521" s="2"/>
      <c r="Q521" s="2"/>
      <c r="R521" s="25">
        <v>0</v>
      </c>
      <c r="S521" s="25"/>
      <c r="T521" s="25"/>
      <c r="U521">
        <v>0</v>
      </c>
      <c r="X521">
        <v>0</v>
      </c>
      <c r="AA521" s="2"/>
      <c r="AB521">
        <v>20</v>
      </c>
      <c r="AC521" s="55">
        <f t="shared" si="64"/>
        <v>248.16643999999999</v>
      </c>
      <c r="AD521" s="57">
        <v>0</v>
      </c>
      <c r="AE521" s="55">
        <v>0</v>
      </c>
      <c r="AF521" s="55">
        <v>0</v>
      </c>
      <c r="AG521" s="52"/>
      <c r="AH521" s="51"/>
      <c r="AI521" s="52"/>
      <c r="AJ521" s="52"/>
      <c r="AK521" s="28">
        <v>1.75</v>
      </c>
      <c r="AL521" s="28">
        <v>2.5</v>
      </c>
      <c r="AM521" s="28">
        <v>0.75</v>
      </c>
      <c r="AN521" s="28">
        <v>0</v>
      </c>
      <c r="AO521" s="28">
        <v>0.35</v>
      </c>
      <c r="AP521" s="28">
        <v>0.5</v>
      </c>
      <c r="AQ521" s="28">
        <v>0.15</v>
      </c>
      <c r="AR521" s="28">
        <v>0</v>
      </c>
      <c r="AS521" s="25">
        <v>0.95</v>
      </c>
      <c r="AT521" s="25">
        <v>3.44</v>
      </c>
      <c r="AU521" s="25">
        <v>2.4900000000000002</v>
      </c>
      <c r="AV521" s="25">
        <v>2.7062499999999998</v>
      </c>
      <c r="AW521">
        <v>2.7062499999999998</v>
      </c>
      <c r="AX521">
        <v>6.2396022968656872</v>
      </c>
      <c r="AY521" s="75"/>
      <c r="AZ521" s="75"/>
      <c r="BA521" s="75"/>
      <c r="BF521">
        <v>0</v>
      </c>
      <c r="BG521">
        <v>0</v>
      </c>
      <c r="BH521">
        <v>0</v>
      </c>
      <c r="CA521" t="e">
        <f t="shared" si="66"/>
        <v>#NUM!</v>
      </c>
    </row>
    <row r="522" spans="1:79" x14ac:dyDescent="0.3">
      <c r="A522" s="2" t="s">
        <v>63</v>
      </c>
      <c r="B522" s="13" t="s">
        <v>773</v>
      </c>
      <c r="C522" s="13"/>
      <c r="D522" s="2">
        <v>3.5</v>
      </c>
      <c r="E522" s="2" t="s">
        <v>345</v>
      </c>
      <c r="F522" s="9">
        <v>-1</v>
      </c>
      <c r="G522">
        <v>-1</v>
      </c>
      <c r="I522" s="2">
        <v>1</v>
      </c>
      <c r="J522" s="25">
        <v>0</v>
      </c>
      <c r="K522">
        <v>0</v>
      </c>
      <c r="L522">
        <v>0</v>
      </c>
      <c r="M522" s="2">
        <v>3.82</v>
      </c>
      <c r="N522" s="2">
        <v>3.82</v>
      </c>
      <c r="O522" s="2">
        <v>16</v>
      </c>
      <c r="P522" s="2"/>
      <c r="Q522" s="2"/>
      <c r="R522" s="25">
        <v>0</v>
      </c>
      <c r="S522" s="25"/>
      <c r="T522" s="25"/>
      <c r="U522">
        <v>0</v>
      </c>
      <c r="X522">
        <v>0</v>
      </c>
      <c r="AA522" s="2"/>
      <c r="AB522">
        <v>20</v>
      </c>
      <c r="AC522" s="55">
        <f t="shared" si="64"/>
        <v>233.47839999999999</v>
      </c>
      <c r="AD522" s="57">
        <v>0</v>
      </c>
      <c r="AE522" s="55">
        <v>0</v>
      </c>
      <c r="AF522" s="55">
        <v>0</v>
      </c>
      <c r="AG522" s="52">
        <f t="shared" si="65"/>
        <v>8.5661029028809524E-2</v>
      </c>
      <c r="AH522" s="51"/>
      <c r="AI522" s="52"/>
      <c r="AJ522" s="52"/>
      <c r="AK522" s="28">
        <v>1.75</v>
      </c>
      <c r="AL522" s="28">
        <v>2.5</v>
      </c>
      <c r="AM522" s="28">
        <v>0.75</v>
      </c>
      <c r="AN522" s="28">
        <v>0</v>
      </c>
      <c r="AO522" s="28">
        <v>0.35</v>
      </c>
      <c r="AP522" s="28">
        <v>0.5</v>
      </c>
      <c r="AQ522" s="28">
        <v>0.15</v>
      </c>
      <c r="AR522" s="28">
        <v>0</v>
      </c>
      <c r="AS522" s="25">
        <v>1</v>
      </c>
      <c r="AT522" s="25">
        <v>3.44</v>
      </c>
      <c r="AU522" s="25">
        <v>2.44</v>
      </c>
      <c r="AV522" s="25">
        <v>2.7124999999999999</v>
      </c>
      <c r="AW522">
        <v>2.7124999999999999</v>
      </c>
      <c r="AX522">
        <v>6.264025610615688</v>
      </c>
      <c r="AY522" s="75"/>
      <c r="AZ522" s="75"/>
      <c r="BA522" s="75"/>
      <c r="BB522">
        <v>4.2830514514404762E-2</v>
      </c>
      <c r="BF522">
        <v>8.5661029028809524E-2</v>
      </c>
      <c r="BG522">
        <v>4.2830514514404762E-2</v>
      </c>
      <c r="BH522">
        <v>0</v>
      </c>
      <c r="CA522" t="e">
        <f t="shared" si="66"/>
        <v>#NUM!</v>
      </c>
    </row>
    <row r="523" spans="1:79" x14ac:dyDescent="0.3">
      <c r="A523" s="2" t="s">
        <v>4</v>
      </c>
      <c r="B523" s="13" t="s">
        <v>689</v>
      </c>
      <c r="C523" s="13"/>
      <c r="D523" s="2">
        <v>3.54</v>
      </c>
      <c r="E523" s="2" t="s">
        <v>352</v>
      </c>
      <c r="F523" s="9" t="s">
        <v>527</v>
      </c>
      <c r="G523" t="s">
        <v>609</v>
      </c>
      <c r="I523" s="2">
        <v>2</v>
      </c>
      <c r="J523" s="25">
        <v>4</v>
      </c>
      <c r="K523">
        <v>4</v>
      </c>
      <c r="L523">
        <v>0</v>
      </c>
      <c r="M523" s="2">
        <v>3.86</v>
      </c>
      <c r="N523" s="2">
        <v>3.86</v>
      </c>
      <c r="O523" s="2">
        <v>29.4</v>
      </c>
      <c r="P523" s="2"/>
      <c r="Q523" s="2"/>
      <c r="R523" s="25">
        <v>7.8084429999999996</v>
      </c>
      <c r="S523" s="25">
        <v>7.8548809999999998</v>
      </c>
      <c r="T523" s="25">
        <v>15.19056011</v>
      </c>
      <c r="U523">
        <v>3.8801999999999999</v>
      </c>
      <c r="V523">
        <v>29.507999999999999</v>
      </c>
      <c r="W523">
        <v>7.7140000000000004</v>
      </c>
      <c r="X523">
        <v>0</v>
      </c>
      <c r="AA523" s="2"/>
      <c r="AB523">
        <v>20</v>
      </c>
      <c r="AC523" s="55">
        <f t="shared" si="64"/>
        <v>438.04823999999996</v>
      </c>
      <c r="AD523" s="57">
        <v>924.74694800021894</v>
      </c>
      <c r="AE523" s="55">
        <v>883.22940750240002</v>
      </c>
      <c r="AF523" s="55">
        <v>0</v>
      </c>
      <c r="AG523" s="52">
        <f t="shared" si="65"/>
        <v>9.1314143848631832E-2</v>
      </c>
      <c r="AH523" s="51">
        <v>8.6510153045653584E-2</v>
      </c>
      <c r="AI523" s="52">
        <v>9.0576694254581439E-2</v>
      </c>
      <c r="AJ523" s="52"/>
      <c r="AK523" s="28">
        <v>1.75</v>
      </c>
      <c r="AL523" s="28">
        <v>2.5</v>
      </c>
      <c r="AM523" s="28">
        <v>0.75</v>
      </c>
      <c r="AN523" s="28">
        <v>0</v>
      </c>
      <c r="AO523" s="28">
        <v>0.35</v>
      </c>
      <c r="AP523" s="28">
        <v>0.5</v>
      </c>
      <c r="AQ523" s="28">
        <v>0.15</v>
      </c>
      <c r="AR523" s="28">
        <v>0</v>
      </c>
      <c r="AS523" s="25">
        <v>0.82</v>
      </c>
      <c r="AT523" s="25">
        <v>3.44</v>
      </c>
      <c r="AU523" s="25">
        <v>2.62</v>
      </c>
      <c r="AV523" s="25">
        <v>2.6262500000000002</v>
      </c>
      <c r="AW523">
        <v>2.6262500000000002</v>
      </c>
      <c r="AX523">
        <v>5.96680968125</v>
      </c>
      <c r="AY523" s="75">
        <v>0.50555206026575039</v>
      </c>
      <c r="AZ523" s="75">
        <v>0</v>
      </c>
      <c r="BA523" s="75"/>
      <c r="BB523">
        <v>4.5657071924315923E-2</v>
      </c>
      <c r="BC523">
        <v>4.3255076522826792E-2</v>
      </c>
      <c r="BD523">
        <v>4.5288347127290719E-2</v>
      </c>
      <c r="BF523">
        <v>8.9466997049622285E-2</v>
      </c>
      <c r="BG523">
        <v>4.4733498524811142E-2</v>
      </c>
      <c r="BH523">
        <v>0.2527760301328752</v>
      </c>
      <c r="CA523" t="e">
        <f t="shared" si="66"/>
        <v>#NUM!</v>
      </c>
    </row>
    <row r="524" spans="1:79" x14ac:dyDescent="0.3">
      <c r="A524" s="2" t="s">
        <v>63</v>
      </c>
      <c r="B524" s="13" t="s">
        <v>773</v>
      </c>
      <c r="C524" s="13"/>
      <c r="D524" s="2">
        <v>3.5</v>
      </c>
      <c r="E524" s="2" t="s">
        <v>352</v>
      </c>
      <c r="F524" s="9">
        <v>-1</v>
      </c>
      <c r="G524">
        <v>-1</v>
      </c>
      <c r="I524" s="2">
        <v>1</v>
      </c>
      <c r="J524" s="25">
        <v>0</v>
      </c>
      <c r="K524">
        <v>0</v>
      </c>
      <c r="L524">
        <v>0</v>
      </c>
      <c r="M524" s="2">
        <v>3.82</v>
      </c>
      <c r="N524" s="2">
        <v>3.82</v>
      </c>
      <c r="O524" s="2">
        <v>16</v>
      </c>
      <c r="P524" s="2"/>
      <c r="Q524" s="2"/>
      <c r="R524" s="25">
        <v>0</v>
      </c>
      <c r="S524" s="25"/>
      <c r="T524" s="25"/>
      <c r="U524">
        <v>0</v>
      </c>
      <c r="X524">
        <v>0</v>
      </c>
      <c r="AA524" s="2"/>
      <c r="AB524">
        <v>20</v>
      </c>
      <c r="AC524" s="55">
        <f t="shared" si="64"/>
        <v>233.47839999999999</v>
      </c>
      <c r="AD524" s="57">
        <v>0</v>
      </c>
      <c r="AE524" s="55">
        <v>0</v>
      </c>
      <c r="AF524" s="55">
        <v>0</v>
      </c>
      <c r="AG524" s="52">
        <f t="shared" si="65"/>
        <v>8.5661029028809524E-2</v>
      </c>
      <c r="AH524" s="51"/>
      <c r="AI524" s="52"/>
      <c r="AJ524" s="52"/>
      <c r="AK524" s="28">
        <v>1.75</v>
      </c>
      <c r="AL524" s="28">
        <v>2.5</v>
      </c>
      <c r="AM524" s="28">
        <v>0.75</v>
      </c>
      <c r="AN524" s="28">
        <v>0</v>
      </c>
      <c r="AO524" s="28">
        <v>0.35</v>
      </c>
      <c r="AP524" s="28">
        <v>0.5</v>
      </c>
      <c r="AQ524" s="28">
        <v>0.15</v>
      </c>
      <c r="AR524" s="28">
        <v>0</v>
      </c>
      <c r="AS524" s="25">
        <v>1</v>
      </c>
      <c r="AT524" s="25">
        <v>3.44</v>
      </c>
      <c r="AU524" s="25">
        <v>2.44</v>
      </c>
      <c r="AV524" s="25">
        <v>2.7124999999999999</v>
      </c>
      <c r="AW524">
        <v>2.7124999999999999</v>
      </c>
      <c r="AX524">
        <v>6.264025610615688</v>
      </c>
      <c r="AY524" s="75"/>
      <c r="AZ524" s="75"/>
      <c r="BA524" s="75"/>
      <c r="BB524">
        <v>4.2830514514404762E-2</v>
      </c>
      <c r="BF524">
        <v>8.5661029028809524E-2</v>
      </c>
      <c r="BG524">
        <v>4.2830514514404762E-2</v>
      </c>
      <c r="BH524">
        <v>0</v>
      </c>
      <c r="CA524" t="e">
        <f t="shared" si="66"/>
        <v>#NUM!</v>
      </c>
    </row>
    <row r="525" spans="1:79" x14ac:dyDescent="0.3">
      <c r="A525" s="2" t="s">
        <v>346</v>
      </c>
      <c r="B525" s="18" t="s">
        <v>1018</v>
      </c>
      <c r="C525" s="13"/>
      <c r="D525" s="2">
        <v>3.45</v>
      </c>
      <c r="E525" s="2" t="s">
        <v>352</v>
      </c>
      <c r="F525" s="9">
        <v>-1</v>
      </c>
      <c r="G525">
        <v>-1</v>
      </c>
      <c r="I525" s="2">
        <v>1</v>
      </c>
      <c r="J525" s="25">
        <v>0</v>
      </c>
      <c r="K525">
        <v>0</v>
      </c>
      <c r="L525">
        <v>0</v>
      </c>
      <c r="M525" s="2">
        <v>3.86</v>
      </c>
      <c r="N525" s="2">
        <v>3.86</v>
      </c>
      <c r="O525" s="2">
        <v>20.9</v>
      </c>
      <c r="P525" s="2"/>
      <c r="Q525" s="2"/>
      <c r="R525" s="25">
        <v>0</v>
      </c>
      <c r="S525" s="25"/>
      <c r="T525" s="25"/>
      <c r="U525">
        <v>0</v>
      </c>
      <c r="X525">
        <v>0</v>
      </c>
      <c r="AA525" s="2"/>
      <c r="AB525">
        <v>20</v>
      </c>
      <c r="AC525" s="55">
        <f t="shared" si="64"/>
        <v>311.40163999999999</v>
      </c>
      <c r="AD525" s="57">
        <v>0</v>
      </c>
      <c r="AE525" s="55">
        <v>0</v>
      </c>
      <c r="AF525" s="55">
        <v>0</v>
      </c>
      <c r="AG525" s="52">
        <f t="shared" si="65"/>
        <v>6.4225737539468322E-2</v>
      </c>
      <c r="AH525" s="51"/>
      <c r="AI525" s="52"/>
      <c r="AJ525" s="52"/>
      <c r="AK525" s="28">
        <v>1.6190476190476191</v>
      </c>
      <c r="AL525" s="28">
        <v>2</v>
      </c>
      <c r="AM525" s="28">
        <v>0.5714285714285714</v>
      </c>
      <c r="AN525" s="28">
        <v>0</v>
      </c>
      <c r="AO525" s="28">
        <v>0.38636363636363641</v>
      </c>
      <c r="AP525" s="28">
        <v>0.47727272727272718</v>
      </c>
      <c r="AQ525" s="28">
        <v>0.13636363636363641</v>
      </c>
      <c r="AR525" s="28">
        <v>0</v>
      </c>
      <c r="AS525" s="25">
        <v>1</v>
      </c>
      <c r="AT525" s="25">
        <v>3.44</v>
      </c>
      <c r="AU525" s="25">
        <v>2.44</v>
      </c>
      <c r="AV525" s="25">
        <v>2.6071428571428572</v>
      </c>
      <c r="AW525">
        <v>2.6071428571428572</v>
      </c>
      <c r="AX525">
        <v>6.4376988464407141</v>
      </c>
      <c r="AY525" s="75"/>
      <c r="AZ525" s="75"/>
      <c r="BA525" s="75"/>
      <c r="BB525">
        <v>3.2112868769734161E-2</v>
      </c>
      <c r="BF525">
        <v>6.4225737539468322E-2</v>
      </c>
      <c r="BG525">
        <v>3.2112868769734161E-2</v>
      </c>
      <c r="BH525">
        <v>0</v>
      </c>
      <c r="CA525" t="e">
        <f t="shared" si="66"/>
        <v>#NUM!</v>
      </c>
    </row>
    <row r="526" spans="1:79" x14ac:dyDescent="0.3">
      <c r="A526" s="2" t="s">
        <v>347</v>
      </c>
      <c r="B526" s="18" t="s">
        <v>1019</v>
      </c>
      <c r="C526" s="13"/>
      <c r="D526" s="2">
        <v>3.5</v>
      </c>
      <c r="E526" s="2" t="s">
        <v>352</v>
      </c>
      <c r="F526" s="9">
        <v>-1</v>
      </c>
      <c r="G526">
        <v>-1</v>
      </c>
      <c r="I526" s="2">
        <v>1</v>
      </c>
      <c r="J526" s="25">
        <v>0</v>
      </c>
      <c r="K526">
        <v>0</v>
      </c>
      <c r="L526">
        <v>0</v>
      </c>
      <c r="M526" s="2">
        <v>3.86</v>
      </c>
      <c r="N526" s="2">
        <v>3.86</v>
      </c>
      <c r="O526" s="2">
        <v>17.899999999999999</v>
      </c>
      <c r="P526" s="2"/>
      <c r="Q526" s="2"/>
      <c r="R526" s="25">
        <v>0</v>
      </c>
      <c r="S526" s="25"/>
      <c r="T526" s="25"/>
      <c r="U526">
        <v>0</v>
      </c>
      <c r="X526">
        <v>0</v>
      </c>
      <c r="AA526" s="2"/>
      <c r="AB526">
        <v>20</v>
      </c>
      <c r="AC526" s="55">
        <f t="shared" si="64"/>
        <v>266.70283999999998</v>
      </c>
      <c r="AD526" s="57">
        <v>0</v>
      </c>
      <c r="AE526" s="55">
        <v>0</v>
      </c>
      <c r="AF526" s="55">
        <v>0</v>
      </c>
      <c r="AG526" s="52">
        <f t="shared" si="65"/>
        <v>7.4989827629882017E-2</v>
      </c>
      <c r="AH526" s="51"/>
      <c r="AI526" s="52"/>
      <c r="AJ526" s="52"/>
      <c r="AK526" s="28">
        <v>1.583333333333333</v>
      </c>
      <c r="AL526" s="28">
        <v>1.833333333333333</v>
      </c>
      <c r="AM526" s="28">
        <v>0.5</v>
      </c>
      <c r="AN526" s="28">
        <v>0</v>
      </c>
      <c r="AO526" s="28">
        <v>0.40425531914893609</v>
      </c>
      <c r="AP526" s="28">
        <v>0.46808510638297868</v>
      </c>
      <c r="AQ526" s="28">
        <v>0.1276595744680851</v>
      </c>
      <c r="AR526" s="28">
        <v>0</v>
      </c>
      <c r="AS526" s="25">
        <v>1</v>
      </c>
      <c r="AT526" s="25">
        <v>3.44</v>
      </c>
      <c r="AU526" s="25">
        <v>2.44</v>
      </c>
      <c r="AV526" s="25">
        <v>2.5708333333333329</v>
      </c>
      <c r="AW526">
        <v>2.5708333333333329</v>
      </c>
      <c r="AX526">
        <v>6.4919128825398751</v>
      </c>
      <c r="AY526" s="75"/>
      <c r="AZ526" s="75"/>
      <c r="BA526" s="75"/>
      <c r="BB526">
        <v>3.7494913814941008E-2</v>
      </c>
      <c r="BF526">
        <v>7.4989827629882017E-2</v>
      </c>
      <c r="BG526">
        <v>3.7494913814941008E-2</v>
      </c>
      <c r="BH526">
        <v>0</v>
      </c>
      <c r="CA526" t="e">
        <f t="shared" si="66"/>
        <v>#NUM!</v>
      </c>
    </row>
    <row r="527" spans="1:79" x14ac:dyDescent="0.3">
      <c r="A527" s="2" t="s">
        <v>348</v>
      </c>
      <c r="B527" s="18" t="s">
        <v>1020</v>
      </c>
      <c r="C527" s="13"/>
      <c r="D527" s="2">
        <v>3.53</v>
      </c>
      <c r="E527" s="2" t="s">
        <v>352</v>
      </c>
      <c r="F527" s="9">
        <v>-1</v>
      </c>
      <c r="G527">
        <v>-1</v>
      </c>
      <c r="I527" s="2">
        <v>1</v>
      </c>
      <c r="J527" s="25">
        <v>0</v>
      </c>
      <c r="K527">
        <v>0</v>
      </c>
      <c r="L527">
        <v>0</v>
      </c>
      <c r="M527" s="2">
        <v>3.86</v>
      </c>
      <c r="N527" s="2">
        <v>3.86</v>
      </c>
      <c r="O527" s="2">
        <v>19.899999999999999</v>
      </c>
      <c r="P527" s="2"/>
      <c r="Q527" s="2"/>
      <c r="R527" s="25">
        <v>0</v>
      </c>
      <c r="S527" s="25"/>
      <c r="T527" s="25"/>
      <c r="U527">
        <v>0</v>
      </c>
      <c r="X527">
        <v>0</v>
      </c>
      <c r="AA527" s="2"/>
      <c r="AB527">
        <v>20</v>
      </c>
      <c r="AC527" s="55">
        <f t="shared" si="64"/>
        <v>296.50203999999997</v>
      </c>
      <c r="AD527" s="57">
        <v>0</v>
      </c>
      <c r="AE527" s="55">
        <v>0</v>
      </c>
      <c r="AF527" s="55">
        <v>0</v>
      </c>
      <c r="AG527" s="52">
        <f t="shared" si="65"/>
        <v>6.745316153642654E-2</v>
      </c>
      <c r="AH527" s="51"/>
      <c r="AI527" s="52"/>
      <c r="AJ527" s="52"/>
      <c r="AK527" s="28">
        <v>1.555555555555556</v>
      </c>
      <c r="AL527" s="28">
        <v>1.7037037037037039</v>
      </c>
      <c r="AM527" s="28">
        <v>0.44444444444444442</v>
      </c>
      <c r="AN527" s="28">
        <v>0</v>
      </c>
      <c r="AO527" s="28">
        <v>0.42</v>
      </c>
      <c r="AP527" s="28">
        <v>0.46</v>
      </c>
      <c r="AQ527" s="28">
        <v>0.12</v>
      </c>
      <c r="AR527" s="28">
        <v>0</v>
      </c>
      <c r="AS527" s="25">
        <v>1</v>
      </c>
      <c r="AT527" s="25">
        <v>3.44</v>
      </c>
      <c r="AU527" s="25">
        <v>2.44</v>
      </c>
      <c r="AV527" s="25">
        <v>2.5425925925925932</v>
      </c>
      <c r="AW527">
        <v>2.5425925925925932</v>
      </c>
      <c r="AX527">
        <v>6.5340793550614444</v>
      </c>
      <c r="AY527" s="75"/>
      <c r="AZ527" s="75"/>
      <c r="BA527" s="75"/>
      <c r="BB527">
        <v>3.372658076821327E-2</v>
      </c>
      <c r="BF527">
        <v>6.745316153642654E-2</v>
      </c>
      <c r="BG527">
        <v>3.372658076821327E-2</v>
      </c>
      <c r="BH527">
        <v>0</v>
      </c>
      <c r="CA527" t="e">
        <f t="shared" si="66"/>
        <v>#NUM!</v>
      </c>
    </row>
    <row r="528" spans="1:79" x14ac:dyDescent="0.3">
      <c r="A528" s="2" t="s">
        <v>349</v>
      </c>
      <c r="B528" s="18" t="s">
        <v>1021</v>
      </c>
      <c r="C528" s="13"/>
      <c r="D528" s="2">
        <v>3.5</v>
      </c>
      <c r="E528" s="2" t="s">
        <v>352</v>
      </c>
      <c r="F528" s="9">
        <v>-1</v>
      </c>
      <c r="G528">
        <v>-1</v>
      </c>
      <c r="I528" s="2">
        <v>1</v>
      </c>
      <c r="J528" s="25">
        <v>0</v>
      </c>
      <c r="K528">
        <v>0</v>
      </c>
      <c r="L528">
        <v>0</v>
      </c>
      <c r="M528" s="2">
        <v>3.87</v>
      </c>
      <c r="N528" s="2">
        <v>3.87</v>
      </c>
      <c r="O528" s="2">
        <v>22.1</v>
      </c>
      <c r="P528" s="2"/>
      <c r="Q528" s="2"/>
      <c r="R528" s="25">
        <v>0</v>
      </c>
      <c r="S528" s="25"/>
      <c r="T528" s="25"/>
      <c r="U528">
        <v>0</v>
      </c>
      <c r="X528">
        <v>0</v>
      </c>
      <c r="AA528" s="2"/>
      <c r="AB528">
        <v>20</v>
      </c>
      <c r="AC528" s="55">
        <f t="shared" si="64"/>
        <v>330.98949000000005</v>
      </c>
      <c r="AD528" s="57">
        <v>0</v>
      </c>
      <c r="AE528" s="55">
        <v>0</v>
      </c>
      <c r="AF528" s="55">
        <v>0</v>
      </c>
      <c r="AG528" s="52">
        <f t="shared" si="65"/>
        <v>6.0424879351909322E-2</v>
      </c>
      <c r="AH528" s="51"/>
      <c r="AI528" s="52"/>
      <c r="AJ528" s="52"/>
      <c r="AK528" s="28">
        <v>1.533333333333333</v>
      </c>
      <c r="AL528" s="28">
        <v>1.6</v>
      </c>
      <c r="AM528" s="28">
        <v>0.4</v>
      </c>
      <c r="AN528" s="28">
        <v>0</v>
      </c>
      <c r="AO528" s="28">
        <v>0.43396226415094352</v>
      </c>
      <c r="AP528" s="28">
        <v>0.45283018867924529</v>
      </c>
      <c r="AQ528" s="28">
        <v>0.1132075471698113</v>
      </c>
      <c r="AR528" s="28">
        <v>0</v>
      </c>
      <c r="AS528" s="25">
        <v>1</v>
      </c>
      <c r="AT528" s="25">
        <v>3.44</v>
      </c>
      <c r="AU528" s="25">
        <v>2.44</v>
      </c>
      <c r="AV528" s="25">
        <v>2.52</v>
      </c>
      <c r="AW528">
        <v>2.52</v>
      </c>
      <c r="AX528">
        <v>6.5678125330786994</v>
      </c>
      <c r="AY528" s="75"/>
      <c r="AZ528" s="75"/>
      <c r="BA528" s="75"/>
      <c r="BB528">
        <v>3.0212439675954661E-2</v>
      </c>
      <c r="BF528">
        <v>6.0424879351909322E-2</v>
      </c>
      <c r="BG528">
        <v>3.0212439675954661E-2</v>
      </c>
      <c r="BH528">
        <v>0</v>
      </c>
      <c r="CA528" t="e">
        <f t="shared" si="66"/>
        <v>#NUM!</v>
      </c>
    </row>
    <row r="529" spans="1:79" x14ac:dyDescent="0.3">
      <c r="A529" s="2" t="s">
        <v>350</v>
      </c>
      <c r="B529" s="18" t="s">
        <v>1022</v>
      </c>
      <c r="C529" s="13"/>
      <c r="D529" s="2">
        <v>3.47</v>
      </c>
      <c r="E529" s="2" t="s">
        <v>352</v>
      </c>
      <c r="F529" s="9">
        <v>-1</v>
      </c>
      <c r="G529">
        <v>-1</v>
      </c>
      <c r="I529" s="2">
        <v>1</v>
      </c>
      <c r="J529" s="25">
        <v>0</v>
      </c>
      <c r="K529">
        <v>0</v>
      </c>
      <c r="L529">
        <v>0</v>
      </c>
      <c r="M529" s="2">
        <v>3.87</v>
      </c>
      <c r="N529" s="2">
        <v>3.87</v>
      </c>
      <c r="O529" s="2">
        <v>26.4</v>
      </c>
      <c r="P529" s="2"/>
      <c r="Q529" s="2"/>
      <c r="R529" s="25">
        <v>0</v>
      </c>
      <c r="S529" s="25"/>
      <c r="T529" s="25"/>
      <c r="U529">
        <v>0</v>
      </c>
      <c r="X529">
        <v>0</v>
      </c>
      <c r="AA529" s="2"/>
      <c r="AB529">
        <v>20</v>
      </c>
      <c r="AC529" s="55">
        <f t="shared" si="64"/>
        <v>395.39015999999998</v>
      </c>
      <c r="AD529" s="57">
        <v>0</v>
      </c>
      <c r="AE529" s="55">
        <v>0</v>
      </c>
      <c r="AF529" s="55">
        <v>0</v>
      </c>
      <c r="AG529" s="52">
        <f t="shared" si="65"/>
        <v>5.0582948245348341E-2</v>
      </c>
      <c r="AH529" s="51"/>
      <c r="AI529" s="52"/>
      <c r="AJ529" s="52"/>
      <c r="AK529" s="28">
        <v>1.5</v>
      </c>
      <c r="AL529" s="28">
        <v>1.444444444444444</v>
      </c>
      <c r="AM529" s="28">
        <v>0.33333333333333331</v>
      </c>
      <c r="AN529" s="28">
        <v>0</v>
      </c>
      <c r="AO529" s="28">
        <v>0.4576271186440678</v>
      </c>
      <c r="AP529" s="28">
        <v>0.44067796610169491</v>
      </c>
      <c r="AQ529" s="28">
        <v>0.10169491525423729</v>
      </c>
      <c r="AR529" s="28">
        <v>0</v>
      </c>
      <c r="AS529" s="25">
        <v>1</v>
      </c>
      <c r="AT529" s="25">
        <v>3.44</v>
      </c>
      <c r="AU529" s="25">
        <v>2.44</v>
      </c>
      <c r="AV529" s="25">
        <v>2.4861111111111112</v>
      </c>
      <c r="AW529">
        <v>2.4861111111111112</v>
      </c>
      <c r="AX529">
        <v>6.6184123001045831</v>
      </c>
      <c r="AY529" s="75"/>
      <c r="AZ529" s="75"/>
      <c r="BA529" s="75"/>
      <c r="BB529">
        <v>2.5291474122674171E-2</v>
      </c>
      <c r="BF529">
        <v>5.0582948245348341E-2</v>
      </c>
      <c r="BG529">
        <v>2.5291474122674171E-2</v>
      </c>
      <c r="BH529">
        <v>0</v>
      </c>
      <c r="CA529" t="e">
        <f t="shared" si="66"/>
        <v>#NUM!</v>
      </c>
    </row>
    <row r="530" spans="1:79" x14ac:dyDescent="0.3">
      <c r="A530" s="2" t="s">
        <v>351</v>
      </c>
      <c r="B530" s="18" t="s">
        <v>1023</v>
      </c>
      <c r="C530" s="13"/>
      <c r="D530" s="2">
        <v>3.51</v>
      </c>
      <c r="E530" s="2" t="s">
        <v>352</v>
      </c>
      <c r="F530" s="9">
        <v>-1</v>
      </c>
      <c r="G530">
        <v>-1</v>
      </c>
      <c r="I530" s="2">
        <v>1</v>
      </c>
      <c r="J530" s="25">
        <v>0</v>
      </c>
      <c r="K530">
        <v>0</v>
      </c>
      <c r="L530">
        <v>0</v>
      </c>
      <c r="M530" s="2">
        <v>3.87</v>
      </c>
      <c r="N530" s="2">
        <v>3.87</v>
      </c>
      <c r="O530" s="2">
        <v>34.799999999999997</v>
      </c>
      <c r="P530" s="2"/>
      <c r="Q530" s="2"/>
      <c r="R530" s="25">
        <v>0</v>
      </c>
      <c r="S530" s="25"/>
      <c r="T530" s="25"/>
      <c r="U530">
        <v>0</v>
      </c>
      <c r="X530">
        <v>0</v>
      </c>
      <c r="AA530" s="2"/>
      <c r="AB530">
        <v>20</v>
      </c>
      <c r="AC530" s="55">
        <f t="shared" si="64"/>
        <v>521.19611999999995</v>
      </c>
      <c r="AD530" s="57">
        <v>0</v>
      </c>
      <c r="AE530" s="55">
        <v>0</v>
      </c>
      <c r="AF530" s="55">
        <v>0</v>
      </c>
      <c r="AG530" s="52">
        <f t="shared" si="65"/>
        <v>3.8373271082678052E-2</v>
      </c>
      <c r="AH530" s="51"/>
      <c r="AI530" s="52"/>
      <c r="AJ530" s="52"/>
      <c r="AK530" s="28">
        <v>1.4761904761904761</v>
      </c>
      <c r="AL530" s="28">
        <v>1.333333333333333</v>
      </c>
      <c r="AM530" s="28">
        <v>0.2857142857142857</v>
      </c>
      <c r="AN530" s="28">
        <v>0</v>
      </c>
      <c r="AO530" s="28">
        <v>0.47692307692307689</v>
      </c>
      <c r="AP530" s="28">
        <v>0.43076923076923068</v>
      </c>
      <c r="AQ530" s="28">
        <v>9.2307692307692299E-2</v>
      </c>
      <c r="AR530" s="28">
        <v>0</v>
      </c>
      <c r="AS530" s="25">
        <v>1</v>
      </c>
      <c r="AT530" s="25">
        <v>3.44</v>
      </c>
      <c r="AU530" s="25">
        <v>2.44</v>
      </c>
      <c r="AV530" s="25">
        <v>2.461904761904762</v>
      </c>
      <c r="AW530">
        <v>2.461904761904762</v>
      </c>
      <c r="AX530">
        <v>6.6545549908373571</v>
      </c>
      <c r="AY530" s="75"/>
      <c r="AZ530" s="75"/>
      <c r="BA530" s="75"/>
      <c r="BB530">
        <v>1.918663554133903E-2</v>
      </c>
      <c r="BF530">
        <v>3.8373271082678052E-2</v>
      </c>
      <c r="BG530">
        <v>1.918663554133903E-2</v>
      </c>
      <c r="BH530">
        <v>0</v>
      </c>
      <c r="CA530" t="e">
        <f t="shared" si="66"/>
        <v>#NUM!</v>
      </c>
    </row>
    <row r="531" spans="1:79" x14ac:dyDescent="0.3">
      <c r="A531" s="2" t="s">
        <v>180</v>
      </c>
      <c r="B531" s="13" t="s">
        <v>796</v>
      </c>
      <c r="C531" s="13"/>
      <c r="D531" s="2">
        <v>3.6</v>
      </c>
      <c r="E531" s="2" t="s">
        <v>354</v>
      </c>
      <c r="F531" s="9">
        <v>-1</v>
      </c>
      <c r="G531">
        <v>-1</v>
      </c>
      <c r="I531" s="2">
        <v>2</v>
      </c>
      <c r="J531" s="25">
        <v>0</v>
      </c>
      <c r="K531">
        <v>0</v>
      </c>
      <c r="L531">
        <v>0</v>
      </c>
      <c r="M531" s="2">
        <v>3.895</v>
      </c>
      <c r="N531" s="2">
        <v>3.895</v>
      </c>
      <c r="O531" s="2">
        <v>30.46</v>
      </c>
      <c r="P531" s="2" t="s">
        <v>440</v>
      </c>
      <c r="Q531" s="2"/>
      <c r="R531" s="25">
        <v>0</v>
      </c>
      <c r="S531" s="25"/>
      <c r="T531" s="25"/>
      <c r="U531">
        <v>0</v>
      </c>
      <c r="X531">
        <v>0</v>
      </c>
      <c r="AA531" s="2"/>
      <c r="AB531">
        <v>20</v>
      </c>
      <c r="AC531" s="55">
        <f t="shared" si="64"/>
        <v>462.1094215</v>
      </c>
      <c r="AD531" s="57">
        <v>0</v>
      </c>
      <c r="AE531" s="55">
        <v>0</v>
      </c>
      <c r="AF531" s="55">
        <v>0</v>
      </c>
      <c r="AG531" s="52">
        <f t="shared" si="65"/>
        <v>8.655958554179792E-2</v>
      </c>
      <c r="AH531" s="51"/>
      <c r="AI531" s="52"/>
      <c r="AJ531" s="52"/>
      <c r="AK531" s="28">
        <v>1.882352941176471</v>
      </c>
      <c r="AL531" s="28">
        <v>2.3529411764705879</v>
      </c>
      <c r="AM531" s="28">
        <v>0.47058823529411759</v>
      </c>
      <c r="AN531" s="28">
        <v>0</v>
      </c>
      <c r="AO531" s="28">
        <v>0.4</v>
      </c>
      <c r="AP531" s="28">
        <v>0.5</v>
      </c>
      <c r="AQ531" s="28">
        <v>9.9999999999999992E-2</v>
      </c>
      <c r="AR531" s="28">
        <v>0</v>
      </c>
      <c r="AS531" s="25">
        <v>0.82</v>
      </c>
      <c r="AT531" s="25">
        <v>3.44</v>
      </c>
      <c r="AU531" s="25">
        <v>2.62</v>
      </c>
      <c r="AV531" s="25">
        <v>2.5211764705882351</v>
      </c>
      <c r="AW531">
        <v>2.521176470588236</v>
      </c>
      <c r="AX531">
        <v>5.6793405594117647</v>
      </c>
      <c r="AY531" s="75"/>
      <c r="AZ531" s="75"/>
      <c r="BA531" s="75"/>
      <c r="BB531">
        <v>4.327979277089896E-2</v>
      </c>
      <c r="BF531">
        <v>8.655958554179792E-2</v>
      </c>
      <c r="BG531">
        <v>4.327979277089896E-2</v>
      </c>
      <c r="BH531">
        <v>0</v>
      </c>
      <c r="CA531" t="e">
        <f t="shared" si="66"/>
        <v>#NUM!</v>
      </c>
    </row>
    <row r="532" spans="1:79" x14ac:dyDescent="0.3">
      <c r="A532" s="2" t="s">
        <v>952</v>
      </c>
      <c r="B532" s="17" t="s">
        <v>954</v>
      </c>
      <c r="C532" s="13"/>
      <c r="D532" s="2">
        <v>3.65</v>
      </c>
      <c r="E532" s="2" t="s">
        <v>354</v>
      </c>
      <c r="F532" s="9">
        <v>-1</v>
      </c>
      <c r="G532">
        <v>-1</v>
      </c>
      <c r="I532" s="2">
        <v>2</v>
      </c>
      <c r="J532" s="25">
        <v>0</v>
      </c>
      <c r="K532">
        <v>0</v>
      </c>
      <c r="L532">
        <v>0</v>
      </c>
      <c r="M532" s="2">
        <v>3.84</v>
      </c>
      <c r="N532" s="2">
        <v>3.84</v>
      </c>
      <c r="O532" s="2">
        <v>32.520000000000003</v>
      </c>
      <c r="P532" s="2" t="s">
        <v>1131</v>
      </c>
      <c r="Q532" s="2"/>
      <c r="R532" s="25">
        <v>0</v>
      </c>
      <c r="S532" s="25"/>
      <c r="T532" s="25"/>
      <c r="U532">
        <v>0</v>
      </c>
      <c r="X532">
        <v>0</v>
      </c>
      <c r="AA532" s="2"/>
      <c r="AB532">
        <v>20</v>
      </c>
      <c r="AC532" s="55">
        <f t="shared" si="64"/>
        <v>479.52691200000004</v>
      </c>
      <c r="AD532" s="57">
        <v>0</v>
      </c>
      <c r="AE532" s="55">
        <v>0</v>
      </c>
      <c r="AF532" s="55">
        <v>0</v>
      </c>
      <c r="AG532" s="52">
        <f t="shared" si="65"/>
        <v>8.3415547697143627E-2</v>
      </c>
      <c r="AH532" s="51"/>
      <c r="AI532" s="52"/>
      <c r="AJ532" s="52"/>
      <c r="AK532" s="28">
        <v>1.882352941176471</v>
      </c>
      <c r="AL532" s="28">
        <v>2.3529411764705879</v>
      </c>
      <c r="AM532" s="28">
        <v>0.47058823529411759</v>
      </c>
      <c r="AN532" s="28">
        <v>0</v>
      </c>
      <c r="AO532" s="28">
        <v>0.4</v>
      </c>
      <c r="AP532" s="28">
        <v>0.5</v>
      </c>
      <c r="AQ532" s="28">
        <v>9.9999999999999992E-2</v>
      </c>
      <c r="AR532" s="28">
        <v>0</v>
      </c>
      <c r="AS532" s="25">
        <v>0.82</v>
      </c>
      <c r="AT532" s="25">
        <v>3.44</v>
      </c>
      <c r="AU532" s="25">
        <v>2.62</v>
      </c>
      <c r="AV532" s="25">
        <v>2.6023529411764699</v>
      </c>
      <c r="AW532">
        <v>2.6023529411764712</v>
      </c>
      <c r="AX532">
        <v>5.9643402149912346</v>
      </c>
      <c r="AY532" s="75"/>
      <c r="AZ532" s="75"/>
      <c r="BA532" s="75"/>
      <c r="BB532">
        <v>4.1707773848571807E-2</v>
      </c>
      <c r="BF532">
        <v>8.3415547697143627E-2</v>
      </c>
      <c r="BG532">
        <v>4.1707773848571807E-2</v>
      </c>
      <c r="BH532">
        <v>0</v>
      </c>
      <c r="CA532" t="e">
        <f t="shared" si="66"/>
        <v>#NUM!</v>
      </c>
    </row>
    <row r="533" spans="1:79" x14ac:dyDescent="0.3">
      <c r="A533" s="2" t="s">
        <v>953</v>
      </c>
      <c r="B533" s="17" t="s">
        <v>955</v>
      </c>
      <c r="C533" s="13"/>
      <c r="D533" s="2">
        <v>3.58</v>
      </c>
      <c r="E533" s="2" t="s">
        <v>354</v>
      </c>
      <c r="F533" s="9">
        <v>-1</v>
      </c>
      <c r="G533">
        <v>-1</v>
      </c>
      <c r="I533" s="2">
        <v>1</v>
      </c>
      <c r="J533" s="25">
        <v>0</v>
      </c>
      <c r="K533">
        <v>0</v>
      </c>
      <c r="L533">
        <v>0</v>
      </c>
      <c r="M533" s="2">
        <v>3.82</v>
      </c>
      <c r="N533" s="2">
        <v>3.82</v>
      </c>
      <c r="O533" s="2">
        <v>14.9</v>
      </c>
      <c r="P533" s="2" t="s">
        <v>439</v>
      </c>
      <c r="Q533" s="2"/>
      <c r="R533" s="25">
        <v>0</v>
      </c>
      <c r="S533" s="25"/>
      <c r="T533" s="25"/>
      <c r="U533">
        <v>0</v>
      </c>
      <c r="X533">
        <v>0</v>
      </c>
      <c r="AA533" s="2"/>
      <c r="AB533">
        <v>20</v>
      </c>
      <c r="AC533" s="55">
        <f t="shared" si="64"/>
        <v>217.42676</v>
      </c>
      <c r="AD533" s="57">
        <v>0</v>
      </c>
      <c r="AE533" s="55">
        <v>0</v>
      </c>
      <c r="AF533" s="55">
        <v>0</v>
      </c>
      <c r="AG533" s="52">
        <f t="shared" si="65"/>
        <v>9.1984997614829006E-2</v>
      </c>
      <c r="AH533" s="51"/>
      <c r="AI533" s="52"/>
      <c r="AJ533" s="52"/>
      <c r="AK533" s="28">
        <v>1.882352941176471</v>
      </c>
      <c r="AL533" s="28">
        <v>2.3529411764705879</v>
      </c>
      <c r="AM533" s="28">
        <v>0.47058823529411759</v>
      </c>
      <c r="AN533" s="28">
        <v>0</v>
      </c>
      <c r="AO533" s="28">
        <v>0.4</v>
      </c>
      <c r="AP533" s="28">
        <v>0.5</v>
      </c>
      <c r="AQ533" s="28">
        <v>9.9999999999999992E-2</v>
      </c>
      <c r="AR533" s="28">
        <v>0</v>
      </c>
      <c r="AS533" s="25">
        <v>0.82</v>
      </c>
      <c r="AT533" s="25">
        <v>3.44</v>
      </c>
      <c r="AU533" s="25">
        <v>2.62</v>
      </c>
      <c r="AV533" s="25">
        <v>2.6429411764705879</v>
      </c>
      <c r="AW533">
        <v>2.6429411764705879</v>
      </c>
      <c r="AX533">
        <v>6.1068400427809717</v>
      </c>
      <c r="AY533" s="75"/>
      <c r="AZ533" s="75"/>
      <c r="BA533" s="75"/>
      <c r="BB533">
        <v>4.5992498807414503E-2</v>
      </c>
      <c r="BF533">
        <v>9.1984997614829006E-2</v>
      </c>
      <c r="BG533">
        <v>4.5992498807414503E-2</v>
      </c>
      <c r="BH533">
        <v>0</v>
      </c>
      <c r="CA533" t="e">
        <f t="shared" si="66"/>
        <v>#NUM!</v>
      </c>
    </row>
    <row r="534" spans="1:79" x14ac:dyDescent="0.3">
      <c r="A534" s="2" t="s">
        <v>353</v>
      </c>
      <c r="B534" s="13" t="s">
        <v>834</v>
      </c>
      <c r="C534" s="13"/>
      <c r="D534" s="2">
        <v>3.55</v>
      </c>
      <c r="E534" s="2" t="s">
        <v>354</v>
      </c>
      <c r="F534" s="9">
        <v>-1</v>
      </c>
      <c r="G534">
        <v>-1</v>
      </c>
      <c r="I534" s="2">
        <v>2</v>
      </c>
      <c r="J534" s="25">
        <v>0</v>
      </c>
      <c r="K534">
        <v>0</v>
      </c>
      <c r="L534">
        <v>0</v>
      </c>
      <c r="M534" s="2">
        <v>3.8050000000000002</v>
      </c>
      <c r="N534" s="2">
        <v>3.8050000000000002</v>
      </c>
      <c r="O534" s="2">
        <v>27.44</v>
      </c>
      <c r="P534" s="2" t="s">
        <v>1131</v>
      </c>
      <c r="Q534" s="2"/>
      <c r="R534" s="25">
        <v>0</v>
      </c>
      <c r="S534" s="25"/>
      <c r="T534" s="25"/>
      <c r="U534">
        <v>0</v>
      </c>
      <c r="X534">
        <v>0</v>
      </c>
      <c r="AA534" s="2"/>
      <c r="AB534">
        <v>20</v>
      </c>
      <c r="AC534" s="55">
        <f t="shared" si="64"/>
        <v>397.27700600000003</v>
      </c>
      <c r="AD534" s="57">
        <v>0</v>
      </c>
      <c r="AE534" s="55">
        <v>0</v>
      </c>
      <c r="AF534" s="55">
        <v>0</v>
      </c>
      <c r="AG534" s="52">
        <f t="shared" si="65"/>
        <v>0.10068541444857747</v>
      </c>
      <c r="AH534" s="51"/>
      <c r="AI534" s="52"/>
      <c r="AJ534" s="52"/>
      <c r="AK534" s="28">
        <v>1.882352941176471</v>
      </c>
      <c r="AL534" s="28">
        <v>2.3529411764705879</v>
      </c>
      <c r="AM534" s="28">
        <v>0.47058823529411759</v>
      </c>
      <c r="AN534" s="28">
        <v>0</v>
      </c>
      <c r="AO534" s="28">
        <v>0.4</v>
      </c>
      <c r="AP534" s="28">
        <v>0.5</v>
      </c>
      <c r="AQ534" s="28">
        <v>9.9999999999999992E-2</v>
      </c>
      <c r="AR534" s="28">
        <v>0</v>
      </c>
      <c r="AS534" s="25">
        <v>1.1000000000000001</v>
      </c>
      <c r="AT534" s="25">
        <v>3.44</v>
      </c>
      <c r="AU534" s="25">
        <v>2.34</v>
      </c>
      <c r="AV534" s="25">
        <v>2.6835294117647059</v>
      </c>
      <c r="AW534">
        <v>2.6835294117647059</v>
      </c>
      <c r="AX534">
        <v>6.2493398705707062</v>
      </c>
      <c r="AY534" s="75"/>
      <c r="AZ534" s="75"/>
      <c r="BA534" s="75"/>
      <c r="BB534">
        <v>5.0342707224288727E-2</v>
      </c>
      <c r="BF534">
        <v>0.1006854144485775</v>
      </c>
      <c r="BG534">
        <v>5.0342707224288727E-2</v>
      </c>
      <c r="BH534">
        <v>0</v>
      </c>
      <c r="CA534" t="e">
        <f t="shared" si="66"/>
        <v>#NUM!</v>
      </c>
    </row>
    <row r="535" spans="1:79" x14ac:dyDescent="0.3">
      <c r="A535" s="2" t="s">
        <v>142</v>
      </c>
      <c r="B535" s="34" t="s">
        <v>766</v>
      </c>
      <c r="C535" s="34"/>
      <c r="D535" s="2">
        <v>4.3600000000000003</v>
      </c>
      <c r="E535" s="2" t="s">
        <v>357</v>
      </c>
      <c r="F535" s="35">
        <v>-1</v>
      </c>
      <c r="G535" s="2">
        <v>-1</v>
      </c>
      <c r="H535" s="2" t="s">
        <v>1164</v>
      </c>
      <c r="I535" s="2">
        <v>1</v>
      </c>
      <c r="J535" s="29">
        <v>0</v>
      </c>
      <c r="K535">
        <v>0</v>
      </c>
      <c r="L535">
        <v>1</v>
      </c>
      <c r="M535" s="2">
        <v>3.89</v>
      </c>
      <c r="N535" s="2">
        <v>3.89</v>
      </c>
      <c r="O535" s="2">
        <v>10.48</v>
      </c>
      <c r="P535" s="2" t="s">
        <v>440</v>
      </c>
      <c r="Q535" s="2"/>
      <c r="R535" s="29">
        <v>0</v>
      </c>
      <c r="S535" s="2"/>
      <c r="T535" s="2"/>
      <c r="U535">
        <v>0</v>
      </c>
      <c r="X535">
        <v>3.88</v>
      </c>
      <c r="Y535">
        <v>3.88</v>
      </c>
      <c r="Z535">
        <v>10.66</v>
      </c>
      <c r="AA535" s="2"/>
      <c r="AB535" s="2">
        <v>14</v>
      </c>
      <c r="AC535" s="55">
        <f t="shared" si="64"/>
        <v>158.58440800000002</v>
      </c>
      <c r="AD535" s="57">
        <v>0</v>
      </c>
      <c r="AE535" s="55">
        <v>0</v>
      </c>
      <c r="AF535" s="55">
        <v>160.479904</v>
      </c>
      <c r="AG535" s="52">
        <f t="shared" si="65"/>
        <v>8.8281062284509063E-2</v>
      </c>
      <c r="AH535" s="52"/>
      <c r="AI535" s="52"/>
      <c r="AJ535" s="67">
        <f t="shared" ref="AJ535:AJ540" si="67">L535*AB535/AF535</f>
        <v>8.7238337331009372E-2</v>
      </c>
      <c r="AK535" s="2">
        <v>1.9090909090909089</v>
      </c>
      <c r="AL535" s="2">
        <v>2.545454545454545</v>
      </c>
      <c r="AM535" s="2">
        <v>0.54545454545454541</v>
      </c>
      <c r="AN535" s="2">
        <v>2.9090909090909092</v>
      </c>
      <c r="AO535" s="2">
        <v>0.2413793103448276</v>
      </c>
      <c r="AP535" s="2">
        <v>0.32183908045977011</v>
      </c>
      <c r="AQ535" s="2">
        <v>6.8965517241379309E-2</v>
      </c>
      <c r="AR535" s="2">
        <v>0.36781609195402298</v>
      </c>
      <c r="AS535" s="29">
        <v>1.1399999999999999</v>
      </c>
      <c r="AT535" s="29">
        <v>3.44</v>
      </c>
      <c r="AU535" s="29">
        <v>2.2999999999999998</v>
      </c>
      <c r="AV535" s="29">
        <v>2.7654545454545452</v>
      </c>
      <c r="AW535" s="2">
        <v>2.7654545454545461</v>
      </c>
      <c r="AX535" s="2">
        <v>6.4215922727137267</v>
      </c>
      <c r="AY535" s="75"/>
      <c r="AZ535" s="75"/>
      <c r="BA535" s="75">
        <v>0</v>
      </c>
      <c r="BB535">
        <v>4.4140531142254531E-2</v>
      </c>
      <c r="BE535">
        <v>4.3619168665504693E-2</v>
      </c>
      <c r="BF535">
        <v>8.7759699807759217E-2</v>
      </c>
      <c r="BG535">
        <v>4.3879849903879609E-2</v>
      </c>
      <c r="BH535">
        <v>0</v>
      </c>
      <c r="CA535" t="e">
        <f t="shared" si="66"/>
        <v>#NUM!</v>
      </c>
    </row>
    <row r="536" spans="1:79" x14ac:dyDescent="0.3">
      <c r="A536" s="2" t="s">
        <v>355</v>
      </c>
      <c r="B536" s="13" t="s">
        <v>835</v>
      </c>
      <c r="C536" s="13"/>
      <c r="D536" s="2">
        <v>4.49</v>
      </c>
      <c r="E536" s="2" t="s">
        <v>357</v>
      </c>
      <c r="F536" s="9">
        <v>-1</v>
      </c>
      <c r="G536">
        <v>-1</v>
      </c>
      <c r="H536" t="s">
        <v>1180</v>
      </c>
      <c r="I536" s="2"/>
      <c r="J536" s="25">
        <v>0</v>
      </c>
      <c r="K536">
        <v>0</v>
      </c>
      <c r="L536">
        <v>4</v>
      </c>
      <c r="M536" s="2">
        <v>-1</v>
      </c>
      <c r="N536" s="2"/>
      <c r="O536" s="2"/>
      <c r="P536" s="2"/>
      <c r="Q536" s="2"/>
      <c r="R536" s="25">
        <v>0</v>
      </c>
      <c r="U536">
        <v>0</v>
      </c>
      <c r="X536">
        <v>5.4092000000000002</v>
      </c>
      <c r="Y536">
        <v>20.501100000000001</v>
      </c>
      <c r="Z536">
        <v>5.4427000000000003</v>
      </c>
      <c r="AA536" s="2"/>
      <c r="AB536">
        <v>14</v>
      </c>
      <c r="AC536" s="55">
        <f t="shared" si="64"/>
        <v>0</v>
      </c>
      <c r="AD536" s="57">
        <v>0</v>
      </c>
      <c r="AE536" s="55">
        <v>0</v>
      </c>
      <c r="AF536" s="55">
        <v>603.57000000000005</v>
      </c>
      <c r="AG536" s="52"/>
      <c r="AH536" s="52"/>
      <c r="AI536" s="52"/>
      <c r="AJ536" s="67">
        <f t="shared" si="67"/>
        <v>9.2781284689431212E-2</v>
      </c>
      <c r="AK536" s="28">
        <v>1.9090909090909089</v>
      </c>
      <c r="AL536" s="28">
        <v>2.545454545454545</v>
      </c>
      <c r="AM536" s="28">
        <v>0.54545454545454541</v>
      </c>
      <c r="AN536" s="28">
        <v>2.9090909090909092</v>
      </c>
      <c r="AO536" s="28">
        <v>0.2413793103448276</v>
      </c>
      <c r="AP536" s="28">
        <v>0.32183908045977011</v>
      </c>
      <c r="AQ536" s="28">
        <v>6.8965517241379309E-2</v>
      </c>
      <c r="AR536" s="28">
        <v>0.36781609195402298</v>
      </c>
      <c r="AS536" s="25">
        <v>0.98</v>
      </c>
      <c r="AT536" s="25">
        <v>3.44</v>
      </c>
      <c r="AU536" s="25">
        <v>2.46</v>
      </c>
      <c r="AV536" s="25">
        <v>2.6545454545454539</v>
      </c>
      <c r="AW536">
        <v>2.6545454545454539</v>
      </c>
      <c r="AX536">
        <v>6.0423528007272722</v>
      </c>
      <c r="AY536" s="75"/>
      <c r="AZ536" s="75"/>
      <c r="BA536" s="75">
        <v>0.47461723217425672</v>
      </c>
      <c r="BE536">
        <v>4.6390642344715613E-2</v>
      </c>
      <c r="BF536">
        <v>9.2781284689431212E-2</v>
      </c>
      <c r="BG536">
        <v>4.6390642344715613E-2</v>
      </c>
      <c r="BH536">
        <v>0.47461723217425672</v>
      </c>
      <c r="CA536" t="e">
        <f t="shared" si="66"/>
        <v>#NUM!</v>
      </c>
    </row>
    <row r="537" spans="1:79" x14ac:dyDescent="0.3">
      <c r="A537" s="2" t="s">
        <v>143</v>
      </c>
      <c r="B537" s="13" t="s">
        <v>767</v>
      </c>
      <c r="C537" s="13"/>
      <c r="D537" s="2">
        <v>4.38</v>
      </c>
      <c r="E537" s="2" t="s">
        <v>357</v>
      </c>
      <c r="F537" s="9">
        <v>-1</v>
      </c>
      <c r="G537">
        <v>-1</v>
      </c>
      <c r="H537" t="s">
        <v>1181</v>
      </c>
      <c r="I537" s="2"/>
      <c r="J537" s="25">
        <v>0</v>
      </c>
      <c r="K537">
        <v>0</v>
      </c>
      <c r="L537">
        <v>4</v>
      </c>
      <c r="M537" s="2">
        <v>-1</v>
      </c>
      <c r="N537" s="2"/>
      <c r="O537" s="2">
        <v>21.024000000000001</v>
      </c>
      <c r="P537" s="2"/>
      <c r="Q537" s="2"/>
      <c r="R537" s="25">
        <v>0</v>
      </c>
      <c r="U537">
        <v>0</v>
      </c>
      <c r="X537">
        <v>5.4686000000000003</v>
      </c>
      <c r="Y537">
        <v>5.4686000000000003</v>
      </c>
      <c r="Z537">
        <v>21.134499999999999</v>
      </c>
      <c r="AA537" s="2"/>
      <c r="AB537">
        <v>14</v>
      </c>
      <c r="AC537" s="55">
        <f t="shared" si="64"/>
        <v>0</v>
      </c>
      <c r="AD537" s="57">
        <v>0</v>
      </c>
      <c r="AE537" s="55">
        <v>0</v>
      </c>
      <c r="AF537" s="55">
        <v>632</v>
      </c>
      <c r="AG537" s="52"/>
      <c r="AH537" s="52"/>
      <c r="AI537" s="52"/>
      <c r="AJ537" s="67">
        <f t="shared" si="67"/>
        <v>8.8607594936708861E-2</v>
      </c>
      <c r="AK537" s="28">
        <v>1.9090909090909089</v>
      </c>
      <c r="AL537" s="28">
        <v>2.545454545454545</v>
      </c>
      <c r="AM537" s="28">
        <v>0.54545454545454541</v>
      </c>
      <c r="AN537" s="28">
        <v>2.9090909090909092</v>
      </c>
      <c r="AO537" s="28">
        <v>0.2413793103448276</v>
      </c>
      <c r="AP537" s="28">
        <v>0.32183908045977011</v>
      </c>
      <c r="AQ537" s="28">
        <v>6.8965517241379309E-2</v>
      </c>
      <c r="AR537" s="28">
        <v>0.36781609195402298</v>
      </c>
      <c r="AS537" s="25">
        <v>0.93</v>
      </c>
      <c r="AT537" s="25">
        <v>3.44</v>
      </c>
      <c r="AU537" s="25">
        <v>2.5099999999999998</v>
      </c>
      <c r="AV537" s="25">
        <v>2.65</v>
      </c>
      <c r="AW537">
        <v>2.649999999999999</v>
      </c>
      <c r="AX537">
        <v>6.0276818459090906</v>
      </c>
      <c r="AY537" s="75"/>
      <c r="AZ537" s="75"/>
      <c r="BA537" s="75">
        <v>0.47528867242311779</v>
      </c>
      <c r="BE537">
        <v>4.4303797468354431E-2</v>
      </c>
      <c r="BF537">
        <v>8.8607594936708861E-2</v>
      </c>
      <c r="BG537">
        <v>4.4303797468354431E-2</v>
      </c>
      <c r="BH537">
        <v>0.47528867242311779</v>
      </c>
      <c r="CA537" t="e">
        <f t="shared" si="66"/>
        <v>#NUM!</v>
      </c>
    </row>
    <row r="538" spans="1:79" x14ac:dyDescent="0.3">
      <c r="A538" s="2" t="s">
        <v>356</v>
      </c>
      <c r="B538" s="13" t="s">
        <v>836</v>
      </c>
      <c r="C538" s="13"/>
      <c r="D538" s="2">
        <v>4.38</v>
      </c>
      <c r="E538" s="2" t="s">
        <v>357</v>
      </c>
      <c r="F538" s="9">
        <v>-1</v>
      </c>
      <c r="G538">
        <v>-1</v>
      </c>
      <c r="H538" t="s">
        <v>1182</v>
      </c>
      <c r="I538" s="2"/>
      <c r="J538" s="25">
        <v>0</v>
      </c>
      <c r="K538">
        <v>0</v>
      </c>
      <c r="L538">
        <v>4</v>
      </c>
      <c r="M538" s="2">
        <v>-1</v>
      </c>
      <c r="N538" s="2"/>
      <c r="O538" s="2"/>
      <c r="P538" s="2"/>
      <c r="Q538" s="2"/>
      <c r="R538" s="25">
        <v>0</v>
      </c>
      <c r="U538">
        <v>0</v>
      </c>
      <c r="X538">
        <v>7.7018000000000004</v>
      </c>
      <c r="Y538">
        <v>21.768799999999999</v>
      </c>
      <c r="Z538">
        <v>3.8613</v>
      </c>
      <c r="AA538" s="2"/>
      <c r="AB538">
        <v>14</v>
      </c>
      <c r="AC538" s="55">
        <f t="shared" si="64"/>
        <v>0</v>
      </c>
      <c r="AD538" s="57">
        <v>0</v>
      </c>
      <c r="AE538" s="55">
        <v>0</v>
      </c>
      <c r="AF538" s="55">
        <v>647.38</v>
      </c>
      <c r="AG538" s="52"/>
      <c r="AH538" s="52"/>
      <c r="AI538" s="52"/>
      <c r="AJ538" s="67">
        <f t="shared" si="67"/>
        <v>8.6502517841144308E-2</v>
      </c>
      <c r="AK538" s="28">
        <v>1.9090909090909089</v>
      </c>
      <c r="AL538" s="28">
        <v>2.545454545454545</v>
      </c>
      <c r="AM538" s="28">
        <v>0.54545454545454541</v>
      </c>
      <c r="AN538" s="28">
        <v>2.9090909090909092</v>
      </c>
      <c r="AO538" s="28">
        <v>0.2413793103448276</v>
      </c>
      <c r="AP538" s="28">
        <v>0.32183908045977011</v>
      </c>
      <c r="AQ538" s="28">
        <v>6.8965517241379309E-2</v>
      </c>
      <c r="AR538" s="28">
        <v>0.36781609195402298</v>
      </c>
      <c r="AS538" s="25">
        <v>0.82</v>
      </c>
      <c r="AT538" s="25">
        <v>3.44</v>
      </c>
      <c r="AU538" s="25">
        <v>2.62</v>
      </c>
      <c r="AV538" s="25">
        <v>2.64</v>
      </c>
      <c r="AW538">
        <v>2.64</v>
      </c>
      <c r="AX538">
        <v>5.9892781936363626</v>
      </c>
      <c r="AY538" s="75"/>
      <c r="AZ538" s="75"/>
      <c r="BA538" s="75">
        <v>0.51451751424865833</v>
      </c>
      <c r="BE538">
        <v>4.3251258920572147E-2</v>
      </c>
      <c r="BF538">
        <v>8.6502517841144308E-2</v>
      </c>
      <c r="BG538">
        <v>4.3251258920572147E-2</v>
      </c>
      <c r="BH538">
        <v>0.51451751424865833</v>
      </c>
      <c r="CA538" t="e">
        <f t="shared" si="66"/>
        <v>#NUM!</v>
      </c>
    </row>
    <row r="539" spans="1:79" x14ac:dyDescent="0.3">
      <c r="A539" s="2" t="s">
        <v>12</v>
      </c>
      <c r="B539" s="13" t="s">
        <v>697</v>
      </c>
      <c r="C539" s="13"/>
      <c r="D539" s="2">
        <v>4.54</v>
      </c>
      <c r="E539" s="2" t="s">
        <v>357</v>
      </c>
      <c r="F539" s="9">
        <v>-1</v>
      </c>
      <c r="G539">
        <v>-1</v>
      </c>
      <c r="H539" t="s">
        <v>1145</v>
      </c>
      <c r="I539" s="2"/>
      <c r="J539" s="25">
        <v>0</v>
      </c>
      <c r="K539">
        <v>0</v>
      </c>
      <c r="L539">
        <v>1</v>
      </c>
      <c r="M539" s="2">
        <v>-1</v>
      </c>
      <c r="N539" s="2"/>
      <c r="O539" s="2"/>
      <c r="P539" s="2"/>
      <c r="Q539" s="2"/>
      <c r="R539" s="25">
        <v>0</v>
      </c>
      <c r="U539">
        <v>0</v>
      </c>
      <c r="X539">
        <v>3.8445</v>
      </c>
      <c r="Y539">
        <v>3.8445</v>
      </c>
      <c r="Z539">
        <v>11.03</v>
      </c>
      <c r="AA539" s="2"/>
      <c r="AB539">
        <v>14</v>
      </c>
      <c r="AC539" s="55">
        <f t="shared" si="64"/>
        <v>0</v>
      </c>
      <c r="AD539" s="57">
        <v>0</v>
      </c>
      <c r="AE539" s="55">
        <v>0</v>
      </c>
      <c r="AF539" s="55">
        <v>163.0253881575</v>
      </c>
      <c r="AG539" s="52"/>
      <c r="AH539" s="52"/>
      <c r="AI539" s="52"/>
      <c r="AJ539" s="67">
        <f t="shared" si="67"/>
        <v>8.5876194856683907E-2</v>
      </c>
      <c r="AK539" s="28">
        <v>1.9090909090909089</v>
      </c>
      <c r="AL539" s="28">
        <v>2.545454545454545</v>
      </c>
      <c r="AM539" s="28">
        <v>0.54545454545454541</v>
      </c>
      <c r="AN539" s="28">
        <v>2.9090909090909092</v>
      </c>
      <c r="AO539" s="28">
        <v>0.2413793103448276</v>
      </c>
      <c r="AP539" s="28">
        <v>0.32183908045977011</v>
      </c>
      <c r="AQ539" s="28">
        <v>6.8965517241379309E-2</v>
      </c>
      <c r="AR539" s="28">
        <v>0.36781609195402298</v>
      </c>
      <c r="AS539" s="25">
        <v>0.82</v>
      </c>
      <c r="AT539" s="25">
        <v>3.44</v>
      </c>
      <c r="AU539" s="25">
        <v>2.62</v>
      </c>
      <c r="AV539" s="25">
        <v>2.64</v>
      </c>
      <c r="AW539">
        <v>2.64</v>
      </c>
      <c r="AX539">
        <v>5.9811382595454541</v>
      </c>
      <c r="AY539" s="75"/>
      <c r="AZ539" s="75"/>
      <c r="BA539" s="75">
        <v>0.53809297903977493</v>
      </c>
      <c r="BE539">
        <v>4.2938097428341947E-2</v>
      </c>
      <c r="BF539">
        <v>8.5876194856683907E-2</v>
      </c>
      <c r="BG539">
        <v>4.2938097428341947E-2</v>
      </c>
      <c r="BH539">
        <v>0.53809297903977493</v>
      </c>
      <c r="CA539" t="e">
        <f t="shared" si="66"/>
        <v>#NUM!</v>
      </c>
    </row>
    <row r="540" spans="1:79" x14ac:dyDescent="0.3">
      <c r="A540" s="2" t="s">
        <v>144</v>
      </c>
      <c r="B540" s="13" t="s">
        <v>768</v>
      </c>
      <c r="C540" s="13"/>
      <c r="D540" s="2">
        <v>4.4000000000000004</v>
      </c>
      <c r="E540" s="2" t="s">
        <v>357</v>
      </c>
      <c r="F540" s="9">
        <v>-1</v>
      </c>
      <c r="G540">
        <v>-1</v>
      </c>
      <c r="H540" t="s">
        <v>1183</v>
      </c>
      <c r="I540" s="2"/>
      <c r="J540" s="25">
        <v>0</v>
      </c>
      <c r="K540">
        <v>0</v>
      </c>
      <c r="L540">
        <v>1</v>
      </c>
      <c r="M540" s="2">
        <v>-1</v>
      </c>
      <c r="N540" s="2"/>
      <c r="O540" s="2"/>
      <c r="P540" s="2"/>
      <c r="Q540" s="2"/>
      <c r="R540" s="25">
        <v>0</v>
      </c>
      <c r="U540">
        <v>0</v>
      </c>
      <c r="X540">
        <v>3.8898000000000001</v>
      </c>
      <c r="Y540">
        <v>3.8898000000000001</v>
      </c>
      <c r="Z540">
        <v>11.3665</v>
      </c>
      <c r="AA540" s="2"/>
      <c r="AB540">
        <v>14</v>
      </c>
      <c r="AC540" s="55">
        <f t="shared" si="64"/>
        <v>0</v>
      </c>
      <c r="AD540" s="57">
        <v>0</v>
      </c>
      <c r="AE540" s="55">
        <v>0</v>
      </c>
      <c r="AF540" s="55">
        <v>172</v>
      </c>
      <c r="AG540" s="52"/>
      <c r="AH540" s="52"/>
      <c r="AI540" s="52"/>
      <c r="AJ540" s="67">
        <f t="shared" si="67"/>
        <v>8.1395348837209308E-2</v>
      </c>
      <c r="AK540" s="28">
        <v>1.9090909090909089</v>
      </c>
      <c r="AL540" s="28">
        <v>2.545454545454545</v>
      </c>
      <c r="AM540" s="28">
        <v>0.54545454545454541</v>
      </c>
      <c r="AN540" s="28">
        <v>2.9090909090909092</v>
      </c>
      <c r="AO540" s="28">
        <v>0.2413793103448276</v>
      </c>
      <c r="AP540" s="28">
        <v>0.32183908045977011</v>
      </c>
      <c r="AQ540" s="28">
        <v>6.8965517241379309E-2</v>
      </c>
      <c r="AR540" s="28">
        <v>0.36781609195402298</v>
      </c>
      <c r="AS540" s="25">
        <v>0.79</v>
      </c>
      <c r="AT540" s="25">
        <v>3.44</v>
      </c>
      <c r="AU540" s="25">
        <v>2.65</v>
      </c>
      <c r="AV540" s="25">
        <v>2.6372727272727272</v>
      </c>
      <c r="AW540">
        <v>2.6372727272727272</v>
      </c>
      <c r="AX540">
        <v>5.967615153519545</v>
      </c>
      <c r="AY540" s="75"/>
      <c r="AZ540" s="75"/>
      <c r="BA540" s="75">
        <v>0.54308506712305693</v>
      </c>
      <c r="BE540">
        <v>4.0697674418604647E-2</v>
      </c>
      <c r="BF540">
        <v>8.1395348837209308E-2</v>
      </c>
      <c r="BG540">
        <v>4.0697674418604647E-2</v>
      </c>
      <c r="BH540">
        <v>0.54308506712305693</v>
      </c>
      <c r="CA540" t="e">
        <f t="shared" si="66"/>
        <v>#NUM!</v>
      </c>
    </row>
    <row r="541" spans="1:79" x14ac:dyDescent="0.3">
      <c r="A541" s="2" t="s">
        <v>63</v>
      </c>
      <c r="B541" s="13" t="s">
        <v>773</v>
      </c>
      <c r="C541" s="13"/>
      <c r="D541" s="2">
        <v>3.5</v>
      </c>
      <c r="E541" s="2" t="s">
        <v>361</v>
      </c>
      <c r="F541" s="9">
        <v>-1</v>
      </c>
      <c r="G541">
        <v>-1</v>
      </c>
      <c r="I541" s="2">
        <v>1</v>
      </c>
      <c r="J541" s="25">
        <v>0</v>
      </c>
      <c r="K541">
        <v>0</v>
      </c>
      <c r="L541">
        <v>0</v>
      </c>
      <c r="M541" s="2">
        <v>3.82</v>
      </c>
      <c r="N541" s="2">
        <v>3.82</v>
      </c>
      <c r="O541" s="2">
        <v>16</v>
      </c>
      <c r="P541" s="2" t="s">
        <v>519</v>
      </c>
      <c r="Q541" s="2">
        <v>16</v>
      </c>
      <c r="R541" s="25">
        <v>0</v>
      </c>
      <c r="U541">
        <v>0</v>
      </c>
      <c r="X541">
        <v>0</v>
      </c>
      <c r="AA541" s="2"/>
      <c r="AB541">
        <v>20</v>
      </c>
      <c r="AC541" s="55">
        <f t="shared" si="64"/>
        <v>233.47839999999999</v>
      </c>
      <c r="AD541" s="57">
        <v>0</v>
      </c>
      <c r="AE541" s="55">
        <v>0</v>
      </c>
      <c r="AF541" s="55">
        <v>0</v>
      </c>
      <c r="AG541" s="52">
        <f t="shared" ref="AG541" si="68">I541*AB541/AC541</f>
        <v>8.5661029028809524E-2</v>
      </c>
      <c r="AH541" s="52"/>
      <c r="AI541" s="52"/>
      <c r="AJ541" s="52"/>
      <c r="AK541" s="28">
        <v>1.75</v>
      </c>
      <c r="AL541" s="28">
        <v>2.5</v>
      </c>
      <c r="AM541" s="28">
        <v>0.75</v>
      </c>
      <c r="AN541" s="28">
        <v>0</v>
      </c>
      <c r="AO541" s="28">
        <v>0.35</v>
      </c>
      <c r="AP541" s="28">
        <v>0.5</v>
      </c>
      <c r="AQ541" s="28">
        <v>0.15</v>
      </c>
      <c r="AR541" s="28">
        <v>0</v>
      </c>
      <c r="AS541" s="25">
        <v>1</v>
      </c>
      <c r="AT541" s="25">
        <v>3.44</v>
      </c>
      <c r="AU541" s="25">
        <v>2.44</v>
      </c>
      <c r="AV541" s="25">
        <v>2.7124999999999999</v>
      </c>
      <c r="AW541">
        <v>2.7124999999999999</v>
      </c>
      <c r="AX541">
        <v>6.264025610615688</v>
      </c>
      <c r="AY541" s="75"/>
      <c r="AZ541" s="75"/>
      <c r="BA541" s="75"/>
      <c r="BB541">
        <v>4.2830514514404762E-2</v>
      </c>
      <c r="BF541">
        <v>8.5661029028809524E-2</v>
      </c>
      <c r="BG541">
        <v>4.2830514514404762E-2</v>
      </c>
      <c r="BH541">
        <v>0</v>
      </c>
      <c r="CA541" t="e">
        <f t="shared" si="66"/>
        <v>#NUM!</v>
      </c>
    </row>
    <row r="542" spans="1:79" x14ac:dyDescent="0.3">
      <c r="A542" s="2" t="s">
        <v>366</v>
      </c>
      <c r="B542" s="18" t="s">
        <v>1024</v>
      </c>
      <c r="C542" s="13"/>
      <c r="D542" s="2">
        <v>3.62</v>
      </c>
      <c r="E542" s="2" t="s">
        <v>361</v>
      </c>
      <c r="F542" s="9">
        <v>-1</v>
      </c>
      <c r="G542">
        <v>-1</v>
      </c>
      <c r="I542" s="2">
        <v>1</v>
      </c>
      <c r="J542" s="25">
        <v>0</v>
      </c>
      <c r="K542">
        <v>0</v>
      </c>
      <c r="L542">
        <v>0</v>
      </c>
      <c r="M542" s="2">
        <v>3.86</v>
      </c>
      <c r="N542" s="2">
        <v>3.86</v>
      </c>
      <c r="O542" s="2">
        <v>25.4</v>
      </c>
      <c r="P542" s="2" t="s">
        <v>519</v>
      </c>
      <c r="Q542" s="2">
        <v>25.4</v>
      </c>
      <c r="R542" s="25">
        <v>0</v>
      </c>
      <c r="U542">
        <v>0</v>
      </c>
      <c r="X542">
        <v>0</v>
      </c>
      <c r="AA542" s="2"/>
      <c r="AB542">
        <v>20</v>
      </c>
      <c r="AC542" s="55">
        <f t="shared" si="64"/>
        <v>378.44983999999999</v>
      </c>
      <c r="AD542" s="57">
        <v>0</v>
      </c>
      <c r="AE542" s="55">
        <v>0</v>
      </c>
      <c r="AF542" s="55">
        <v>0</v>
      </c>
      <c r="AG542" s="52"/>
      <c r="AH542" s="52"/>
      <c r="AI542" s="52"/>
      <c r="AJ542" s="52"/>
      <c r="AK542" s="28">
        <v>1.53125</v>
      </c>
      <c r="AL542" s="28">
        <v>1.59375</v>
      </c>
      <c r="AM542" s="28">
        <v>0.375</v>
      </c>
      <c r="AN542" s="28">
        <v>0</v>
      </c>
      <c r="AO542" s="28">
        <v>0.4375</v>
      </c>
      <c r="AP542" s="28">
        <v>0.45535714285714279</v>
      </c>
      <c r="AQ542" s="28">
        <v>0.1071428571428571</v>
      </c>
      <c r="AR542" s="28">
        <v>0</v>
      </c>
      <c r="AS542" s="25">
        <v>1</v>
      </c>
      <c r="AT542" s="25">
        <v>3.44</v>
      </c>
      <c r="AU542" s="25">
        <v>2.44</v>
      </c>
      <c r="AV542" s="25">
        <v>2.5262500000000001</v>
      </c>
      <c r="AW542">
        <v>2.5262500000000001</v>
      </c>
      <c r="AX542">
        <v>6.6075924153816246</v>
      </c>
      <c r="AY542" s="75"/>
      <c r="AZ542" s="75"/>
      <c r="BA542" s="75"/>
      <c r="BB542">
        <v>2.6423580995568661E-2</v>
      </c>
      <c r="BF542">
        <v>0</v>
      </c>
      <c r="BG542">
        <v>2.6423580995568661E-2</v>
      </c>
      <c r="BH542">
        <v>0</v>
      </c>
      <c r="CA542" t="e">
        <f t="shared" si="66"/>
        <v>#NUM!</v>
      </c>
    </row>
    <row r="543" spans="1:79" x14ac:dyDescent="0.3">
      <c r="A543" s="2" t="s">
        <v>347</v>
      </c>
      <c r="B543" s="18" t="s">
        <v>1025</v>
      </c>
      <c r="C543" s="13"/>
      <c r="D543" s="2">
        <v>3.5</v>
      </c>
      <c r="E543" s="2" t="s">
        <v>361</v>
      </c>
      <c r="F543" s="9">
        <v>-1</v>
      </c>
      <c r="G543">
        <v>-1</v>
      </c>
      <c r="I543" s="2">
        <v>2</v>
      </c>
      <c r="J543" s="25">
        <v>0</v>
      </c>
      <c r="K543">
        <v>0</v>
      </c>
      <c r="L543">
        <v>0</v>
      </c>
      <c r="M543" s="2">
        <v>3.86</v>
      </c>
      <c r="N543" s="2">
        <v>3.86</v>
      </c>
      <c r="O543" s="2">
        <v>35.799999999999997</v>
      </c>
      <c r="P543" s="2" t="s">
        <v>519</v>
      </c>
      <c r="Q543" s="2">
        <v>17.899999999999999</v>
      </c>
      <c r="R543" s="25">
        <v>0</v>
      </c>
      <c r="U543">
        <v>0</v>
      </c>
      <c r="X543">
        <v>0</v>
      </c>
      <c r="AA543" s="2"/>
      <c r="AB543">
        <v>22</v>
      </c>
      <c r="AC543" s="55">
        <f t="shared" si="64"/>
        <v>533.40567999999996</v>
      </c>
      <c r="AD543" s="57">
        <v>0</v>
      </c>
      <c r="AE543" s="55">
        <v>0</v>
      </c>
      <c r="AF543" s="55">
        <v>0</v>
      </c>
      <c r="AG543" s="52"/>
      <c r="AH543" s="52"/>
      <c r="AI543" s="52"/>
      <c r="AJ543" s="52"/>
      <c r="AK543" s="28">
        <v>1.6</v>
      </c>
      <c r="AL543" s="28">
        <v>1.92</v>
      </c>
      <c r="AM543" s="28">
        <v>0.48</v>
      </c>
      <c r="AN543" s="28">
        <v>0</v>
      </c>
      <c r="AO543" s="28">
        <v>0.4</v>
      </c>
      <c r="AP543" s="28">
        <v>0.48</v>
      </c>
      <c r="AQ543" s="28">
        <v>0.12</v>
      </c>
      <c r="AR543" s="28">
        <v>0</v>
      </c>
      <c r="AS543" s="25">
        <v>1</v>
      </c>
      <c r="AT543" s="25">
        <v>3.44</v>
      </c>
      <c r="AU543" s="25">
        <v>2.44</v>
      </c>
      <c r="AV543" s="25">
        <v>2.6055999999999999</v>
      </c>
      <c r="AW543">
        <v>2.6055999999999999</v>
      </c>
      <c r="AX543">
        <v>6.5338195732382802</v>
      </c>
      <c r="AY543" s="75"/>
      <c r="AZ543" s="75"/>
      <c r="BA543" s="75"/>
      <c r="BB543">
        <v>4.1244405196435109E-2</v>
      </c>
      <c r="BF543">
        <v>0</v>
      </c>
      <c r="BG543">
        <v>4.1244405196435109E-2</v>
      </c>
      <c r="BH543">
        <v>0</v>
      </c>
      <c r="CA543" t="e">
        <f t="shared" si="66"/>
        <v>#NUM!</v>
      </c>
    </row>
    <row r="544" spans="1:79" x14ac:dyDescent="0.3">
      <c r="A544" s="2" t="s">
        <v>353</v>
      </c>
      <c r="B544" s="13" t="s">
        <v>837</v>
      </c>
      <c r="C544" s="13"/>
      <c r="D544" s="2">
        <v>3.44</v>
      </c>
      <c r="E544" s="2" t="s">
        <v>361</v>
      </c>
      <c r="F544" s="9">
        <v>-1</v>
      </c>
      <c r="G544">
        <v>-1</v>
      </c>
      <c r="H544" t="s">
        <v>1242</v>
      </c>
      <c r="I544" s="2">
        <v>2</v>
      </c>
      <c r="J544" s="25">
        <v>0</v>
      </c>
      <c r="K544">
        <v>0</v>
      </c>
      <c r="L544">
        <v>0</v>
      </c>
      <c r="M544" s="2">
        <v>3.79</v>
      </c>
      <c r="N544" s="2">
        <v>3.79</v>
      </c>
      <c r="O544" s="2">
        <v>27.2</v>
      </c>
      <c r="P544" s="2" t="s">
        <v>519</v>
      </c>
      <c r="Q544" s="2">
        <v>13.6</v>
      </c>
      <c r="R544" s="25">
        <v>0</v>
      </c>
      <c r="U544">
        <v>0</v>
      </c>
      <c r="X544">
        <v>3.8113999999999999</v>
      </c>
      <c r="Y544">
        <v>3.8113999999999999</v>
      </c>
      <c r="Z544">
        <v>27.478000000000002</v>
      </c>
      <c r="AA544" s="2"/>
      <c r="AB544">
        <v>20</v>
      </c>
      <c r="AC544" s="55">
        <f t="shared" si="64"/>
        <v>390.70352000000003</v>
      </c>
      <c r="AD544" s="57">
        <v>0</v>
      </c>
      <c r="AE544" s="55">
        <v>0</v>
      </c>
      <c r="AF544" s="55">
        <v>399.2</v>
      </c>
      <c r="AG544" s="52">
        <f t="shared" ref="AG544:AG588" si="69">I544*AB544/AC544</f>
        <v>0.10237942058981193</v>
      </c>
      <c r="AH544" s="52"/>
      <c r="AI544" s="52"/>
      <c r="AJ544" s="52"/>
      <c r="AK544" s="28">
        <v>1.9375</v>
      </c>
      <c r="AL544" s="28">
        <v>2.5</v>
      </c>
      <c r="AM544" s="28">
        <v>0.5</v>
      </c>
      <c r="AN544" s="28">
        <v>0</v>
      </c>
      <c r="AO544" s="28">
        <v>0.39240506329113922</v>
      </c>
      <c r="AP544" s="28">
        <v>0.50632911392405067</v>
      </c>
      <c r="AQ544" s="28">
        <v>0.1012658227848101</v>
      </c>
      <c r="AR544" s="28">
        <v>0</v>
      </c>
      <c r="AS544" s="25">
        <v>1.1000000000000001</v>
      </c>
      <c r="AT544" s="25">
        <v>3.44</v>
      </c>
      <c r="AU544" s="25">
        <v>2.34</v>
      </c>
      <c r="AV544" s="25">
        <v>2.7137500000000001</v>
      </c>
      <c r="AW544">
        <v>2.7137500000000001</v>
      </c>
      <c r="AX544">
        <v>6.1913913437406878</v>
      </c>
      <c r="AY544" s="75"/>
      <c r="AZ544" s="75"/>
      <c r="BA544" s="75">
        <v>0</v>
      </c>
      <c r="BB544">
        <v>5.1189710294905967E-2</v>
      </c>
      <c r="BE544">
        <v>0</v>
      </c>
      <c r="BF544">
        <v>0.10237942058981191</v>
      </c>
      <c r="BG544">
        <v>2.559485514745298E-2</v>
      </c>
      <c r="BH544">
        <v>0</v>
      </c>
      <c r="CA544" t="e">
        <f t="shared" si="66"/>
        <v>#NUM!</v>
      </c>
    </row>
    <row r="545" spans="1:79" x14ac:dyDescent="0.3">
      <c r="A545" s="2" t="s">
        <v>370</v>
      </c>
      <c r="B545" s="18" t="s">
        <v>1026</v>
      </c>
      <c r="C545" s="13"/>
      <c r="D545" s="2">
        <v>3.39</v>
      </c>
      <c r="E545" s="2" t="s">
        <v>361</v>
      </c>
      <c r="F545" s="9">
        <v>-1</v>
      </c>
      <c r="G545">
        <v>-1</v>
      </c>
      <c r="I545" s="2">
        <v>1</v>
      </c>
      <c r="J545" s="25">
        <v>0</v>
      </c>
      <c r="K545">
        <v>0</v>
      </c>
      <c r="L545">
        <v>0</v>
      </c>
      <c r="M545" s="2">
        <v>3.82</v>
      </c>
      <c r="N545" s="2">
        <v>3.82</v>
      </c>
      <c r="O545" s="2">
        <v>20.2</v>
      </c>
      <c r="P545" s="2" t="s">
        <v>519</v>
      </c>
      <c r="Q545" s="2">
        <v>20.2</v>
      </c>
      <c r="R545" s="25">
        <v>0</v>
      </c>
      <c r="U545">
        <v>0</v>
      </c>
      <c r="X545">
        <v>0</v>
      </c>
      <c r="AA545" s="2"/>
      <c r="AB545">
        <v>20</v>
      </c>
      <c r="AC545" s="55">
        <f t="shared" si="64"/>
        <v>294.76648</v>
      </c>
      <c r="AD545" s="57">
        <v>0</v>
      </c>
      <c r="AE545" s="55">
        <v>0</v>
      </c>
      <c r="AF545" s="55">
        <v>0</v>
      </c>
      <c r="AG545" s="52">
        <f t="shared" si="69"/>
        <v>6.7850320022819419E-2</v>
      </c>
      <c r="AH545" s="52"/>
      <c r="AI545" s="52"/>
      <c r="AJ545" s="52"/>
      <c r="AK545" s="28">
        <v>1.6923076923076921</v>
      </c>
      <c r="AL545" s="28">
        <v>1.8076923076923079</v>
      </c>
      <c r="AM545" s="28">
        <v>0.30769230769230771</v>
      </c>
      <c r="AN545" s="28">
        <v>0</v>
      </c>
      <c r="AO545" s="28">
        <v>0.44444444444444448</v>
      </c>
      <c r="AP545" s="28">
        <v>0.47474747474747481</v>
      </c>
      <c r="AQ545" s="28">
        <v>8.0808080808080815E-2</v>
      </c>
      <c r="AR545" s="28">
        <v>0</v>
      </c>
      <c r="AS545" s="25">
        <v>1.1000000000000001</v>
      </c>
      <c r="AT545" s="25">
        <v>3.44</v>
      </c>
      <c r="AU545" s="25">
        <v>2.34</v>
      </c>
      <c r="AV545" s="25">
        <v>2.5753846153846158</v>
      </c>
      <c r="AW545">
        <v>2.5753846153846149</v>
      </c>
      <c r="AX545">
        <v>6.5020131619541548</v>
      </c>
      <c r="AY545" s="75"/>
      <c r="AZ545" s="75"/>
      <c r="BA545" s="75"/>
      <c r="BB545">
        <v>3.3925160011409709E-2</v>
      </c>
      <c r="BF545">
        <v>6.7850320022819419E-2</v>
      </c>
      <c r="BG545">
        <v>3.3925160011409709E-2</v>
      </c>
      <c r="BH545">
        <v>0</v>
      </c>
      <c r="CA545" t="e">
        <f t="shared" si="66"/>
        <v>#NUM!</v>
      </c>
    </row>
    <row r="546" spans="1:79" x14ac:dyDescent="0.3">
      <c r="A546" s="2" t="s">
        <v>376</v>
      </c>
      <c r="B546" s="18" t="s">
        <v>1027</v>
      </c>
      <c r="C546" s="13"/>
      <c r="D546" s="2">
        <v>3.41</v>
      </c>
      <c r="E546" s="2" t="s">
        <v>361</v>
      </c>
      <c r="F546" s="9">
        <v>-1</v>
      </c>
      <c r="G546">
        <v>-1</v>
      </c>
      <c r="I546" s="2">
        <v>2</v>
      </c>
      <c r="J546" s="25">
        <v>0</v>
      </c>
      <c r="K546">
        <v>0</v>
      </c>
      <c r="L546">
        <v>0</v>
      </c>
      <c r="M546" s="2">
        <v>3.83</v>
      </c>
      <c r="N546" s="2">
        <v>3.83</v>
      </c>
      <c r="O546" s="2">
        <v>39.5</v>
      </c>
      <c r="P546" s="2" t="s">
        <v>519</v>
      </c>
      <c r="Q546" s="2">
        <v>19.8</v>
      </c>
      <c r="R546" s="25">
        <v>0</v>
      </c>
      <c r="U546">
        <v>0</v>
      </c>
      <c r="X546">
        <v>0</v>
      </c>
      <c r="AA546" s="2"/>
      <c r="AB546">
        <v>20</v>
      </c>
      <c r="AC546" s="55">
        <f t="shared" si="64"/>
        <v>579.42155000000002</v>
      </c>
      <c r="AD546" s="57">
        <v>0</v>
      </c>
      <c r="AE546" s="55">
        <v>0</v>
      </c>
      <c r="AF546" s="55">
        <v>0</v>
      </c>
      <c r="AG546" s="52">
        <f t="shared" si="69"/>
        <v>6.9034367120104523E-2</v>
      </c>
      <c r="AH546" s="52"/>
      <c r="AI546" s="52"/>
      <c r="AJ546" s="52"/>
      <c r="AK546" s="28">
        <v>1.72</v>
      </c>
      <c r="AL546" s="28">
        <v>1.92</v>
      </c>
      <c r="AM546" s="28">
        <v>0.32</v>
      </c>
      <c r="AN546" s="28">
        <v>0</v>
      </c>
      <c r="AO546" s="28">
        <v>0.43434343434343442</v>
      </c>
      <c r="AP546" s="28">
        <v>0.48484848484848492</v>
      </c>
      <c r="AQ546" s="28">
        <v>8.0808080808080815E-2</v>
      </c>
      <c r="AR546" s="28">
        <v>0</v>
      </c>
      <c r="AS546" s="25">
        <v>1.1000000000000001</v>
      </c>
      <c r="AT546" s="25">
        <v>3.44</v>
      </c>
      <c r="AU546" s="25">
        <v>2.34</v>
      </c>
      <c r="AV546" s="25">
        <v>2.6063999999999998</v>
      </c>
      <c r="AW546">
        <v>2.6063999999999998</v>
      </c>
      <c r="AX546">
        <v>6.4873336424382799</v>
      </c>
      <c r="AY546" s="75"/>
      <c r="AZ546" s="75"/>
      <c r="BA546" s="75"/>
      <c r="BB546">
        <v>3.7968901916057493E-2</v>
      </c>
      <c r="BF546">
        <v>6.9034367120104523E-2</v>
      </c>
      <c r="BG546">
        <v>3.7968901916057493E-2</v>
      </c>
      <c r="BH546">
        <v>0</v>
      </c>
      <c r="CA546" t="e">
        <f t="shared" si="66"/>
        <v>#NUM!</v>
      </c>
    </row>
    <row r="547" spans="1:79" x14ac:dyDescent="0.3">
      <c r="A547" s="2" t="s">
        <v>63</v>
      </c>
      <c r="B547" s="34" t="s">
        <v>773</v>
      </c>
      <c r="C547" s="34"/>
      <c r="D547" s="2">
        <v>3.49</v>
      </c>
      <c r="E547" s="2" t="s">
        <v>362</v>
      </c>
      <c r="F547" s="35">
        <v>-1</v>
      </c>
      <c r="G547" s="2">
        <v>-1</v>
      </c>
      <c r="H547" s="2"/>
      <c r="I547" s="2">
        <v>1</v>
      </c>
      <c r="J547" s="29">
        <v>0</v>
      </c>
      <c r="K547">
        <v>0</v>
      </c>
      <c r="L547">
        <v>0</v>
      </c>
      <c r="M547" s="2">
        <v>3.8531</v>
      </c>
      <c r="N547" s="2">
        <v>3.8531</v>
      </c>
      <c r="O547" s="2">
        <v>16.2151</v>
      </c>
      <c r="P547" s="2" t="s">
        <v>519</v>
      </c>
      <c r="Q547" s="5"/>
      <c r="R547" s="41">
        <v>0</v>
      </c>
      <c r="S547" s="5"/>
      <c r="T547" s="5"/>
      <c r="U547">
        <v>0</v>
      </c>
      <c r="X547">
        <v>0</v>
      </c>
      <c r="AA547" s="5"/>
      <c r="AB547" s="5">
        <v>20</v>
      </c>
      <c r="AC547" s="55">
        <f t="shared" si="64"/>
        <v>240.73553001411099</v>
      </c>
      <c r="AD547" s="57">
        <v>0</v>
      </c>
      <c r="AE547" s="55">
        <v>0</v>
      </c>
      <c r="AF547" s="55">
        <v>0</v>
      </c>
      <c r="AG547" s="52">
        <f t="shared" si="69"/>
        <v>8.3078721279022161E-2</v>
      </c>
      <c r="AH547" s="52"/>
      <c r="AI547" s="52"/>
      <c r="AJ547" s="52"/>
      <c r="AK547" s="5">
        <v>1.75</v>
      </c>
      <c r="AL547" s="5">
        <v>2.5</v>
      </c>
      <c r="AM547" s="5">
        <v>0.75</v>
      </c>
      <c r="AN547" s="5">
        <v>0</v>
      </c>
      <c r="AO547" s="5">
        <v>0.35</v>
      </c>
      <c r="AP547" s="5">
        <v>0.5</v>
      </c>
      <c r="AQ547" s="5">
        <v>0.15</v>
      </c>
      <c r="AR547" s="5">
        <v>0</v>
      </c>
      <c r="AS547" s="41">
        <v>1</v>
      </c>
      <c r="AT547" s="41">
        <v>3.44</v>
      </c>
      <c r="AU547" s="41">
        <v>2.44</v>
      </c>
      <c r="AV547" s="41">
        <v>2.7124999999999999</v>
      </c>
      <c r="AW547" s="5">
        <v>2.7124999999999999</v>
      </c>
      <c r="AX547" s="5">
        <v>6.264025610615688</v>
      </c>
      <c r="AY547" s="75"/>
      <c r="AZ547" s="75"/>
      <c r="BA547" s="75"/>
      <c r="BB547">
        <v>4.153936063951108E-2</v>
      </c>
      <c r="BF547">
        <v>8.3078721279022161E-2</v>
      </c>
      <c r="BG547">
        <v>4.153936063951108E-2</v>
      </c>
      <c r="BH547">
        <v>0</v>
      </c>
      <c r="CA547" t="e">
        <f t="shared" si="66"/>
        <v>#NUM!</v>
      </c>
    </row>
    <row r="548" spans="1:79" x14ac:dyDescent="0.3">
      <c r="A548" s="2" t="s">
        <v>363</v>
      </c>
      <c r="B548" s="48" t="s">
        <v>1028</v>
      </c>
      <c r="C548" s="34"/>
      <c r="D548" s="2">
        <v>3.56</v>
      </c>
      <c r="E548" s="2" t="s">
        <v>362</v>
      </c>
      <c r="F548" s="35">
        <v>-1</v>
      </c>
      <c r="G548" s="2">
        <v>-1</v>
      </c>
      <c r="H548" s="2"/>
      <c r="I548" s="2">
        <v>1</v>
      </c>
      <c r="J548" s="29">
        <v>0</v>
      </c>
      <c r="K548">
        <v>0</v>
      </c>
      <c r="L548">
        <v>0</v>
      </c>
      <c r="M548" s="2">
        <v>3.86</v>
      </c>
      <c r="N548" s="2">
        <v>3.86</v>
      </c>
      <c r="O548" s="2">
        <v>16.079999999999998</v>
      </c>
      <c r="P548" s="2" t="s">
        <v>519</v>
      </c>
      <c r="Q548" s="5"/>
      <c r="R548" s="41">
        <v>0</v>
      </c>
      <c r="S548" s="5"/>
      <c r="T548" s="5"/>
      <c r="U548">
        <v>0</v>
      </c>
      <c r="X548">
        <v>0</v>
      </c>
      <c r="AA548" s="5"/>
      <c r="AB548" s="5">
        <v>20</v>
      </c>
      <c r="AC548" s="55">
        <f t="shared" si="64"/>
        <v>239.58556799999997</v>
      </c>
      <c r="AD548" s="57">
        <v>0</v>
      </c>
      <c r="AE548" s="55">
        <v>0</v>
      </c>
      <c r="AF548" s="55">
        <v>0</v>
      </c>
      <c r="AG548" s="52">
        <f t="shared" si="69"/>
        <v>8.34774822496821E-2</v>
      </c>
      <c r="AH548" s="52"/>
      <c r="AI548" s="52"/>
      <c r="AJ548" s="52"/>
      <c r="AK548" s="5">
        <v>1.5909090909090911</v>
      </c>
      <c r="AL548" s="5">
        <v>1.9090909090909089</v>
      </c>
      <c r="AM548" s="5">
        <v>0.54545454545454541</v>
      </c>
      <c r="AN548" s="5">
        <v>0</v>
      </c>
      <c r="AO548" s="5">
        <v>0.3932584269662921</v>
      </c>
      <c r="AP548" s="5">
        <v>0.47191011235955049</v>
      </c>
      <c r="AQ548" s="5">
        <v>0.1348314606741573</v>
      </c>
      <c r="AR548" s="5">
        <v>0</v>
      </c>
      <c r="AS548" s="41">
        <v>1</v>
      </c>
      <c r="AT548" s="41">
        <v>3.44</v>
      </c>
      <c r="AU548" s="41">
        <v>2.44</v>
      </c>
      <c r="AV548" s="41">
        <v>2.5886363636363638</v>
      </c>
      <c r="AW548" s="5">
        <v>2.588636363636363</v>
      </c>
      <c r="AX548" s="5">
        <v>6.4712814579593632</v>
      </c>
      <c r="AY548" s="75"/>
      <c r="AZ548" s="75"/>
      <c r="BA548" s="75"/>
      <c r="BB548">
        <v>4.173874112484105E-2</v>
      </c>
      <c r="BF548">
        <v>8.34774822496821E-2</v>
      </c>
      <c r="BG548">
        <v>4.173874112484105E-2</v>
      </c>
      <c r="BH548">
        <v>0</v>
      </c>
      <c r="CA548" t="e">
        <f t="shared" si="66"/>
        <v>#NUM!</v>
      </c>
    </row>
    <row r="549" spans="1:79" x14ac:dyDescent="0.3">
      <c r="A549" s="2" t="s">
        <v>364</v>
      </c>
      <c r="B549" s="48" t="s">
        <v>1029</v>
      </c>
      <c r="C549" s="34"/>
      <c r="D549" s="2">
        <v>3.6</v>
      </c>
      <c r="E549" s="2" t="s">
        <v>362</v>
      </c>
      <c r="F549" s="35">
        <v>-1</v>
      </c>
      <c r="G549" s="2">
        <v>-1</v>
      </c>
      <c r="H549" s="2"/>
      <c r="I549" s="2">
        <v>1</v>
      </c>
      <c r="J549" s="29">
        <v>0</v>
      </c>
      <c r="K549">
        <v>0</v>
      </c>
      <c r="L549">
        <v>0</v>
      </c>
      <c r="M549" s="2">
        <v>3.87</v>
      </c>
      <c r="N549" s="2">
        <v>3.87</v>
      </c>
      <c r="O549" s="2">
        <v>20.49</v>
      </c>
      <c r="P549" s="2" t="s">
        <v>519</v>
      </c>
      <c r="Q549" s="5"/>
      <c r="R549" s="41">
        <v>0</v>
      </c>
      <c r="S549" s="5"/>
      <c r="T549" s="5"/>
      <c r="U549">
        <v>0</v>
      </c>
      <c r="X549">
        <v>0</v>
      </c>
      <c r="AA549" s="5"/>
      <c r="AB549" s="5">
        <v>20</v>
      </c>
      <c r="AC549" s="55">
        <f t="shared" si="64"/>
        <v>306.87668099999996</v>
      </c>
      <c r="AD549" s="57">
        <v>0</v>
      </c>
      <c r="AE549" s="55">
        <v>0</v>
      </c>
      <c r="AF549" s="55">
        <v>0</v>
      </c>
      <c r="AG549" s="52">
        <f t="shared" si="69"/>
        <v>6.517275908624677E-2</v>
      </c>
      <c r="AH549" s="52"/>
      <c r="AI549" s="52"/>
      <c r="AJ549" s="52"/>
      <c r="AK549" s="5">
        <v>1.56</v>
      </c>
      <c r="AL549" s="5">
        <v>1.76</v>
      </c>
      <c r="AM549" s="5">
        <v>0.48</v>
      </c>
      <c r="AN549" s="5">
        <v>0</v>
      </c>
      <c r="AO549" s="5">
        <v>0.41052631578947368</v>
      </c>
      <c r="AP549" s="5">
        <v>0.4631578947368421</v>
      </c>
      <c r="AQ549" s="5">
        <v>0.12631578947368419</v>
      </c>
      <c r="AR549" s="5">
        <v>0</v>
      </c>
      <c r="AS549" s="41">
        <v>1</v>
      </c>
      <c r="AT549" s="41">
        <v>3.44</v>
      </c>
      <c r="AU549" s="41">
        <v>2.44</v>
      </c>
      <c r="AV549" s="41">
        <v>2.556</v>
      </c>
      <c r="AW549" s="5">
        <v>2.556</v>
      </c>
      <c r="AX549" s="5">
        <v>6.5192970192323214</v>
      </c>
      <c r="AY549" s="75"/>
      <c r="AZ549" s="75"/>
      <c r="BA549" s="75"/>
      <c r="BB549">
        <v>3.2586379543123392E-2</v>
      </c>
      <c r="BF549">
        <v>6.517275908624677E-2</v>
      </c>
      <c r="BG549">
        <v>3.2586379543123392E-2</v>
      </c>
      <c r="BH549">
        <v>0</v>
      </c>
      <c r="CA549" t="e">
        <f t="shared" si="66"/>
        <v>#NUM!</v>
      </c>
    </row>
    <row r="550" spans="1:79" x14ac:dyDescent="0.3">
      <c r="A550" s="2" t="s">
        <v>365</v>
      </c>
      <c r="B550" s="48" t="s">
        <v>1030</v>
      </c>
      <c r="C550" s="34"/>
      <c r="D550" s="2">
        <v>3.55</v>
      </c>
      <c r="E550" s="2" t="s">
        <v>362</v>
      </c>
      <c r="F550" s="35">
        <v>-1</v>
      </c>
      <c r="G550" s="2">
        <v>-1</v>
      </c>
      <c r="H550" s="2"/>
      <c r="I550" s="2">
        <v>1</v>
      </c>
      <c r="J550" s="29">
        <v>0</v>
      </c>
      <c r="K550">
        <v>0</v>
      </c>
      <c r="L550">
        <v>0</v>
      </c>
      <c r="M550" s="2">
        <v>3.87</v>
      </c>
      <c r="N550" s="2">
        <v>3.87</v>
      </c>
      <c r="O550" s="2">
        <v>22.22</v>
      </c>
      <c r="P550" s="2" t="s">
        <v>519</v>
      </c>
      <c r="Q550" s="5"/>
      <c r="R550" s="41">
        <v>0</v>
      </c>
      <c r="S550" s="5"/>
      <c r="T550" s="5"/>
      <c r="U550">
        <v>0</v>
      </c>
      <c r="X550">
        <v>0</v>
      </c>
      <c r="AA550" s="5"/>
      <c r="AB550" s="5">
        <v>20</v>
      </c>
      <c r="AC550" s="55">
        <f t="shared" si="64"/>
        <v>332.78671800000001</v>
      </c>
      <c r="AD550" s="57">
        <v>0</v>
      </c>
      <c r="AE550" s="55">
        <v>0</v>
      </c>
      <c r="AF550" s="55">
        <v>0</v>
      </c>
      <c r="AG550" s="52">
        <f t="shared" si="69"/>
        <v>6.0098552370710899E-2</v>
      </c>
      <c r="AH550" s="52"/>
      <c r="AI550" s="52"/>
      <c r="AJ550" s="52"/>
      <c r="AK550" s="5">
        <v>1.535714285714286</v>
      </c>
      <c r="AL550" s="5">
        <v>1.642857142857143</v>
      </c>
      <c r="AM550" s="5">
        <v>0.42857142857142849</v>
      </c>
      <c r="AN550" s="5">
        <v>0</v>
      </c>
      <c r="AO550" s="5">
        <v>0.42574257425742579</v>
      </c>
      <c r="AP550" s="5">
        <v>0.45544554455445541</v>
      </c>
      <c r="AQ550" s="5">
        <v>0.11881188118811881</v>
      </c>
      <c r="AR550" s="5">
        <v>0</v>
      </c>
      <c r="AS550" s="41">
        <v>1</v>
      </c>
      <c r="AT550" s="41">
        <v>3.44</v>
      </c>
      <c r="AU550" s="41">
        <v>2.44</v>
      </c>
      <c r="AV550" s="41">
        <v>2.530357142857143</v>
      </c>
      <c r="AW550" s="5">
        <v>2.530357142857143</v>
      </c>
      <c r="AX550" s="5">
        <v>6.5570235316610717</v>
      </c>
      <c r="AY550" s="75"/>
      <c r="AZ550" s="75"/>
      <c r="BA550" s="75"/>
      <c r="BB550">
        <v>3.004927618535545E-2</v>
      </c>
      <c r="BF550">
        <v>6.0098552370710899E-2</v>
      </c>
      <c r="BG550">
        <v>3.004927618535545E-2</v>
      </c>
      <c r="BH550">
        <v>0</v>
      </c>
      <c r="CA550" t="e">
        <f t="shared" si="66"/>
        <v>#NUM!</v>
      </c>
    </row>
    <row r="551" spans="1:79" x14ac:dyDescent="0.3">
      <c r="A551" s="2" t="s">
        <v>366</v>
      </c>
      <c r="B551" s="48" t="s">
        <v>1031</v>
      </c>
      <c r="C551" s="34"/>
      <c r="D551" s="2">
        <v>3.62</v>
      </c>
      <c r="E551" s="2" t="s">
        <v>362</v>
      </c>
      <c r="F551" s="35">
        <v>-1</v>
      </c>
      <c r="G551" s="2">
        <v>-1</v>
      </c>
      <c r="H551" s="2"/>
      <c r="I551" s="2">
        <v>1</v>
      </c>
      <c r="J551" s="29">
        <v>0</v>
      </c>
      <c r="K551">
        <v>0</v>
      </c>
      <c r="L551">
        <v>0</v>
      </c>
      <c r="M551" s="2">
        <v>3.86</v>
      </c>
      <c r="N551" s="2">
        <v>3.86</v>
      </c>
      <c r="O551" s="2">
        <v>25.35</v>
      </c>
      <c r="P551" s="2" t="s">
        <v>519</v>
      </c>
      <c r="Q551" s="5"/>
      <c r="R551" s="41">
        <v>0</v>
      </c>
      <c r="S551" s="5"/>
      <c r="T551" s="5"/>
      <c r="U551">
        <v>0</v>
      </c>
      <c r="X551">
        <v>0</v>
      </c>
      <c r="AA551" s="5"/>
      <c r="AB551" s="5">
        <v>20</v>
      </c>
      <c r="AC551" s="55">
        <f t="shared" si="64"/>
        <v>377.70486</v>
      </c>
      <c r="AD551" s="57">
        <v>0</v>
      </c>
      <c r="AE551" s="55">
        <v>0</v>
      </c>
      <c r="AF551" s="55">
        <v>0</v>
      </c>
      <c r="AG551" s="52">
        <f t="shared" si="69"/>
        <v>5.2951397024650411E-2</v>
      </c>
      <c r="AH551" s="52"/>
      <c r="AI551" s="52"/>
      <c r="AJ551" s="52"/>
      <c r="AK551" s="5">
        <v>1.5161290322580649</v>
      </c>
      <c r="AL551" s="5">
        <v>1.5483870967741939</v>
      </c>
      <c r="AM551" s="5">
        <v>0.38709677419354838</v>
      </c>
      <c r="AN551" s="5">
        <v>0</v>
      </c>
      <c r="AO551" s="5">
        <v>0.43925233644859812</v>
      </c>
      <c r="AP551" s="5">
        <v>0.44859813084112149</v>
      </c>
      <c r="AQ551" s="5">
        <v>0.1121495327102804</v>
      </c>
      <c r="AR551" s="5">
        <v>0</v>
      </c>
      <c r="AS551" s="41">
        <v>1</v>
      </c>
      <c r="AT551" s="41">
        <v>3.44</v>
      </c>
      <c r="AU551" s="41">
        <v>2.44</v>
      </c>
      <c r="AV551" s="41">
        <v>2.5096774193548388</v>
      </c>
      <c r="AW551" s="5">
        <v>2.5096774193548388</v>
      </c>
      <c r="AX551" s="5">
        <v>6.587448138458452</v>
      </c>
      <c r="AY551" s="75"/>
      <c r="AZ551" s="75"/>
      <c r="BA551" s="75"/>
      <c r="BB551">
        <v>2.6475698512325209E-2</v>
      </c>
      <c r="BF551">
        <v>5.2951397024650411E-2</v>
      </c>
      <c r="BG551">
        <v>2.6475698512325209E-2</v>
      </c>
      <c r="BH551">
        <v>0</v>
      </c>
      <c r="CA551" t="e">
        <f t="shared" si="66"/>
        <v>#NUM!</v>
      </c>
    </row>
    <row r="552" spans="1:79" x14ac:dyDescent="0.3">
      <c r="A552" s="2" t="s">
        <v>367</v>
      </c>
      <c r="B552" s="48" t="s">
        <v>1032</v>
      </c>
      <c r="C552" s="34"/>
      <c r="D552" s="2">
        <v>3.55</v>
      </c>
      <c r="E552" s="2" t="s">
        <v>362</v>
      </c>
      <c r="F552" s="35">
        <v>-1</v>
      </c>
      <c r="G552" s="2">
        <v>-1</v>
      </c>
      <c r="H552" s="2"/>
      <c r="I552" s="2">
        <v>1</v>
      </c>
      <c r="J552" s="29">
        <v>0</v>
      </c>
      <c r="K552">
        <v>0</v>
      </c>
      <c r="L552">
        <v>0</v>
      </c>
      <c r="M552" s="2">
        <v>3.86</v>
      </c>
      <c r="N552" s="2">
        <v>3.86</v>
      </c>
      <c r="O552" s="2">
        <v>29.53</v>
      </c>
      <c r="P552" s="2" t="s">
        <v>519</v>
      </c>
      <c r="Q552" s="5"/>
      <c r="R552" s="41">
        <v>0</v>
      </c>
      <c r="S552" s="5"/>
      <c r="T552" s="5"/>
      <c r="U552">
        <v>0</v>
      </c>
      <c r="X552">
        <v>0</v>
      </c>
      <c r="AA552" s="5"/>
      <c r="AB552" s="5">
        <v>20</v>
      </c>
      <c r="AC552" s="55">
        <f t="shared" si="64"/>
        <v>439.98518799999999</v>
      </c>
      <c r="AD552" s="57">
        <v>0</v>
      </c>
      <c r="AE552" s="55">
        <v>0</v>
      </c>
      <c r="AF552" s="55">
        <v>0</v>
      </c>
      <c r="AG552" s="52">
        <f t="shared" si="69"/>
        <v>4.5456075671347372E-2</v>
      </c>
      <c r="AH552" s="52"/>
      <c r="AI552" s="52"/>
      <c r="AJ552" s="52"/>
      <c r="AK552" s="5">
        <v>1.486486486486486</v>
      </c>
      <c r="AL552" s="5">
        <v>1.405405405405405</v>
      </c>
      <c r="AM552" s="5">
        <v>0.32432432432432429</v>
      </c>
      <c r="AN552" s="5">
        <v>0</v>
      </c>
      <c r="AO552" s="5">
        <v>0.4621848739495798</v>
      </c>
      <c r="AP552" s="5">
        <v>0.43697478991596639</v>
      </c>
      <c r="AQ552" s="5">
        <v>0.1008403361344538</v>
      </c>
      <c r="AR552" s="5">
        <v>0</v>
      </c>
      <c r="AS552" s="41">
        <v>1</v>
      </c>
      <c r="AT552" s="41">
        <v>3.44</v>
      </c>
      <c r="AU552" s="41">
        <v>2.44</v>
      </c>
      <c r="AV552" s="41">
        <v>2.4783783783783782</v>
      </c>
      <c r="AW552" s="5">
        <v>2.478378378378379</v>
      </c>
      <c r="AX552" s="5">
        <v>6.6334961919896216</v>
      </c>
      <c r="AY552" s="75"/>
      <c r="AZ552" s="75"/>
      <c r="BA552" s="75"/>
      <c r="BB552">
        <v>2.272803783567369E-2</v>
      </c>
      <c r="BF552">
        <v>4.5456075671347372E-2</v>
      </c>
      <c r="BG552">
        <v>2.272803783567369E-2</v>
      </c>
      <c r="BH552">
        <v>0</v>
      </c>
      <c r="CA552" t="e">
        <f t="shared" si="66"/>
        <v>#NUM!</v>
      </c>
    </row>
    <row r="553" spans="1:79" x14ac:dyDescent="0.3">
      <c r="A553" s="2" t="s">
        <v>368</v>
      </c>
      <c r="B553" s="48" t="s">
        <v>1033</v>
      </c>
      <c r="C553" s="34"/>
      <c r="D553" s="2">
        <v>2.6</v>
      </c>
      <c r="E553" s="2" t="s">
        <v>362</v>
      </c>
      <c r="F553" s="35">
        <v>-1</v>
      </c>
      <c r="G553" s="2">
        <v>-1</v>
      </c>
      <c r="H553" s="2"/>
      <c r="I553" s="2">
        <v>1</v>
      </c>
      <c r="J553" s="29">
        <v>0</v>
      </c>
      <c r="K553">
        <v>0</v>
      </c>
      <c r="L553">
        <v>0</v>
      </c>
      <c r="M553" s="2">
        <v>3.86</v>
      </c>
      <c r="N553" s="2">
        <v>3.86</v>
      </c>
      <c r="O553" s="2">
        <v>33.53</v>
      </c>
      <c r="P553" s="2" t="s">
        <v>519</v>
      </c>
      <c r="Q553" s="5"/>
      <c r="R553" s="41">
        <v>0</v>
      </c>
      <c r="S553" s="5"/>
      <c r="T553" s="5"/>
      <c r="U553">
        <v>0</v>
      </c>
      <c r="X553">
        <v>0</v>
      </c>
      <c r="AA553" s="5"/>
      <c r="AB553" s="5">
        <v>20</v>
      </c>
      <c r="AC553" s="55">
        <f t="shared" si="64"/>
        <v>499.58358800000002</v>
      </c>
      <c r="AD553" s="57">
        <v>0</v>
      </c>
      <c r="AE553" s="55">
        <v>0</v>
      </c>
      <c r="AF553" s="55">
        <v>0</v>
      </c>
      <c r="AG553" s="52">
        <f t="shared" si="69"/>
        <v>4.0033340726957585E-2</v>
      </c>
      <c r="AH553" s="52"/>
      <c r="AI553" s="52"/>
      <c r="AJ553" s="52"/>
      <c r="AK553" s="5">
        <v>1.4651162790697669</v>
      </c>
      <c r="AL553" s="5">
        <v>1.3023255813953489</v>
      </c>
      <c r="AM553" s="5">
        <v>0.27906976744186052</v>
      </c>
      <c r="AN553" s="5">
        <v>0</v>
      </c>
      <c r="AO553" s="5">
        <v>0.48091603053435111</v>
      </c>
      <c r="AP553" s="5">
        <v>0.4274809160305344</v>
      </c>
      <c r="AQ553" s="5">
        <v>9.1603053435114504E-2</v>
      </c>
      <c r="AR553" s="5">
        <v>0</v>
      </c>
      <c r="AS553" s="41">
        <v>1</v>
      </c>
      <c r="AT553" s="41">
        <v>3.44</v>
      </c>
      <c r="AU553" s="41">
        <v>2.44</v>
      </c>
      <c r="AV553" s="41">
        <v>2.4558139534883718</v>
      </c>
      <c r="AW553" s="5">
        <v>2.4558139534883718</v>
      </c>
      <c r="AX553" s="5">
        <v>6.6666936259306979</v>
      </c>
      <c r="AY553" s="75"/>
      <c r="AZ553" s="75"/>
      <c r="BA553" s="75"/>
      <c r="BB553">
        <v>2.0016670363478789E-2</v>
      </c>
      <c r="BF553">
        <v>4.0033340726957578E-2</v>
      </c>
      <c r="BG553">
        <v>2.0016670363478789E-2</v>
      </c>
      <c r="BH553">
        <v>0</v>
      </c>
      <c r="CA553" t="e">
        <f t="shared" si="66"/>
        <v>#NUM!</v>
      </c>
    </row>
    <row r="554" spans="1:79" x14ac:dyDescent="0.3">
      <c r="A554" s="2" t="s">
        <v>353</v>
      </c>
      <c r="B554" s="13" t="s">
        <v>834</v>
      </c>
      <c r="C554" s="13"/>
      <c r="D554" s="2">
        <v>3.44</v>
      </c>
      <c r="E554" s="2" t="s">
        <v>380</v>
      </c>
      <c r="F554" s="9">
        <v>-1</v>
      </c>
      <c r="G554">
        <v>-1</v>
      </c>
      <c r="I554" s="2">
        <v>2</v>
      </c>
      <c r="J554" s="25">
        <v>0</v>
      </c>
      <c r="K554">
        <v>0</v>
      </c>
      <c r="L554">
        <v>0</v>
      </c>
      <c r="M554" s="2">
        <v>3.79</v>
      </c>
      <c r="N554" s="2">
        <v>3.79</v>
      </c>
      <c r="O554" s="2">
        <v>27.2</v>
      </c>
      <c r="P554" s="2" t="s">
        <v>519</v>
      </c>
      <c r="Q554" s="2">
        <v>13.6</v>
      </c>
      <c r="R554" s="25">
        <v>0</v>
      </c>
      <c r="U554">
        <v>0</v>
      </c>
      <c r="X554">
        <v>0</v>
      </c>
      <c r="AA554" s="2"/>
      <c r="AB554">
        <v>20</v>
      </c>
      <c r="AC554" s="55">
        <f t="shared" si="64"/>
        <v>390.70352000000003</v>
      </c>
      <c r="AD554" s="57">
        <v>0</v>
      </c>
      <c r="AE554" s="55">
        <v>0</v>
      </c>
      <c r="AF554" s="55">
        <v>0</v>
      </c>
      <c r="AG554" s="52">
        <f t="shared" si="69"/>
        <v>0.10237942058981193</v>
      </c>
      <c r="AH554" s="52"/>
      <c r="AI554" s="52"/>
      <c r="AJ554" s="52"/>
      <c r="AK554" s="28">
        <v>1.882352941176471</v>
      </c>
      <c r="AL554" s="28">
        <v>2.3529411764705879</v>
      </c>
      <c r="AM554" s="28">
        <v>0.47058823529411759</v>
      </c>
      <c r="AN554" s="28">
        <v>0</v>
      </c>
      <c r="AO554" s="28">
        <v>0.4</v>
      </c>
      <c r="AP554" s="28">
        <v>0.5</v>
      </c>
      <c r="AQ554" s="28">
        <v>9.9999999999999992E-2</v>
      </c>
      <c r="AR554" s="28">
        <v>0</v>
      </c>
      <c r="AS554" s="25">
        <v>1.1000000000000001</v>
      </c>
      <c r="AT554" s="25">
        <v>3.44</v>
      </c>
      <c r="AU554" s="25">
        <v>2.34</v>
      </c>
      <c r="AV554" s="25">
        <v>2.6835294117647059</v>
      </c>
      <c r="AW554">
        <v>2.6835294117647059</v>
      </c>
      <c r="AX554">
        <v>6.2493398705707062</v>
      </c>
      <c r="AY554" s="75"/>
      <c r="AZ554" s="75"/>
      <c r="BA554" s="75"/>
      <c r="BB554">
        <v>5.1189710294905967E-2</v>
      </c>
      <c r="BF554">
        <v>0.10237942058981191</v>
      </c>
      <c r="BG554">
        <v>5.1189710294905967E-2</v>
      </c>
      <c r="BH554">
        <v>0</v>
      </c>
      <c r="CA554" t="e">
        <f t="shared" si="66"/>
        <v>#NUM!</v>
      </c>
    </row>
    <row r="555" spans="1:79" x14ac:dyDescent="0.3">
      <c r="A555" s="2" t="s">
        <v>369</v>
      </c>
      <c r="B555" s="18" t="s">
        <v>1034</v>
      </c>
      <c r="C555" s="13"/>
      <c r="D555" s="2">
        <v>3.34</v>
      </c>
      <c r="E555" s="2" t="s">
        <v>380</v>
      </c>
      <c r="F555" s="9">
        <v>-1</v>
      </c>
      <c r="G555">
        <v>-1</v>
      </c>
      <c r="I555" s="2">
        <v>2</v>
      </c>
      <c r="J555" s="25">
        <v>0</v>
      </c>
      <c r="K555">
        <v>0</v>
      </c>
      <c r="L555">
        <v>0</v>
      </c>
      <c r="M555" s="2">
        <v>3.83</v>
      </c>
      <c r="N555" s="2">
        <v>3.83</v>
      </c>
      <c r="O555" s="2">
        <v>36.700000000000003</v>
      </c>
      <c r="P555" s="2" t="s">
        <v>519</v>
      </c>
      <c r="Q555" s="2">
        <v>18.399999999999999</v>
      </c>
      <c r="R555" s="25">
        <v>0</v>
      </c>
      <c r="U555">
        <v>0</v>
      </c>
      <c r="X555">
        <v>0</v>
      </c>
      <c r="AA555" s="2"/>
      <c r="AB555">
        <v>20</v>
      </c>
      <c r="AC555" s="55">
        <f t="shared" ref="AC555:AC618" si="70">M555*N555*O555</f>
        <v>538.34863000000007</v>
      </c>
      <c r="AD555" s="57">
        <v>0</v>
      </c>
      <c r="AE555" s="55">
        <v>0</v>
      </c>
      <c r="AF555" s="55">
        <v>0</v>
      </c>
      <c r="AG555" s="52">
        <f t="shared" si="69"/>
        <v>7.4301294311829108E-2</v>
      </c>
      <c r="AH555" s="52"/>
      <c r="AI555" s="52"/>
      <c r="AJ555" s="52"/>
      <c r="AK555" s="28">
        <v>1.7391304347826091</v>
      </c>
      <c r="AL555" s="28">
        <v>1.956521739130435</v>
      </c>
      <c r="AM555" s="28">
        <v>0.34782608695652167</v>
      </c>
      <c r="AN555" s="28">
        <v>0</v>
      </c>
      <c r="AO555" s="28">
        <v>0.43010752688172038</v>
      </c>
      <c r="AP555" s="28">
        <v>0.48387096774193539</v>
      </c>
      <c r="AQ555" s="28">
        <v>8.6021505376344079E-2</v>
      </c>
      <c r="AR555" s="28">
        <v>0</v>
      </c>
      <c r="AS555" s="25">
        <v>1.1000000000000001</v>
      </c>
      <c r="AT555" s="25">
        <v>3.44</v>
      </c>
      <c r="AU555" s="25">
        <v>2.34</v>
      </c>
      <c r="AV555" s="25">
        <v>2.609130434782609</v>
      </c>
      <c r="AW555">
        <v>2.609130434782609</v>
      </c>
      <c r="AX555">
        <v>6.4538308176133041</v>
      </c>
      <c r="AY555" s="75"/>
      <c r="AZ555" s="75"/>
      <c r="BA555" s="75"/>
      <c r="BB555">
        <v>3.7150647155914547E-2</v>
      </c>
      <c r="BF555">
        <v>7.4301294311829108E-2</v>
      </c>
      <c r="BG555">
        <v>3.7150647155914547E-2</v>
      </c>
      <c r="BH555">
        <v>0</v>
      </c>
      <c r="CA555" t="e">
        <f t="shared" si="66"/>
        <v>#NUM!</v>
      </c>
    </row>
    <row r="556" spans="1:79" x14ac:dyDescent="0.3">
      <c r="A556" s="2" t="s">
        <v>370</v>
      </c>
      <c r="B556" s="18" t="s">
        <v>1026</v>
      </c>
      <c r="C556" s="13"/>
      <c r="D556" s="2">
        <v>3.39</v>
      </c>
      <c r="E556" s="2" t="s">
        <v>380</v>
      </c>
      <c r="F556" s="9">
        <v>-1</v>
      </c>
      <c r="G556">
        <v>-1</v>
      </c>
      <c r="I556" s="2">
        <v>1</v>
      </c>
      <c r="J556" s="25">
        <v>0</v>
      </c>
      <c r="K556">
        <v>0</v>
      </c>
      <c r="L556">
        <v>0</v>
      </c>
      <c r="M556" s="2">
        <v>3.82</v>
      </c>
      <c r="N556" s="2">
        <v>3.82</v>
      </c>
      <c r="O556" s="2">
        <v>20.2</v>
      </c>
      <c r="P556" s="2" t="s">
        <v>519</v>
      </c>
      <c r="Q556" s="2">
        <v>20.2</v>
      </c>
      <c r="R556" s="25">
        <v>0</v>
      </c>
      <c r="U556">
        <v>0</v>
      </c>
      <c r="X556">
        <v>0</v>
      </c>
      <c r="AA556" s="2"/>
      <c r="AB556">
        <v>20</v>
      </c>
      <c r="AC556" s="55">
        <f t="shared" si="70"/>
        <v>294.76648</v>
      </c>
      <c r="AD556" s="57">
        <v>0</v>
      </c>
      <c r="AE556" s="55">
        <v>0</v>
      </c>
      <c r="AF556" s="55">
        <v>0</v>
      </c>
      <c r="AG556" s="52">
        <f t="shared" si="69"/>
        <v>6.7850320022819419E-2</v>
      </c>
      <c r="AH556" s="52"/>
      <c r="AI556" s="52"/>
      <c r="AJ556" s="52"/>
      <c r="AK556" s="28">
        <v>1.6923076923076921</v>
      </c>
      <c r="AL556" s="28">
        <v>1.8076923076923079</v>
      </c>
      <c r="AM556" s="28">
        <v>0.30769230769230771</v>
      </c>
      <c r="AN556" s="28">
        <v>0</v>
      </c>
      <c r="AO556" s="28">
        <v>0.44444444444444448</v>
      </c>
      <c r="AP556" s="28">
        <v>0.47474747474747481</v>
      </c>
      <c r="AQ556" s="28">
        <v>8.0808080808080815E-2</v>
      </c>
      <c r="AR556" s="28">
        <v>0</v>
      </c>
      <c r="AS556" s="25">
        <v>1.1000000000000001</v>
      </c>
      <c r="AT556" s="25">
        <v>3.44</v>
      </c>
      <c r="AU556" s="25">
        <v>2.34</v>
      </c>
      <c r="AV556" s="25">
        <v>2.5753846153846158</v>
      </c>
      <c r="AW556">
        <v>2.5753846153846149</v>
      </c>
      <c r="AX556">
        <v>6.5020131619541548</v>
      </c>
      <c r="AY556" s="75"/>
      <c r="AZ556" s="75"/>
      <c r="BA556" s="75"/>
      <c r="BB556">
        <v>3.3925160011409709E-2</v>
      </c>
      <c r="BF556">
        <v>6.7850320022819419E-2</v>
      </c>
      <c r="BG556">
        <v>3.3925160011409709E-2</v>
      </c>
      <c r="BH556">
        <v>0</v>
      </c>
      <c r="CA556" t="e">
        <f t="shared" si="66"/>
        <v>#NUM!</v>
      </c>
    </row>
    <row r="557" spans="1:79" x14ac:dyDescent="0.3">
      <c r="A557" s="2" t="s">
        <v>371</v>
      </c>
      <c r="B557" s="18" t="s">
        <v>1035</v>
      </c>
      <c r="C557" s="13"/>
      <c r="D557" s="2">
        <v>3.4</v>
      </c>
      <c r="E557" s="2" t="s">
        <v>380</v>
      </c>
      <c r="F557" s="9">
        <v>-1</v>
      </c>
      <c r="G557">
        <v>-1</v>
      </c>
      <c r="I557" s="2">
        <v>1</v>
      </c>
      <c r="J557" s="25">
        <v>0</v>
      </c>
      <c r="K557">
        <v>0</v>
      </c>
      <c r="L557">
        <v>0</v>
      </c>
      <c r="M557" s="2">
        <v>3.82</v>
      </c>
      <c r="N557" s="2">
        <v>3.82</v>
      </c>
      <c r="O557" s="2">
        <v>21.7</v>
      </c>
      <c r="P557" s="2" t="s">
        <v>519</v>
      </c>
      <c r="Q557" s="2">
        <v>21.7</v>
      </c>
      <c r="R557" s="25">
        <v>0</v>
      </c>
      <c r="U557">
        <v>0</v>
      </c>
      <c r="X557">
        <v>0</v>
      </c>
      <c r="AA557" s="2"/>
      <c r="AB557">
        <v>20</v>
      </c>
      <c r="AC557" s="55">
        <f t="shared" si="70"/>
        <v>316.65508</v>
      </c>
      <c r="AD557" s="57">
        <v>0</v>
      </c>
      <c r="AE557" s="55">
        <v>0</v>
      </c>
      <c r="AF557" s="55">
        <v>0</v>
      </c>
      <c r="AG557" s="52">
        <f t="shared" si="69"/>
        <v>6.3160205735527761E-2</v>
      </c>
      <c r="AH557" s="52"/>
      <c r="AI557" s="52"/>
      <c r="AJ557" s="52"/>
      <c r="AK557" s="28">
        <v>1.655172413793103</v>
      </c>
      <c r="AL557" s="28">
        <v>1.6896551724137929</v>
      </c>
      <c r="AM557" s="28">
        <v>0.27586206896551718</v>
      </c>
      <c r="AN557" s="28">
        <v>0</v>
      </c>
      <c r="AO557" s="28">
        <v>0.45714285714285707</v>
      </c>
      <c r="AP557" s="28">
        <v>0.46666666666666667</v>
      </c>
      <c r="AQ557" s="28">
        <v>7.6190476190476197E-2</v>
      </c>
      <c r="AR557" s="28">
        <v>0</v>
      </c>
      <c r="AS557" s="25">
        <v>1.1000000000000001</v>
      </c>
      <c r="AT557" s="25">
        <v>3.44</v>
      </c>
      <c r="AU557" s="25">
        <v>2.34</v>
      </c>
      <c r="AV557" s="25">
        <v>2.5486206896551722</v>
      </c>
      <c r="AW557">
        <v>2.5486206896551722</v>
      </c>
      <c r="AX557">
        <v>6.5402267453968976</v>
      </c>
      <c r="AY557" s="75"/>
      <c r="AZ557" s="75"/>
      <c r="BA557" s="75"/>
      <c r="BB557">
        <v>3.158010286776388E-2</v>
      </c>
      <c r="BF557">
        <v>6.3160205735527761E-2</v>
      </c>
      <c r="BG557">
        <v>3.158010286776388E-2</v>
      </c>
      <c r="BH557">
        <v>0</v>
      </c>
      <c r="CA557" t="e">
        <f t="shared" si="66"/>
        <v>#NUM!</v>
      </c>
    </row>
    <row r="558" spans="1:79" x14ac:dyDescent="0.3">
      <c r="A558" s="2" t="s">
        <v>372</v>
      </c>
      <c r="B558" s="18" t="s">
        <v>1036</v>
      </c>
      <c r="C558" s="13"/>
      <c r="D558" s="2">
        <v>3.42</v>
      </c>
      <c r="E558" s="2" t="s">
        <v>380</v>
      </c>
      <c r="F558" s="9">
        <v>-1</v>
      </c>
      <c r="G558">
        <v>-1</v>
      </c>
      <c r="I558" s="2">
        <v>1</v>
      </c>
      <c r="J558" s="25">
        <v>0</v>
      </c>
      <c r="K558">
        <v>0</v>
      </c>
      <c r="L558">
        <v>0</v>
      </c>
      <c r="M558" s="2">
        <v>3.81</v>
      </c>
      <c r="N558" s="2">
        <v>3.81</v>
      </c>
      <c r="O558" s="2">
        <v>24.7</v>
      </c>
      <c r="P558" s="2" t="s">
        <v>519</v>
      </c>
      <c r="Q558" s="2">
        <v>24.7</v>
      </c>
      <c r="R558" s="25">
        <v>0</v>
      </c>
      <c r="U558">
        <v>0</v>
      </c>
      <c r="X558">
        <v>0</v>
      </c>
      <c r="AA558" s="2"/>
      <c r="AB558">
        <v>20</v>
      </c>
      <c r="AC558" s="55">
        <f t="shared" si="70"/>
        <v>358.54766999999998</v>
      </c>
      <c r="AD558" s="57">
        <v>0</v>
      </c>
      <c r="AE558" s="55">
        <v>0</v>
      </c>
      <c r="AF558" s="55">
        <v>0</v>
      </c>
      <c r="AG558" s="52">
        <f t="shared" si="69"/>
        <v>5.5780588394285201E-2</v>
      </c>
      <c r="AH558" s="52"/>
      <c r="AI558" s="52"/>
      <c r="AJ558" s="52"/>
      <c r="AK558" s="28">
        <v>1.625</v>
      </c>
      <c r="AL558" s="28">
        <v>1.59375</v>
      </c>
      <c r="AM558" s="28">
        <v>0.25</v>
      </c>
      <c r="AN558" s="28">
        <v>0</v>
      </c>
      <c r="AO558" s="28">
        <v>0.46846846846846851</v>
      </c>
      <c r="AP558" s="28">
        <v>0.45945945945945948</v>
      </c>
      <c r="AQ558" s="28">
        <v>7.2072072072072071E-2</v>
      </c>
      <c r="AR558" s="28">
        <v>0</v>
      </c>
      <c r="AS558" s="25">
        <v>1.1000000000000001</v>
      </c>
      <c r="AT558" s="25">
        <v>3.44</v>
      </c>
      <c r="AU558" s="25">
        <v>2.34</v>
      </c>
      <c r="AV558" s="25">
        <v>2.526875</v>
      </c>
      <c r="AW558">
        <v>2.526875</v>
      </c>
      <c r="AX558">
        <v>6.5712752819441249</v>
      </c>
      <c r="AY558" s="75"/>
      <c r="AZ558" s="75"/>
      <c r="BA558" s="75"/>
      <c r="BB558">
        <v>2.78902941971426E-2</v>
      </c>
      <c r="BF558">
        <v>5.5780588394285201E-2</v>
      </c>
      <c r="BG558">
        <v>2.78902941971426E-2</v>
      </c>
      <c r="BH558">
        <v>0</v>
      </c>
      <c r="CA558" t="e">
        <f t="shared" si="66"/>
        <v>#NUM!</v>
      </c>
    </row>
    <row r="559" spans="1:79" x14ac:dyDescent="0.3">
      <c r="A559" s="2" t="s">
        <v>373</v>
      </c>
      <c r="B559" s="18" t="s">
        <v>1037</v>
      </c>
      <c r="C559" s="13"/>
      <c r="D559" s="2">
        <v>3.41</v>
      </c>
      <c r="E559" s="2" t="s">
        <v>380</v>
      </c>
      <c r="F559" s="9">
        <v>-1</v>
      </c>
      <c r="G559">
        <v>-1</v>
      </c>
      <c r="I559" s="2">
        <v>1</v>
      </c>
      <c r="J559" s="25">
        <v>0</v>
      </c>
      <c r="K559">
        <v>0</v>
      </c>
      <c r="L559">
        <v>0</v>
      </c>
      <c r="M559" s="2">
        <v>3.87</v>
      </c>
      <c r="N559" s="2">
        <v>3.87</v>
      </c>
      <c r="O559" s="2">
        <v>29.4</v>
      </c>
      <c r="P559" s="2" t="s">
        <v>519</v>
      </c>
      <c r="Q559" s="2">
        <v>29.4</v>
      </c>
      <c r="R559" s="25">
        <v>0</v>
      </c>
      <c r="U559">
        <v>0</v>
      </c>
      <c r="X559">
        <v>0</v>
      </c>
      <c r="AA559" s="2"/>
      <c r="AB559">
        <v>20</v>
      </c>
      <c r="AC559" s="55">
        <f t="shared" si="70"/>
        <v>440.32085999999998</v>
      </c>
      <c r="AD559" s="57">
        <v>0</v>
      </c>
      <c r="AE559" s="55">
        <v>0</v>
      </c>
      <c r="AF559" s="55">
        <v>0</v>
      </c>
      <c r="AG559" s="52">
        <f t="shared" si="69"/>
        <v>4.5421422914190351E-2</v>
      </c>
      <c r="AH559" s="52"/>
      <c r="AI559" s="52"/>
      <c r="AJ559" s="52"/>
      <c r="AK559" s="28">
        <v>1.5789473684210531</v>
      </c>
      <c r="AL559" s="28">
        <v>1.4473684210526321</v>
      </c>
      <c r="AM559" s="28">
        <v>0.2105263157894737</v>
      </c>
      <c r="AN559" s="28">
        <v>0</v>
      </c>
      <c r="AO559" s="28">
        <v>0.48780487804878048</v>
      </c>
      <c r="AP559" s="28">
        <v>0.44715447154471538</v>
      </c>
      <c r="AQ559" s="28">
        <v>6.5040650406504058E-2</v>
      </c>
      <c r="AR559" s="28">
        <v>0</v>
      </c>
      <c r="AS559" s="25">
        <v>1.1000000000000001</v>
      </c>
      <c r="AT559" s="25">
        <v>3.44</v>
      </c>
      <c r="AU559" s="25">
        <v>2.34</v>
      </c>
      <c r="AV559" s="25">
        <v>2.4936842105263159</v>
      </c>
      <c r="AW559">
        <v>2.4936842105263159</v>
      </c>
      <c r="AX559">
        <v>6.6186651535162104</v>
      </c>
      <c r="AY559" s="75"/>
      <c r="AZ559" s="75"/>
      <c r="BA559" s="75"/>
      <c r="BB559">
        <v>2.2710711457095179E-2</v>
      </c>
      <c r="BF559">
        <v>4.5421422914190351E-2</v>
      </c>
      <c r="BG559">
        <v>2.2710711457095179E-2</v>
      </c>
      <c r="BH559">
        <v>0</v>
      </c>
      <c r="CA559" t="e">
        <f t="shared" si="66"/>
        <v>#NUM!</v>
      </c>
    </row>
    <row r="560" spans="1:79" x14ac:dyDescent="0.3">
      <c r="A560" s="2" t="s">
        <v>374</v>
      </c>
      <c r="B560" s="18" t="s">
        <v>1038</v>
      </c>
      <c r="C560" s="13"/>
      <c r="D560" s="2">
        <v>3.4</v>
      </c>
      <c r="E560" s="2" t="s">
        <v>380</v>
      </c>
      <c r="F560" s="9">
        <v>-1</v>
      </c>
      <c r="G560">
        <v>-1</v>
      </c>
      <c r="I560" s="2">
        <v>1</v>
      </c>
      <c r="J560" s="25">
        <v>0</v>
      </c>
      <c r="K560">
        <v>0</v>
      </c>
      <c r="L560">
        <v>0</v>
      </c>
      <c r="M560" s="2">
        <v>3.85</v>
      </c>
      <c r="N560" s="2">
        <v>3.85</v>
      </c>
      <c r="O560" s="2">
        <v>34.200000000000003</v>
      </c>
      <c r="P560" s="2" t="s">
        <v>519</v>
      </c>
      <c r="Q560" s="2">
        <v>34.200000000000003</v>
      </c>
      <c r="R560" s="25">
        <v>0</v>
      </c>
      <c r="U560">
        <v>0</v>
      </c>
      <c r="X560">
        <v>0</v>
      </c>
      <c r="AA560" s="2"/>
      <c r="AB560">
        <v>20</v>
      </c>
      <c r="AC560" s="55">
        <f t="shared" si="70"/>
        <v>506.92950000000008</v>
      </c>
      <c r="AD560" s="57">
        <v>0</v>
      </c>
      <c r="AE560" s="55">
        <v>0</v>
      </c>
      <c r="AF560" s="55">
        <v>0</v>
      </c>
      <c r="AG560" s="52">
        <f t="shared" si="69"/>
        <v>3.9453217853764669E-2</v>
      </c>
      <c r="AH560" s="52"/>
      <c r="AI560" s="52"/>
      <c r="AJ560" s="52"/>
      <c r="AK560" s="28">
        <v>1.545454545454545</v>
      </c>
      <c r="AL560" s="28">
        <v>1.3409090909090911</v>
      </c>
      <c r="AM560" s="28">
        <v>0.1818181818181818</v>
      </c>
      <c r="AN560" s="28">
        <v>0</v>
      </c>
      <c r="AO560" s="28">
        <v>0.50370370370370365</v>
      </c>
      <c r="AP560" s="28">
        <v>0.437037037037037</v>
      </c>
      <c r="AQ560" s="28">
        <v>5.9259259259259248E-2</v>
      </c>
      <c r="AR560" s="28">
        <v>0</v>
      </c>
      <c r="AS560" s="25">
        <v>1.1000000000000001</v>
      </c>
      <c r="AT560" s="25">
        <v>3.44</v>
      </c>
      <c r="AU560" s="25">
        <v>2.34</v>
      </c>
      <c r="AV560" s="25">
        <v>2.4695454545454552</v>
      </c>
      <c r="AW560">
        <v>2.4695454545454538</v>
      </c>
      <c r="AX560">
        <v>6.6531305146595452</v>
      </c>
      <c r="AY560" s="75"/>
      <c r="AZ560" s="75"/>
      <c r="BA560" s="75"/>
      <c r="BB560">
        <v>1.9726608926882331E-2</v>
      </c>
      <c r="BF560">
        <v>3.9453217853764669E-2</v>
      </c>
      <c r="BG560">
        <v>1.9726608926882331E-2</v>
      </c>
      <c r="BH560">
        <v>0</v>
      </c>
      <c r="CA560" t="e">
        <f t="shared" si="66"/>
        <v>#NUM!</v>
      </c>
    </row>
    <row r="561" spans="1:79" x14ac:dyDescent="0.3">
      <c r="A561" s="2" t="s">
        <v>375</v>
      </c>
      <c r="B561" s="18" t="s">
        <v>1039</v>
      </c>
      <c r="C561" s="13"/>
      <c r="D561" s="2">
        <v>3.33</v>
      </c>
      <c r="E561" s="2" t="s">
        <v>380</v>
      </c>
      <c r="F561" s="9">
        <v>-1</v>
      </c>
      <c r="G561">
        <v>-1</v>
      </c>
      <c r="I561" s="2">
        <v>2</v>
      </c>
      <c r="J561" s="25">
        <v>0</v>
      </c>
      <c r="K561">
        <v>0</v>
      </c>
      <c r="L561">
        <v>0</v>
      </c>
      <c r="M561" s="2">
        <v>3.81</v>
      </c>
      <c r="N561" s="2">
        <v>3.81</v>
      </c>
      <c r="O561" s="2">
        <v>35.1</v>
      </c>
      <c r="P561" s="2" t="s">
        <v>519</v>
      </c>
      <c r="Q561" s="2">
        <v>17.600000000000001</v>
      </c>
      <c r="R561" s="25">
        <v>0</v>
      </c>
      <c r="U561">
        <v>0</v>
      </c>
      <c r="X561">
        <v>0</v>
      </c>
      <c r="AA561" s="2"/>
      <c r="AB561">
        <v>20</v>
      </c>
      <c r="AC561" s="55">
        <f t="shared" si="70"/>
        <v>509.51510999999999</v>
      </c>
      <c r="AD561" s="57">
        <v>0</v>
      </c>
      <c r="AE561" s="55">
        <v>0</v>
      </c>
      <c r="AF561" s="55">
        <v>0</v>
      </c>
      <c r="AG561" s="52">
        <f t="shared" si="69"/>
        <v>7.8506013295660648E-2</v>
      </c>
      <c r="AH561" s="52"/>
      <c r="AI561" s="52"/>
      <c r="AJ561" s="52"/>
      <c r="AK561" s="28">
        <v>1.7727272727272729</v>
      </c>
      <c r="AL561" s="28">
        <v>2.0909090909090908</v>
      </c>
      <c r="AM561" s="28">
        <v>0.36363636363636359</v>
      </c>
      <c r="AN561" s="28">
        <v>0</v>
      </c>
      <c r="AO561" s="28">
        <v>0.41935483870967738</v>
      </c>
      <c r="AP561" s="28">
        <v>0.49462365591397839</v>
      </c>
      <c r="AQ561" s="28">
        <v>8.6021505376344079E-2</v>
      </c>
      <c r="AR561" s="28">
        <v>0</v>
      </c>
      <c r="AS561" s="25">
        <v>1.1000000000000001</v>
      </c>
      <c r="AT561" s="25">
        <v>3.44</v>
      </c>
      <c r="AU561" s="25">
        <v>2.34</v>
      </c>
      <c r="AV561" s="25">
        <v>2.645909090909091</v>
      </c>
      <c r="AW561">
        <v>2.645909090909091</v>
      </c>
      <c r="AX561">
        <v>6.4349594388752269</v>
      </c>
      <c r="AY561" s="75"/>
      <c r="AZ561" s="75"/>
      <c r="BA561" s="75"/>
      <c r="BB561">
        <v>4.3178307312613358E-2</v>
      </c>
      <c r="BF561">
        <v>7.8506013295660648E-2</v>
      </c>
      <c r="BG561">
        <v>4.3178307312613358E-2</v>
      </c>
      <c r="BH561">
        <v>0</v>
      </c>
      <c r="CA561" t="e">
        <f t="shared" si="66"/>
        <v>#NUM!</v>
      </c>
    </row>
    <row r="562" spans="1:79" x14ac:dyDescent="0.3">
      <c r="A562" s="2" t="s">
        <v>376</v>
      </c>
      <c r="B562" s="18" t="s">
        <v>1027</v>
      </c>
      <c r="C562" s="13"/>
      <c r="D562" s="2">
        <v>3.41</v>
      </c>
      <c r="E562" s="2" t="s">
        <v>380</v>
      </c>
      <c r="F562" s="9">
        <v>-1</v>
      </c>
      <c r="G562">
        <v>-1</v>
      </c>
      <c r="I562" s="2">
        <v>2</v>
      </c>
      <c r="J562" s="25">
        <v>0</v>
      </c>
      <c r="K562">
        <v>0</v>
      </c>
      <c r="L562">
        <v>0</v>
      </c>
      <c r="M562" s="2">
        <v>3.83</v>
      </c>
      <c r="N562" s="2">
        <v>3.83</v>
      </c>
      <c r="O562" s="2">
        <v>39.5</v>
      </c>
      <c r="P562" s="2" t="s">
        <v>519</v>
      </c>
      <c r="Q562" s="2">
        <v>19.8</v>
      </c>
      <c r="R562" s="25">
        <v>0</v>
      </c>
      <c r="U562">
        <v>0</v>
      </c>
      <c r="X562">
        <v>0</v>
      </c>
      <c r="AA562" s="2"/>
      <c r="AB562">
        <v>20</v>
      </c>
      <c r="AC562" s="55">
        <f t="shared" si="70"/>
        <v>579.42155000000002</v>
      </c>
      <c r="AD562" s="57">
        <v>0</v>
      </c>
      <c r="AE562" s="55">
        <v>0</v>
      </c>
      <c r="AF562" s="55">
        <v>0</v>
      </c>
      <c r="AG562" s="52">
        <f t="shared" si="69"/>
        <v>6.9034367120104523E-2</v>
      </c>
      <c r="AH562" s="52"/>
      <c r="AI562" s="52"/>
      <c r="AJ562" s="52"/>
      <c r="AK562" s="28">
        <v>1.72</v>
      </c>
      <c r="AL562" s="28">
        <v>1.92</v>
      </c>
      <c r="AM562" s="28">
        <v>0.32</v>
      </c>
      <c r="AN562" s="28">
        <v>0</v>
      </c>
      <c r="AO562" s="28">
        <v>0.43434343434343442</v>
      </c>
      <c r="AP562" s="28">
        <v>0.48484848484848492</v>
      </c>
      <c r="AQ562" s="28">
        <v>8.0808080808080815E-2</v>
      </c>
      <c r="AR562" s="28">
        <v>0</v>
      </c>
      <c r="AS562" s="25">
        <v>1.1000000000000001</v>
      </c>
      <c r="AT562" s="25">
        <v>3.44</v>
      </c>
      <c r="AU562" s="25">
        <v>2.34</v>
      </c>
      <c r="AV562" s="25">
        <v>2.6063999999999998</v>
      </c>
      <c r="AW562">
        <v>2.6063999999999998</v>
      </c>
      <c r="AX562">
        <v>6.4873336424382799</v>
      </c>
      <c r="AY562" s="75"/>
      <c r="AZ562" s="75"/>
      <c r="BA562" s="75"/>
      <c r="BB562">
        <v>3.7968901916057493E-2</v>
      </c>
      <c r="BF562">
        <v>6.9034367120104523E-2</v>
      </c>
      <c r="BG562">
        <v>3.7968901916057493E-2</v>
      </c>
      <c r="BH562">
        <v>0</v>
      </c>
      <c r="CA562" t="e">
        <f t="shared" si="66"/>
        <v>#NUM!</v>
      </c>
    </row>
    <row r="563" spans="1:79" x14ac:dyDescent="0.3">
      <c r="A563" s="2" t="s">
        <v>377</v>
      </c>
      <c r="B563" s="18" t="s">
        <v>1040</v>
      </c>
      <c r="C563" s="13"/>
      <c r="D563" s="2">
        <v>3.38</v>
      </c>
      <c r="E563" s="2" t="s">
        <v>380</v>
      </c>
      <c r="F563" s="9">
        <v>-1</v>
      </c>
      <c r="G563">
        <v>-1</v>
      </c>
      <c r="I563" s="2">
        <v>2</v>
      </c>
      <c r="J563" s="25">
        <v>0</v>
      </c>
      <c r="K563">
        <v>0</v>
      </c>
      <c r="L563">
        <v>0</v>
      </c>
      <c r="M563" s="2">
        <v>3.83</v>
      </c>
      <c r="N563" s="2">
        <v>3.83</v>
      </c>
      <c r="O563" s="2">
        <v>44.2</v>
      </c>
      <c r="P563" s="2" t="s">
        <v>519</v>
      </c>
      <c r="Q563" s="2">
        <v>22.1</v>
      </c>
      <c r="R563" s="25">
        <v>0</v>
      </c>
      <c r="U563">
        <v>0</v>
      </c>
      <c r="X563">
        <v>0</v>
      </c>
      <c r="AA563" s="2"/>
      <c r="AB563">
        <v>20</v>
      </c>
      <c r="AC563" s="55">
        <f t="shared" si="70"/>
        <v>648.36538000000007</v>
      </c>
      <c r="AD563" s="57">
        <v>0</v>
      </c>
      <c r="AE563" s="55">
        <v>0</v>
      </c>
      <c r="AF563" s="55">
        <v>0</v>
      </c>
      <c r="AG563" s="52">
        <f t="shared" si="69"/>
        <v>6.1693608625432772E-2</v>
      </c>
      <c r="AH563" s="52"/>
      <c r="AI563" s="52"/>
      <c r="AJ563" s="52"/>
      <c r="AK563" s="28">
        <v>1.678571428571429</v>
      </c>
      <c r="AL563" s="28">
        <v>1.785714285714286</v>
      </c>
      <c r="AM563" s="28">
        <v>0.2857142857142857</v>
      </c>
      <c r="AN563" s="28">
        <v>0</v>
      </c>
      <c r="AO563" s="28">
        <v>0.44761904761904758</v>
      </c>
      <c r="AP563" s="28">
        <v>0.47619047619047622</v>
      </c>
      <c r="AQ563" s="28">
        <v>7.6190476190476183E-2</v>
      </c>
      <c r="AR563" s="28">
        <v>0</v>
      </c>
      <c r="AS563" s="25">
        <v>1.1000000000000001</v>
      </c>
      <c r="AT563" s="25">
        <v>3.44</v>
      </c>
      <c r="AU563" s="25">
        <v>2.34</v>
      </c>
      <c r="AV563" s="25">
        <v>2.5753571428571429</v>
      </c>
      <c r="AW563">
        <v>2.5753571428571429</v>
      </c>
      <c r="AX563">
        <v>6.5284848023806781</v>
      </c>
      <c r="AY563" s="75"/>
      <c r="AZ563" s="75"/>
      <c r="BA563" s="75"/>
      <c r="BB563">
        <v>3.3931484743988022E-2</v>
      </c>
      <c r="BF563">
        <v>6.1693608625432772E-2</v>
      </c>
      <c r="BG563">
        <v>3.3931484743988022E-2</v>
      </c>
      <c r="BH563">
        <v>0</v>
      </c>
      <c r="CA563" t="e">
        <f t="shared" si="66"/>
        <v>#NUM!</v>
      </c>
    </row>
    <row r="564" spans="1:79" x14ac:dyDescent="0.3">
      <c r="A564" s="2" t="s">
        <v>378</v>
      </c>
      <c r="B564" s="18" t="s">
        <v>1041</v>
      </c>
      <c r="C564" s="13"/>
      <c r="D564" s="2">
        <v>3.4</v>
      </c>
      <c r="E564" s="2" t="s">
        <v>380</v>
      </c>
      <c r="F564" s="9">
        <v>-1</v>
      </c>
      <c r="G564">
        <v>-1</v>
      </c>
      <c r="I564" s="2">
        <v>2</v>
      </c>
      <c r="J564" s="25">
        <v>0</v>
      </c>
      <c r="K564">
        <v>0</v>
      </c>
      <c r="L564">
        <v>0</v>
      </c>
      <c r="M564" s="2">
        <v>3.82</v>
      </c>
      <c r="N564" s="2">
        <v>3.82</v>
      </c>
      <c r="O564" s="2">
        <v>48.5</v>
      </c>
      <c r="P564" s="2" t="s">
        <v>519</v>
      </c>
      <c r="Q564" s="2">
        <v>24.3</v>
      </c>
      <c r="R564" s="25">
        <v>0</v>
      </c>
      <c r="U564">
        <v>0</v>
      </c>
      <c r="X564">
        <v>0</v>
      </c>
      <c r="AA564" s="2"/>
      <c r="AB564">
        <v>20</v>
      </c>
      <c r="AC564" s="55">
        <f t="shared" si="70"/>
        <v>707.73140000000001</v>
      </c>
      <c r="AD564" s="57">
        <v>0</v>
      </c>
      <c r="AE564" s="55">
        <v>0</v>
      </c>
      <c r="AF564" s="55">
        <v>0</v>
      </c>
      <c r="AG564" s="52">
        <f t="shared" si="69"/>
        <v>5.6518617091173291E-2</v>
      </c>
      <c r="AH564" s="52"/>
      <c r="AI564" s="52"/>
      <c r="AJ564" s="52"/>
      <c r="AK564" s="28">
        <v>1.645161290322581</v>
      </c>
      <c r="AL564" s="28">
        <v>1.67741935483871</v>
      </c>
      <c r="AM564" s="28">
        <v>0.25806451612903231</v>
      </c>
      <c r="AN564" s="28">
        <v>0</v>
      </c>
      <c r="AO564" s="28">
        <v>0.45945945945945948</v>
      </c>
      <c r="AP564" s="28">
        <v>0.46846846846846851</v>
      </c>
      <c r="AQ564" s="28">
        <v>7.2072072072072071E-2</v>
      </c>
      <c r="AR564" s="28">
        <v>0</v>
      </c>
      <c r="AS564" s="25">
        <v>1.1000000000000001</v>
      </c>
      <c r="AT564" s="25">
        <v>3.44</v>
      </c>
      <c r="AU564" s="25">
        <v>2.34</v>
      </c>
      <c r="AV564" s="25">
        <v>2.5503225806451608</v>
      </c>
      <c r="AW564">
        <v>2.5503225806451608</v>
      </c>
      <c r="AX564">
        <v>6.5616712216890649</v>
      </c>
      <c r="AY564" s="75"/>
      <c r="AZ564" s="75"/>
      <c r="BA564" s="75"/>
      <c r="BB564">
        <v>3.108523940014531E-2</v>
      </c>
      <c r="BF564">
        <v>5.6518617091173291E-2</v>
      </c>
      <c r="BG564">
        <v>3.108523940014531E-2</v>
      </c>
      <c r="BH564">
        <v>0</v>
      </c>
      <c r="CA564" t="e">
        <f t="shared" si="66"/>
        <v>#NUM!</v>
      </c>
    </row>
    <row r="565" spans="1:79" x14ac:dyDescent="0.3">
      <c r="A565" s="2" t="s">
        <v>379</v>
      </c>
      <c r="B565" s="18" t="s">
        <v>1042</v>
      </c>
      <c r="C565" s="13"/>
      <c r="D565" s="2">
        <v>3.4</v>
      </c>
      <c r="E565" s="2" t="s">
        <v>380</v>
      </c>
      <c r="F565" s="9">
        <v>-1</v>
      </c>
      <c r="G565">
        <v>-1</v>
      </c>
      <c r="I565" s="2">
        <v>1</v>
      </c>
      <c r="J565" s="25">
        <v>0</v>
      </c>
      <c r="K565">
        <v>0</v>
      </c>
      <c r="L565">
        <v>0</v>
      </c>
      <c r="M565" s="2">
        <v>3.82</v>
      </c>
      <c r="N565" s="2">
        <v>3.82</v>
      </c>
      <c r="O565" s="2">
        <v>29.2</v>
      </c>
      <c r="P565" s="2" t="s">
        <v>519</v>
      </c>
      <c r="Q565" s="2">
        <v>29.2</v>
      </c>
      <c r="R565" s="25">
        <v>0</v>
      </c>
      <c r="U565">
        <v>0</v>
      </c>
      <c r="X565">
        <v>0</v>
      </c>
      <c r="AA565" s="2"/>
      <c r="AB565">
        <v>20</v>
      </c>
      <c r="AC565" s="55">
        <f t="shared" si="70"/>
        <v>426.09807999999998</v>
      </c>
      <c r="AD565" s="57">
        <v>0</v>
      </c>
      <c r="AE565" s="55">
        <v>0</v>
      </c>
      <c r="AF565" s="55">
        <v>0</v>
      </c>
      <c r="AG565" s="52">
        <f t="shared" si="69"/>
        <v>4.6937550152772338E-2</v>
      </c>
      <c r="AH565" s="52"/>
      <c r="AI565" s="52"/>
      <c r="AJ565" s="52"/>
      <c r="AK565" s="28">
        <v>1.594594594594595</v>
      </c>
      <c r="AL565" s="28">
        <v>1.513513513513514</v>
      </c>
      <c r="AM565" s="28">
        <v>0.2162162162162162</v>
      </c>
      <c r="AN565" s="28">
        <v>0</v>
      </c>
      <c r="AO565" s="28">
        <v>0.47967479674796748</v>
      </c>
      <c r="AP565" s="28">
        <v>0.45528455284552849</v>
      </c>
      <c r="AQ565" s="28">
        <v>6.5040650406504072E-2</v>
      </c>
      <c r="AR565" s="28">
        <v>0</v>
      </c>
      <c r="AS565" s="25">
        <v>1.1000000000000001</v>
      </c>
      <c r="AT565" s="25">
        <v>3.44</v>
      </c>
      <c r="AU565" s="25">
        <v>2.34</v>
      </c>
      <c r="AV565" s="25">
        <v>2.512432432432433</v>
      </c>
      <c r="AW565">
        <v>2.512432432432433</v>
      </c>
      <c r="AX565">
        <v>6.6118993157774328</v>
      </c>
      <c r="AY565" s="75"/>
      <c r="AZ565" s="75"/>
      <c r="BA565" s="75"/>
      <c r="BB565">
        <v>2.5815652584024788E-2</v>
      </c>
      <c r="BF565">
        <v>4.6937550152772338E-2</v>
      </c>
      <c r="BG565">
        <v>2.5815652584024788E-2</v>
      </c>
      <c r="BH565">
        <v>0</v>
      </c>
      <c r="CA565" t="e">
        <f t="shared" si="66"/>
        <v>#NUM!</v>
      </c>
    </row>
    <row r="566" spans="1:79" x14ac:dyDescent="0.3">
      <c r="A566" s="2" t="s">
        <v>1134</v>
      </c>
      <c r="B566" s="18" t="s">
        <v>1043</v>
      </c>
      <c r="C566" s="13"/>
      <c r="D566" s="2">
        <v>3.38</v>
      </c>
      <c r="E566" s="2" t="s">
        <v>380</v>
      </c>
      <c r="F566" s="9">
        <v>-1</v>
      </c>
      <c r="G566">
        <v>-1</v>
      </c>
      <c r="I566" s="2">
        <v>1</v>
      </c>
      <c r="J566" s="25">
        <v>0</v>
      </c>
      <c r="K566">
        <v>0</v>
      </c>
      <c r="L566">
        <v>0</v>
      </c>
      <c r="M566" s="2">
        <v>3.82</v>
      </c>
      <c r="N566" s="2">
        <v>3.82</v>
      </c>
      <c r="O566" s="2">
        <v>31.3</v>
      </c>
      <c r="P566" s="2" t="s">
        <v>519</v>
      </c>
      <c r="Q566" s="2">
        <v>31.3</v>
      </c>
      <c r="R566" s="25">
        <v>0</v>
      </c>
      <c r="U566">
        <v>0</v>
      </c>
      <c r="X566">
        <v>0</v>
      </c>
      <c r="AA566" s="2"/>
      <c r="AB566">
        <v>20</v>
      </c>
      <c r="AC566" s="55">
        <f t="shared" si="70"/>
        <v>456.74212</v>
      </c>
      <c r="AD566" s="57">
        <v>0</v>
      </c>
      <c r="AE566" s="55">
        <v>0</v>
      </c>
      <c r="AF566" s="55">
        <v>0</v>
      </c>
      <c r="AG566" s="52">
        <f t="shared" si="69"/>
        <v>4.3788385446036811E-2</v>
      </c>
      <c r="AH566" s="52"/>
      <c r="AI566" s="52"/>
      <c r="AJ566" s="52"/>
      <c r="AK566" s="28">
        <v>1.558139534883721</v>
      </c>
      <c r="AL566" s="28">
        <v>1.3953488372093019</v>
      </c>
      <c r="AM566" s="28">
        <v>0.186046511627907</v>
      </c>
      <c r="AN566" s="28">
        <v>0</v>
      </c>
      <c r="AO566" s="28">
        <v>0.49629629629629629</v>
      </c>
      <c r="AP566" s="28">
        <v>0.44444444444444448</v>
      </c>
      <c r="AQ566" s="28">
        <v>5.9259259259259262E-2</v>
      </c>
      <c r="AR566" s="28">
        <v>0</v>
      </c>
      <c r="AS566" s="25">
        <v>1.1000000000000001</v>
      </c>
      <c r="AT566" s="25">
        <v>3.44</v>
      </c>
      <c r="AU566" s="25">
        <v>2.34</v>
      </c>
      <c r="AV566" s="25">
        <v>2.4851162790697678</v>
      </c>
      <c r="AW566">
        <v>2.485116279069767</v>
      </c>
      <c r="AX566">
        <v>6.6481102673295114</v>
      </c>
      <c r="AY566" s="75"/>
      <c r="AZ566" s="75"/>
      <c r="BA566" s="75"/>
      <c r="BB566">
        <v>2.4083611995320251E-2</v>
      </c>
      <c r="BF566">
        <v>4.3788385446036811E-2</v>
      </c>
      <c r="BG566">
        <v>2.4083611995320251E-2</v>
      </c>
      <c r="BH566">
        <v>0</v>
      </c>
      <c r="CA566" t="e">
        <f t="shared" si="66"/>
        <v>#NUM!</v>
      </c>
    </row>
    <row r="567" spans="1:79" x14ac:dyDescent="0.3">
      <c r="A567" s="2" t="s">
        <v>381</v>
      </c>
      <c r="B567" s="13" t="s">
        <v>838</v>
      </c>
      <c r="C567" s="13"/>
      <c r="D567" s="2">
        <v>3.47</v>
      </c>
      <c r="E567" s="2" t="s">
        <v>380</v>
      </c>
      <c r="F567" s="9">
        <v>-1</v>
      </c>
      <c r="G567">
        <v>-1</v>
      </c>
      <c r="I567" s="2">
        <v>2</v>
      </c>
      <c r="J567" s="25">
        <v>0</v>
      </c>
      <c r="K567">
        <v>0</v>
      </c>
      <c r="L567">
        <v>0</v>
      </c>
      <c r="M567" s="2">
        <v>3.78</v>
      </c>
      <c r="N567" s="2">
        <v>3.78</v>
      </c>
      <c r="O567" s="2">
        <v>27.2</v>
      </c>
      <c r="P567" s="2" t="s">
        <v>519</v>
      </c>
      <c r="Q567" s="2">
        <v>13.6</v>
      </c>
      <c r="R567" s="25">
        <v>0</v>
      </c>
      <c r="U567">
        <v>0</v>
      </c>
      <c r="X567">
        <v>0</v>
      </c>
      <c r="AA567" s="2"/>
      <c r="AB567">
        <v>20</v>
      </c>
      <c r="AC567" s="55">
        <f t="shared" si="70"/>
        <v>388.64447999999999</v>
      </c>
      <c r="AD567" s="57">
        <v>0</v>
      </c>
      <c r="AE567" s="55">
        <v>0</v>
      </c>
      <c r="AF567" s="55">
        <v>0</v>
      </c>
      <c r="AG567" s="52">
        <f t="shared" si="69"/>
        <v>0.10292182716708083</v>
      </c>
      <c r="AH567" s="52"/>
      <c r="AI567" s="52"/>
      <c r="AJ567" s="52"/>
      <c r="AK567" s="28">
        <v>1.882352941176471</v>
      </c>
      <c r="AL567" s="28">
        <v>2.3529411764705879</v>
      </c>
      <c r="AM567" s="28">
        <v>0.35294117647058831</v>
      </c>
      <c r="AN567" s="28">
        <v>0.47058823529411759</v>
      </c>
      <c r="AO567" s="28">
        <v>0.37209302325581389</v>
      </c>
      <c r="AP567" s="28">
        <v>0.46511627906976749</v>
      </c>
      <c r="AQ567" s="28">
        <v>6.9767441860465129E-2</v>
      </c>
      <c r="AR567" s="28">
        <v>9.3023255813953487E-2</v>
      </c>
      <c r="AS567" s="25">
        <v>1.1399999999999999</v>
      </c>
      <c r="AT567" s="25">
        <v>3.44</v>
      </c>
      <c r="AU567" s="25">
        <v>2.2999999999999998</v>
      </c>
      <c r="AV567" s="25">
        <v>2.6882352941176468</v>
      </c>
      <c r="AW567">
        <v>2.6882352941176468</v>
      </c>
      <c r="AX567">
        <v>6.2192249941001183</v>
      </c>
      <c r="AY567" s="75"/>
      <c r="AZ567" s="75"/>
      <c r="BA567" s="75"/>
      <c r="BB567">
        <v>5.1460913583540407E-2</v>
      </c>
      <c r="BF567">
        <v>0.1029218271670808</v>
      </c>
      <c r="BG567">
        <v>5.1460913583540407E-2</v>
      </c>
      <c r="BH567">
        <v>0</v>
      </c>
      <c r="CA567" t="e">
        <f t="shared" si="66"/>
        <v>#NUM!</v>
      </c>
    </row>
    <row r="568" spans="1:79" x14ac:dyDescent="0.3">
      <c r="A568" s="2" t="s">
        <v>382</v>
      </c>
      <c r="B568" s="18" t="s">
        <v>1044</v>
      </c>
      <c r="C568" s="13"/>
      <c r="D568" s="2">
        <v>3.4</v>
      </c>
      <c r="E568" s="2" t="s">
        <v>380</v>
      </c>
      <c r="F568" s="9">
        <v>-1</v>
      </c>
      <c r="G568">
        <v>-1</v>
      </c>
      <c r="I568" s="2">
        <v>2</v>
      </c>
      <c r="J568" s="25">
        <v>0</v>
      </c>
      <c r="K568">
        <v>0</v>
      </c>
      <c r="L568">
        <v>0</v>
      </c>
      <c r="M568" s="2">
        <v>3.81</v>
      </c>
      <c r="N568" s="2">
        <v>3.81</v>
      </c>
      <c r="O568" s="2">
        <v>35.4</v>
      </c>
      <c r="P568" s="2" t="s">
        <v>519</v>
      </c>
      <c r="Q568" s="2">
        <v>17.7</v>
      </c>
      <c r="R568" s="25">
        <v>0</v>
      </c>
      <c r="U568">
        <v>0</v>
      </c>
      <c r="X568">
        <v>0</v>
      </c>
      <c r="AA568" s="2"/>
      <c r="AB568">
        <v>20</v>
      </c>
      <c r="AC568" s="55">
        <f t="shared" si="70"/>
        <v>513.86993999999993</v>
      </c>
      <c r="AD568" s="57">
        <v>0</v>
      </c>
      <c r="AE568" s="55">
        <v>0</v>
      </c>
      <c r="AF568" s="55">
        <v>0</v>
      </c>
      <c r="AG568" s="52">
        <f t="shared" si="69"/>
        <v>7.7840708098239814E-2</v>
      </c>
      <c r="AH568" s="52"/>
      <c r="AI568" s="52"/>
      <c r="AJ568" s="52"/>
      <c r="AK568" s="28">
        <v>1.695652173913043</v>
      </c>
      <c r="AL568" s="28">
        <v>1.826086956521739</v>
      </c>
      <c r="AM568" s="28">
        <v>0.2608695652173913</v>
      </c>
      <c r="AN568" s="28">
        <v>0.34782608695652167</v>
      </c>
      <c r="AO568" s="28">
        <v>0.41052631578947368</v>
      </c>
      <c r="AP568" s="28">
        <v>0.44210526315789472</v>
      </c>
      <c r="AQ568" s="28">
        <v>6.3157894736842107E-2</v>
      </c>
      <c r="AR568" s="28">
        <v>8.4210526315789472E-2</v>
      </c>
      <c r="AS568" s="25">
        <v>1.1399999999999999</v>
      </c>
      <c r="AT568" s="25">
        <v>3.44</v>
      </c>
      <c r="AU568" s="25">
        <v>2.2999999999999998</v>
      </c>
      <c r="AV568" s="25">
        <v>2.5760869565217388</v>
      </c>
      <c r="AW568">
        <v>2.5760869565217388</v>
      </c>
      <c r="AX568">
        <v>6.4291568349981301</v>
      </c>
      <c r="AY568" s="75"/>
      <c r="AZ568" s="75"/>
      <c r="BA568" s="75"/>
      <c r="BB568">
        <v>3.8920354049119907E-2</v>
      </c>
      <c r="BF568">
        <v>7.7840708098239814E-2</v>
      </c>
      <c r="BG568">
        <v>3.8920354049119907E-2</v>
      </c>
      <c r="BH568">
        <v>0</v>
      </c>
      <c r="CA568" t="e">
        <f t="shared" si="66"/>
        <v>#NUM!</v>
      </c>
    </row>
    <row r="569" spans="1:79" x14ac:dyDescent="0.3">
      <c r="A569" s="2" t="s">
        <v>383</v>
      </c>
      <c r="B569" s="18" t="s">
        <v>1045</v>
      </c>
      <c r="C569" s="13"/>
      <c r="D569" s="2">
        <v>3.32</v>
      </c>
      <c r="E569" s="2" t="s">
        <v>380</v>
      </c>
      <c r="F569" s="9">
        <v>-1</v>
      </c>
      <c r="G569">
        <v>-1</v>
      </c>
      <c r="I569" s="2">
        <v>1</v>
      </c>
      <c r="J569" s="25">
        <v>0</v>
      </c>
      <c r="K569">
        <v>0</v>
      </c>
      <c r="L569">
        <v>0</v>
      </c>
      <c r="M569" s="2">
        <v>3.8</v>
      </c>
      <c r="N569" s="2">
        <v>3.8</v>
      </c>
      <c r="O569" s="2">
        <v>19.899999999999999</v>
      </c>
      <c r="P569" s="2" t="s">
        <v>519</v>
      </c>
      <c r="Q569" s="2">
        <v>19.899999999999999</v>
      </c>
      <c r="R569" s="25">
        <v>0</v>
      </c>
      <c r="U569">
        <v>0</v>
      </c>
      <c r="X569">
        <v>0</v>
      </c>
      <c r="AA569" s="2"/>
      <c r="AB569">
        <v>20</v>
      </c>
      <c r="AC569" s="55">
        <f t="shared" si="70"/>
        <v>287.35599999999999</v>
      </c>
      <c r="AD569" s="57">
        <v>0</v>
      </c>
      <c r="AE569" s="55">
        <v>0</v>
      </c>
      <c r="AF569" s="55">
        <v>0</v>
      </c>
      <c r="AG569" s="52">
        <f t="shared" si="69"/>
        <v>6.9600077952087308E-2</v>
      </c>
      <c r="AH569" s="52"/>
      <c r="AI569" s="52"/>
      <c r="AJ569" s="52"/>
      <c r="AK569" s="28">
        <v>1.653846153846154</v>
      </c>
      <c r="AL569" s="28">
        <v>1.6923076923076921</v>
      </c>
      <c r="AM569" s="28">
        <v>0.23076923076923081</v>
      </c>
      <c r="AN569" s="28">
        <v>0.30769230769230771</v>
      </c>
      <c r="AO569" s="28">
        <v>0.42574257425742568</v>
      </c>
      <c r="AP569" s="28">
        <v>0.43564356435643559</v>
      </c>
      <c r="AQ569" s="28">
        <v>5.940594059405941E-2</v>
      </c>
      <c r="AR569" s="28">
        <v>7.9207920792079209E-2</v>
      </c>
      <c r="AS569" s="25">
        <v>1.1399999999999999</v>
      </c>
      <c r="AT569" s="25">
        <v>3.44</v>
      </c>
      <c r="AU569" s="25">
        <v>2.2999999999999998</v>
      </c>
      <c r="AV569" s="25">
        <v>2.546153846153846</v>
      </c>
      <c r="AW569">
        <v>2.546153846153846</v>
      </c>
      <c r="AX569">
        <v>6.4801861773330387</v>
      </c>
      <c r="AY569" s="75"/>
      <c r="AZ569" s="75"/>
      <c r="BA569" s="75"/>
      <c r="BB569">
        <v>3.4800038976043647E-2</v>
      </c>
      <c r="BF569">
        <v>6.9600077952087308E-2</v>
      </c>
      <c r="BG569">
        <v>3.4800038976043647E-2</v>
      </c>
      <c r="BH569">
        <v>0</v>
      </c>
      <c r="CA569" t="e">
        <f t="shared" si="66"/>
        <v>#NUM!</v>
      </c>
    </row>
    <row r="570" spans="1:79" x14ac:dyDescent="0.3">
      <c r="A570" s="2" t="s">
        <v>384</v>
      </c>
      <c r="B570" s="18" t="s">
        <v>1046</v>
      </c>
      <c r="C570" s="13"/>
      <c r="D570" s="2">
        <v>3.33</v>
      </c>
      <c r="E570" s="2" t="s">
        <v>380</v>
      </c>
      <c r="F570" s="9">
        <v>-1</v>
      </c>
      <c r="G570">
        <v>-1</v>
      </c>
      <c r="I570" s="2">
        <v>1</v>
      </c>
      <c r="J570" s="25">
        <v>0</v>
      </c>
      <c r="K570">
        <v>0</v>
      </c>
      <c r="L570">
        <v>0</v>
      </c>
      <c r="M570" s="2">
        <v>3.78</v>
      </c>
      <c r="N570" s="2">
        <v>3.78</v>
      </c>
      <c r="O570" s="2">
        <v>21.5</v>
      </c>
      <c r="P570" s="2" t="s">
        <v>519</v>
      </c>
      <c r="Q570" s="2">
        <v>21.5</v>
      </c>
      <c r="R570" s="25">
        <v>0</v>
      </c>
      <c r="U570">
        <v>0</v>
      </c>
      <c r="X570">
        <v>0</v>
      </c>
      <c r="AA570" s="2"/>
      <c r="AB570">
        <v>20</v>
      </c>
      <c r="AC570" s="55">
        <f t="shared" si="70"/>
        <v>307.20060000000001</v>
      </c>
      <c r="AD570" s="57">
        <v>0</v>
      </c>
      <c r="AE570" s="55">
        <v>0</v>
      </c>
      <c r="AF570" s="55">
        <v>0</v>
      </c>
      <c r="AG570" s="52">
        <f t="shared" si="69"/>
        <v>6.5104039510339495E-2</v>
      </c>
      <c r="AH570" s="52"/>
      <c r="AI570" s="52"/>
      <c r="AJ570" s="52"/>
      <c r="AK570" s="28">
        <v>1.6206896551724139</v>
      </c>
      <c r="AL570" s="28">
        <v>1.586206896551724</v>
      </c>
      <c r="AM570" s="28">
        <v>0.2068965517241379</v>
      </c>
      <c r="AN570" s="28">
        <v>0.27586206896551718</v>
      </c>
      <c r="AO570" s="28">
        <v>0.43925233644859812</v>
      </c>
      <c r="AP570" s="28">
        <v>0.42990654205607481</v>
      </c>
      <c r="AQ570" s="28">
        <v>5.6074766355140193E-2</v>
      </c>
      <c r="AR570" s="28">
        <v>7.476635514018691E-2</v>
      </c>
      <c r="AS570" s="25">
        <v>1.1399999999999999</v>
      </c>
      <c r="AT570" s="25">
        <v>3.44</v>
      </c>
      <c r="AU570" s="25">
        <v>2.2999999999999998</v>
      </c>
      <c r="AV570" s="25">
        <v>2.522413793103448</v>
      </c>
      <c r="AW570">
        <v>2.522413793103448</v>
      </c>
      <c r="AX570">
        <v>6.5206577247021036</v>
      </c>
      <c r="AY570" s="75"/>
      <c r="AZ570" s="75"/>
      <c r="BA570" s="75"/>
      <c r="BB570">
        <v>3.2552019755169748E-2</v>
      </c>
      <c r="BF570">
        <v>6.5104039510339495E-2</v>
      </c>
      <c r="BG570">
        <v>3.2552019755169748E-2</v>
      </c>
      <c r="BH570">
        <v>0</v>
      </c>
      <c r="CA570" t="e">
        <f t="shared" si="66"/>
        <v>#NUM!</v>
      </c>
    </row>
    <row r="571" spans="1:79" x14ac:dyDescent="0.3">
      <c r="A571" s="2" t="s">
        <v>385</v>
      </c>
      <c r="B571" s="18" t="s">
        <v>1047</v>
      </c>
      <c r="C571" s="13"/>
      <c r="D571" s="2">
        <v>3.33</v>
      </c>
      <c r="E571" s="2" t="s">
        <v>380</v>
      </c>
      <c r="F571" s="9">
        <v>-1</v>
      </c>
      <c r="G571">
        <v>-1</v>
      </c>
      <c r="I571" s="2">
        <v>1</v>
      </c>
      <c r="J571" s="25">
        <v>0</v>
      </c>
      <c r="K571">
        <v>0</v>
      </c>
      <c r="L571">
        <v>0</v>
      </c>
      <c r="M571" s="2">
        <v>3.78</v>
      </c>
      <c r="N571" s="2">
        <v>3.78</v>
      </c>
      <c r="O571" s="2">
        <v>24.4</v>
      </c>
      <c r="P571" s="2" t="s">
        <v>519</v>
      </c>
      <c r="Q571" s="2">
        <v>24.4</v>
      </c>
      <c r="R571" s="25">
        <v>0</v>
      </c>
      <c r="U571">
        <v>0</v>
      </c>
      <c r="X571">
        <v>0</v>
      </c>
      <c r="AA571" s="2"/>
      <c r="AB571">
        <v>20</v>
      </c>
      <c r="AC571" s="55">
        <f t="shared" si="70"/>
        <v>348.63695999999999</v>
      </c>
      <c r="AD571" s="57">
        <v>0</v>
      </c>
      <c r="AE571" s="55">
        <v>0</v>
      </c>
      <c r="AF571" s="55">
        <v>0</v>
      </c>
      <c r="AG571" s="52">
        <f t="shared" si="69"/>
        <v>5.7366264322635217E-2</v>
      </c>
      <c r="AH571" s="52"/>
      <c r="AI571" s="52"/>
      <c r="AJ571" s="52"/>
      <c r="AK571" s="28">
        <v>1.59375</v>
      </c>
      <c r="AL571" s="28">
        <v>1.5</v>
      </c>
      <c r="AM571" s="28">
        <v>0.1875</v>
      </c>
      <c r="AN571" s="28">
        <v>0.25</v>
      </c>
      <c r="AO571" s="28">
        <v>0.45132743362831862</v>
      </c>
      <c r="AP571" s="28">
        <v>0.4247787610619469</v>
      </c>
      <c r="AQ571" s="28">
        <v>5.3097345132743362E-2</v>
      </c>
      <c r="AR571" s="28">
        <v>7.0796460176991149E-2</v>
      </c>
      <c r="AS571" s="25">
        <v>1.1399999999999999</v>
      </c>
      <c r="AT571" s="25">
        <v>3.44</v>
      </c>
      <c r="AU571" s="25">
        <v>2.2999999999999998</v>
      </c>
      <c r="AV571" s="25">
        <v>2.5031249999999998</v>
      </c>
      <c r="AW571">
        <v>2.5031249999999998</v>
      </c>
      <c r="AX571">
        <v>6.5535408569394704</v>
      </c>
      <c r="AY571" s="75"/>
      <c r="AZ571" s="75"/>
      <c r="BA571" s="75"/>
      <c r="BB571">
        <v>2.8683132161317609E-2</v>
      </c>
      <c r="BF571">
        <v>5.7366264322635217E-2</v>
      </c>
      <c r="BG571">
        <v>2.8683132161317609E-2</v>
      </c>
      <c r="BH571">
        <v>0</v>
      </c>
      <c r="CA571" t="e">
        <f t="shared" si="66"/>
        <v>#NUM!</v>
      </c>
    </row>
    <row r="572" spans="1:79" x14ac:dyDescent="0.3">
      <c r="A572" s="2" t="s">
        <v>386</v>
      </c>
      <c r="B572" s="18" t="s">
        <v>1048</v>
      </c>
      <c r="C572" s="13"/>
      <c r="D572" s="2">
        <v>3.35</v>
      </c>
      <c r="E572" s="2" t="s">
        <v>380</v>
      </c>
      <c r="F572" s="9">
        <v>-1</v>
      </c>
      <c r="G572">
        <v>-1</v>
      </c>
      <c r="I572" s="2">
        <v>1</v>
      </c>
      <c r="J572" s="25">
        <v>0</v>
      </c>
      <c r="K572">
        <v>0</v>
      </c>
      <c r="L572">
        <v>0</v>
      </c>
      <c r="M572" s="2">
        <v>3.8</v>
      </c>
      <c r="N572" s="2">
        <v>3.8</v>
      </c>
      <c r="O572" s="2">
        <v>29.2</v>
      </c>
      <c r="P572" s="2" t="s">
        <v>519</v>
      </c>
      <c r="Q572" s="2">
        <v>29.2</v>
      </c>
      <c r="R572" s="25">
        <v>0</v>
      </c>
      <c r="U572">
        <v>0</v>
      </c>
      <c r="X572">
        <v>0</v>
      </c>
      <c r="AA572" s="2"/>
      <c r="AB572">
        <v>20</v>
      </c>
      <c r="AC572" s="55">
        <f t="shared" si="70"/>
        <v>421.64799999999997</v>
      </c>
      <c r="AD572" s="57">
        <v>0</v>
      </c>
      <c r="AE572" s="55">
        <v>0</v>
      </c>
      <c r="AF572" s="55">
        <v>0</v>
      </c>
      <c r="AG572" s="52">
        <f t="shared" si="69"/>
        <v>4.7432929837210189E-2</v>
      </c>
      <c r="AH572" s="52"/>
      <c r="AI572" s="52"/>
      <c r="AJ572" s="52"/>
      <c r="AK572" s="28">
        <v>1.5526315789473679</v>
      </c>
      <c r="AL572" s="28">
        <v>1.368421052631579</v>
      </c>
      <c r="AM572" s="28">
        <v>0.15789473684210531</v>
      </c>
      <c r="AN572" s="28">
        <v>0.2105263157894737</v>
      </c>
      <c r="AO572" s="28">
        <v>0.47199999999999998</v>
      </c>
      <c r="AP572" s="28">
        <v>0.41599999999999998</v>
      </c>
      <c r="AQ572" s="28">
        <v>4.8000000000000001E-2</v>
      </c>
      <c r="AR572" s="28">
        <v>6.4000000000000001E-2</v>
      </c>
      <c r="AS572" s="25">
        <v>1.1399999999999999</v>
      </c>
      <c r="AT572" s="25">
        <v>3.44</v>
      </c>
      <c r="AU572" s="25">
        <v>2.2999999999999998</v>
      </c>
      <c r="AV572" s="25">
        <v>2.4736842105263159</v>
      </c>
      <c r="AW572">
        <v>2.473684210526315</v>
      </c>
      <c r="AX572">
        <v>6.6037309008807101</v>
      </c>
      <c r="AY572" s="75"/>
      <c r="AZ572" s="75"/>
      <c r="BA572" s="75"/>
      <c r="BB572">
        <v>2.3716464918605091E-2</v>
      </c>
      <c r="BF572">
        <v>4.7432929837210189E-2</v>
      </c>
      <c r="BG572">
        <v>2.3716464918605091E-2</v>
      </c>
      <c r="BH572">
        <v>0</v>
      </c>
      <c r="CA572" t="e">
        <f t="shared" si="66"/>
        <v>#NUM!</v>
      </c>
    </row>
    <row r="573" spans="1:79" x14ac:dyDescent="0.3">
      <c r="A573" s="2" t="s">
        <v>387</v>
      </c>
      <c r="B573" s="18" t="s">
        <v>1049</v>
      </c>
      <c r="C573" s="13"/>
      <c r="D573" s="2">
        <v>3.36</v>
      </c>
      <c r="E573" s="2" t="s">
        <v>380</v>
      </c>
      <c r="F573" s="9">
        <v>-1</v>
      </c>
      <c r="G573">
        <v>-1</v>
      </c>
      <c r="I573" s="2">
        <v>1</v>
      </c>
      <c r="J573" s="25">
        <v>0</v>
      </c>
      <c r="K573">
        <v>0</v>
      </c>
      <c r="L573">
        <v>0</v>
      </c>
      <c r="M573" s="2">
        <v>3.8</v>
      </c>
      <c r="N573" s="2">
        <v>3.8</v>
      </c>
      <c r="O573" s="2">
        <v>33.4</v>
      </c>
      <c r="P573" s="2" t="s">
        <v>519</v>
      </c>
      <c r="Q573" s="2">
        <v>33.4</v>
      </c>
      <c r="R573" s="25">
        <v>0</v>
      </c>
      <c r="U573">
        <v>0</v>
      </c>
      <c r="X573">
        <v>0</v>
      </c>
      <c r="AA573" s="2"/>
      <c r="AB573">
        <v>20</v>
      </c>
      <c r="AC573" s="55">
        <f t="shared" si="70"/>
        <v>482.29599999999994</v>
      </c>
      <c r="AD573" s="57">
        <v>0</v>
      </c>
      <c r="AE573" s="55">
        <v>0</v>
      </c>
      <c r="AF573" s="55">
        <v>0</v>
      </c>
      <c r="AG573" s="52">
        <f t="shared" si="69"/>
        <v>4.1468309917561008E-2</v>
      </c>
      <c r="AH573" s="52"/>
      <c r="AI573" s="52"/>
      <c r="AJ573" s="52"/>
      <c r="AK573" s="28">
        <v>1.5227272727272729</v>
      </c>
      <c r="AL573" s="28">
        <v>1.2727272727272729</v>
      </c>
      <c r="AM573" s="28">
        <v>0.13636363636363641</v>
      </c>
      <c r="AN573" s="28">
        <v>0.1818181818181818</v>
      </c>
      <c r="AO573" s="28">
        <v>0.48905109489051091</v>
      </c>
      <c r="AP573" s="28">
        <v>0.40875912408759119</v>
      </c>
      <c r="AQ573" s="28">
        <v>4.3795620437956199E-2</v>
      </c>
      <c r="AR573" s="28">
        <v>5.8394160583941597E-2</v>
      </c>
      <c r="AS573" s="25">
        <v>1.1399999999999999</v>
      </c>
      <c r="AT573" s="25">
        <v>3.44</v>
      </c>
      <c r="AU573" s="25">
        <v>2.2999999999999998</v>
      </c>
      <c r="AV573" s="25">
        <v>2.452272727272728</v>
      </c>
      <c r="AW573">
        <v>2.4522727272727272</v>
      </c>
      <c r="AX573">
        <v>6.6402327510197949</v>
      </c>
      <c r="AY573" s="75"/>
      <c r="AZ573" s="75"/>
      <c r="BA573" s="75"/>
      <c r="BB573">
        <v>2.0734154958780501E-2</v>
      </c>
      <c r="BF573">
        <v>4.1468309917561008E-2</v>
      </c>
      <c r="BG573">
        <v>2.0734154958780501E-2</v>
      </c>
      <c r="BH573">
        <v>0</v>
      </c>
      <c r="CA573" t="e">
        <f t="shared" si="66"/>
        <v>#NUM!</v>
      </c>
    </row>
    <row r="574" spans="1:79" x14ac:dyDescent="0.3">
      <c r="A574" s="2" t="s">
        <v>388</v>
      </c>
      <c r="B574" s="18" t="s">
        <v>1050</v>
      </c>
      <c r="C574" s="13"/>
      <c r="D574" s="2">
        <v>3.33</v>
      </c>
      <c r="E574" s="2" t="s">
        <v>380</v>
      </c>
      <c r="F574" s="9">
        <v>-1</v>
      </c>
      <c r="G574">
        <v>-1</v>
      </c>
      <c r="I574" s="2">
        <v>2</v>
      </c>
      <c r="J574" s="25">
        <v>0</v>
      </c>
      <c r="K574">
        <v>0</v>
      </c>
      <c r="L574">
        <v>0</v>
      </c>
      <c r="M574" s="2">
        <v>3.76</v>
      </c>
      <c r="N574" s="2">
        <v>3.76</v>
      </c>
      <c r="O574" s="2">
        <v>34.1</v>
      </c>
      <c r="P574" s="2" t="s">
        <v>519</v>
      </c>
      <c r="Q574" s="2">
        <v>17.100000000000001</v>
      </c>
      <c r="R574" s="25">
        <v>0</v>
      </c>
      <c r="U574">
        <v>0</v>
      </c>
      <c r="X574">
        <v>0</v>
      </c>
      <c r="AA574" s="2"/>
      <c r="AB574">
        <v>22</v>
      </c>
      <c r="AC574" s="55">
        <f t="shared" si="70"/>
        <v>482.09215999999998</v>
      </c>
      <c r="AD574" s="57">
        <v>0</v>
      </c>
      <c r="AE574" s="55">
        <v>0</v>
      </c>
      <c r="AF574" s="55">
        <v>0</v>
      </c>
      <c r="AG574" s="52">
        <f t="shared" si="69"/>
        <v>9.12688561456797E-2</v>
      </c>
      <c r="AH574" s="52"/>
      <c r="AI574" s="52"/>
      <c r="AJ574" s="52"/>
      <c r="AK574" s="28">
        <v>1.7391304347826091</v>
      </c>
      <c r="AL574" s="28">
        <v>2</v>
      </c>
      <c r="AM574" s="28">
        <v>0.2608695652173913</v>
      </c>
      <c r="AN574" s="28">
        <v>0.34782608695652167</v>
      </c>
      <c r="AO574" s="28">
        <v>0.4</v>
      </c>
      <c r="AP574" s="28">
        <v>0.46</v>
      </c>
      <c r="AQ574" s="28">
        <v>0.06</v>
      </c>
      <c r="AR574" s="28">
        <v>0.08</v>
      </c>
      <c r="AS574" s="25">
        <v>1.1399999999999999</v>
      </c>
      <c r="AT574" s="25">
        <v>3.44</v>
      </c>
      <c r="AU574" s="25">
        <v>2.2999999999999998</v>
      </c>
      <c r="AV574" s="25">
        <v>2.63</v>
      </c>
      <c r="AW574">
        <v>2.63</v>
      </c>
      <c r="AX574">
        <v>6.444942219787217</v>
      </c>
      <c r="AY574" s="75"/>
      <c r="AZ574" s="75"/>
      <c r="BA574" s="75"/>
      <c r="BB574">
        <v>4.563442807283985E-2</v>
      </c>
      <c r="BF574">
        <v>9.12688561456797E-2</v>
      </c>
      <c r="BG574">
        <v>4.563442807283985E-2</v>
      </c>
      <c r="BH574">
        <v>0</v>
      </c>
      <c r="CA574" t="e">
        <f t="shared" si="66"/>
        <v>#NUM!</v>
      </c>
    </row>
    <row r="575" spans="1:79" x14ac:dyDescent="0.3">
      <c r="A575" s="2" t="s">
        <v>389</v>
      </c>
      <c r="B575" s="18" t="s">
        <v>1051</v>
      </c>
      <c r="C575" s="13"/>
      <c r="D575" s="2">
        <v>3.33</v>
      </c>
      <c r="E575" s="2" t="s">
        <v>380</v>
      </c>
      <c r="F575" s="9">
        <v>-1</v>
      </c>
      <c r="G575">
        <v>-1</v>
      </c>
      <c r="I575" s="2">
        <v>2</v>
      </c>
      <c r="J575" s="25">
        <v>0</v>
      </c>
      <c r="K575">
        <v>0</v>
      </c>
      <c r="L575">
        <v>0</v>
      </c>
      <c r="M575" s="2">
        <v>3.77</v>
      </c>
      <c r="N575" s="2">
        <v>3.77</v>
      </c>
      <c r="O575" s="2">
        <v>40.9</v>
      </c>
      <c r="P575" s="2" t="s">
        <v>519</v>
      </c>
      <c r="Q575" s="2">
        <v>20.5</v>
      </c>
      <c r="R575" s="25">
        <v>0</v>
      </c>
      <c r="U575">
        <v>0</v>
      </c>
      <c r="X575">
        <v>0</v>
      </c>
      <c r="AA575" s="2"/>
      <c r="AB575">
        <v>22</v>
      </c>
      <c r="AC575" s="55">
        <f t="shared" si="70"/>
        <v>581.30760999999995</v>
      </c>
      <c r="AD575" s="57">
        <v>0</v>
      </c>
      <c r="AE575" s="55">
        <v>0</v>
      </c>
      <c r="AF575" s="55">
        <v>0</v>
      </c>
      <c r="AG575" s="52">
        <f t="shared" si="69"/>
        <v>7.5691422653145726E-2</v>
      </c>
      <c r="AH575" s="52"/>
      <c r="AI575" s="52"/>
      <c r="AJ575" s="52"/>
      <c r="AK575" s="28">
        <v>1.6923076923076921</v>
      </c>
      <c r="AL575" s="28">
        <v>1.846153846153846</v>
      </c>
      <c r="AM575" s="28">
        <v>0.23076923076923081</v>
      </c>
      <c r="AN575" s="28">
        <v>0.30769230769230771</v>
      </c>
      <c r="AO575" s="28">
        <v>0.41509433962264147</v>
      </c>
      <c r="AP575" s="28">
        <v>0.45283018867924529</v>
      </c>
      <c r="AQ575" s="28">
        <v>5.6603773584905669E-2</v>
      </c>
      <c r="AR575" s="28">
        <v>7.5471698113207558E-2</v>
      </c>
      <c r="AS575" s="25">
        <v>1.1399999999999999</v>
      </c>
      <c r="AT575" s="25">
        <v>3.44</v>
      </c>
      <c r="AU575" s="25">
        <v>2.2999999999999998</v>
      </c>
      <c r="AV575" s="25">
        <v>2.5938461538461541</v>
      </c>
      <c r="AW575">
        <v>2.5938461538461541</v>
      </c>
      <c r="AX575">
        <v>6.4941501715695384</v>
      </c>
      <c r="AY575" s="75"/>
      <c r="AZ575" s="75"/>
      <c r="BA575" s="75"/>
      <c r="BB575">
        <v>3.7845711326572863E-2</v>
      </c>
      <c r="BF575">
        <v>7.5691422653145726E-2</v>
      </c>
      <c r="BG575">
        <v>3.7845711326572863E-2</v>
      </c>
      <c r="BH575">
        <v>0</v>
      </c>
      <c r="CA575" t="e">
        <f t="shared" si="66"/>
        <v>#NUM!</v>
      </c>
    </row>
    <row r="576" spans="1:79" x14ac:dyDescent="0.3">
      <c r="A576" s="2" t="s">
        <v>390</v>
      </c>
      <c r="B576" s="18" t="s">
        <v>1052</v>
      </c>
      <c r="C576" s="13"/>
      <c r="D576" s="2">
        <v>3.32</v>
      </c>
      <c r="E576" s="2" t="s">
        <v>380</v>
      </c>
      <c r="F576" s="9">
        <v>-1</v>
      </c>
      <c r="G576">
        <v>-1</v>
      </c>
      <c r="I576" s="2">
        <v>2</v>
      </c>
      <c r="J576" s="25">
        <v>0</v>
      </c>
      <c r="K576">
        <v>0</v>
      </c>
      <c r="L576">
        <v>0</v>
      </c>
      <c r="M576" s="2">
        <v>3.79</v>
      </c>
      <c r="N576" s="2">
        <v>3.79</v>
      </c>
      <c r="O576" s="2">
        <v>43.8</v>
      </c>
      <c r="P576" s="2" t="s">
        <v>519</v>
      </c>
      <c r="Q576" s="2">
        <v>21.9</v>
      </c>
      <c r="R576" s="25">
        <v>0</v>
      </c>
      <c r="U576">
        <v>0</v>
      </c>
      <c r="X576">
        <v>0</v>
      </c>
      <c r="AA576" s="2"/>
      <c r="AB576">
        <v>22</v>
      </c>
      <c r="AC576" s="55">
        <f t="shared" si="70"/>
        <v>629.14757999999995</v>
      </c>
      <c r="AD576" s="57">
        <v>0</v>
      </c>
      <c r="AE576" s="55">
        <v>0</v>
      </c>
      <c r="AF576" s="55">
        <v>0</v>
      </c>
      <c r="AG576" s="52">
        <f t="shared" si="69"/>
        <v>6.9935896439433182E-2</v>
      </c>
      <c r="AH576" s="52"/>
      <c r="AI576" s="52"/>
      <c r="AJ576" s="52"/>
      <c r="AK576" s="28">
        <v>1.655172413793103</v>
      </c>
      <c r="AL576" s="28">
        <v>1.7241379310344831</v>
      </c>
      <c r="AM576" s="28">
        <v>0.2068965517241379</v>
      </c>
      <c r="AN576" s="28">
        <v>0.27586206896551718</v>
      </c>
      <c r="AO576" s="28">
        <v>0.42857142857142849</v>
      </c>
      <c r="AP576" s="28">
        <v>0.4464285714285714</v>
      </c>
      <c r="AQ576" s="28">
        <v>5.3571428571428568E-2</v>
      </c>
      <c r="AR576" s="28">
        <v>7.1428571428571425E-2</v>
      </c>
      <c r="AS576" s="25">
        <v>1.1399999999999999</v>
      </c>
      <c r="AT576" s="25">
        <v>3.44</v>
      </c>
      <c r="AU576" s="25">
        <v>2.2999999999999998</v>
      </c>
      <c r="AV576" s="25">
        <v>2.5651724137931029</v>
      </c>
      <c r="AW576">
        <v>2.5651724137931029</v>
      </c>
      <c r="AX576">
        <v>6.53317716781069</v>
      </c>
      <c r="AY576" s="75"/>
      <c r="AZ576" s="75"/>
      <c r="BA576" s="75"/>
      <c r="BB576">
        <v>3.4967948219716591E-2</v>
      </c>
      <c r="BF576">
        <v>6.9935896439433182E-2</v>
      </c>
      <c r="BG576">
        <v>3.4967948219716591E-2</v>
      </c>
      <c r="BH576">
        <v>0</v>
      </c>
      <c r="CA576" t="e">
        <f t="shared" si="66"/>
        <v>#NUM!</v>
      </c>
    </row>
    <row r="577" spans="1:79" x14ac:dyDescent="0.3">
      <c r="A577" s="2" t="s">
        <v>391</v>
      </c>
      <c r="B577" s="18" t="s">
        <v>1053</v>
      </c>
      <c r="C577" s="13"/>
      <c r="D577" s="2">
        <v>3.33</v>
      </c>
      <c r="E577" s="2" t="s">
        <v>380</v>
      </c>
      <c r="F577" s="9">
        <v>-1</v>
      </c>
      <c r="G577">
        <v>-1</v>
      </c>
      <c r="I577" s="2">
        <v>2</v>
      </c>
      <c r="J577" s="25">
        <v>0</v>
      </c>
      <c r="K577">
        <v>0</v>
      </c>
      <c r="L577">
        <v>0</v>
      </c>
      <c r="M577" s="2">
        <v>3.78</v>
      </c>
      <c r="N577" s="2">
        <v>3.78</v>
      </c>
      <c r="O577" s="2">
        <v>47.3</v>
      </c>
      <c r="P577" s="2" t="s">
        <v>519</v>
      </c>
      <c r="Q577" s="2">
        <v>23.7</v>
      </c>
      <c r="R577" s="25">
        <v>0</v>
      </c>
      <c r="U577">
        <v>0</v>
      </c>
      <c r="X577">
        <v>0</v>
      </c>
      <c r="AA577" s="2"/>
      <c r="AB577">
        <v>22</v>
      </c>
      <c r="AC577" s="55">
        <f t="shared" si="70"/>
        <v>675.84131999999988</v>
      </c>
      <c r="AD577" s="57">
        <v>0</v>
      </c>
      <c r="AE577" s="55">
        <v>0</v>
      </c>
      <c r="AF577" s="55">
        <v>0</v>
      </c>
      <c r="AG577" s="52">
        <f t="shared" si="69"/>
        <v>6.5104039510339509E-2</v>
      </c>
      <c r="AH577" s="52"/>
      <c r="AI577" s="52"/>
      <c r="AJ577" s="52"/>
      <c r="AK577" s="28">
        <v>1.625</v>
      </c>
      <c r="AL577" s="28">
        <v>1.625</v>
      </c>
      <c r="AM577" s="28">
        <v>0.1875</v>
      </c>
      <c r="AN577" s="28">
        <v>0.25</v>
      </c>
      <c r="AO577" s="28">
        <v>0.44067796610169491</v>
      </c>
      <c r="AP577" s="28">
        <v>0.44067796610169491</v>
      </c>
      <c r="AQ577" s="28">
        <v>5.0847457627118647E-2</v>
      </c>
      <c r="AR577" s="28">
        <v>6.7796610169491525E-2</v>
      </c>
      <c r="AS577" s="25">
        <v>1.1399999999999999</v>
      </c>
      <c r="AT577" s="25">
        <v>3.44</v>
      </c>
      <c r="AU577" s="25">
        <v>2.2999999999999998</v>
      </c>
      <c r="AV577" s="25">
        <v>2.5418750000000001</v>
      </c>
      <c r="AW577">
        <v>2.5418750000000001</v>
      </c>
      <c r="AX577">
        <v>6.5648866022566246</v>
      </c>
      <c r="AY577" s="75"/>
      <c r="AZ577" s="75"/>
      <c r="BA577" s="75"/>
      <c r="BB577">
        <v>3.2552019755169748E-2</v>
      </c>
      <c r="BF577">
        <v>6.5104039510339509E-2</v>
      </c>
      <c r="BG577">
        <v>3.2552019755169748E-2</v>
      </c>
      <c r="BH577">
        <v>0</v>
      </c>
      <c r="CA577" t="e">
        <f t="shared" si="66"/>
        <v>#NUM!</v>
      </c>
    </row>
    <row r="578" spans="1:79" x14ac:dyDescent="0.3">
      <c r="A578" s="2" t="s">
        <v>392</v>
      </c>
      <c r="B578" s="18" t="s">
        <v>1054</v>
      </c>
      <c r="C578" s="13"/>
      <c r="D578" s="2">
        <v>3.35</v>
      </c>
      <c r="E578" s="2" t="s">
        <v>380</v>
      </c>
      <c r="F578" s="9">
        <v>-1</v>
      </c>
      <c r="G578">
        <v>-1</v>
      </c>
      <c r="I578" s="2">
        <v>1</v>
      </c>
      <c r="J578" s="25">
        <v>0</v>
      </c>
      <c r="K578">
        <v>0</v>
      </c>
      <c r="L578">
        <v>0</v>
      </c>
      <c r="M578" s="2">
        <v>3.81</v>
      </c>
      <c r="N578" s="2">
        <v>3.81</v>
      </c>
      <c r="O578" s="2">
        <v>28.3</v>
      </c>
      <c r="P578" s="2" t="s">
        <v>519</v>
      </c>
      <c r="Q578" s="2">
        <v>28.3</v>
      </c>
      <c r="R578" s="25">
        <v>0</v>
      </c>
      <c r="U578">
        <v>0</v>
      </c>
      <c r="X578">
        <v>0</v>
      </c>
      <c r="AA578" s="2"/>
      <c r="AB578">
        <v>22</v>
      </c>
      <c r="AC578" s="55">
        <f t="shared" si="70"/>
        <v>410.80563000000001</v>
      </c>
      <c r="AD578" s="57">
        <v>0</v>
      </c>
      <c r="AE578" s="55">
        <v>0</v>
      </c>
      <c r="AF578" s="55">
        <v>0</v>
      </c>
      <c r="AG578" s="52">
        <f t="shared" si="69"/>
        <v>5.3553306949566393E-2</v>
      </c>
      <c r="AH578" s="52"/>
      <c r="AI578" s="52"/>
      <c r="AJ578" s="52"/>
      <c r="AK578" s="28">
        <v>1.5789473684210531</v>
      </c>
      <c r="AL578" s="28">
        <v>1.4736842105263159</v>
      </c>
      <c r="AM578" s="28">
        <v>0.15789473684210531</v>
      </c>
      <c r="AN578" s="28">
        <v>0.2105263157894737</v>
      </c>
      <c r="AO578" s="28">
        <v>0.46153846153846162</v>
      </c>
      <c r="AP578" s="28">
        <v>0.43076923076923068</v>
      </c>
      <c r="AQ578" s="28">
        <v>4.6153846153846149E-2</v>
      </c>
      <c r="AR578" s="28">
        <v>6.1538461538461528E-2</v>
      </c>
      <c r="AS578" s="25">
        <v>1.1399999999999999</v>
      </c>
      <c r="AT578" s="25">
        <v>3.44</v>
      </c>
      <c r="AU578" s="25">
        <v>2.2999999999999998</v>
      </c>
      <c r="AV578" s="25">
        <v>2.5063157894736841</v>
      </c>
      <c r="AW578">
        <v>2.5063157894736841</v>
      </c>
      <c r="AX578">
        <v>6.6132852127267361</v>
      </c>
      <c r="AY578" s="75"/>
      <c r="AZ578" s="75"/>
      <c r="BA578" s="75"/>
      <c r="BB578">
        <v>2.67766534747832E-2</v>
      </c>
      <c r="BF578">
        <v>5.3553306949566393E-2</v>
      </c>
      <c r="BG578">
        <v>2.67766534747832E-2</v>
      </c>
      <c r="BH578">
        <v>0</v>
      </c>
      <c r="CA578" t="e">
        <f t="shared" si="66"/>
        <v>#NUM!</v>
      </c>
    </row>
    <row r="579" spans="1:79" x14ac:dyDescent="0.3">
      <c r="A579" s="2" t="s">
        <v>1133</v>
      </c>
      <c r="B579" s="18" t="s">
        <v>1055</v>
      </c>
      <c r="C579" s="13"/>
      <c r="D579" s="2">
        <v>3.36</v>
      </c>
      <c r="E579" s="2" t="s">
        <v>380</v>
      </c>
      <c r="F579" s="9">
        <v>-1</v>
      </c>
      <c r="G579">
        <v>-1</v>
      </c>
      <c r="I579" s="2">
        <v>1</v>
      </c>
      <c r="J579" s="25">
        <v>0</v>
      </c>
      <c r="K579">
        <v>0</v>
      </c>
      <c r="L579">
        <v>0</v>
      </c>
      <c r="M579" s="2">
        <v>3.74</v>
      </c>
      <c r="N579" s="2">
        <v>3.74</v>
      </c>
      <c r="O579" s="2">
        <v>30.8</v>
      </c>
      <c r="P579" s="2" t="s">
        <v>519</v>
      </c>
      <c r="Q579" s="2">
        <v>30.8</v>
      </c>
      <c r="R579" s="25">
        <v>0</v>
      </c>
      <c r="U579">
        <v>0</v>
      </c>
      <c r="X579">
        <v>0</v>
      </c>
      <c r="AA579" s="2"/>
      <c r="AB579">
        <v>22</v>
      </c>
      <c r="AC579" s="55">
        <f t="shared" si="70"/>
        <v>430.81808000000007</v>
      </c>
      <c r="AD579" s="57">
        <v>0</v>
      </c>
      <c r="AE579" s="55">
        <v>0</v>
      </c>
      <c r="AF579" s="55">
        <v>0</v>
      </c>
      <c r="AG579" s="52">
        <f t="shared" si="69"/>
        <v>5.1065637728110194E-2</v>
      </c>
      <c r="AH579" s="52"/>
      <c r="AI579" s="52"/>
      <c r="AJ579" s="52"/>
      <c r="AK579" s="28">
        <v>1.545454545454545</v>
      </c>
      <c r="AL579" s="28">
        <v>1.363636363636364</v>
      </c>
      <c r="AM579" s="28">
        <v>0.13636363636363641</v>
      </c>
      <c r="AN579" s="28">
        <v>0.1818181818181818</v>
      </c>
      <c r="AO579" s="28">
        <v>0.47887323943661969</v>
      </c>
      <c r="AP579" s="28">
        <v>0.42253521126760563</v>
      </c>
      <c r="AQ579" s="28">
        <v>4.2253521126760563E-2</v>
      </c>
      <c r="AR579" s="28">
        <v>5.6338028169014093E-2</v>
      </c>
      <c r="AS579" s="25">
        <v>1.1399999999999999</v>
      </c>
      <c r="AT579" s="25">
        <v>3.44</v>
      </c>
      <c r="AU579" s="25">
        <v>2.2999999999999998</v>
      </c>
      <c r="AV579" s="25">
        <v>2.4804545454545459</v>
      </c>
      <c r="AW579">
        <v>2.480454545454545</v>
      </c>
      <c r="AX579">
        <v>6.6484842021595449</v>
      </c>
      <c r="AY579" s="75"/>
      <c r="AZ579" s="75"/>
      <c r="BA579" s="75"/>
      <c r="BB579">
        <v>2.5532818864055101E-2</v>
      </c>
      <c r="BF579">
        <v>5.1065637728110187E-2</v>
      </c>
      <c r="BG579">
        <v>2.5532818864055101E-2</v>
      </c>
      <c r="BH579">
        <v>0</v>
      </c>
      <c r="CA579" t="e">
        <f t="shared" ref="CA579:CA627" si="71">LN(BZ579)</f>
        <v>#NUM!</v>
      </c>
    </row>
    <row r="580" spans="1:79" x14ac:dyDescent="0.3">
      <c r="A580" s="1" t="s">
        <v>394</v>
      </c>
      <c r="B580" s="18" t="s">
        <v>1056</v>
      </c>
      <c r="C580" s="13"/>
      <c r="D580" s="2">
        <v>3.29</v>
      </c>
      <c r="E580" s="2" t="s">
        <v>393</v>
      </c>
      <c r="F580" s="9">
        <v>-1</v>
      </c>
      <c r="G580">
        <v>-1</v>
      </c>
      <c r="H580" t="s">
        <v>1243</v>
      </c>
      <c r="I580" s="2">
        <v>1</v>
      </c>
      <c r="J580" s="25">
        <v>0</v>
      </c>
      <c r="K580">
        <v>0</v>
      </c>
      <c r="L580">
        <v>0</v>
      </c>
      <c r="M580" s="2">
        <v>3.85</v>
      </c>
      <c r="N580" s="2">
        <v>3.85</v>
      </c>
      <c r="O580" s="2">
        <v>21.37</v>
      </c>
      <c r="P580" s="2" t="s">
        <v>1131</v>
      </c>
      <c r="Q580" s="2"/>
      <c r="R580" s="25">
        <v>0</v>
      </c>
      <c r="U580">
        <v>0</v>
      </c>
      <c r="X580">
        <v>0</v>
      </c>
      <c r="AA580" s="2"/>
      <c r="AB580">
        <v>26</v>
      </c>
      <c r="AC580" s="55">
        <f t="shared" si="70"/>
        <v>316.75682500000005</v>
      </c>
      <c r="AD580" s="57">
        <v>0</v>
      </c>
      <c r="AE580" s="55">
        <v>0</v>
      </c>
      <c r="AF580" s="55">
        <v>0</v>
      </c>
      <c r="AG580" s="52">
        <f t="shared" si="69"/>
        <v>8.2081893578772921E-2</v>
      </c>
      <c r="AH580" s="52"/>
      <c r="AI580" s="52"/>
      <c r="AJ580" s="52"/>
      <c r="AK580" s="28">
        <v>1.791666666666667</v>
      </c>
      <c r="AL580" s="28">
        <v>2.416666666666667</v>
      </c>
      <c r="AM580" s="28">
        <v>1.166666666666667</v>
      </c>
      <c r="AN580" s="28">
        <v>1.166666666666667</v>
      </c>
      <c r="AO580" s="28">
        <v>0.27388535031847128</v>
      </c>
      <c r="AP580" s="28">
        <v>0.36942675159235672</v>
      </c>
      <c r="AQ580" s="28">
        <v>0.178343949044586</v>
      </c>
      <c r="AR580" s="28">
        <v>0.178343949044586</v>
      </c>
      <c r="AS580" s="25">
        <v>0.82</v>
      </c>
      <c r="AT580" s="25">
        <v>3.44</v>
      </c>
      <c r="AU580" s="25">
        <v>2.62</v>
      </c>
      <c r="AV580" s="25">
        <v>2.689166666666666</v>
      </c>
      <c r="AW580">
        <v>2.6891666666666669</v>
      </c>
      <c r="AX580">
        <v>6.2990365295585002</v>
      </c>
      <c r="AY580" s="75"/>
      <c r="AZ580" s="75"/>
      <c r="BA580" s="75">
        <v>0</v>
      </c>
      <c r="BB580">
        <v>4.1040946789386461E-2</v>
      </c>
      <c r="BF580">
        <v>8.2081893578772921E-2</v>
      </c>
      <c r="BG580">
        <v>4.1040946789386461E-2</v>
      </c>
      <c r="BH580">
        <v>0</v>
      </c>
      <c r="CA580" t="e">
        <f t="shared" si="71"/>
        <v>#NUM!</v>
      </c>
    </row>
    <row r="581" spans="1:79" x14ac:dyDescent="0.3">
      <c r="A581" s="5" t="s">
        <v>395</v>
      </c>
      <c r="B581" s="43" t="s">
        <v>1057</v>
      </c>
      <c r="C581" s="39"/>
      <c r="D581" s="5">
        <v>3.17</v>
      </c>
      <c r="E581" s="5" t="s">
        <v>393</v>
      </c>
      <c r="F581" s="40">
        <v>-2</v>
      </c>
      <c r="G581" s="5">
        <v>-1</v>
      </c>
      <c r="H581" s="5"/>
      <c r="I581" s="5">
        <v>1</v>
      </c>
      <c r="J581" s="41">
        <v>0</v>
      </c>
      <c r="K581">
        <v>0</v>
      </c>
      <c r="L581">
        <v>0</v>
      </c>
      <c r="M581" s="2">
        <v>3.85</v>
      </c>
      <c r="N581" s="2">
        <v>3.85</v>
      </c>
      <c r="O581" s="5">
        <v>21.88</v>
      </c>
      <c r="P581" s="5"/>
      <c r="Q581" s="5"/>
      <c r="R581" s="41">
        <v>0</v>
      </c>
      <c r="S581" s="5"/>
      <c r="T581" s="5"/>
      <c r="U581">
        <v>0</v>
      </c>
      <c r="X581">
        <v>0</v>
      </c>
      <c r="AA581" s="5"/>
      <c r="AB581" s="5">
        <v>26</v>
      </c>
      <c r="AC581" s="55">
        <f t="shared" si="70"/>
        <v>324.31630000000001</v>
      </c>
      <c r="AD581" s="57">
        <v>0</v>
      </c>
      <c r="AE581" s="55">
        <v>0</v>
      </c>
      <c r="AF581" s="55">
        <v>0</v>
      </c>
      <c r="AG581" s="52">
        <f t="shared" si="69"/>
        <v>8.0168650172686359E-2</v>
      </c>
      <c r="AH581" s="52"/>
      <c r="AI581" s="52"/>
      <c r="AJ581" s="52"/>
      <c r="AK581" s="5">
        <v>1.7272727272727271</v>
      </c>
      <c r="AL581" s="5">
        <v>2.1818181818181821</v>
      </c>
      <c r="AM581" s="5">
        <v>1.0181818181818181</v>
      </c>
      <c r="AN581" s="5">
        <v>1.0181818181818181</v>
      </c>
      <c r="AO581" s="5">
        <v>0.29051987767584098</v>
      </c>
      <c r="AP581" s="5">
        <v>0.36697247706422009</v>
      </c>
      <c r="AQ581" s="5">
        <v>0.17125382262996941</v>
      </c>
      <c r="AR581" s="5">
        <v>0.17125382262996941</v>
      </c>
      <c r="AS581" s="41">
        <v>0.82</v>
      </c>
      <c r="AT581" s="41">
        <v>3.44</v>
      </c>
      <c r="AU581" s="41">
        <v>2.62</v>
      </c>
      <c r="AV581" s="41">
        <v>2.6647272727272728</v>
      </c>
      <c r="AW581" s="5">
        <v>2.6647272727272728</v>
      </c>
      <c r="AX581" s="5">
        <v>6.4638943890893454</v>
      </c>
      <c r="AY581" s="75"/>
      <c r="AZ581" s="75"/>
      <c r="BA581" s="75"/>
      <c r="BB581">
        <v>4.008432508634318E-2</v>
      </c>
      <c r="BF581">
        <v>8.0168650172686359E-2</v>
      </c>
      <c r="BG581">
        <v>4.008432508634318E-2</v>
      </c>
      <c r="BH581">
        <v>0</v>
      </c>
      <c r="CA581" t="e">
        <f t="shared" si="71"/>
        <v>#NUM!</v>
      </c>
    </row>
    <row r="582" spans="1:79" x14ac:dyDescent="0.3">
      <c r="A582" s="5" t="s">
        <v>396</v>
      </c>
      <c r="B582" s="43" t="s">
        <v>1058</v>
      </c>
      <c r="C582" s="39"/>
      <c r="D582" s="5">
        <v>3.19</v>
      </c>
      <c r="E582" s="5" t="s">
        <v>393</v>
      </c>
      <c r="F582" s="40">
        <v>-2</v>
      </c>
      <c r="G582" s="5">
        <v>-1</v>
      </c>
      <c r="H582" s="5"/>
      <c r="I582" s="5">
        <v>1</v>
      </c>
      <c r="J582" s="41">
        <v>0</v>
      </c>
      <c r="K582">
        <v>0</v>
      </c>
      <c r="L582">
        <v>0</v>
      </c>
      <c r="M582" s="2">
        <v>3.85</v>
      </c>
      <c r="N582" s="2">
        <v>3.85</v>
      </c>
      <c r="O582" s="5">
        <v>23.3</v>
      </c>
      <c r="P582" s="5"/>
      <c r="Q582" s="5"/>
      <c r="R582" s="41">
        <v>0</v>
      </c>
      <c r="S582" s="5"/>
      <c r="T582" s="5"/>
      <c r="U582">
        <v>0</v>
      </c>
      <c r="X582">
        <v>0</v>
      </c>
      <c r="AA582" s="5"/>
      <c r="AB582" s="5">
        <v>26</v>
      </c>
      <c r="AC582" s="55">
        <f t="shared" si="70"/>
        <v>345.36425000000003</v>
      </c>
      <c r="AD582" s="57">
        <v>0</v>
      </c>
      <c r="AE582" s="55">
        <v>0</v>
      </c>
      <c r="AF582" s="55">
        <v>0</v>
      </c>
      <c r="AG582" s="52">
        <f t="shared" si="69"/>
        <v>7.5282835441132068E-2</v>
      </c>
      <c r="AH582" s="52"/>
      <c r="AI582" s="52"/>
      <c r="AJ582" s="52"/>
      <c r="AK582" s="5">
        <v>1.693548387096774</v>
      </c>
      <c r="AL582" s="5">
        <v>2.0483870967741939</v>
      </c>
      <c r="AM582" s="5">
        <v>1.064516129032258</v>
      </c>
      <c r="AN582" s="5">
        <v>1.129032258064516</v>
      </c>
      <c r="AO582" s="5">
        <v>0.28532608695652167</v>
      </c>
      <c r="AP582" s="5">
        <v>0.34510869565217389</v>
      </c>
      <c r="AQ582" s="5">
        <v>0.17934782608695651</v>
      </c>
      <c r="AR582" s="5">
        <v>0.19021739130434781</v>
      </c>
      <c r="AS582" s="41">
        <v>0.82</v>
      </c>
      <c r="AT582" s="41">
        <v>3.44</v>
      </c>
      <c r="AU582" s="41">
        <v>2.62</v>
      </c>
      <c r="AV582" s="41">
        <v>2.620645161290323</v>
      </c>
      <c r="AW582" s="5">
        <v>2.620645161290323</v>
      </c>
      <c r="AX582" s="5">
        <v>6.4654289883277096</v>
      </c>
      <c r="AY582" s="75"/>
      <c r="AZ582" s="75"/>
      <c r="BA582" s="75"/>
      <c r="BB582">
        <v>3.7641417720566027E-2</v>
      </c>
      <c r="BF582">
        <v>7.5282835441132068E-2</v>
      </c>
      <c r="BG582">
        <v>3.7641417720566027E-2</v>
      </c>
      <c r="BH582">
        <v>0</v>
      </c>
      <c r="CA582" t="e">
        <f t="shared" si="71"/>
        <v>#NUM!</v>
      </c>
    </row>
    <row r="583" spans="1:79" x14ac:dyDescent="0.3">
      <c r="A583" s="5" t="s">
        <v>397</v>
      </c>
      <c r="B583" s="43" t="s">
        <v>1059</v>
      </c>
      <c r="C583" s="39"/>
      <c r="D583" s="5">
        <v>3.19</v>
      </c>
      <c r="E583" s="5" t="s">
        <v>393</v>
      </c>
      <c r="F583" s="40">
        <v>-2</v>
      </c>
      <c r="G583" s="5">
        <v>-1</v>
      </c>
      <c r="H583" s="5"/>
      <c r="I583" s="5">
        <v>1</v>
      </c>
      <c r="J583" s="41">
        <v>0</v>
      </c>
      <c r="K583">
        <v>0</v>
      </c>
      <c r="L583">
        <v>0</v>
      </c>
      <c r="M583" s="2">
        <v>3.85</v>
      </c>
      <c r="N583" s="2">
        <v>3.85</v>
      </c>
      <c r="O583" s="5">
        <v>25.26</v>
      </c>
      <c r="P583" s="5"/>
      <c r="Q583" s="5"/>
      <c r="R583" s="41">
        <v>0</v>
      </c>
      <c r="S583" s="41"/>
      <c r="T583" s="41"/>
      <c r="U583">
        <v>0</v>
      </c>
      <c r="X583">
        <v>0</v>
      </c>
      <c r="AA583" s="5"/>
      <c r="AB583" s="5">
        <v>26</v>
      </c>
      <c r="AC583" s="55">
        <f t="shared" si="70"/>
        <v>374.41635000000008</v>
      </c>
      <c r="AD583" s="57">
        <v>0</v>
      </c>
      <c r="AE583" s="55">
        <v>0</v>
      </c>
      <c r="AF583" s="55">
        <v>0</v>
      </c>
      <c r="AG583" s="52">
        <f t="shared" si="69"/>
        <v>6.9441411946887452E-2</v>
      </c>
      <c r="AH583" s="51"/>
      <c r="AI583" s="52"/>
      <c r="AJ583" s="52"/>
      <c r="AK583" s="5">
        <v>1.661764705882353</v>
      </c>
      <c r="AL583" s="5">
        <v>1.9264705882352939</v>
      </c>
      <c r="AM583" s="5">
        <v>0.97058823529411764</v>
      </c>
      <c r="AN583" s="5">
        <v>1.029411764705882</v>
      </c>
      <c r="AO583" s="5">
        <v>0.29736842105263162</v>
      </c>
      <c r="AP583" s="5">
        <v>0.34473684210526317</v>
      </c>
      <c r="AQ583" s="5">
        <v>0.1736842105263158</v>
      </c>
      <c r="AR583" s="5">
        <v>0.18421052631578949</v>
      </c>
      <c r="AS583" s="41">
        <v>0.82</v>
      </c>
      <c r="AT583" s="41">
        <v>3.44</v>
      </c>
      <c r="AU583" s="41">
        <v>2.62</v>
      </c>
      <c r="AV583" s="41">
        <v>2.5938235294117651</v>
      </c>
      <c r="AW583" s="5">
        <v>2.5938235294117651</v>
      </c>
      <c r="AX583" s="5">
        <v>6.5012509424665001</v>
      </c>
      <c r="AY583" s="75"/>
      <c r="AZ583" s="75"/>
      <c r="BA583" s="75"/>
      <c r="BB583">
        <v>3.4720705973443733E-2</v>
      </c>
      <c r="BF583">
        <v>6.9441411946887452E-2</v>
      </c>
      <c r="BG583">
        <v>3.4720705973443733E-2</v>
      </c>
      <c r="BH583">
        <v>0</v>
      </c>
      <c r="CA583" t="e">
        <f t="shared" si="71"/>
        <v>#NUM!</v>
      </c>
    </row>
    <row r="584" spans="1:79" x14ac:dyDescent="0.3">
      <c r="A584" s="5" t="s">
        <v>398</v>
      </c>
      <c r="B584" s="43" t="s">
        <v>1060</v>
      </c>
      <c r="C584" s="39"/>
      <c r="D584" s="5">
        <v>3.17</v>
      </c>
      <c r="E584" s="5" t="s">
        <v>393</v>
      </c>
      <c r="F584" s="40">
        <v>-2</v>
      </c>
      <c r="G584" s="5">
        <v>-1</v>
      </c>
      <c r="H584" s="5"/>
      <c r="I584" s="5">
        <v>1</v>
      </c>
      <c r="J584" s="41">
        <v>0</v>
      </c>
      <c r="K584">
        <v>0</v>
      </c>
      <c r="L584">
        <v>0</v>
      </c>
      <c r="M584" s="2">
        <v>3.85</v>
      </c>
      <c r="N584" s="2">
        <v>3.85</v>
      </c>
      <c r="O584" s="5">
        <v>27.23</v>
      </c>
      <c r="P584" s="5"/>
      <c r="Q584" s="5"/>
      <c r="R584" s="41">
        <v>0</v>
      </c>
      <c r="S584" s="41"/>
      <c r="T584" s="41"/>
      <c r="U584">
        <v>0</v>
      </c>
      <c r="X584">
        <v>0</v>
      </c>
      <c r="AA584" s="5"/>
      <c r="AB584" s="5">
        <v>26</v>
      </c>
      <c r="AC584" s="55">
        <f t="shared" si="70"/>
        <v>403.61667500000004</v>
      </c>
      <c r="AD584" s="57">
        <v>0</v>
      </c>
      <c r="AE584" s="55">
        <v>0</v>
      </c>
      <c r="AF584" s="55">
        <v>0</v>
      </c>
      <c r="AG584" s="52">
        <f t="shared" si="69"/>
        <v>6.4417556583855201E-2</v>
      </c>
      <c r="AH584" s="51"/>
      <c r="AI584" s="52"/>
      <c r="AJ584" s="52"/>
      <c r="AK584" s="5">
        <v>1.6351351351351351</v>
      </c>
      <c r="AL584" s="5">
        <v>1.8243243243243239</v>
      </c>
      <c r="AM584" s="5">
        <v>0.89189189189189189</v>
      </c>
      <c r="AN584" s="5">
        <v>0.94594594594594594</v>
      </c>
      <c r="AO584" s="5">
        <v>0.30867346938775508</v>
      </c>
      <c r="AP584" s="5">
        <v>0.34438775510204078</v>
      </c>
      <c r="AQ584" s="5">
        <v>0.1683673469387755</v>
      </c>
      <c r="AR584" s="5">
        <v>0.1785714285714286</v>
      </c>
      <c r="AS584" s="41">
        <v>0.82</v>
      </c>
      <c r="AT584" s="41">
        <v>3.44</v>
      </c>
      <c r="AU584" s="41">
        <v>2.62</v>
      </c>
      <c r="AV584" s="41">
        <v>2.5713513513513511</v>
      </c>
      <c r="AW584" s="5">
        <v>2.571351351351352</v>
      </c>
      <c r="AX584" s="5">
        <v>6.5312639310692706</v>
      </c>
      <c r="AY584" s="75"/>
      <c r="AZ584" s="75"/>
      <c r="BA584" s="75"/>
      <c r="BB584">
        <v>3.2208778291927601E-2</v>
      </c>
      <c r="BF584">
        <v>6.4417556583855201E-2</v>
      </c>
      <c r="BG584">
        <v>3.2208778291927601E-2</v>
      </c>
      <c r="BH584">
        <v>0</v>
      </c>
      <c r="CA584" t="e">
        <f t="shared" si="71"/>
        <v>#NUM!</v>
      </c>
    </row>
    <row r="585" spans="1:79" x14ac:dyDescent="0.3">
      <c r="A585" s="5" t="s">
        <v>399</v>
      </c>
      <c r="B585" s="43" t="s">
        <v>1061</v>
      </c>
      <c r="C585" s="39"/>
      <c r="D585" s="5">
        <v>3.15</v>
      </c>
      <c r="E585" s="5" t="s">
        <v>393</v>
      </c>
      <c r="F585" s="40">
        <v>-2</v>
      </c>
      <c r="G585" s="5">
        <v>-1</v>
      </c>
      <c r="H585" s="5"/>
      <c r="I585" s="5">
        <v>1</v>
      </c>
      <c r="J585" s="41">
        <v>0</v>
      </c>
      <c r="K585">
        <v>0</v>
      </c>
      <c r="L585">
        <v>0</v>
      </c>
      <c r="M585" s="2">
        <v>3.85</v>
      </c>
      <c r="N585" s="2">
        <v>3.85</v>
      </c>
      <c r="O585" s="5">
        <v>33.19</v>
      </c>
      <c r="P585" s="5"/>
      <c r="Q585" s="5"/>
      <c r="R585" s="41">
        <v>0</v>
      </c>
      <c r="S585" s="41"/>
      <c r="T585" s="41"/>
      <c r="U585">
        <v>0</v>
      </c>
      <c r="X585">
        <v>0</v>
      </c>
      <c r="AA585" s="5"/>
      <c r="AB585" s="5">
        <v>26</v>
      </c>
      <c r="AC585" s="55">
        <f t="shared" si="70"/>
        <v>491.958775</v>
      </c>
      <c r="AD585" s="57">
        <v>0</v>
      </c>
      <c r="AE585" s="55">
        <v>0</v>
      </c>
      <c r="AF585" s="55">
        <v>0</v>
      </c>
      <c r="AG585" s="52">
        <f t="shared" si="69"/>
        <v>5.2849956787537733E-2</v>
      </c>
      <c r="AH585" s="51"/>
      <c r="AI585" s="52"/>
      <c r="AJ585" s="52"/>
      <c r="AK585" s="5">
        <v>1.593023255813953</v>
      </c>
      <c r="AL585" s="5">
        <v>1.6627906976744189</v>
      </c>
      <c r="AM585" s="5">
        <v>0.76744186046511631</v>
      </c>
      <c r="AN585" s="5">
        <v>0.81395348837209303</v>
      </c>
      <c r="AO585" s="5">
        <v>0.32932692307692307</v>
      </c>
      <c r="AP585" s="5">
        <v>0.34375000000000011</v>
      </c>
      <c r="AQ585" s="5">
        <v>0.1586538461538462</v>
      </c>
      <c r="AR585" s="5">
        <v>0.16826923076923081</v>
      </c>
      <c r="AS585" s="41">
        <v>0.82</v>
      </c>
      <c r="AT585" s="41">
        <v>3.44</v>
      </c>
      <c r="AU585" s="41">
        <v>2.62</v>
      </c>
      <c r="AV585" s="41">
        <v>2.5358139534883719</v>
      </c>
      <c r="AW585" s="5">
        <v>2.5358139534883719</v>
      </c>
      <c r="AX585" s="5">
        <v>6.5787263316503957</v>
      </c>
      <c r="AY585" s="75"/>
      <c r="AZ585" s="75"/>
      <c r="BA585" s="75"/>
      <c r="BB585">
        <v>2.642497839376887E-2</v>
      </c>
      <c r="BF585">
        <v>5.2849956787537733E-2</v>
      </c>
      <c r="BG585">
        <v>2.642497839376887E-2</v>
      </c>
      <c r="BH585">
        <v>0</v>
      </c>
      <c r="CA585" t="e">
        <f t="shared" si="71"/>
        <v>#NUM!</v>
      </c>
    </row>
    <row r="586" spans="1:79" x14ac:dyDescent="0.3">
      <c r="A586" s="5" t="s">
        <v>400</v>
      </c>
      <c r="B586" s="43" t="s">
        <v>1062</v>
      </c>
      <c r="C586" s="39"/>
      <c r="D586" s="5">
        <v>3.15</v>
      </c>
      <c r="E586" s="5" t="s">
        <v>393</v>
      </c>
      <c r="F586" s="49">
        <v>-2</v>
      </c>
      <c r="G586" s="5">
        <v>-1</v>
      </c>
      <c r="H586" s="5"/>
      <c r="I586" s="5">
        <v>1</v>
      </c>
      <c r="J586" s="41">
        <v>0</v>
      </c>
      <c r="K586">
        <v>0</v>
      </c>
      <c r="L586">
        <v>0</v>
      </c>
      <c r="M586" s="2">
        <v>3.85</v>
      </c>
      <c r="N586" s="2">
        <v>3.85</v>
      </c>
      <c r="O586" s="5">
        <v>38.67</v>
      </c>
      <c r="P586" s="5"/>
      <c r="Q586" s="5"/>
      <c r="R586" s="41">
        <v>0</v>
      </c>
      <c r="S586" s="41"/>
      <c r="T586" s="41"/>
      <c r="U586">
        <v>0</v>
      </c>
      <c r="X586">
        <v>0</v>
      </c>
      <c r="AA586" s="5"/>
      <c r="AB586" s="5">
        <v>26</v>
      </c>
      <c r="AC586" s="55">
        <f t="shared" si="70"/>
        <v>573.18607500000007</v>
      </c>
      <c r="AD586" s="57">
        <v>0</v>
      </c>
      <c r="AE586" s="55">
        <v>0</v>
      </c>
      <c r="AF586" s="55">
        <v>0</v>
      </c>
      <c r="AG586" s="52">
        <f t="shared" si="69"/>
        <v>4.5360487866004065E-2</v>
      </c>
      <c r="AH586" s="51"/>
      <c r="AI586" s="52"/>
      <c r="AJ586" s="52"/>
      <c r="AK586" s="5">
        <v>1.561224489795918</v>
      </c>
      <c r="AL586" s="5">
        <v>1.5408163265306121</v>
      </c>
      <c r="AM586" s="5">
        <v>0.67346938775510201</v>
      </c>
      <c r="AN586" s="5">
        <v>0.7142857142857143</v>
      </c>
      <c r="AO586" s="5">
        <v>0.34772727272727277</v>
      </c>
      <c r="AP586" s="5">
        <v>0.3431818181818182</v>
      </c>
      <c r="AQ586" s="5">
        <v>0.15</v>
      </c>
      <c r="AR586" s="5">
        <v>0.15909090909090909</v>
      </c>
      <c r="AS586" s="41">
        <v>0.82</v>
      </c>
      <c r="AT586" s="41">
        <v>3.44</v>
      </c>
      <c r="AU586" s="41">
        <v>2.62</v>
      </c>
      <c r="AV586" s="41">
        <v>2.5089795918367348</v>
      </c>
      <c r="AW586" s="5">
        <v>2.5089795918367348</v>
      </c>
      <c r="AX586" s="5">
        <v>6.6145652871912439</v>
      </c>
      <c r="AY586" s="75"/>
      <c r="AZ586" s="75"/>
      <c r="BA586" s="75"/>
      <c r="BB586">
        <v>2.2680243933002029E-2</v>
      </c>
      <c r="BF586">
        <v>4.5360487866004072E-2</v>
      </c>
      <c r="BG586">
        <v>2.2680243933002029E-2</v>
      </c>
      <c r="BH586">
        <v>0</v>
      </c>
      <c r="CA586" t="e">
        <f t="shared" si="71"/>
        <v>#NUM!</v>
      </c>
    </row>
    <row r="587" spans="1:79" x14ac:dyDescent="0.3">
      <c r="A587" s="2" t="s">
        <v>381</v>
      </c>
      <c r="B587" s="13" t="s">
        <v>838</v>
      </c>
      <c r="C587" s="13"/>
      <c r="D587" s="2">
        <v>3.46</v>
      </c>
      <c r="E587" s="2" t="s">
        <v>401</v>
      </c>
      <c r="F587" s="9">
        <v>-1</v>
      </c>
      <c r="G587">
        <v>-1</v>
      </c>
      <c r="I587" s="2">
        <v>2</v>
      </c>
      <c r="J587" s="25">
        <v>0</v>
      </c>
      <c r="K587">
        <v>0</v>
      </c>
      <c r="L587">
        <v>0</v>
      </c>
      <c r="M587" s="2">
        <v>3.7829999999999999</v>
      </c>
      <c r="N587" s="2">
        <v>3.7829999999999999</v>
      </c>
      <c r="O587" s="2">
        <v>27.18</v>
      </c>
      <c r="P587" s="2" t="s">
        <v>1131</v>
      </c>
      <c r="Q587" s="2"/>
      <c r="R587" s="25">
        <v>0</v>
      </c>
      <c r="S587" s="25"/>
      <c r="T587" s="25"/>
      <c r="U587">
        <v>0</v>
      </c>
      <c r="X587">
        <v>0</v>
      </c>
      <c r="AA587" s="2"/>
      <c r="AB587">
        <v>20</v>
      </c>
      <c r="AC587" s="55">
        <f t="shared" si="70"/>
        <v>388.97539902</v>
      </c>
      <c r="AD587" s="57">
        <v>0</v>
      </c>
      <c r="AE587" s="55">
        <v>0</v>
      </c>
      <c r="AF587" s="55">
        <v>0</v>
      </c>
      <c r="AG587" s="52">
        <f t="shared" si="69"/>
        <v>0.10283426689908304</v>
      </c>
      <c r="AH587" s="51"/>
      <c r="AI587" s="52"/>
      <c r="AJ587" s="52"/>
      <c r="AK587" s="28">
        <v>1.882352941176471</v>
      </c>
      <c r="AL587" s="28">
        <v>2.3529411764705879</v>
      </c>
      <c r="AM587" s="28">
        <v>0.35294117647058831</v>
      </c>
      <c r="AN587" s="28">
        <v>0.47058823529411759</v>
      </c>
      <c r="AO587" s="28">
        <v>0.37209302325581389</v>
      </c>
      <c r="AP587" s="28">
        <v>0.46511627906976749</v>
      </c>
      <c r="AQ587" s="28">
        <v>6.9767441860465129E-2</v>
      </c>
      <c r="AR587" s="28">
        <v>9.3023255813953487E-2</v>
      </c>
      <c r="AS587" s="25">
        <v>1.1399999999999999</v>
      </c>
      <c r="AT587" s="25">
        <v>3.44</v>
      </c>
      <c r="AU587" s="25">
        <v>2.2999999999999998</v>
      </c>
      <c r="AV587" s="25">
        <v>2.6882352941176468</v>
      </c>
      <c r="AW587">
        <v>2.6882352941176468</v>
      </c>
      <c r="AX587">
        <v>6.2192249941001183</v>
      </c>
      <c r="AY587" s="75"/>
      <c r="AZ587" s="75"/>
      <c r="BA587" s="75"/>
      <c r="BB587">
        <v>5.1417133449541519E-2</v>
      </c>
      <c r="BF587">
        <v>0.102834266899083</v>
      </c>
      <c r="BG587">
        <v>5.1417133449541519E-2</v>
      </c>
      <c r="BH587">
        <v>0</v>
      </c>
      <c r="CA587" t="e">
        <f t="shared" si="71"/>
        <v>#NUM!</v>
      </c>
    </row>
    <row r="588" spans="1:79" x14ac:dyDescent="0.3">
      <c r="A588" s="2" t="s">
        <v>385</v>
      </c>
      <c r="B588" s="18" t="s">
        <v>1063</v>
      </c>
      <c r="C588" s="13"/>
      <c r="D588" s="2">
        <v>3.58</v>
      </c>
      <c r="E588" s="2" t="s">
        <v>401</v>
      </c>
      <c r="F588" s="9">
        <v>-1</v>
      </c>
      <c r="G588">
        <v>-1</v>
      </c>
      <c r="I588" s="2">
        <v>1</v>
      </c>
      <c r="J588" s="25">
        <v>0</v>
      </c>
      <c r="K588">
        <v>0</v>
      </c>
      <c r="L588">
        <v>0</v>
      </c>
      <c r="M588" s="2">
        <v>3.802</v>
      </c>
      <c r="N588" s="2">
        <v>3.802</v>
      </c>
      <c r="O588" s="2">
        <v>24.7</v>
      </c>
      <c r="P588" s="2" t="s">
        <v>439</v>
      </c>
      <c r="Q588" s="2"/>
      <c r="R588" s="25">
        <v>0</v>
      </c>
      <c r="S588" s="25"/>
      <c r="T588" s="25"/>
      <c r="U588">
        <v>0</v>
      </c>
      <c r="X588">
        <v>0</v>
      </c>
      <c r="AA588" s="2"/>
      <c r="AB588">
        <v>20</v>
      </c>
      <c r="AC588" s="55">
        <f t="shared" si="70"/>
        <v>357.04353880000002</v>
      </c>
      <c r="AD588" s="57">
        <v>0</v>
      </c>
      <c r="AE588" s="55">
        <v>0</v>
      </c>
      <c r="AF588" s="55">
        <v>0</v>
      </c>
      <c r="AG588" s="52">
        <f t="shared" si="69"/>
        <v>5.6015577448113731E-2</v>
      </c>
      <c r="AH588" s="51"/>
      <c r="AI588" s="52"/>
      <c r="AJ588" s="52"/>
      <c r="AK588" s="28">
        <v>1.606060606060606</v>
      </c>
      <c r="AL588" s="28">
        <v>1.545454545454545</v>
      </c>
      <c r="AM588" s="28">
        <v>0.1818181818181818</v>
      </c>
      <c r="AN588" s="28">
        <v>0.2424242424242424</v>
      </c>
      <c r="AO588" s="28">
        <v>0.44915254237288132</v>
      </c>
      <c r="AP588" s="28">
        <v>0.43220338983050849</v>
      </c>
      <c r="AQ588" s="28">
        <v>5.0847457627118647E-2</v>
      </c>
      <c r="AR588" s="28">
        <v>6.7796610169491525E-2</v>
      </c>
      <c r="AS588" s="25">
        <v>1.1399999999999999</v>
      </c>
      <c r="AT588" s="25">
        <v>3.44</v>
      </c>
      <c r="AU588" s="25">
        <v>2.2999999999999998</v>
      </c>
      <c r="AV588" s="25">
        <v>2.51939393939394</v>
      </c>
      <c r="AW588">
        <v>2.51939393939394</v>
      </c>
      <c r="AX588">
        <v>6.5741021946079687</v>
      </c>
      <c r="AY588" s="75"/>
      <c r="AZ588" s="75"/>
      <c r="BA588" s="75"/>
      <c r="BB588">
        <v>2.8007788724056869E-2</v>
      </c>
      <c r="BF588">
        <v>5.6015577448113731E-2</v>
      </c>
      <c r="BG588">
        <v>2.8007788724056869E-2</v>
      </c>
      <c r="BH588">
        <v>0</v>
      </c>
      <c r="CA588" t="e">
        <f t="shared" si="71"/>
        <v>#NUM!</v>
      </c>
    </row>
    <row r="589" spans="1:79" x14ac:dyDescent="0.3">
      <c r="A589" s="2" t="s">
        <v>51</v>
      </c>
      <c r="B589" s="13" t="s">
        <v>703</v>
      </c>
      <c r="C589" s="13"/>
      <c r="D589" s="2">
        <v>5.5</v>
      </c>
      <c r="E589" s="2" t="s">
        <v>52</v>
      </c>
      <c r="F589" s="70" t="s">
        <v>536</v>
      </c>
      <c r="G589" t="s">
        <v>617</v>
      </c>
      <c r="I589" s="2"/>
      <c r="J589" s="25">
        <v>1</v>
      </c>
      <c r="K589">
        <v>4</v>
      </c>
      <c r="L589">
        <v>0</v>
      </c>
      <c r="M589" s="2">
        <v>-1</v>
      </c>
      <c r="N589" s="2"/>
      <c r="O589" s="2"/>
      <c r="P589" s="2"/>
      <c r="Q589" s="2"/>
      <c r="R589" s="25">
        <v>12.88926011</v>
      </c>
      <c r="S589" s="25">
        <v>12.88926011</v>
      </c>
      <c r="T589" s="25">
        <v>12.88926011</v>
      </c>
      <c r="U589">
        <v>5.5223699999999996</v>
      </c>
      <c r="V589">
        <v>5.5240799999999997</v>
      </c>
      <c r="W589">
        <v>25.026399999999999</v>
      </c>
      <c r="X589">
        <v>0</v>
      </c>
      <c r="AA589" s="2"/>
      <c r="AB589">
        <v>18</v>
      </c>
      <c r="AC589" s="55">
        <f t="shared" si="70"/>
        <v>0</v>
      </c>
      <c r="AD589" s="57">
        <v>195.03203980213701</v>
      </c>
      <c r="AE589" s="55">
        <v>763.45570050087724</v>
      </c>
      <c r="AF589" s="55">
        <v>0</v>
      </c>
      <c r="AG589" s="52"/>
      <c r="AH589" s="51">
        <v>9.2292528029042184E-2</v>
      </c>
      <c r="AI589" s="52">
        <v>9.4308025930991482E-2</v>
      </c>
      <c r="AJ589" s="52"/>
      <c r="AK589" s="28">
        <v>2</v>
      </c>
      <c r="AL589" s="28">
        <v>3</v>
      </c>
      <c r="AM589" s="28">
        <v>1.857142857142857</v>
      </c>
      <c r="AN589" s="28">
        <v>4</v>
      </c>
      <c r="AO589" s="28">
        <v>0.18421052631578949</v>
      </c>
      <c r="AP589" s="28">
        <v>0.27631578947368418</v>
      </c>
      <c r="AQ589" s="28">
        <v>0.1710526315789474</v>
      </c>
      <c r="AR589" s="28">
        <v>0.36842105263157893</v>
      </c>
      <c r="AS589" s="25">
        <v>0.95</v>
      </c>
      <c r="AT589" s="25">
        <v>3.44</v>
      </c>
      <c r="AU589" s="25">
        <v>2.4900000000000002</v>
      </c>
      <c r="AV589" s="25">
        <v>2.782142857142857</v>
      </c>
      <c r="AW589">
        <v>2.7821428571428579</v>
      </c>
      <c r="AX589">
        <v>6.2021612289285706</v>
      </c>
      <c r="AY589" s="75">
        <v>0.52524560229640982</v>
      </c>
      <c r="AZ589" s="75">
        <v>0.53671599358424449</v>
      </c>
      <c r="BA589" s="75"/>
      <c r="BC589">
        <v>4.6146264014521092E-2</v>
      </c>
      <c r="BD589">
        <v>4.7154012965495741E-2</v>
      </c>
      <c r="BF589">
        <v>9.3300276980016833E-2</v>
      </c>
      <c r="BG589">
        <v>4.6650138490008423E-2</v>
      </c>
      <c r="BH589">
        <v>0.53098079794032715</v>
      </c>
      <c r="CA589" t="e">
        <f t="shared" si="71"/>
        <v>#NUM!</v>
      </c>
    </row>
    <row r="590" spans="1:79" x14ac:dyDescent="0.3">
      <c r="A590" s="2" t="s">
        <v>403</v>
      </c>
      <c r="B590" s="17" t="s">
        <v>956</v>
      </c>
      <c r="C590" s="13"/>
      <c r="D590" s="2">
        <v>3.76</v>
      </c>
      <c r="E590" s="2" t="s">
        <v>402</v>
      </c>
      <c r="F590" s="9">
        <v>-1</v>
      </c>
      <c r="G590">
        <v>-1</v>
      </c>
      <c r="I590" s="2">
        <v>2</v>
      </c>
      <c r="J590" s="25">
        <v>0</v>
      </c>
      <c r="K590">
        <v>0</v>
      </c>
      <c r="L590">
        <v>0</v>
      </c>
      <c r="M590" s="2">
        <v>3.9</v>
      </c>
      <c r="N590" s="2">
        <v>3.9</v>
      </c>
      <c r="O590" s="2">
        <f>15.91*2</f>
        <v>31.82</v>
      </c>
      <c r="P590" s="2"/>
      <c r="Q590" s="2"/>
      <c r="R590" s="25">
        <v>0</v>
      </c>
      <c r="S590" s="25"/>
      <c r="T590" s="25"/>
      <c r="U590">
        <v>0</v>
      </c>
      <c r="X590">
        <v>0</v>
      </c>
      <c r="AA590" s="2"/>
      <c r="AB590">
        <v>20</v>
      </c>
      <c r="AC590" s="55">
        <f t="shared" si="70"/>
        <v>483.98219999999998</v>
      </c>
      <c r="AD590" s="57">
        <v>0</v>
      </c>
      <c r="AE590" s="55">
        <v>0</v>
      </c>
      <c r="AF590" s="55">
        <v>0</v>
      </c>
      <c r="AG590" s="52">
        <f>I590*AB590/AC590</f>
        <v>8.2647667620833989E-2</v>
      </c>
      <c r="AH590" s="51"/>
      <c r="AI590" s="52"/>
      <c r="AJ590" s="52"/>
      <c r="AK590" s="28">
        <v>1.882352941176471</v>
      </c>
      <c r="AL590" s="28">
        <v>2.3529411764705879</v>
      </c>
      <c r="AM590" s="28">
        <v>0.43529411764705878</v>
      </c>
      <c r="AN590" s="28">
        <v>0.82352941176470584</v>
      </c>
      <c r="AO590" s="28">
        <v>0.34261241970021411</v>
      </c>
      <c r="AP590" s="28">
        <v>0.42826552462526768</v>
      </c>
      <c r="AQ590" s="28">
        <v>7.922912205567452E-2</v>
      </c>
      <c r="AR590" s="28">
        <v>0.1498929336188437</v>
      </c>
      <c r="AS590" s="25">
        <v>0.82</v>
      </c>
      <c r="AT590" s="25">
        <v>3.44</v>
      </c>
      <c r="AU590" s="25">
        <v>2.62</v>
      </c>
      <c r="AV590" s="25">
        <v>2.5324117647058819</v>
      </c>
      <c r="AW590">
        <v>2.532941176470588</v>
      </c>
      <c r="AX590">
        <v>5.690008021176471</v>
      </c>
      <c r="AY590" s="75"/>
      <c r="AZ590" s="75"/>
      <c r="BA590" s="75"/>
      <c r="BB590">
        <v>4.1323833810416988E-2</v>
      </c>
      <c r="BF590">
        <v>8.2647667620833989E-2</v>
      </c>
      <c r="BG590">
        <v>4.1323833810416988E-2</v>
      </c>
      <c r="BH590">
        <v>0</v>
      </c>
      <c r="CA590" t="e">
        <f t="shared" si="71"/>
        <v>#NUM!</v>
      </c>
    </row>
    <row r="591" spans="1:79" x14ac:dyDescent="0.3">
      <c r="A591" s="2" t="s">
        <v>404</v>
      </c>
      <c r="B591" s="33" t="s">
        <v>957</v>
      </c>
      <c r="C591" s="34"/>
      <c r="D591" s="2">
        <v>3.88</v>
      </c>
      <c r="E591" s="2" t="s">
        <v>402</v>
      </c>
      <c r="F591" s="35">
        <v>-1</v>
      </c>
      <c r="G591" s="2">
        <v>-1</v>
      </c>
      <c r="H591" s="2"/>
      <c r="I591" s="2">
        <v>2</v>
      </c>
      <c r="J591" s="29">
        <v>0</v>
      </c>
      <c r="K591">
        <v>0</v>
      </c>
      <c r="L591">
        <v>0</v>
      </c>
      <c r="M591" s="2">
        <v>3.8050000000000002</v>
      </c>
      <c r="N591" s="2">
        <v>3.8050000000000002</v>
      </c>
      <c r="O591" s="2">
        <v>27.44</v>
      </c>
      <c r="P591" s="2" t="s">
        <v>1131</v>
      </c>
      <c r="Q591" s="2"/>
      <c r="R591" s="29">
        <v>0</v>
      </c>
      <c r="S591" s="29"/>
      <c r="T591" s="29"/>
      <c r="U591">
        <v>0</v>
      </c>
      <c r="X591">
        <v>0</v>
      </c>
      <c r="AA591" s="2"/>
      <c r="AB591" s="2">
        <v>20</v>
      </c>
      <c r="AC591" s="55">
        <f t="shared" si="70"/>
        <v>397.27700600000003</v>
      </c>
      <c r="AD591" s="57">
        <v>0</v>
      </c>
      <c r="AE591" s="55">
        <v>0</v>
      </c>
      <c r="AF591" s="55">
        <v>0</v>
      </c>
      <c r="AG591" s="52">
        <f>I591*AB591/AC591</f>
        <v>0.10068541444857747</v>
      </c>
      <c r="AH591" s="51"/>
      <c r="AI591" s="52"/>
      <c r="AJ591" s="52"/>
      <c r="AK591" s="2">
        <v>1.882352941176471</v>
      </c>
      <c r="AL591" s="2">
        <v>2.3529411764705879</v>
      </c>
      <c r="AM591" s="2">
        <v>0.43529411764705878</v>
      </c>
      <c r="AN591" s="2">
        <v>0.82352941176470584</v>
      </c>
      <c r="AO591" s="2">
        <v>0.34261241970021411</v>
      </c>
      <c r="AP591" s="2">
        <v>0.42826552462526768</v>
      </c>
      <c r="AQ591" s="2">
        <v>7.922912205567452E-2</v>
      </c>
      <c r="AR591" s="2">
        <v>0.1498929336188437</v>
      </c>
      <c r="AS591" s="29">
        <v>1.1850000000000001</v>
      </c>
      <c r="AT591" s="29">
        <v>3.44</v>
      </c>
      <c r="AU591" s="29">
        <v>2.2549999999999999</v>
      </c>
      <c r="AV591" s="29">
        <v>2.6947647058823532</v>
      </c>
      <c r="AW591" s="2">
        <v>2.6952941176470588</v>
      </c>
      <c r="AX591" s="2">
        <v>6.2494732999824709</v>
      </c>
      <c r="AY591" s="75"/>
      <c r="AZ591" s="75"/>
      <c r="BA591" s="75"/>
      <c r="BB591">
        <v>5.0342707224288727E-2</v>
      </c>
      <c r="BF591">
        <v>0.1006854144485775</v>
      </c>
      <c r="BG591">
        <v>5.0342707224288727E-2</v>
      </c>
      <c r="BH591">
        <v>0</v>
      </c>
      <c r="CA591" t="e">
        <f t="shared" si="71"/>
        <v>#NUM!</v>
      </c>
    </row>
    <row r="592" spans="1:79" x14ac:dyDescent="0.3">
      <c r="A592" s="2" t="s">
        <v>405</v>
      </c>
      <c r="B592" s="17" t="s">
        <v>958</v>
      </c>
      <c r="C592" s="13"/>
      <c r="D592" s="2">
        <v>4.51</v>
      </c>
      <c r="E592" s="2" t="s">
        <v>402</v>
      </c>
      <c r="F592" s="9">
        <v>-1</v>
      </c>
      <c r="G592">
        <v>-1</v>
      </c>
      <c r="H592" s="1" t="s">
        <v>1184</v>
      </c>
      <c r="I592" s="2"/>
      <c r="J592" s="25">
        <v>0</v>
      </c>
      <c r="K592">
        <v>0</v>
      </c>
      <c r="L592">
        <v>0</v>
      </c>
      <c r="M592" s="2">
        <v>-1</v>
      </c>
      <c r="N592" s="2"/>
      <c r="O592" s="2"/>
      <c r="P592" s="2"/>
      <c r="Q592" s="2"/>
      <c r="R592" s="25">
        <v>0</v>
      </c>
      <c r="S592" s="25"/>
      <c r="T592" s="25"/>
      <c r="U592">
        <v>0</v>
      </c>
      <c r="X592">
        <v>0</v>
      </c>
      <c r="AA592" s="2"/>
      <c r="AB592">
        <v>14</v>
      </c>
      <c r="AC592" s="55">
        <f t="shared" si="70"/>
        <v>0</v>
      </c>
      <c r="AD592" s="57">
        <v>0</v>
      </c>
      <c r="AE592" s="55">
        <v>0</v>
      </c>
      <c r="AF592" s="55">
        <v>0</v>
      </c>
      <c r="AG592" s="52"/>
      <c r="AH592" s="51"/>
      <c r="AI592" s="52"/>
      <c r="AJ592" s="52"/>
      <c r="AK592" s="28">
        <v>1.9090909090909089</v>
      </c>
      <c r="AL592" s="28">
        <v>2.545454545454545</v>
      </c>
      <c r="AM592" s="28">
        <v>0.60909090909090913</v>
      </c>
      <c r="AN592" s="28">
        <v>2.790909090909091</v>
      </c>
      <c r="AO592" s="28">
        <v>0.24305555555555561</v>
      </c>
      <c r="AP592" s="28">
        <v>0.32407407407407413</v>
      </c>
      <c r="AQ592" s="28">
        <v>7.7546296296296308E-2</v>
      </c>
      <c r="AR592" s="28">
        <v>0.35532407407407413</v>
      </c>
      <c r="AS592" s="25">
        <v>0.82</v>
      </c>
      <c r="AT592" s="25">
        <v>3.44</v>
      </c>
      <c r="AU592" s="25">
        <v>2.62</v>
      </c>
      <c r="AV592" s="25">
        <v>2.6393636363636359</v>
      </c>
      <c r="AW592">
        <v>2.6363636363636358</v>
      </c>
      <c r="AX592">
        <v>6.0025089159090914</v>
      </c>
      <c r="AY592" s="75"/>
      <c r="AZ592" s="75"/>
      <c r="BA592" s="75"/>
      <c r="BF592">
        <v>0</v>
      </c>
      <c r="BG592">
        <v>0</v>
      </c>
      <c r="BH592">
        <v>0</v>
      </c>
      <c r="CA592" t="e">
        <f t="shared" si="71"/>
        <v>#NUM!</v>
      </c>
    </row>
    <row r="593" spans="1:79" x14ac:dyDescent="0.3">
      <c r="A593" s="2" t="s">
        <v>1190</v>
      </c>
      <c r="B593" s="33" t="s">
        <v>959</v>
      </c>
      <c r="C593" s="34"/>
      <c r="D593" s="2">
        <v>5.4</v>
      </c>
      <c r="E593" s="2" t="s">
        <v>402</v>
      </c>
      <c r="F593" s="35">
        <v>-1</v>
      </c>
      <c r="G593" s="2">
        <v>-1</v>
      </c>
      <c r="H593" s="2" t="s">
        <v>1164</v>
      </c>
      <c r="I593" s="2"/>
      <c r="J593" s="29">
        <v>0</v>
      </c>
      <c r="K593">
        <v>0</v>
      </c>
      <c r="L593">
        <v>1</v>
      </c>
      <c r="M593" s="2">
        <v>3.89</v>
      </c>
      <c r="N593" s="2">
        <v>3.89</v>
      </c>
      <c r="O593" s="2">
        <v>10.34</v>
      </c>
      <c r="P593" s="2" t="s">
        <v>440</v>
      </c>
      <c r="Q593" s="2"/>
      <c r="R593" s="29">
        <v>0</v>
      </c>
      <c r="S593" s="29"/>
      <c r="T593" s="29"/>
      <c r="U593">
        <v>0</v>
      </c>
      <c r="X593">
        <v>3.88</v>
      </c>
      <c r="Y593">
        <v>3.88</v>
      </c>
      <c r="Z593">
        <v>10.66</v>
      </c>
      <c r="AA593" s="2"/>
      <c r="AB593" s="2">
        <v>14</v>
      </c>
      <c r="AC593" s="55">
        <f t="shared" si="70"/>
        <v>156.465914</v>
      </c>
      <c r="AD593" s="57">
        <v>0</v>
      </c>
      <c r="AE593" s="55">
        <v>0</v>
      </c>
      <c r="AF593" s="55">
        <v>160.479904</v>
      </c>
      <c r="AG593" s="52"/>
      <c r="AH593" s="51"/>
      <c r="AI593" s="52"/>
      <c r="AJ593" s="67">
        <f>L593*AB593/AF593</f>
        <v>8.7238337331009372E-2</v>
      </c>
      <c r="AK593" s="2">
        <v>2</v>
      </c>
      <c r="AL593" s="2">
        <v>2.8</v>
      </c>
      <c r="AM593" s="2">
        <v>0.67</v>
      </c>
      <c r="AN593" s="2">
        <v>3.07</v>
      </c>
      <c r="AO593" s="2">
        <v>0.23419203747072601</v>
      </c>
      <c r="AP593" s="2">
        <v>0.32786885245901642</v>
      </c>
      <c r="AQ593" s="2">
        <v>7.8454332552693226E-2</v>
      </c>
      <c r="AR593" s="2">
        <v>0.35948477751756441</v>
      </c>
      <c r="AS593" s="29">
        <v>1.1000000000000001</v>
      </c>
      <c r="AT593" s="29">
        <v>3.44</v>
      </c>
      <c r="AU593" s="29">
        <v>2.34</v>
      </c>
      <c r="AV593" s="29">
        <v>2.8212999999999999</v>
      </c>
      <c r="AW593" s="2">
        <v>2.8180000000000001</v>
      </c>
      <c r="AX593" s="2">
        <v>6.3696075919999986</v>
      </c>
      <c r="AY593" s="75"/>
      <c r="AZ593" s="75"/>
      <c r="BA593" s="75">
        <v>0</v>
      </c>
      <c r="BE593">
        <v>4.3619168665504693E-2</v>
      </c>
      <c r="BF593">
        <v>8.7238337331009372E-2</v>
      </c>
      <c r="BG593">
        <v>4.3619168665504693E-2</v>
      </c>
      <c r="BH593">
        <v>0</v>
      </c>
      <c r="CA593" t="e">
        <f t="shared" si="71"/>
        <v>#NUM!</v>
      </c>
    </row>
    <row r="594" spans="1:79" x14ac:dyDescent="0.3">
      <c r="A594" s="2" t="s">
        <v>406</v>
      </c>
      <c r="B594" s="17" t="s">
        <v>960</v>
      </c>
      <c r="C594" s="13"/>
      <c r="D594" s="2">
        <v>0.01</v>
      </c>
      <c r="E594" s="2" t="s">
        <v>408</v>
      </c>
      <c r="F594" s="9">
        <v>-1</v>
      </c>
      <c r="G594">
        <v>4101345</v>
      </c>
      <c r="I594" s="2"/>
      <c r="J594" s="25">
        <v>0</v>
      </c>
      <c r="K594">
        <v>2</v>
      </c>
      <c r="L594">
        <v>2</v>
      </c>
      <c r="M594" s="2">
        <v>5.3959999999999999</v>
      </c>
      <c r="N594" s="2">
        <v>5.4489999999999998</v>
      </c>
      <c r="O594" s="2">
        <v>20.521999999999998</v>
      </c>
      <c r="P594" s="2" t="s">
        <v>1135</v>
      </c>
      <c r="Q594" s="2"/>
      <c r="R594" s="25">
        <v>0</v>
      </c>
      <c r="S594" s="25"/>
      <c r="T594" s="25"/>
      <c r="U594">
        <v>3.9685999999999999</v>
      </c>
      <c r="V594">
        <v>3.9685999999999999</v>
      </c>
      <c r="W594">
        <v>19.3154</v>
      </c>
      <c r="X594">
        <v>0</v>
      </c>
      <c r="AA594" s="2"/>
      <c r="AB594">
        <v>13.84</v>
      </c>
      <c r="AC594" s="55">
        <f t="shared" si="70"/>
        <v>603.40434368799993</v>
      </c>
      <c r="AD594" s="57">
        <v>0</v>
      </c>
      <c r="AE594" s="55">
        <v>0</v>
      </c>
      <c r="AF594" s="55">
        <v>304.20999999999998</v>
      </c>
      <c r="AG594" s="52"/>
      <c r="AH594" s="51"/>
      <c r="AI594" s="52"/>
      <c r="AJ594" s="67">
        <f>L594*AB594/AF594</f>
        <v>9.0989776798921798E-2</v>
      </c>
      <c r="AK594" s="28">
        <v>2</v>
      </c>
      <c r="AL594" s="28">
        <v>2.3221476510067109</v>
      </c>
      <c r="AM594" s="28">
        <v>1.593959731543624</v>
      </c>
      <c r="AN594" s="28">
        <v>0</v>
      </c>
      <c r="AO594" s="28">
        <v>0.33806012478729441</v>
      </c>
      <c r="AP594" s="28">
        <v>0.39251276233692572</v>
      </c>
      <c r="AQ594" s="28">
        <v>0.26942711287577992</v>
      </c>
      <c r="AR594" s="28">
        <v>0</v>
      </c>
      <c r="AS594" s="25">
        <v>1.1000000000000001</v>
      </c>
      <c r="AT594" s="25">
        <v>3.44</v>
      </c>
      <c r="AU594" s="25">
        <v>2.34</v>
      </c>
      <c r="AV594" s="25">
        <v>2.5943624161073831</v>
      </c>
      <c r="AW594">
        <v>2.5943624161073831</v>
      </c>
      <c r="AX594">
        <v>5.8869633505033558</v>
      </c>
      <c r="AY594" s="75"/>
      <c r="AZ594" s="75">
        <v>0.46352185946891089</v>
      </c>
      <c r="BA594" s="75"/>
      <c r="BD594" t="s">
        <v>459</v>
      </c>
      <c r="BE594">
        <v>4.5494888399460899E-2</v>
      </c>
      <c r="BF594">
        <v>9.0989776798921798E-2</v>
      </c>
      <c r="BG594" t="s">
        <v>459</v>
      </c>
      <c r="BH594">
        <v>0.46352185946891089</v>
      </c>
      <c r="CA594" t="e">
        <f t="shared" si="71"/>
        <v>#NUM!</v>
      </c>
    </row>
    <row r="595" spans="1:79" x14ac:dyDescent="0.3">
      <c r="A595" s="2" t="s">
        <v>407</v>
      </c>
      <c r="B595" s="17" t="s">
        <v>961</v>
      </c>
      <c r="C595" s="13"/>
      <c r="D595" s="2">
        <v>0.15</v>
      </c>
      <c r="E595" s="2" t="s">
        <v>408</v>
      </c>
      <c r="F595" s="9">
        <v>-1</v>
      </c>
      <c r="G595" t="s">
        <v>673</v>
      </c>
      <c r="I595" s="2"/>
      <c r="J595" s="25">
        <v>0</v>
      </c>
      <c r="K595">
        <v>2</v>
      </c>
      <c r="L595">
        <v>2</v>
      </c>
      <c r="M595" s="2">
        <v>5.484</v>
      </c>
      <c r="N595" s="2">
        <v>5.4790000000000001</v>
      </c>
      <c r="O595" s="2">
        <v>20.064</v>
      </c>
      <c r="P595" s="2" t="s">
        <v>1135</v>
      </c>
      <c r="Q595" s="2"/>
      <c r="R595" s="25">
        <v>0</v>
      </c>
      <c r="S595" s="25"/>
      <c r="T595" s="25"/>
      <c r="U595">
        <v>3.9685999999999999</v>
      </c>
      <c r="V595">
        <v>3.9685999999999999</v>
      </c>
      <c r="W595">
        <v>19.3154</v>
      </c>
      <c r="X595">
        <v>0</v>
      </c>
      <c r="AA595" s="2"/>
      <c r="AB595">
        <v>12.7</v>
      </c>
      <c r="AC595" s="55">
        <f t="shared" si="70"/>
        <v>602.85971750399995</v>
      </c>
      <c r="AD595" s="57">
        <v>0</v>
      </c>
      <c r="AE595" s="55">
        <v>304.21341573178398</v>
      </c>
      <c r="AF595" s="55"/>
      <c r="AG595" s="52"/>
      <c r="AH595" s="51"/>
      <c r="AI595" s="52">
        <v>9.098875515866349E-2</v>
      </c>
      <c r="AJ595" s="52"/>
      <c r="AK595" s="28">
        <v>2</v>
      </c>
      <c r="AL595" s="28">
        <v>2.2378854625550662</v>
      </c>
      <c r="AM595" s="28">
        <v>1.6740088105726869</v>
      </c>
      <c r="AN595" s="28">
        <v>0</v>
      </c>
      <c r="AO595" s="28">
        <v>0.33830104321907611</v>
      </c>
      <c r="AP595" s="28">
        <v>0.37853949329359171</v>
      </c>
      <c r="AQ595" s="28">
        <v>0.2831594634873324</v>
      </c>
      <c r="AR595" s="28">
        <v>0</v>
      </c>
      <c r="AS595" s="25">
        <v>1.1000000000000001</v>
      </c>
      <c r="AT595" s="25">
        <v>3.44</v>
      </c>
      <c r="AU595" s="25">
        <v>2.34</v>
      </c>
      <c r="AV595" s="25">
        <v>2.5518942731277532</v>
      </c>
      <c r="AW595">
        <v>2.5518942731277532</v>
      </c>
      <c r="AX595">
        <v>5.8039684980176212</v>
      </c>
      <c r="AY595" s="75"/>
      <c r="AZ595" s="75">
        <v>0.46352185946891089</v>
      </c>
      <c r="BA595" s="75"/>
      <c r="BD595">
        <v>4.1747008327855002E-2</v>
      </c>
      <c r="BF595">
        <v>9.098875515866349E-2</v>
      </c>
      <c r="BG595">
        <v>4.1747008327855002E-2</v>
      </c>
      <c r="BH595">
        <v>0.46352185946891089</v>
      </c>
      <c r="CA595" t="e">
        <f t="shared" si="71"/>
        <v>#NUM!</v>
      </c>
    </row>
    <row r="596" spans="1:79" x14ac:dyDescent="0.3">
      <c r="A596" s="2" t="s">
        <v>409</v>
      </c>
      <c r="B596" s="17" t="s">
        <v>962</v>
      </c>
      <c r="C596" s="13"/>
      <c r="D596" s="2">
        <v>3.22</v>
      </c>
      <c r="E596" s="2" t="s">
        <v>411</v>
      </c>
      <c r="F596" s="9">
        <v>-1</v>
      </c>
      <c r="G596">
        <v>-1</v>
      </c>
      <c r="I596" s="2"/>
      <c r="J596" s="25">
        <v>0</v>
      </c>
      <c r="K596">
        <v>2</v>
      </c>
      <c r="L596">
        <v>0</v>
      </c>
      <c r="M596" s="2">
        <v>7.8239999999999998</v>
      </c>
      <c r="N596" s="2">
        <v>7.8432000000000004</v>
      </c>
      <c r="O596" s="2">
        <v>7.9165000000000001</v>
      </c>
      <c r="P596" s="2" t="s">
        <v>1136</v>
      </c>
      <c r="Q596" s="2"/>
      <c r="R596" s="25">
        <v>0</v>
      </c>
      <c r="S596" s="25"/>
      <c r="T596" s="25"/>
      <c r="U596">
        <v>3.9685999999999999</v>
      </c>
      <c r="V596">
        <v>3.9685999999999999</v>
      </c>
      <c r="W596">
        <v>19.3154</v>
      </c>
      <c r="X596">
        <v>0</v>
      </c>
      <c r="AA596" s="2"/>
      <c r="AB596">
        <v>6</v>
      </c>
      <c r="AC596" s="55">
        <f t="shared" si="70"/>
        <v>485.79758046720002</v>
      </c>
      <c r="AD596" s="57">
        <v>0</v>
      </c>
      <c r="AE596" s="55">
        <v>304.21341573178398</v>
      </c>
      <c r="AF596" s="55">
        <v>0</v>
      </c>
      <c r="AG596" s="52"/>
      <c r="AH596" s="51"/>
      <c r="AI596" s="52">
        <v>8.3494016655709991E-2</v>
      </c>
      <c r="AJ596" s="52"/>
      <c r="AK596" s="28">
        <v>1.7690531177829101</v>
      </c>
      <c r="AL596" s="28">
        <v>2.7713625866050808</v>
      </c>
      <c r="AM596" s="28">
        <v>1</v>
      </c>
      <c r="AN596" s="28">
        <v>0</v>
      </c>
      <c r="AO596" s="28">
        <v>0.31929970821175491</v>
      </c>
      <c r="AP596" s="28">
        <v>0.50020842017507294</v>
      </c>
      <c r="AQ596" s="28">
        <v>0.18049187161317221</v>
      </c>
      <c r="AR596" s="28">
        <v>0</v>
      </c>
      <c r="AS596" s="25">
        <v>1.1000000000000001</v>
      </c>
      <c r="AT596" s="25">
        <v>3.44</v>
      </c>
      <c r="AU596" s="25">
        <v>2.34</v>
      </c>
      <c r="AV596" s="25">
        <v>2.8367205542725169</v>
      </c>
      <c r="AW596">
        <v>2.8367205542725169</v>
      </c>
      <c r="AX596">
        <v>6.3438920491916866</v>
      </c>
      <c r="AY596" s="75"/>
      <c r="AZ596" s="75"/>
      <c r="BA596" s="75"/>
      <c r="BD596">
        <v>1.9722996060403931E-2</v>
      </c>
      <c r="BF596">
        <v>8.3494016655709991E-2</v>
      </c>
      <c r="BG596">
        <v>1.9722996060403931E-2</v>
      </c>
      <c r="BH596">
        <v>0</v>
      </c>
      <c r="CA596" t="e">
        <f t="shared" si="71"/>
        <v>#NUM!</v>
      </c>
    </row>
    <row r="597" spans="1:79" x14ac:dyDescent="0.3">
      <c r="A597" s="2" t="s">
        <v>90</v>
      </c>
      <c r="B597" s="17" t="s">
        <v>963</v>
      </c>
      <c r="C597" s="13"/>
      <c r="D597" s="2">
        <v>3.87</v>
      </c>
      <c r="E597" s="2" t="s">
        <v>411</v>
      </c>
      <c r="F597" s="9">
        <v>-1</v>
      </c>
      <c r="G597">
        <v>-1</v>
      </c>
      <c r="I597" s="2"/>
      <c r="J597" s="25">
        <v>0</v>
      </c>
      <c r="K597">
        <v>0</v>
      </c>
      <c r="L597">
        <v>0</v>
      </c>
      <c r="M597" s="2">
        <v>3.9186000000000001</v>
      </c>
      <c r="N597" s="2">
        <v>3.9186000000000001</v>
      </c>
      <c r="O597" s="2">
        <v>7.9149000000000003</v>
      </c>
      <c r="P597" s="2" t="s">
        <v>439</v>
      </c>
      <c r="Q597" s="2"/>
      <c r="R597" s="25">
        <v>0</v>
      </c>
      <c r="S597" s="25"/>
      <c r="T597" s="25"/>
      <c r="U597">
        <v>0</v>
      </c>
      <c r="X597">
        <v>0</v>
      </c>
      <c r="AA597" s="2"/>
      <c r="AB597">
        <v>6</v>
      </c>
      <c r="AC597" s="55">
        <f t="shared" si="70"/>
        <v>121.536660930804</v>
      </c>
      <c r="AD597" s="57">
        <v>0</v>
      </c>
      <c r="AE597" s="55">
        <v>0</v>
      </c>
      <c r="AF597" s="55">
        <v>0</v>
      </c>
      <c r="AG597" s="52"/>
      <c r="AH597" s="51"/>
      <c r="AI597" s="52"/>
      <c r="AJ597" s="52"/>
      <c r="AK597" s="28">
        <v>2</v>
      </c>
      <c r="AL597" s="28">
        <v>2.7713625866050808</v>
      </c>
      <c r="AM597" s="28">
        <v>0.76905311778290997</v>
      </c>
      <c r="AN597" s="28">
        <v>3.2332563510392611</v>
      </c>
      <c r="AO597" s="28">
        <v>0.2279547249276126</v>
      </c>
      <c r="AP597" s="28">
        <v>0.31587259805211898</v>
      </c>
      <c r="AQ597" s="28">
        <v>8.765464595946304E-2</v>
      </c>
      <c r="AR597" s="28">
        <v>0.36851803106080561</v>
      </c>
      <c r="AS597" s="25">
        <v>1.1000000000000001</v>
      </c>
      <c r="AT597" s="25">
        <v>3.44</v>
      </c>
      <c r="AU597" s="25">
        <v>2.34</v>
      </c>
      <c r="AV597" s="25">
        <v>2.813625866050808</v>
      </c>
      <c r="AW597">
        <v>2.8136258660508089</v>
      </c>
      <c r="AX597">
        <v>6.3665749591224019</v>
      </c>
      <c r="AY597" s="75"/>
      <c r="AZ597" s="75"/>
      <c r="BA597" s="75"/>
      <c r="BF597">
        <v>0</v>
      </c>
      <c r="BG597">
        <v>0</v>
      </c>
      <c r="BH597">
        <v>0</v>
      </c>
      <c r="CA597" t="e">
        <f t="shared" si="71"/>
        <v>#NUM!</v>
      </c>
    </row>
    <row r="598" spans="1:79" x14ac:dyDescent="0.3">
      <c r="A598" s="2" t="s">
        <v>410</v>
      </c>
      <c r="B598" s="13" t="s">
        <v>839</v>
      </c>
      <c r="C598" s="13"/>
      <c r="D598" s="2">
        <v>3.56</v>
      </c>
      <c r="E598" s="2" t="s">
        <v>411</v>
      </c>
      <c r="F598" s="9" t="s">
        <v>602</v>
      </c>
      <c r="G598" t="s">
        <v>674</v>
      </c>
      <c r="I598" s="2"/>
      <c r="J598" s="25">
        <v>2</v>
      </c>
      <c r="K598">
        <v>0</v>
      </c>
      <c r="L598">
        <v>0</v>
      </c>
      <c r="M598" s="2">
        <v>-1</v>
      </c>
      <c r="N598" s="2"/>
      <c r="O598" s="2"/>
      <c r="P598" s="2"/>
      <c r="Q598" s="2"/>
      <c r="R598" s="25">
        <v>5.44114334</v>
      </c>
      <c r="S598" s="25">
        <v>5.44114334</v>
      </c>
      <c r="T598" s="25">
        <v>5.44114334</v>
      </c>
      <c r="U598">
        <v>0</v>
      </c>
      <c r="X598">
        <v>0</v>
      </c>
      <c r="AA598" s="2"/>
      <c r="AB598">
        <v>6</v>
      </c>
      <c r="AC598" s="55">
        <f t="shared" si="70"/>
        <v>0</v>
      </c>
      <c r="AD598" s="57">
        <v>112.4131248985337</v>
      </c>
      <c r="AE598" s="55">
        <v>0</v>
      </c>
      <c r="AF598" s="55">
        <v>0</v>
      </c>
      <c r="AG598" s="52"/>
      <c r="AH598" s="51">
        <v>0.106749100790779</v>
      </c>
      <c r="AI598" s="52"/>
      <c r="AJ598" s="52"/>
      <c r="AK598" s="28">
        <v>2</v>
      </c>
      <c r="AL598" s="28">
        <v>2.4</v>
      </c>
      <c r="AM598" s="28">
        <v>0.4</v>
      </c>
      <c r="AN598" s="28">
        <v>0</v>
      </c>
      <c r="AO598" s="28">
        <v>0.41666666666666669</v>
      </c>
      <c r="AP598" s="28">
        <v>0.5</v>
      </c>
      <c r="AQ598" s="28">
        <v>8.3333333333333343E-2</v>
      </c>
      <c r="AR598" s="28">
        <v>0</v>
      </c>
      <c r="AS598" s="25">
        <v>1</v>
      </c>
      <c r="AT598" s="25">
        <v>3.44</v>
      </c>
      <c r="AU598" s="25">
        <v>2.44</v>
      </c>
      <c r="AV598" s="25">
        <v>2.5720000000000001</v>
      </c>
      <c r="AW598">
        <v>2.5720000000000001</v>
      </c>
      <c r="AX598">
        <v>5.8278852370000003</v>
      </c>
      <c r="AY598" s="75">
        <v>0.58846120068676144</v>
      </c>
      <c r="AZ598" s="75">
        <v>0.59176212397517092</v>
      </c>
      <c r="BA598" s="75"/>
      <c r="BC598">
        <v>5.3374550395389492E-2</v>
      </c>
      <c r="BF598">
        <v>0.106749100790779</v>
      </c>
      <c r="BG598">
        <v>5.3374550395389492E-2</v>
      </c>
      <c r="BH598">
        <v>0.59011166233096612</v>
      </c>
      <c r="CA598" t="e">
        <f t="shared" si="71"/>
        <v>#NUM!</v>
      </c>
    </row>
    <row r="599" spans="1:79" x14ac:dyDescent="0.3">
      <c r="A599" s="2" t="s">
        <v>413</v>
      </c>
      <c r="B599" s="13" t="s">
        <v>840</v>
      </c>
      <c r="C599" s="13"/>
      <c r="D599" s="2">
        <v>2.86</v>
      </c>
      <c r="E599" s="2" t="s">
        <v>412</v>
      </c>
      <c r="F599" s="9">
        <v>-1</v>
      </c>
      <c r="G599">
        <v>-1</v>
      </c>
      <c r="H599" s="69" t="s">
        <v>1244</v>
      </c>
      <c r="I599" s="2">
        <v>1</v>
      </c>
      <c r="J599" s="25">
        <v>0</v>
      </c>
      <c r="K599">
        <v>4</v>
      </c>
      <c r="L599">
        <v>0</v>
      </c>
      <c r="M599" s="2">
        <v>3.91</v>
      </c>
      <c r="N599" s="2">
        <v>3.91</v>
      </c>
      <c r="O599" s="2">
        <v>18.495999999999999</v>
      </c>
      <c r="P599" s="2" t="s">
        <v>439</v>
      </c>
      <c r="Q599" s="2"/>
      <c r="R599" s="25">
        <v>0</v>
      </c>
      <c r="S599" s="25"/>
      <c r="T599" s="25"/>
      <c r="U599">
        <v>5.38</v>
      </c>
      <c r="V599">
        <v>5.44</v>
      </c>
      <c r="W599">
        <v>7.6390000000000002</v>
      </c>
      <c r="X599">
        <v>0</v>
      </c>
      <c r="AA599" s="2"/>
      <c r="AB599">
        <v>22</v>
      </c>
      <c r="AC599" s="55">
        <f t="shared" si="70"/>
        <v>282.7686976</v>
      </c>
      <c r="AD599" s="57">
        <v>0</v>
      </c>
      <c r="AE599" s="55">
        <v>223.5721408</v>
      </c>
      <c r="AF599" s="55">
        <v>0</v>
      </c>
      <c r="AG599" s="52"/>
      <c r="AH599" s="51"/>
      <c r="AI599" s="52">
        <v>0.1073479008347001</v>
      </c>
      <c r="AJ599" s="52"/>
      <c r="AK599" s="28">
        <v>2</v>
      </c>
      <c r="AL599" s="28">
        <v>3.052631578947369</v>
      </c>
      <c r="AM599" s="28">
        <v>1.8947368421052631</v>
      </c>
      <c r="AN599" s="28">
        <v>3.6842105263157889</v>
      </c>
      <c r="AO599" s="28">
        <v>0.18811881188118809</v>
      </c>
      <c r="AP599" s="28">
        <v>0.28712871287128722</v>
      </c>
      <c r="AQ599" s="28">
        <v>0.17821782178217821</v>
      </c>
      <c r="AR599" s="28">
        <v>0.34653465346534651</v>
      </c>
      <c r="AS599" s="25">
        <v>0.95</v>
      </c>
      <c r="AT599" s="25">
        <v>3.44</v>
      </c>
      <c r="AU599" s="25">
        <v>2.4900000000000002</v>
      </c>
      <c r="AV599" s="25">
        <v>2.7347368421052631</v>
      </c>
      <c r="AW599">
        <v>2.7347368421052631</v>
      </c>
      <c r="AX599">
        <v>6.1677369702631566</v>
      </c>
      <c r="AY599" s="75"/>
      <c r="AZ599" s="75"/>
      <c r="BA599" s="75">
        <v>0</v>
      </c>
      <c r="BB599">
        <v>3.8901052674367873E-2</v>
      </c>
      <c r="BD599">
        <v>0.19680448486361679</v>
      </c>
      <c r="BF599">
        <v>0.1073479008347001</v>
      </c>
      <c r="BG599">
        <v>0.1178527687689923</v>
      </c>
      <c r="BH599">
        <v>0</v>
      </c>
      <c r="CA599" t="e">
        <f t="shared" si="71"/>
        <v>#NUM!</v>
      </c>
    </row>
    <row r="600" spans="1:79" x14ac:dyDescent="0.3">
      <c r="A600" s="2" t="s">
        <v>414</v>
      </c>
      <c r="B600" s="13" t="s">
        <v>841</v>
      </c>
      <c r="C600" s="13"/>
      <c r="D600" s="2">
        <v>2.58</v>
      </c>
      <c r="E600" s="2" t="s">
        <v>412</v>
      </c>
      <c r="F600" s="9">
        <v>-1</v>
      </c>
      <c r="G600">
        <v>-1</v>
      </c>
      <c r="H600" s="69" t="s">
        <v>1244</v>
      </c>
      <c r="I600" s="2">
        <v>1</v>
      </c>
      <c r="J600" s="25">
        <v>0</v>
      </c>
      <c r="K600">
        <v>0</v>
      </c>
      <c r="L600">
        <v>0</v>
      </c>
      <c r="M600" s="2">
        <v>3.9119999999999999</v>
      </c>
      <c r="N600" s="2">
        <v>3.9119999999999999</v>
      </c>
      <c r="O600" s="2">
        <v>18.582000000000001</v>
      </c>
      <c r="P600" s="2" t="s">
        <v>439</v>
      </c>
      <c r="Q600" s="2"/>
      <c r="R600" s="25">
        <v>0</v>
      </c>
      <c r="S600" s="25"/>
      <c r="T600" s="25"/>
      <c r="U600">
        <v>0</v>
      </c>
      <c r="X600">
        <v>0</v>
      </c>
      <c r="AA600" s="2"/>
      <c r="AB600">
        <v>22</v>
      </c>
      <c r="AC600" s="55">
        <f t="shared" si="70"/>
        <v>284.37417100800002</v>
      </c>
      <c r="AD600" s="57">
        <v>0</v>
      </c>
      <c r="AE600" s="55">
        <v>0</v>
      </c>
      <c r="AF600" s="55">
        <v>0</v>
      </c>
      <c r="AG600" s="52">
        <f>I600*AB600/AC600</f>
        <v>7.7362862885958422E-2</v>
      </c>
      <c r="AH600" s="51"/>
      <c r="AI600" s="52"/>
      <c r="AJ600" s="52"/>
      <c r="AK600" s="28">
        <v>2</v>
      </c>
      <c r="AL600" s="28">
        <v>3.1578947368421049</v>
      </c>
      <c r="AM600" s="28">
        <v>2.4210526315789469</v>
      </c>
      <c r="AN600" s="28">
        <v>4.4210526315789478</v>
      </c>
      <c r="AO600" s="28">
        <v>0.16666666666666671</v>
      </c>
      <c r="AP600" s="28">
        <v>0.26315789473684209</v>
      </c>
      <c r="AQ600" s="28">
        <v>0.2017543859649123</v>
      </c>
      <c r="AR600" s="28">
        <v>0.36842105263157898</v>
      </c>
      <c r="AS600" s="25">
        <v>0.95</v>
      </c>
      <c r="AT600" s="25">
        <v>3.44</v>
      </c>
      <c r="AU600" s="25">
        <v>2.4900000000000002</v>
      </c>
      <c r="AV600" s="25">
        <v>2.8073684210526308</v>
      </c>
      <c r="AW600">
        <v>2.8073684210526308</v>
      </c>
      <c r="AX600">
        <v>6.2210650663157896</v>
      </c>
      <c r="AY600" s="75"/>
      <c r="AZ600" s="75"/>
      <c r="BA600" s="75">
        <v>0</v>
      </c>
      <c r="BB600">
        <v>3.8681431442979211E-2</v>
      </c>
      <c r="BF600">
        <v>7.7362862885958422E-2</v>
      </c>
      <c r="BG600">
        <v>3.8681431442979211E-2</v>
      </c>
      <c r="BH600">
        <v>0</v>
      </c>
      <c r="CA600" t="e">
        <f t="shared" si="71"/>
        <v>#NUM!</v>
      </c>
    </row>
    <row r="601" spans="1:79" x14ac:dyDescent="0.3">
      <c r="A601" s="2" t="s">
        <v>415</v>
      </c>
      <c r="B601" s="13" t="s">
        <v>842</v>
      </c>
      <c r="C601" s="13"/>
      <c r="D601" s="2">
        <v>2.57</v>
      </c>
      <c r="E601" s="2" t="s">
        <v>412</v>
      </c>
      <c r="F601" s="9">
        <v>-1</v>
      </c>
      <c r="G601">
        <v>-1</v>
      </c>
      <c r="H601" s="69" t="s">
        <v>1244</v>
      </c>
      <c r="I601" s="2">
        <v>1</v>
      </c>
      <c r="J601" s="25">
        <v>0</v>
      </c>
      <c r="K601">
        <v>0</v>
      </c>
      <c r="L601">
        <v>0</v>
      </c>
      <c r="M601" s="2">
        <v>3.9607600000000001</v>
      </c>
      <c r="N601" s="2">
        <v>3.9607600000000001</v>
      </c>
      <c r="O601" s="2">
        <v>18.789100000000001</v>
      </c>
      <c r="P601" s="2" t="s">
        <v>439</v>
      </c>
      <c r="Q601" s="2"/>
      <c r="R601" s="25">
        <v>0</v>
      </c>
      <c r="S601" s="25"/>
      <c r="T601" s="25"/>
      <c r="U601">
        <v>0</v>
      </c>
      <c r="X601">
        <v>0</v>
      </c>
      <c r="AA601" s="2"/>
      <c r="AB601">
        <v>22</v>
      </c>
      <c r="AC601" s="55">
        <f t="shared" si="70"/>
        <v>294.75625676330418</v>
      </c>
      <c r="AD601" s="57">
        <v>0</v>
      </c>
      <c r="AE601" s="55">
        <v>0</v>
      </c>
      <c r="AF601" s="55">
        <v>0</v>
      </c>
      <c r="AG601" s="52">
        <f>I601*AB601/AC601</f>
        <v>7.4637940655035831E-2</v>
      </c>
      <c r="AH601" s="51"/>
      <c r="AI601" s="52"/>
      <c r="AJ601" s="52"/>
      <c r="AK601" s="28">
        <v>2</v>
      </c>
      <c r="AL601" s="28">
        <v>3.052631578947369</v>
      </c>
      <c r="AM601" s="28">
        <v>1.8947368421052631</v>
      </c>
      <c r="AN601" s="28">
        <v>3.6842105263157889</v>
      </c>
      <c r="AO601" s="28">
        <v>0.18811881188118809</v>
      </c>
      <c r="AP601" s="28">
        <v>0.28712871287128722</v>
      </c>
      <c r="AQ601" s="28">
        <v>0.17821782178217821</v>
      </c>
      <c r="AR601" s="28">
        <v>0.34653465346534651</v>
      </c>
      <c r="AS601" s="25">
        <v>0.89</v>
      </c>
      <c r="AT601" s="25">
        <v>3.44</v>
      </c>
      <c r="AU601" s="25">
        <v>2.5499999999999998</v>
      </c>
      <c r="AV601" s="25">
        <v>2.7284210526315791</v>
      </c>
      <c r="AW601">
        <v>2.7284210526315791</v>
      </c>
      <c r="AX601">
        <v>6.1471768202631578</v>
      </c>
      <c r="AY601" s="75"/>
      <c r="AZ601" s="75"/>
      <c r="BA601" s="75">
        <v>0</v>
      </c>
      <c r="BB601">
        <v>3.7318970327517922E-2</v>
      </c>
      <c r="BF601">
        <v>7.4637940655035831E-2</v>
      </c>
      <c r="BG601">
        <v>3.7318970327517922E-2</v>
      </c>
      <c r="BH601">
        <v>0</v>
      </c>
      <c r="CA601" t="e">
        <f t="shared" si="71"/>
        <v>#NUM!</v>
      </c>
    </row>
    <row r="602" spans="1:79" x14ac:dyDescent="0.3">
      <c r="A602" s="2" t="s">
        <v>416</v>
      </c>
      <c r="B602" s="13" t="s">
        <v>843</v>
      </c>
      <c r="C602" s="13"/>
      <c r="D602" s="2">
        <v>2.6</v>
      </c>
      <c r="E602" s="2" t="s">
        <v>412</v>
      </c>
      <c r="F602" s="9">
        <v>-1</v>
      </c>
      <c r="G602">
        <v>-1</v>
      </c>
      <c r="H602" s="69" t="s">
        <v>1244</v>
      </c>
      <c r="I602" s="2">
        <v>1</v>
      </c>
      <c r="J602" s="25">
        <v>0</v>
      </c>
      <c r="K602">
        <v>0</v>
      </c>
      <c r="L602">
        <v>0</v>
      </c>
      <c r="M602" s="2">
        <v>3.9350499999999999</v>
      </c>
      <c r="N602" s="2">
        <v>3.9350499999999999</v>
      </c>
      <c r="O602" s="2">
        <v>18.790900000000001</v>
      </c>
      <c r="P602" s="2" t="s">
        <v>439</v>
      </c>
      <c r="Q602" s="2"/>
      <c r="R602" s="25">
        <v>0</v>
      </c>
      <c r="S602" s="25"/>
      <c r="T602" s="25"/>
      <c r="U602">
        <v>0</v>
      </c>
      <c r="X602">
        <v>0</v>
      </c>
      <c r="AA602" s="2"/>
      <c r="AB602">
        <v>22</v>
      </c>
      <c r="AC602" s="55">
        <f t="shared" si="70"/>
        <v>290.96991781862727</v>
      </c>
      <c r="AD602" s="57">
        <v>0</v>
      </c>
      <c r="AE602" s="55">
        <v>0</v>
      </c>
      <c r="AF602" s="55">
        <v>0</v>
      </c>
      <c r="AG602" s="52">
        <f t="shared" ref="AG602:AG627" si="72">I602*AB602/AC602</f>
        <v>7.5609190685180877E-2</v>
      </c>
      <c r="AH602" s="51"/>
      <c r="AI602" s="52"/>
      <c r="AJ602" s="52"/>
      <c r="AK602" s="28">
        <v>2</v>
      </c>
      <c r="AL602" s="28">
        <v>3.1578947368421049</v>
      </c>
      <c r="AM602" s="28">
        <v>2.4210526315789469</v>
      </c>
      <c r="AN602" s="28">
        <v>4.4210526315789478</v>
      </c>
      <c r="AO602" s="28">
        <v>0.16666666666666671</v>
      </c>
      <c r="AP602" s="28">
        <v>0.26315789473684209</v>
      </c>
      <c r="AQ602" s="28">
        <v>0.2017543859649123</v>
      </c>
      <c r="AR602" s="28">
        <v>0.36842105263157898</v>
      </c>
      <c r="AS602" s="25">
        <v>0.89</v>
      </c>
      <c r="AT602" s="25">
        <v>3.44</v>
      </c>
      <c r="AU602" s="25">
        <v>2.5499999999999998</v>
      </c>
      <c r="AV602" s="25">
        <v>2.804210526315789</v>
      </c>
      <c r="AW602">
        <v>2.804210526315789</v>
      </c>
      <c r="AX602">
        <v>6.2107849913157898</v>
      </c>
      <c r="AY602" s="75"/>
      <c r="AZ602" s="75"/>
      <c r="BA602" s="75">
        <v>0</v>
      </c>
      <c r="BB602">
        <v>3.7804595342590439E-2</v>
      </c>
      <c r="BF602">
        <v>7.5609190685180877E-2</v>
      </c>
      <c r="BG602">
        <v>3.7804595342590439E-2</v>
      </c>
      <c r="BH602">
        <v>0</v>
      </c>
      <c r="CA602" t="e">
        <f t="shared" si="71"/>
        <v>#NUM!</v>
      </c>
    </row>
    <row r="603" spans="1:79" x14ac:dyDescent="0.3">
      <c r="A603" s="2" t="s">
        <v>417</v>
      </c>
      <c r="B603" s="13" t="s">
        <v>844</v>
      </c>
      <c r="C603" s="13"/>
      <c r="D603" s="2">
        <v>2.57</v>
      </c>
      <c r="E603" s="2" t="s">
        <v>412</v>
      </c>
      <c r="F603" s="9">
        <v>-1</v>
      </c>
      <c r="G603">
        <v>-1</v>
      </c>
      <c r="H603" s="69" t="s">
        <v>1244</v>
      </c>
      <c r="I603" s="2">
        <v>1</v>
      </c>
      <c r="J603" s="25">
        <v>0</v>
      </c>
      <c r="K603">
        <v>0</v>
      </c>
      <c r="L603">
        <v>0</v>
      </c>
      <c r="M603" s="2">
        <v>3.8856000000000002</v>
      </c>
      <c r="N603" s="2">
        <v>3.8856000000000002</v>
      </c>
      <c r="O603" s="2">
        <v>18.356999999999999</v>
      </c>
      <c r="P603" s="2" t="s">
        <v>439</v>
      </c>
      <c r="Q603" s="2"/>
      <c r="R603" s="25">
        <v>0</v>
      </c>
      <c r="S603" s="25"/>
      <c r="T603" s="25"/>
      <c r="U603">
        <v>0</v>
      </c>
      <c r="X603">
        <v>0</v>
      </c>
      <c r="AA603" s="2"/>
      <c r="AB603">
        <v>22</v>
      </c>
      <c r="AC603" s="55">
        <f t="shared" si="70"/>
        <v>277.15191826751999</v>
      </c>
      <c r="AD603" s="57">
        <v>0</v>
      </c>
      <c r="AE603" s="55">
        <v>0</v>
      </c>
      <c r="AF603" s="55">
        <v>0</v>
      </c>
      <c r="AG603" s="52">
        <f t="shared" si="72"/>
        <v>7.9378848025019155E-2</v>
      </c>
      <c r="AH603" s="51"/>
      <c r="AI603" s="52"/>
      <c r="AJ603" s="52"/>
      <c r="AK603" s="28">
        <v>2</v>
      </c>
      <c r="AL603" s="28">
        <v>3.2105263157894739</v>
      </c>
      <c r="AM603" s="28">
        <v>2.3684210526315792</v>
      </c>
      <c r="AN603" s="28">
        <v>3.6842105263157889</v>
      </c>
      <c r="AO603" s="28">
        <v>0.17757009345794389</v>
      </c>
      <c r="AP603" s="28">
        <v>0.28504672897196259</v>
      </c>
      <c r="AQ603" s="28">
        <v>0.2102803738317757</v>
      </c>
      <c r="AR603" s="28">
        <v>0.32710280373831768</v>
      </c>
      <c r="AS603" s="25">
        <v>0.95</v>
      </c>
      <c r="AT603" s="25">
        <v>3.44</v>
      </c>
      <c r="AU603" s="25">
        <v>2.4900000000000002</v>
      </c>
      <c r="AV603" s="25">
        <v>2.7931578947368418</v>
      </c>
      <c r="AW603">
        <v>2.7931578947368418</v>
      </c>
      <c r="AX603">
        <v>6.207524303947368</v>
      </c>
      <c r="AY603" s="75"/>
      <c r="AZ603" s="75"/>
      <c r="BA603" s="75">
        <v>0</v>
      </c>
      <c r="BB603">
        <v>3.9689424012509578E-2</v>
      </c>
      <c r="BF603">
        <v>7.9378848025019155E-2</v>
      </c>
      <c r="BG603">
        <v>3.9689424012509578E-2</v>
      </c>
      <c r="BH603">
        <v>0</v>
      </c>
      <c r="CA603" t="e">
        <f t="shared" si="71"/>
        <v>#NUM!</v>
      </c>
    </row>
    <row r="604" spans="1:79" x14ac:dyDescent="0.3">
      <c r="A604" s="2" t="s">
        <v>418</v>
      </c>
      <c r="B604" s="13" t="s">
        <v>845</v>
      </c>
      <c r="C604" s="13"/>
      <c r="D604" s="2">
        <v>2.5</v>
      </c>
      <c r="E604" s="2" t="s">
        <v>412</v>
      </c>
      <c r="F604" s="9">
        <v>-1</v>
      </c>
      <c r="G604">
        <v>-1</v>
      </c>
      <c r="H604" s="69" t="s">
        <v>1244</v>
      </c>
      <c r="I604" s="2">
        <v>1</v>
      </c>
      <c r="J604" s="25">
        <v>0</v>
      </c>
      <c r="K604">
        <v>0</v>
      </c>
      <c r="L604">
        <v>0</v>
      </c>
      <c r="M604" s="2">
        <v>3.9121999999999999</v>
      </c>
      <c r="N604" s="2">
        <v>3.9121999999999999</v>
      </c>
      <c r="O604" s="2">
        <v>18.724299999999999</v>
      </c>
      <c r="P604" s="2" t="s">
        <v>439</v>
      </c>
      <c r="Q604" s="2"/>
      <c r="R604" s="25">
        <v>0</v>
      </c>
      <c r="S604" s="25"/>
      <c r="T604" s="25"/>
      <c r="U604">
        <v>0</v>
      </c>
      <c r="X604">
        <v>0</v>
      </c>
      <c r="AA604" s="2"/>
      <c r="AB604">
        <v>22</v>
      </c>
      <c r="AC604" s="55">
        <f t="shared" si="70"/>
        <v>286.58119431281199</v>
      </c>
      <c r="AD604" s="57">
        <v>0</v>
      </c>
      <c r="AE604" s="55">
        <v>0</v>
      </c>
      <c r="AF604" s="55">
        <v>0</v>
      </c>
      <c r="AG604" s="52">
        <f t="shared" si="72"/>
        <v>7.6767074869491747E-2</v>
      </c>
      <c r="AH604" s="51"/>
      <c r="AI604" s="52"/>
      <c r="AJ604" s="52"/>
      <c r="AK604" s="28">
        <v>2</v>
      </c>
      <c r="AL604" s="28">
        <v>3.2105263157894739</v>
      </c>
      <c r="AM604" s="28">
        <v>2.3684210526315792</v>
      </c>
      <c r="AN604" s="28">
        <v>3.6842105263157889</v>
      </c>
      <c r="AO604" s="28">
        <v>0.17757009345794389</v>
      </c>
      <c r="AP604" s="28">
        <v>0.28504672897196259</v>
      </c>
      <c r="AQ604" s="28">
        <v>0.2102803738317757</v>
      </c>
      <c r="AR604" s="28">
        <v>0.32710280373831768</v>
      </c>
      <c r="AS604" s="25">
        <v>0.89</v>
      </c>
      <c r="AT604" s="25">
        <v>3.44</v>
      </c>
      <c r="AU604" s="25">
        <v>2.5499999999999998</v>
      </c>
      <c r="AV604" s="25">
        <v>2.79</v>
      </c>
      <c r="AW604">
        <v>2.79</v>
      </c>
      <c r="AX604">
        <v>6.1972442289473681</v>
      </c>
      <c r="AY604" s="75"/>
      <c r="AZ604" s="75"/>
      <c r="BA604" s="75">
        <v>0</v>
      </c>
      <c r="BB604">
        <v>3.8383537434745867E-2</v>
      </c>
      <c r="BF604">
        <v>7.6767074869491747E-2</v>
      </c>
      <c r="BG604">
        <v>3.8383537434745867E-2</v>
      </c>
      <c r="BH604">
        <v>0</v>
      </c>
      <c r="CA604" t="e">
        <f t="shared" si="71"/>
        <v>#NUM!</v>
      </c>
    </row>
    <row r="605" spans="1:79" x14ac:dyDescent="0.3">
      <c r="A605" s="2" t="s">
        <v>419</v>
      </c>
      <c r="B605" s="13" t="s">
        <v>846</v>
      </c>
      <c r="C605" s="13"/>
      <c r="D605" s="2">
        <v>2.6</v>
      </c>
      <c r="E605" s="2" t="s">
        <v>412</v>
      </c>
      <c r="F605" s="9">
        <v>-1</v>
      </c>
      <c r="G605">
        <v>-1</v>
      </c>
      <c r="H605" s="69" t="s">
        <v>1244</v>
      </c>
      <c r="I605" s="2">
        <v>1</v>
      </c>
      <c r="J605" s="25">
        <v>0</v>
      </c>
      <c r="K605">
        <v>0</v>
      </c>
      <c r="L605">
        <v>0</v>
      </c>
      <c r="M605" s="2">
        <v>3.8752</v>
      </c>
      <c r="N605" s="2">
        <v>3.8752</v>
      </c>
      <c r="O605" s="2">
        <v>18.687000000000001</v>
      </c>
      <c r="P605" s="2" t="s">
        <v>439</v>
      </c>
      <c r="Q605" s="2"/>
      <c r="R605" s="25">
        <v>0</v>
      </c>
      <c r="S605" s="25"/>
      <c r="T605" s="25"/>
      <c r="U605">
        <v>0</v>
      </c>
      <c r="X605">
        <v>0</v>
      </c>
      <c r="AA605" s="2"/>
      <c r="AB605">
        <v>22</v>
      </c>
      <c r="AC605" s="55">
        <f t="shared" si="70"/>
        <v>280.62594997247999</v>
      </c>
      <c r="AD605" s="57">
        <v>0</v>
      </c>
      <c r="AE605" s="55">
        <v>0</v>
      </c>
      <c r="AF605" s="55">
        <v>0</v>
      </c>
      <c r="AG605" s="52">
        <f t="shared" si="72"/>
        <v>7.8396171138690005E-2</v>
      </c>
      <c r="AH605" s="51"/>
      <c r="AI605" s="52"/>
      <c r="AJ605" s="52"/>
      <c r="AK605" s="28">
        <v>2</v>
      </c>
      <c r="AL605" s="28">
        <v>3.3157894736842111</v>
      </c>
      <c r="AM605" s="28">
        <v>2.8947368421052628</v>
      </c>
      <c r="AN605" s="28">
        <v>4.4210526315789478</v>
      </c>
      <c r="AO605" s="28">
        <v>0.1583333333333333</v>
      </c>
      <c r="AP605" s="28">
        <v>0.26250000000000001</v>
      </c>
      <c r="AQ605" s="28">
        <v>0.22916666666666671</v>
      </c>
      <c r="AR605" s="28">
        <v>0.35</v>
      </c>
      <c r="AS605" s="25">
        <v>1.5</v>
      </c>
      <c r="AT605" s="25">
        <v>3.44</v>
      </c>
      <c r="AU605" s="25">
        <v>1.94</v>
      </c>
      <c r="AV605" s="25">
        <v>2.86578947368421</v>
      </c>
      <c r="AW605">
        <v>2.8657894736842109</v>
      </c>
      <c r="AX605">
        <v>6.2608524000000001</v>
      </c>
      <c r="AY605" s="75"/>
      <c r="AZ605" s="75"/>
      <c r="BA605" s="75">
        <v>0</v>
      </c>
      <c r="BB605">
        <v>3.9198085569345002E-2</v>
      </c>
      <c r="BF605">
        <v>7.8396171138690005E-2</v>
      </c>
      <c r="BG605">
        <v>3.9198085569345002E-2</v>
      </c>
      <c r="BH605">
        <v>0</v>
      </c>
      <c r="CA605" t="e">
        <f t="shared" si="71"/>
        <v>#NUM!</v>
      </c>
    </row>
    <row r="606" spans="1:79" x14ac:dyDescent="0.3">
      <c r="A606" s="2" t="s">
        <v>426</v>
      </c>
      <c r="B606" s="13" t="s">
        <v>847</v>
      </c>
      <c r="C606" s="13"/>
      <c r="D606" s="2">
        <v>2.82</v>
      </c>
      <c r="E606" s="2" t="s">
        <v>412</v>
      </c>
      <c r="F606" s="9">
        <v>-1</v>
      </c>
      <c r="G606">
        <v>-1</v>
      </c>
      <c r="H606" s="69" t="s">
        <v>1244</v>
      </c>
      <c r="I606" s="2">
        <v>1</v>
      </c>
      <c r="J606" s="25">
        <v>0</v>
      </c>
      <c r="K606">
        <v>0</v>
      </c>
      <c r="L606">
        <v>0</v>
      </c>
      <c r="M606" s="2">
        <v>3.9108999999999998</v>
      </c>
      <c r="N606" s="2">
        <v>3.9108999999999998</v>
      </c>
      <c r="O606" s="2">
        <v>18.454999999999998</v>
      </c>
      <c r="P606" s="2" t="s">
        <v>439</v>
      </c>
      <c r="Q606" s="2"/>
      <c r="R606" s="25">
        <v>0</v>
      </c>
      <c r="S606" s="25"/>
      <c r="T606" s="25"/>
      <c r="U606">
        <v>0</v>
      </c>
      <c r="X606">
        <v>0</v>
      </c>
      <c r="AA606" s="2"/>
      <c r="AB606">
        <v>22</v>
      </c>
      <c r="AC606" s="55">
        <f t="shared" si="70"/>
        <v>282.27178673854996</v>
      </c>
      <c r="AD606" s="57">
        <v>0</v>
      </c>
      <c r="AE606" s="55">
        <v>0</v>
      </c>
      <c r="AF606" s="55">
        <v>0</v>
      </c>
      <c r="AG606" s="52">
        <f t="shared" si="72"/>
        <v>7.7939068066966155E-2</v>
      </c>
      <c r="AH606" s="51"/>
      <c r="AI606" s="52"/>
      <c r="AJ606" s="52"/>
      <c r="AK606" s="28">
        <v>1.8947368421052631</v>
      </c>
      <c r="AL606" s="28">
        <v>3.052631578947369</v>
      </c>
      <c r="AM606" s="28">
        <v>2</v>
      </c>
      <c r="AN606" s="28">
        <v>2.2105263157894739</v>
      </c>
      <c r="AO606" s="28">
        <v>0.2068965517241379</v>
      </c>
      <c r="AP606" s="28">
        <v>0.33333333333333343</v>
      </c>
      <c r="AQ606" s="28">
        <v>0.21839080459770119</v>
      </c>
      <c r="AR606" s="28">
        <v>0.2413793103448276</v>
      </c>
      <c r="AS606" s="25">
        <v>0.95</v>
      </c>
      <c r="AT606" s="25">
        <v>3.44</v>
      </c>
      <c r="AU606" s="25">
        <v>2.4900000000000002</v>
      </c>
      <c r="AV606" s="25">
        <v>2.7452631578947368</v>
      </c>
      <c r="AW606">
        <v>2.7452631578947368</v>
      </c>
      <c r="AX606">
        <v>6.1573983386842102</v>
      </c>
      <c r="AY606" s="75"/>
      <c r="AZ606" s="75"/>
      <c r="BA606" s="75">
        <v>0</v>
      </c>
      <c r="BB606">
        <v>3.8969534033483078E-2</v>
      </c>
      <c r="BF606">
        <v>7.7939068066966155E-2</v>
      </c>
      <c r="BG606">
        <v>3.8969534033483078E-2</v>
      </c>
      <c r="BH606">
        <v>0</v>
      </c>
      <c r="CA606" t="e">
        <f t="shared" si="71"/>
        <v>#NUM!</v>
      </c>
    </row>
    <row r="607" spans="1:79" x14ac:dyDescent="0.3">
      <c r="A607" s="2" t="s">
        <v>420</v>
      </c>
      <c r="B607" s="13" t="s">
        <v>848</v>
      </c>
      <c r="C607" s="13"/>
      <c r="D607" s="2">
        <v>2.59</v>
      </c>
      <c r="E607" s="2" t="s">
        <v>412</v>
      </c>
      <c r="F607" s="9">
        <v>-1</v>
      </c>
      <c r="G607">
        <v>-1</v>
      </c>
      <c r="H607" s="69" t="s">
        <v>1244</v>
      </c>
      <c r="I607" s="2">
        <v>1</v>
      </c>
      <c r="J607" s="25">
        <v>0</v>
      </c>
      <c r="K607">
        <v>0</v>
      </c>
      <c r="L607">
        <v>0</v>
      </c>
      <c r="M607" s="2">
        <v>3.91</v>
      </c>
      <c r="N607" s="2">
        <v>3.91</v>
      </c>
      <c r="O607" s="2">
        <v>18.651</v>
      </c>
      <c r="P607" s="2" t="s">
        <v>439</v>
      </c>
      <c r="Q607" s="2"/>
      <c r="R607" s="25">
        <v>0</v>
      </c>
      <c r="S607" s="25"/>
      <c r="T607" s="25"/>
      <c r="U607">
        <v>0</v>
      </c>
      <c r="X607">
        <v>0</v>
      </c>
      <c r="AA607" s="2"/>
      <c r="AB607">
        <v>22</v>
      </c>
      <c r="AC607" s="55">
        <f t="shared" si="70"/>
        <v>285.13835310000002</v>
      </c>
      <c r="AD607" s="57">
        <v>0</v>
      </c>
      <c r="AE607" s="55">
        <v>0</v>
      </c>
      <c r="AF607" s="55">
        <v>0</v>
      </c>
      <c r="AG607" s="52">
        <f t="shared" si="72"/>
        <v>7.7155527345998398E-2</v>
      </c>
      <c r="AH607" s="51"/>
      <c r="AI607" s="52"/>
      <c r="AJ607" s="52"/>
      <c r="AK607" s="28">
        <v>1.8947368421052631</v>
      </c>
      <c r="AL607" s="28">
        <v>3.1578947368421049</v>
      </c>
      <c r="AM607" s="28">
        <v>2.5263157894736841</v>
      </c>
      <c r="AN607" s="28">
        <v>2.947368421052631</v>
      </c>
      <c r="AO607" s="28">
        <v>0.18</v>
      </c>
      <c r="AP607" s="28">
        <v>0.3</v>
      </c>
      <c r="AQ607" s="28">
        <v>0.24</v>
      </c>
      <c r="AR607" s="28">
        <v>0.28000000000000003</v>
      </c>
      <c r="AS607" s="25">
        <v>0.95</v>
      </c>
      <c r="AT607" s="25">
        <v>3.44</v>
      </c>
      <c r="AU607" s="25">
        <v>2.4900000000000002</v>
      </c>
      <c r="AV607" s="25">
        <v>2.817894736842105</v>
      </c>
      <c r="AW607">
        <v>2.817894736842105</v>
      </c>
      <c r="AX607">
        <v>6.2107264347368423</v>
      </c>
      <c r="AY607" s="75"/>
      <c r="AZ607" s="75"/>
      <c r="BA607" s="75">
        <v>0</v>
      </c>
      <c r="BB607">
        <v>3.8577763672999199E-2</v>
      </c>
      <c r="BF607">
        <v>7.7155527345998398E-2</v>
      </c>
      <c r="BG607">
        <v>3.8577763672999199E-2</v>
      </c>
      <c r="BH607">
        <v>0</v>
      </c>
      <c r="CA607" t="e">
        <f t="shared" si="71"/>
        <v>#NUM!</v>
      </c>
    </row>
    <row r="608" spans="1:79" x14ac:dyDescent="0.3">
      <c r="A608" s="2" t="s">
        <v>421</v>
      </c>
      <c r="B608" s="13" t="s">
        <v>849</v>
      </c>
      <c r="C608" s="13"/>
      <c r="D608" s="2">
        <v>2.66</v>
      </c>
      <c r="E608" s="2" t="s">
        <v>412</v>
      </c>
      <c r="F608" s="9">
        <v>-1</v>
      </c>
      <c r="G608">
        <v>-1</v>
      </c>
      <c r="H608" s="69" t="s">
        <v>1244</v>
      </c>
      <c r="I608" s="2">
        <v>1</v>
      </c>
      <c r="J608" s="25">
        <v>0</v>
      </c>
      <c r="K608">
        <v>0</v>
      </c>
      <c r="L608">
        <v>0</v>
      </c>
      <c r="M608" s="2">
        <v>3.9683000000000002</v>
      </c>
      <c r="N608" s="2">
        <v>3.9683000000000002</v>
      </c>
      <c r="O608" s="2">
        <v>18.798999999999999</v>
      </c>
      <c r="P608" s="2" t="s">
        <v>439</v>
      </c>
      <c r="Q608" s="2"/>
      <c r="R608" s="25">
        <v>0</v>
      </c>
      <c r="S608" s="25"/>
      <c r="T608" s="25"/>
      <c r="U608">
        <v>0</v>
      </c>
      <c r="X608">
        <v>0</v>
      </c>
      <c r="AA608" s="2"/>
      <c r="AB608">
        <v>22</v>
      </c>
      <c r="AC608" s="55">
        <f t="shared" si="70"/>
        <v>296.03546452711004</v>
      </c>
      <c r="AD608" s="57">
        <v>0</v>
      </c>
      <c r="AE608" s="55">
        <v>0</v>
      </c>
      <c r="AF608" s="55">
        <v>0</v>
      </c>
      <c r="AG608" s="52">
        <f t="shared" si="72"/>
        <v>7.4315420401211113E-2</v>
      </c>
      <c r="AH608" s="51"/>
      <c r="AI608" s="52"/>
      <c r="AJ608" s="52"/>
      <c r="AK608" s="28">
        <v>1.8947368421052631</v>
      </c>
      <c r="AL608" s="28">
        <v>3.052631578947369</v>
      </c>
      <c r="AM608" s="28">
        <v>2</v>
      </c>
      <c r="AN608" s="28">
        <v>2.2105263157894739</v>
      </c>
      <c r="AO608" s="28">
        <v>0.2068965517241379</v>
      </c>
      <c r="AP608" s="28">
        <v>0.33333333333333343</v>
      </c>
      <c r="AQ608" s="28">
        <v>0.21839080459770119</v>
      </c>
      <c r="AR608" s="28">
        <v>0.2413793103448276</v>
      </c>
      <c r="AS608" s="25">
        <v>0.89</v>
      </c>
      <c r="AT608" s="25">
        <v>3.44</v>
      </c>
      <c r="AU608" s="25">
        <v>2.5499999999999998</v>
      </c>
      <c r="AV608" s="25">
        <v>2.7389473684210519</v>
      </c>
      <c r="AW608">
        <v>2.7389473684210519</v>
      </c>
      <c r="AX608">
        <v>6.1368381886842096</v>
      </c>
      <c r="AY608" s="75"/>
      <c r="AZ608" s="75"/>
      <c r="BA608" s="75">
        <v>0</v>
      </c>
      <c r="BB608">
        <v>3.7157710200605563E-2</v>
      </c>
      <c r="BF608">
        <v>7.4315420401211113E-2</v>
      </c>
      <c r="BG608">
        <v>3.7157710200605563E-2</v>
      </c>
      <c r="BH608">
        <v>0</v>
      </c>
      <c r="CA608" t="e">
        <f t="shared" si="71"/>
        <v>#NUM!</v>
      </c>
    </row>
    <row r="609" spans="1:79" x14ac:dyDescent="0.3">
      <c r="A609" s="2" t="s">
        <v>422</v>
      </c>
      <c r="B609" s="13" t="s">
        <v>850</v>
      </c>
      <c r="C609" s="13"/>
      <c r="D609" s="2">
        <v>2.56</v>
      </c>
      <c r="E609" s="2" t="s">
        <v>412</v>
      </c>
      <c r="F609" s="9">
        <v>-1</v>
      </c>
      <c r="G609">
        <v>-1</v>
      </c>
      <c r="H609" s="69" t="s">
        <v>1244</v>
      </c>
      <c r="I609" s="2">
        <v>1</v>
      </c>
      <c r="J609" s="25">
        <v>0</v>
      </c>
      <c r="K609">
        <v>0</v>
      </c>
      <c r="L609">
        <v>0</v>
      </c>
      <c r="M609" s="2">
        <v>3.9487999999999999</v>
      </c>
      <c r="N609" s="2">
        <v>3.9487999999999999</v>
      </c>
      <c r="O609" s="2">
        <v>18.829999999999998</v>
      </c>
      <c r="P609" s="2" t="s">
        <v>439</v>
      </c>
      <c r="Q609" s="2"/>
      <c r="R609" s="25">
        <v>0</v>
      </c>
      <c r="S609" s="25"/>
      <c r="T609" s="25"/>
      <c r="U609">
        <v>0</v>
      </c>
      <c r="X609">
        <v>0</v>
      </c>
      <c r="AA609" s="2"/>
      <c r="AB609">
        <v>22</v>
      </c>
      <c r="AC609" s="55">
        <f t="shared" si="70"/>
        <v>293.61659371519994</v>
      </c>
      <c r="AD609" s="57">
        <v>0</v>
      </c>
      <c r="AE609" s="55">
        <v>0</v>
      </c>
      <c r="AF609" s="55">
        <v>0</v>
      </c>
      <c r="AG609" s="52">
        <f t="shared" si="72"/>
        <v>7.4927645340574306E-2</v>
      </c>
      <c r="AH609" s="51"/>
      <c r="AI609" s="52"/>
      <c r="AJ609" s="52"/>
      <c r="AK609" s="28">
        <v>1.8947368421052631</v>
      </c>
      <c r="AL609" s="28">
        <v>3.1578947368421049</v>
      </c>
      <c r="AM609" s="28">
        <v>2.5263157894736841</v>
      </c>
      <c r="AN609" s="28">
        <v>2.947368421052631</v>
      </c>
      <c r="AO609" s="28">
        <v>0.18</v>
      </c>
      <c r="AP609" s="28">
        <v>0.3</v>
      </c>
      <c r="AQ609" s="28">
        <v>0.24</v>
      </c>
      <c r="AR609" s="28">
        <v>0.28000000000000003</v>
      </c>
      <c r="AS609" s="25">
        <v>0.89</v>
      </c>
      <c r="AT609" s="25">
        <v>3.44</v>
      </c>
      <c r="AU609" s="25">
        <v>2.5499999999999998</v>
      </c>
      <c r="AV609" s="25">
        <v>2.8147368421052632</v>
      </c>
      <c r="AW609">
        <v>2.8147368421052632</v>
      </c>
      <c r="AX609">
        <v>6.2004463597368424</v>
      </c>
      <c r="AY609" s="75"/>
      <c r="AZ609" s="75"/>
      <c r="BA609" s="75">
        <v>0</v>
      </c>
      <c r="BB609">
        <v>3.7463822670287153E-2</v>
      </c>
      <c r="BF609">
        <v>7.4927645340574306E-2</v>
      </c>
      <c r="BG609">
        <v>3.7463822670287153E-2</v>
      </c>
      <c r="BH609">
        <v>0</v>
      </c>
      <c r="CA609" t="e">
        <f t="shared" si="71"/>
        <v>#NUM!</v>
      </c>
    </row>
    <row r="610" spans="1:79" x14ac:dyDescent="0.3">
      <c r="A610" s="2" t="s">
        <v>423</v>
      </c>
      <c r="B610" s="13" t="s">
        <v>851</v>
      </c>
      <c r="C610" s="13"/>
      <c r="D610" s="2">
        <v>2.5099999999999998</v>
      </c>
      <c r="E610" s="2" t="s">
        <v>412</v>
      </c>
      <c r="F610" s="9">
        <v>-1</v>
      </c>
      <c r="G610">
        <v>-1</v>
      </c>
      <c r="H610" s="69" t="s">
        <v>1244</v>
      </c>
      <c r="I610" s="2">
        <v>1</v>
      </c>
      <c r="J610" s="25">
        <v>0</v>
      </c>
      <c r="K610">
        <v>0</v>
      </c>
      <c r="L610">
        <v>0</v>
      </c>
      <c r="M610" s="2">
        <v>3.8788399999999998</v>
      </c>
      <c r="N610" s="2">
        <v>3.8788399999999998</v>
      </c>
      <c r="O610" s="2">
        <v>18.3658</v>
      </c>
      <c r="P610" s="2" t="s">
        <v>439</v>
      </c>
      <c r="Q610" s="2"/>
      <c r="R610" s="25">
        <v>0</v>
      </c>
      <c r="S610" s="25"/>
      <c r="T610" s="25"/>
      <c r="U610">
        <v>0</v>
      </c>
      <c r="X610">
        <v>0</v>
      </c>
      <c r="AA610" s="2"/>
      <c r="AB610">
        <v>22</v>
      </c>
      <c r="AC610" s="55">
        <f t="shared" si="70"/>
        <v>276.32080264774049</v>
      </c>
      <c r="AD610" s="57">
        <v>0</v>
      </c>
      <c r="AE610" s="55">
        <v>0</v>
      </c>
      <c r="AF610" s="55">
        <v>0</v>
      </c>
      <c r="AG610" s="52">
        <f t="shared" si="72"/>
        <v>7.9617603123591299E-2</v>
      </c>
      <c r="AH610" s="51"/>
      <c r="AI610" s="52"/>
      <c r="AJ610" s="52"/>
      <c r="AK610" s="28">
        <v>1.9473684210526321</v>
      </c>
      <c r="AL610" s="28">
        <v>3.2105263157894739</v>
      </c>
      <c r="AM610" s="28">
        <v>2.4210526315789469</v>
      </c>
      <c r="AN610" s="28">
        <v>2.947368421052631</v>
      </c>
      <c r="AO610" s="28">
        <v>0.185</v>
      </c>
      <c r="AP610" s="28">
        <v>0.30499999999999999</v>
      </c>
      <c r="AQ610" s="28">
        <v>0.23</v>
      </c>
      <c r="AR610" s="28">
        <v>0.28000000000000003</v>
      </c>
      <c r="AS610" s="25">
        <v>0.95</v>
      </c>
      <c r="AT610" s="25">
        <v>3.44</v>
      </c>
      <c r="AU610" s="25">
        <v>2.4900000000000002</v>
      </c>
      <c r="AV610" s="25">
        <v>2.798421052631578</v>
      </c>
      <c r="AW610">
        <v>2.7984210526315789</v>
      </c>
      <c r="AX610">
        <v>6.2023549881578939</v>
      </c>
      <c r="AY610" s="75"/>
      <c r="AZ610" s="75"/>
      <c r="BA610" s="75">
        <v>0</v>
      </c>
      <c r="BB610">
        <v>3.9808801561795649E-2</v>
      </c>
      <c r="BF610">
        <v>7.9617603123591299E-2</v>
      </c>
      <c r="BG610">
        <v>3.9808801561795649E-2</v>
      </c>
      <c r="BH610">
        <v>0</v>
      </c>
      <c r="CA610" t="e">
        <f t="shared" si="71"/>
        <v>#NUM!</v>
      </c>
    </row>
    <row r="611" spans="1:79" x14ac:dyDescent="0.3">
      <c r="A611" s="2" t="s">
        <v>424</v>
      </c>
      <c r="B611" s="13" t="s">
        <v>852</v>
      </c>
      <c r="C611" s="13"/>
      <c r="D611" s="2">
        <v>2.48</v>
      </c>
      <c r="E611" s="2" t="s">
        <v>412</v>
      </c>
      <c r="F611" s="9">
        <v>-1</v>
      </c>
      <c r="G611">
        <v>-1</v>
      </c>
      <c r="H611" s="69" t="s">
        <v>1244</v>
      </c>
      <c r="I611" s="2">
        <v>1</v>
      </c>
      <c r="J611" s="25">
        <v>0</v>
      </c>
      <c r="K611">
        <v>0</v>
      </c>
      <c r="L611">
        <v>0</v>
      </c>
      <c r="M611" s="2">
        <v>3.9116</v>
      </c>
      <c r="N611" s="2">
        <v>3.9116</v>
      </c>
      <c r="O611" s="2">
        <v>18.6922</v>
      </c>
      <c r="P611" s="2" t="s">
        <v>439</v>
      </c>
      <c r="Q611" s="2"/>
      <c r="R611" s="25">
        <v>0</v>
      </c>
      <c r="S611" s="25"/>
      <c r="T611" s="25"/>
      <c r="U611">
        <v>0</v>
      </c>
      <c r="X611">
        <v>0</v>
      </c>
      <c r="AA611" s="2"/>
      <c r="AB611">
        <v>22</v>
      </c>
      <c r="AC611" s="55">
        <f t="shared" si="70"/>
        <v>286.00214747843199</v>
      </c>
      <c r="AD611" s="57">
        <v>0</v>
      </c>
      <c r="AE611" s="55">
        <v>0</v>
      </c>
      <c r="AF611" s="55">
        <v>0</v>
      </c>
      <c r="AG611" s="52">
        <f t="shared" si="72"/>
        <v>7.6922499337733347E-2</v>
      </c>
      <c r="AH611" s="51"/>
      <c r="AI611" s="52"/>
      <c r="AJ611" s="52"/>
      <c r="AK611" s="28">
        <v>1.9473684210526321</v>
      </c>
      <c r="AL611" s="28">
        <v>3.2105263157894739</v>
      </c>
      <c r="AM611" s="28">
        <v>2.4210526315789469</v>
      </c>
      <c r="AN611" s="28">
        <v>2.947368421052631</v>
      </c>
      <c r="AO611" s="28">
        <v>0.185</v>
      </c>
      <c r="AP611" s="28">
        <v>0.30499999999999999</v>
      </c>
      <c r="AQ611" s="28">
        <v>0.23</v>
      </c>
      <c r="AR611" s="28">
        <v>0.28000000000000003</v>
      </c>
      <c r="AS611" s="25">
        <v>0.89</v>
      </c>
      <c r="AT611" s="25">
        <v>3.44</v>
      </c>
      <c r="AU611" s="25">
        <v>2.5499999999999998</v>
      </c>
      <c r="AV611" s="25">
        <v>2.7952631578947358</v>
      </c>
      <c r="AW611">
        <v>2.7952631578947371</v>
      </c>
      <c r="AX611">
        <v>6.1920749131578949</v>
      </c>
      <c r="AY611" s="75"/>
      <c r="AZ611" s="75"/>
      <c r="BA611" s="75">
        <v>0</v>
      </c>
      <c r="BB611">
        <v>3.8461249668866673E-2</v>
      </c>
      <c r="BF611">
        <v>7.6922499337733347E-2</v>
      </c>
      <c r="BG611">
        <v>3.8461249668866673E-2</v>
      </c>
      <c r="BH611">
        <v>0</v>
      </c>
      <c r="CA611" t="e">
        <f t="shared" si="71"/>
        <v>#NUM!</v>
      </c>
    </row>
    <row r="612" spans="1:79" x14ac:dyDescent="0.3">
      <c r="A612" s="2" t="s">
        <v>425</v>
      </c>
      <c r="B612" s="13" t="s">
        <v>853</v>
      </c>
      <c r="C612" s="13"/>
      <c r="D612" s="2">
        <v>2.5299999999999998</v>
      </c>
      <c r="E612" s="2" t="s">
        <v>412</v>
      </c>
      <c r="F612" s="9">
        <v>-1</v>
      </c>
      <c r="G612">
        <v>-1</v>
      </c>
      <c r="H612" s="69" t="s">
        <v>1244</v>
      </c>
      <c r="I612" s="2">
        <v>1</v>
      </c>
      <c r="J612" s="25">
        <v>0</v>
      </c>
      <c r="K612">
        <v>0</v>
      </c>
      <c r="L612">
        <v>0</v>
      </c>
      <c r="M612" s="2">
        <v>3.8759000000000001</v>
      </c>
      <c r="N612" s="2">
        <v>3.8759000000000001</v>
      </c>
      <c r="O612" s="2">
        <v>18.463000000000001</v>
      </c>
      <c r="P612" s="2" t="s">
        <v>439</v>
      </c>
      <c r="Q612" s="2"/>
      <c r="R612" s="25">
        <v>0</v>
      </c>
      <c r="S612" s="25"/>
      <c r="T612" s="25"/>
      <c r="U612">
        <v>0</v>
      </c>
      <c r="X612">
        <v>0</v>
      </c>
      <c r="AA612" s="2"/>
      <c r="AB612">
        <v>22</v>
      </c>
      <c r="AC612" s="55">
        <f t="shared" si="70"/>
        <v>277.36227875502999</v>
      </c>
      <c r="AD612" s="57">
        <v>0</v>
      </c>
      <c r="AE612" s="55">
        <v>0</v>
      </c>
      <c r="AF612" s="55">
        <v>0</v>
      </c>
      <c r="AG612" s="52">
        <f t="shared" si="72"/>
        <v>7.9318644549465536E-2</v>
      </c>
      <c r="AH612" s="51"/>
      <c r="AI612" s="52"/>
      <c r="AJ612" s="52"/>
      <c r="AK612" s="28">
        <v>1.9473684210526321</v>
      </c>
      <c r="AL612" s="28">
        <v>3.3157894736842111</v>
      </c>
      <c r="AM612" s="28">
        <v>2.947368421052631</v>
      </c>
      <c r="AN612" s="28">
        <v>3.6842105263157889</v>
      </c>
      <c r="AO612" s="28">
        <v>0.16371681415929201</v>
      </c>
      <c r="AP612" s="28">
        <v>0.27876106194690259</v>
      </c>
      <c r="AQ612" s="28">
        <v>0.247787610619469</v>
      </c>
      <c r="AR612" s="28">
        <v>0.30973451327433632</v>
      </c>
      <c r="AS612" s="25">
        <v>1.54</v>
      </c>
      <c r="AT612" s="25">
        <v>3.44</v>
      </c>
      <c r="AU612" s="25">
        <v>1.9</v>
      </c>
      <c r="AV612" s="25">
        <v>2.8710526315789471</v>
      </c>
      <c r="AW612">
        <v>2.871052631578948</v>
      </c>
      <c r="AX612">
        <v>6.255683084210526</v>
      </c>
      <c r="AY612" s="75"/>
      <c r="AZ612" s="75"/>
      <c r="BA612" s="75">
        <v>0</v>
      </c>
      <c r="BB612">
        <v>3.9659322274732768E-2</v>
      </c>
      <c r="BF612">
        <v>7.9318644549465536E-2</v>
      </c>
      <c r="BG612">
        <v>3.9659322274732768E-2</v>
      </c>
      <c r="BH612">
        <v>0</v>
      </c>
      <c r="CA612" t="e">
        <f t="shared" si="71"/>
        <v>#NUM!</v>
      </c>
    </row>
    <row r="613" spans="1:79" x14ac:dyDescent="0.3">
      <c r="A613" s="2" t="s">
        <v>63</v>
      </c>
      <c r="B613" s="13" t="s">
        <v>773</v>
      </c>
      <c r="C613" s="13"/>
      <c r="D613" s="2">
        <v>3.45</v>
      </c>
      <c r="E613" s="2" t="s">
        <v>432</v>
      </c>
      <c r="F613" s="9">
        <v>-1</v>
      </c>
      <c r="G613">
        <v>-1</v>
      </c>
      <c r="I613" s="2">
        <v>1</v>
      </c>
      <c r="J613" s="25">
        <v>0</v>
      </c>
      <c r="K613">
        <v>0</v>
      </c>
      <c r="L613">
        <v>0</v>
      </c>
      <c r="M613" s="2">
        <v>3.8531</v>
      </c>
      <c r="N613" s="2">
        <v>3.8531</v>
      </c>
      <c r="O613" s="2">
        <v>16.2151</v>
      </c>
      <c r="P613" s="2" t="s">
        <v>1137</v>
      </c>
      <c r="Q613" s="2"/>
      <c r="R613" s="25">
        <v>0</v>
      </c>
      <c r="S613" s="25"/>
      <c r="T613" s="25"/>
      <c r="U613">
        <v>0</v>
      </c>
      <c r="X613">
        <v>0</v>
      </c>
      <c r="AA613" s="2"/>
      <c r="AB613">
        <v>20</v>
      </c>
      <c r="AC613" s="55">
        <f t="shared" si="70"/>
        <v>240.73553001411099</v>
      </c>
      <c r="AD613" s="57">
        <v>0</v>
      </c>
      <c r="AE613" s="55">
        <v>0</v>
      </c>
      <c r="AF613" s="55">
        <v>0</v>
      </c>
      <c r="AG613" s="52">
        <f t="shared" si="72"/>
        <v>8.3078721279022161E-2</v>
      </c>
      <c r="AH613" s="51"/>
      <c r="AI613" s="52"/>
      <c r="AJ613" s="52"/>
      <c r="AK613" s="28">
        <v>1.75</v>
      </c>
      <c r="AL613" s="28">
        <v>2.5</v>
      </c>
      <c r="AM613" s="28">
        <v>0.75</v>
      </c>
      <c r="AN613" s="28">
        <v>0</v>
      </c>
      <c r="AO613" s="28">
        <v>0.35</v>
      </c>
      <c r="AP613" s="28">
        <v>0.5</v>
      </c>
      <c r="AQ613" s="28">
        <v>0.15</v>
      </c>
      <c r="AR613" s="28">
        <v>0</v>
      </c>
      <c r="AS613" s="25">
        <v>1</v>
      </c>
      <c r="AT613" s="25">
        <v>3.44</v>
      </c>
      <c r="AU613" s="25">
        <v>2.44</v>
      </c>
      <c r="AV613" s="25">
        <v>2.7124999999999999</v>
      </c>
      <c r="AW613">
        <v>2.7124999999999999</v>
      </c>
      <c r="AX613">
        <v>6.264025610615688</v>
      </c>
      <c r="AY613" s="75"/>
      <c r="AZ613" s="75"/>
      <c r="BA613" s="75"/>
      <c r="BB613">
        <v>4.153936063951108E-2</v>
      </c>
      <c r="BF613">
        <v>8.3078721279022161E-2</v>
      </c>
      <c r="BG613">
        <v>4.153936063951108E-2</v>
      </c>
      <c r="BH613">
        <v>0</v>
      </c>
      <c r="CA613" t="e">
        <f t="shared" si="71"/>
        <v>#NUM!</v>
      </c>
    </row>
    <row r="614" spans="1:79" x14ac:dyDescent="0.3">
      <c r="A614" s="2" t="s">
        <v>63</v>
      </c>
      <c r="B614" s="13" t="s">
        <v>773</v>
      </c>
      <c r="C614" s="13"/>
      <c r="D614" s="2">
        <v>3.5</v>
      </c>
      <c r="E614" s="2" t="s">
        <v>432</v>
      </c>
      <c r="F614" s="9">
        <v>-1</v>
      </c>
      <c r="G614">
        <v>-1</v>
      </c>
      <c r="I614" s="2">
        <v>2</v>
      </c>
      <c r="J614" s="25">
        <v>0</v>
      </c>
      <c r="K614">
        <v>0</v>
      </c>
      <c r="L614">
        <v>0</v>
      </c>
      <c r="M614" s="2">
        <v>3.843</v>
      </c>
      <c r="N614" s="2">
        <v>3.843</v>
      </c>
      <c r="O614" s="2">
        <v>32.261000000000003</v>
      </c>
      <c r="P614" s="2" t="s">
        <v>1138</v>
      </c>
      <c r="Q614" s="2"/>
      <c r="R614" s="25">
        <v>0</v>
      </c>
      <c r="U614">
        <v>0</v>
      </c>
      <c r="X614">
        <v>0</v>
      </c>
      <c r="AA614" s="2"/>
      <c r="AB614">
        <v>20</v>
      </c>
      <c r="AC614" s="55">
        <f t="shared" si="70"/>
        <v>476.45138538900005</v>
      </c>
      <c r="AD614" s="57">
        <v>0</v>
      </c>
      <c r="AE614" s="55">
        <v>0</v>
      </c>
      <c r="AF614" s="55">
        <v>0</v>
      </c>
      <c r="AG614" s="52">
        <f t="shared" si="72"/>
        <v>8.3954000820759267E-2</v>
      </c>
      <c r="AH614" s="52"/>
      <c r="AI614" s="52"/>
      <c r="AJ614" s="52"/>
      <c r="AK614" s="28">
        <v>1.75</v>
      </c>
      <c r="AL614" s="28">
        <v>2.5</v>
      </c>
      <c r="AM614" s="28">
        <v>0.75</v>
      </c>
      <c r="AN614" s="28">
        <v>0</v>
      </c>
      <c r="AO614" s="28">
        <v>0.35</v>
      </c>
      <c r="AP614" s="28">
        <v>0.5</v>
      </c>
      <c r="AQ614" s="28">
        <v>0.15</v>
      </c>
      <c r="AR614" s="28">
        <v>0</v>
      </c>
      <c r="AS614" s="25">
        <v>1</v>
      </c>
      <c r="AT614" s="25">
        <v>3.44</v>
      </c>
      <c r="AU614" s="25">
        <v>2.44</v>
      </c>
      <c r="AV614" s="25">
        <v>2.7124999999999999</v>
      </c>
      <c r="AW614">
        <v>2.7124999999999999</v>
      </c>
      <c r="AX614">
        <v>6.264025610615688</v>
      </c>
      <c r="AY614" s="75"/>
      <c r="AZ614" s="75"/>
      <c r="BA614" s="75"/>
      <c r="BB614">
        <v>4.1977000410379627E-2</v>
      </c>
      <c r="BF614">
        <v>8.3954000820759267E-2</v>
      </c>
      <c r="BG614">
        <v>4.1977000410379627E-2</v>
      </c>
      <c r="BH614">
        <v>0</v>
      </c>
      <c r="BN614" s="79" t="s">
        <v>863</v>
      </c>
      <c r="BO614" s="79">
        <v>1</v>
      </c>
      <c r="CA614" t="e">
        <f t="shared" si="71"/>
        <v>#NUM!</v>
      </c>
    </row>
    <row r="615" spans="1:79" x14ac:dyDescent="0.3">
      <c r="A615" s="2" t="s">
        <v>363</v>
      </c>
      <c r="B615" s="18" t="s">
        <v>1064</v>
      </c>
      <c r="C615" s="13"/>
      <c r="D615" s="2">
        <v>3.52</v>
      </c>
      <c r="E615" s="2" t="s">
        <v>432</v>
      </c>
      <c r="F615" s="9">
        <v>-1</v>
      </c>
      <c r="G615">
        <v>-1</v>
      </c>
      <c r="I615" s="2">
        <v>1</v>
      </c>
      <c r="J615" s="25">
        <v>0</v>
      </c>
      <c r="K615">
        <v>0</v>
      </c>
      <c r="L615">
        <v>0</v>
      </c>
      <c r="M615" s="2">
        <v>3.8693</v>
      </c>
      <c r="N615" s="2">
        <v>3.8693</v>
      </c>
      <c r="O615" s="2">
        <v>16.124700000000001</v>
      </c>
      <c r="P615" s="2" t="s">
        <v>1138</v>
      </c>
      <c r="Q615" s="2"/>
      <c r="R615" s="25">
        <v>0</v>
      </c>
      <c r="U615">
        <v>0</v>
      </c>
      <c r="X615">
        <v>0</v>
      </c>
      <c r="AA615" s="2"/>
      <c r="AB615">
        <v>20</v>
      </c>
      <c r="AC615" s="55">
        <f t="shared" si="70"/>
        <v>241.41066370650302</v>
      </c>
      <c r="AD615" s="57">
        <v>0</v>
      </c>
      <c r="AE615" s="55">
        <v>0</v>
      </c>
      <c r="AF615" s="55">
        <v>0</v>
      </c>
      <c r="AG615" s="52">
        <f t="shared" si="72"/>
        <v>8.2846381733638591E-2</v>
      </c>
      <c r="AH615" s="52"/>
      <c r="AI615" s="52"/>
      <c r="AJ615" s="52"/>
      <c r="AK615" s="28">
        <v>1.6086956521739131</v>
      </c>
      <c r="AL615" s="28">
        <v>1.956521739130435</v>
      </c>
      <c r="AM615" s="28">
        <v>0.52173913043478259</v>
      </c>
      <c r="AN615" s="28">
        <v>0</v>
      </c>
      <c r="AO615" s="28">
        <v>0.3936170212765957</v>
      </c>
      <c r="AP615" s="28">
        <v>0.47872340425531912</v>
      </c>
      <c r="AQ615" s="28">
        <v>0.1276595744680851</v>
      </c>
      <c r="AR615" s="28">
        <v>0</v>
      </c>
      <c r="AS615" s="25">
        <v>1</v>
      </c>
      <c r="AT615" s="25">
        <v>3.44</v>
      </c>
      <c r="AU615" s="25">
        <v>2.44</v>
      </c>
      <c r="AV615" s="25">
        <v>2.6082608695652172</v>
      </c>
      <c r="AW615">
        <v>2.6082608695652181</v>
      </c>
      <c r="AX615">
        <v>6.5043590032654777</v>
      </c>
      <c r="AY615" s="75"/>
      <c r="AZ615" s="75"/>
      <c r="BA615" s="75"/>
      <c r="BB615">
        <v>4.1423190866819302E-2</v>
      </c>
      <c r="BF615">
        <v>8.2846381733638591E-2</v>
      </c>
      <c r="BG615">
        <v>4.1423190866819302E-2</v>
      </c>
      <c r="BH615">
        <v>0</v>
      </c>
      <c r="CA615" t="e">
        <f t="shared" si="71"/>
        <v>#NUM!</v>
      </c>
    </row>
    <row r="616" spans="1:79" x14ac:dyDescent="0.3">
      <c r="A616" s="2" t="s">
        <v>366</v>
      </c>
      <c r="B616" s="18" t="s">
        <v>1065</v>
      </c>
      <c r="C616" s="13"/>
      <c r="D616" s="2">
        <v>3.58</v>
      </c>
      <c r="E616" s="2" t="s">
        <v>432</v>
      </c>
      <c r="F616" s="9">
        <v>-1</v>
      </c>
      <c r="G616">
        <v>-1</v>
      </c>
      <c r="I616" s="2">
        <v>1</v>
      </c>
      <c r="J616" s="25">
        <v>0</v>
      </c>
      <c r="K616">
        <v>0</v>
      </c>
      <c r="L616">
        <v>0</v>
      </c>
      <c r="M616" s="2">
        <v>3.8614999999999999</v>
      </c>
      <c r="N616" s="2">
        <v>3.8614999999999999</v>
      </c>
      <c r="O616" s="2">
        <v>25.281600000000001</v>
      </c>
      <c r="P616" s="2" t="s">
        <v>1137</v>
      </c>
      <c r="Q616" s="2"/>
      <c r="R616" s="25">
        <v>0</v>
      </c>
      <c r="U616">
        <v>0</v>
      </c>
      <c r="X616">
        <v>0</v>
      </c>
      <c r="AA616" s="2"/>
      <c r="AB616">
        <v>20</v>
      </c>
      <c r="AC616" s="55">
        <f t="shared" si="70"/>
        <v>376.97854517159999</v>
      </c>
      <c r="AD616" s="57">
        <v>0</v>
      </c>
      <c r="AE616" s="55">
        <v>0</v>
      </c>
      <c r="AF616" s="55">
        <v>0</v>
      </c>
      <c r="AG616" s="52">
        <f t="shared" si="72"/>
        <v>5.3053417113952825E-2</v>
      </c>
      <c r="AH616" s="52"/>
      <c r="AI616" s="52"/>
      <c r="AJ616" s="52"/>
      <c r="AK616" s="28">
        <v>1.53125</v>
      </c>
      <c r="AL616" s="28">
        <v>1.59375</v>
      </c>
      <c r="AM616" s="28">
        <v>0.375</v>
      </c>
      <c r="AN616" s="28">
        <v>0</v>
      </c>
      <c r="AO616" s="28">
        <v>0.4375</v>
      </c>
      <c r="AP616" s="28">
        <v>0.45535714285714279</v>
      </c>
      <c r="AQ616" s="28">
        <v>0.1071428571428571</v>
      </c>
      <c r="AR616" s="28">
        <v>0</v>
      </c>
      <c r="AS616" s="25">
        <v>1</v>
      </c>
      <c r="AT616" s="25">
        <v>3.44</v>
      </c>
      <c r="AU616" s="25">
        <v>2.44</v>
      </c>
      <c r="AV616" s="25">
        <v>2.5262500000000001</v>
      </c>
      <c r="AW616">
        <v>2.5262500000000001</v>
      </c>
      <c r="AX616">
        <v>6.6075924153816246</v>
      </c>
      <c r="AY616" s="75"/>
      <c r="AZ616" s="75"/>
      <c r="BA616" s="75"/>
      <c r="BB616">
        <v>2.6526708556976409E-2</v>
      </c>
      <c r="BF616">
        <v>5.3053417113952818E-2</v>
      </c>
      <c r="BG616">
        <v>2.6526708556976409E-2</v>
      </c>
      <c r="BH616">
        <v>0</v>
      </c>
      <c r="CA616" t="e">
        <f t="shared" si="71"/>
        <v>#NUM!</v>
      </c>
    </row>
    <row r="617" spans="1:79" x14ac:dyDescent="0.3">
      <c r="A617" s="2" t="s">
        <v>368</v>
      </c>
      <c r="B617" s="18" t="s">
        <v>1066</v>
      </c>
      <c r="C617" s="13"/>
      <c r="D617" s="2">
        <v>3.52</v>
      </c>
      <c r="E617" s="2" t="s">
        <v>432</v>
      </c>
      <c r="F617" s="9">
        <v>-1</v>
      </c>
      <c r="G617">
        <v>-1</v>
      </c>
      <c r="I617" s="2">
        <v>1</v>
      </c>
      <c r="J617" s="25">
        <v>0</v>
      </c>
      <c r="K617">
        <v>0</v>
      </c>
      <c r="L617">
        <v>0</v>
      </c>
      <c r="M617" s="2">
        <v>3.8675999999999999</v>
      </c>
      <c r="N617" s="2">
        <v>3.8675999999999999</v>
      </c>
      <c r="O617" s="2">
        <v>34.564999999999998</v>
      </c>
      <c r="P617" s="2" t="s">
        <v>1139</v>
      </c>
      <c r="Q617" s="2"/>
      <c r="R617" s="25">
        <v>0</v>
      </c>
      <c r="U617">
        <v>0</v>
      </c>
      <c r="X617">
        <v>0</v>
      </c>
      <c r="AA617" s="2"/>
      <c r="AB617">
        <v>20</v>
      </c>
      <c r="AC617" s="55">
        <f t="shared" si="70"/>
        <v>517.03466815439992</v>
      </c>
      <c r="AD617" s="57">
        <v>0</v>
      </c>
      <c r="AE617" s="55">
        <v>0</v>
      </c>
      <c r="AF617" s="55">
        <v>0</v>
      </c>
      <c r="AG617" s="52">
        <f t="shared" si="72"/>
        <v>3.8682125652022011E-2</v>
      </c>
      <c r="AH617" s="52"/>
      <c r="AI617" s="52"/>
      <c r="AJ617" s="52"/>
      <c r="AK617" s="28">
        <v>1.4772727272727271</v>
      </c>
      <c r="AL617" s="28">
        <v>1.3409090909090911</v>
      </c>
      <c r="AM617" s="28">
        <v>0.27272727272727271</v>
      </c>
      <c r="AN617" s="28">
        <v>0</v>
      </c>
      <c r="AO617" s="28">
        <v>0.47794117647058831</v>
      </c>
      <c r="AP617" s="28">
        <v>0.43382352941176472</v>
      </c>
      <c r="AQ617" s="28">
        <v>8.8235294117647051E-2</v>
      </c>
      <c r="AR617" s="28">
        <v>0</v>
      </c>
      <c r="AS617" s="25">
        <v>1</v>
      </c>
      <c r="AT617" s="25">
        <v>3.44</v>
      </c>
      <c r="AU617" s="25">
        <v>2.44</v>
      </c>
      <c r="AV617" s="25">
        <v>2.4690909090909088</v>
      </c>
      <c r="AW617">
        <v>2.4690909090909088</v>
      </c>
      <c r="AX617">
        <v>6.679542975341362</v>
      </c>
      <c r="AY617" s="75"/>
      <c r="AZ617" s="75"/>
      <c r="BA617" s="75"/>
      <c r="BB617">
        <v>1.9341062826011009E-2</v>
      </c>
      <c r="BF617">
        <v>3.8682125652022011E-2</v>
      </c>
      <c r="BG617">
        <v>1.9341062826011009E-2</v>
      </c>
      <c r="BH617">
        <v>0</v>
      </c>
      <c r="CA617" t="e">
        <f t="shared" si="71"/>
        <v>#NUM!</v>
      </c>
    </row>
    <row r="618" spans="1:79" x14ac:dyDescent="0.3">
      <c r="A618" s="2" t="s">
        <v>427</v>
      </c>
      <c r="B618" s="18" t="s">
        <v>1064</v>
      </c>
      <c r="C618" s="13"/>
      <c r="D618" s="2">
        <v>3.57</v>
      </c>
      <c r="E618" s="2" t="s">
        <v>432</v>
      </c>
      <c r="F618" s="9">
        <v>-1</v>
      </c>
      <c r="G618">
        <v>-1</v>
      </c>
      <c r="I618" s="2">
        <v>2</v>
      </c>
      <c r="J618" s="25">
        <v>0</v>
      </c>
      <c r="K618">
        <v>0</v>
      </c>
      <c r="L618">
        <v>0</v>
      </c>
      <c r="M618" s="2">
        <v>3.8532999999999999</v>
      </c>
      <c r="N618" s="2">
        <v>3.8532999999999999</v>
      </c>
      <c r="O618" s="2">
        <v>31.7422</v>
      </c>
      <c r="P618" s="2" t="s">
        <v>1138</v>
      </c>
      <c r="Q618" s="2"/>
      <c r="R618" s="25">
        <v>0</v>
      </c>
      <c r="U618">
        <v>0</v>
      </c>
      <c r="X618">
        <v>0</v>
      </c>
      <c r="AA618" s="2"/>
      <c r="AB618">
        <v>20</v>
      </c>
      <c r="AC618" s="55">
        <f t="shared" si="70"/>
        <v>471.30567447455797</v>
      </c>
      <c r="AD618" s="57">
        <v>0</v>
      </c>
      <c r="AE618" s="55">
        <v>0</v>
      </c>
      <c r="AF618" s="55">
        <v>0</v>
      </c>
      <c r="AG618" s="52">
        <f t="shared" si="72"/>
        <v>8.4870609810914294E-2</v>
      </c>
      <c r="AH618" s="52"/>
      <c r="AI618" s="52"/>
      <c r="AJ618" s="52"/>
      <c r="AK618" s="28">
        <v>1.6086956521739131</v>
      </c>
      <c r="AL618" s="28">
        <v>1.956521739130435</v>
      </c>
      <c r="AM618" s="28">
        <v>0.52173913043478259</v>
      </c>
      <c r="AN618" s="28">
        <v>0</v>
      </c>
      <c r="AO618" s="28">
        <v>0.3936170212765957</v>
      </c>
      <c r="AP618" s="28">
        <v>0.47872340425531912</v>
      </c>
      <c r="AQ618" s="28">
        <v>0.1276595744680851</v>
      </c>
      <c r="AR618" s="28">
        <v>0</v>
      </c>
      <c r="AS618" s="25">
        <v>1</v>
      </c>
      <c r="AT618" s="25">
        <v>3.44</v>
      </c>
      <c r="AU618" s="25">
        <v>2.44</v>
      </c>
      <c r="AV618" s="25">
        <v>2.6082608695652172</v>
      </c>
      <c r="AW618">
        <v>2.6082608695652181</v>
      </c>
      <c r="AX618">
        <v>6.5043590032654777</v>
      </c>
      <c r="AY618" s="75"/>
      <c r="AZ618" s="75"/>
      <c r="BA618" s="75"/>
      <c r="BB618">
        <v>4.2435304905457147E-2</v>
      </c>
      <c r="BF618">
        <v>8.4870609810914294E-2</v>
      </c>
      <c r="BG618">
        <v>4.2435304905457147E-2</v>
      </c>
      <c r="BH618">
        <v>0</v>
      </c>
      <c r="BN618" s="79" t="s">
        <v>863</v>
      </c>
      <c r="BO618" s="79">
        <v>1</v>
      </c>
      <c r="CA618" t="e">
        <f t="shared" si="71"/>
        <v>#NUM!</v>
      </c>
    </row>
    <row r="619" spans="1:79" x14ac:dyDescent="0.3">
      <c r="A619" s="2" t="s">
        <v>428</v>
      </c>
      <c r="B619" s="18" t="s">
        <v>1065</v>
      </c>
      <c r="C619" s="13"/>
      <c r="D619" s="2">
        <v>3.52</v>
      </c>
      <c r="E619" s="2" t="s">
        <v>432</v>
      </c>
      <c r="F619" s="9">
        <v>-1</v>
      </c>
      <c r="G619">
        <v>-1</v>
      </c>
      <c r="I619" s="2">
        <v>1</v>
      </c>
      <c r="J619" s="25">
        <v>0</v>
      </c>
      <c r="K619">
        <v>0</v>
      </c>
      <c r="L619">
        <v>0</v>
      </c>
      <c r="M619" s="2">
        <v>3.8580000000000001</v>
      </c>
      <c r="N619" s="2">
        <v>3.8580000000000001</v>
      </c>
      <c r="O619" s="2">
        <v>23.879799999999999</v>
      </c>
      <c r="P619" s="2" t="s">
        <v>1137</v>
      </c>
      <c r="Q619" s="2"/>
      <c r="R619" s="25">
        <v>0</v>
      </c>
      <c r="U619">
        <v>0</v>
      </c>
      <c r="X619">
        <v>0</v>
      </c>
      <c r="AA619" s="2"/>
      <c r="AB619">
        <v>20</v>
      </c>
      <c r="AC619" s="55">
        <f t="shared" ref="AC619:AC627" si="73">M619*N619*O619</f>
        <v>355.4308594872</v>
      </c>
      <c r="AD619" s="57">
        <v>0</v>
      </c>
      <c r="AE619" s="55">
        <v>0</v>
      </c>
      <c r="AF619" s="55">
        <v>0</v>
      </c>
      <c r="AG619" s="52">
        <f t="shared" si="72"/>
        <v>5.6269734228634849E-2</v>
      </c>
      <c r="AH619" s="52"/>
      <c r="AI619" s="52"/>
      <c r="AJ619" s="52"/>
      <c r="AK619" s="28">
        <v>1.53125</v>
      </c>
      <c r="AL619" s="28">
        <v>1.59375</v>
      </c>
      <c r="AM619" s="28">
        <v>0.375</v>
      </c>
      <c r="AN619" s="28">
        <v>0</v>
      </c>
      <c r="AO619" s="28">
        <v>0.4375</v>
      </c>
      <c r="AP619" s="28">
        <v>0.45535714285714279</v>
      </c>
      <c r="AQ619" s="28">
        <v>0.1071428571428571</v>
      </c>
      <c r="AR619" s="28">
        <v>0</v>
      </c>
      <c r="AS619" s="25">
        <v>1</v>
      </c>
      <c r="AT619" s="25">
        <v>3.44</v>
      </c>
      <c r="AU619" s="25">
        <v>2.44</v>
      </c>
      <c r="AV619" s="25">
        <v>2.5262500000000001</v>
      </c>
      <c r="AW619">
        <v>2.5262500000000001</v>
      </c>
      <c r="AX619">
        <v>6.6075924153816246</v>
      </c>
      <c r="AY619" s="75"/>
      <c r="AZ619" s="75"/>
      <c r="BA619" s="75"/>
      <c r="BB619">
        <v>2.8134867114317421E-2</v>
      </c>
      <c r="BF619">
        <v>5.6269734228634849E-2</v>
      </c>
      <c r="BG619">
        <v>2.8134867114317421E-2</v>
      </c>
      <c r="BH619">
        <v>0</v>
      </c>
      <c r="BN619" s="79" t="s">
        <v>863</v>
      </c>
      <c r="BO619" s="79">
        <v>1</v>
      </c>
      <c r="CA619" t="e">
        <f t="shared" si="71"/>
        <v>#NUM!</v>
      </c>
    </row>
    <row r="620" spans="1:79" x14ac:dyDescent="0.3">
      <c r="A620" s="2" t="s">
        <v>429</v>
      </c>
      <c r="B620" s="18" t="s">
        <v>1066</v>
      </c>
      <c r="C620" s="13"/>
      <c r="D620" s="2">
        <v>3.59</v>
      </c>
      <c r="E620" s="2" t="s">
        <v>432</v>
      </c>
      <c r="F620" s="9">
        <v>-1</v>
      </c>
      <c r="G620">
        <v>-1</v>
      </c>
      <c r="I620" s="2">
        <v>1</v>
      </c>
      <c r="J620" s="25">
        <v>0</v>
      </c>
      <c r="K620">
        <v>0</v>
      </c>
      <c r="L620">
        <v>0</v>
      </c>
      <c r="M620" s="2">
        <v>3.8639000000000001</v>
      </c>
      <c r="N620" s="2">
        <v>3.8639000000000001</v>
      </c>
      <c r="O620" s="2">
        <v>34.090000000000003</v>
      </c>
      <c r="P620" s="2" t="s">
        <v>1138</v>
      </c>
      <c r="Q620" s="2"/>
      <c r="R620" s="25">
        <v>0</v>
      </c>
      <c r="U620">
        <v>0</v>
      </c>
      <c r="X620">
        <v>0</v>
      </c>
      <c r="AA620" s="2"/>
      <c r="AB620">
        <v>20</v>
      </c>
      <c r="AC620" s="55">
        <f t="shared" si="73"/>
        <v>508.95426422890006</v>
      </c>
      <c r="AD620" s="57">
        <v>0</v>
      </c>
      <c r="AE620" s="55">
        <v>0</v>
      </c>
      <c r="AF620" s="55">
        <v>0</v>
      </c>
      <c r="AG620" s="52">
        <f t="shared" si="72"/>
        <v>3.9296261777669442E-2</v>
      </c>
      <c r="AH620" s="52"/>
      <c r="AI620" s="52"/>
      <c r="AJ620" s="52"/>
      <c r="AK620" s="28">
        <v>1.4772727272727271</v>
      </c>
      <c r="AL620" s="28">
        <v>1.3409090909090911</v>
      </c>
      <c r="AM620" s="28">
        <v>0.27272727272727271</v>
      </c>
      <c r="AN620" s="28">
        <v>0</v>
      </c>
      <c r="AO620" s="28">
        <v>0.47794117647058831</v>
      </c>
      <c r="AP620" s="28">
        <v>0.43382352941176472</v>
      </c>
      <c r="AQ620" s="28">
        <v>8.8235294117647051E-2</v>
      </c>
      <c r="AR620" s="28">
        <v>0</v>
      </c>
      <c r="AS620" s="25">
        <v>1</v>
      </c>
      <c r="AT620" s="25">
        <v>3.44</v>
      </c>
      <c r="AU620" s="25">
        <v>2.44</v>
      </c>
      <c r="AV620" s="25">
        <v>2.4690909090909088</v>
      </c>
      <c r="AW620">
        <v>2.4690909090909088</v>
      </c>
      <c r="AX620">
        <v>6.679542975341362</v>
      </c>
      <c r="AY620" s="75"/>
      <c r="AZ620" s="75"/>
      <c r="BA620" s="75"/>
      <c r="BB620">
        <v>1.9648130888834721E-2</v>
      </c>
      <c r="BF620">
        <v>3.9296261777669442E-2</v>
      </c>
      <c r="BG620">
        <v>1.9648130888834721E-2</v>
      </c>
      <c r="BH620">
        <v>0</v>
      </c>
      <c r="BN620" s="79" t="s">
        <v>863</v>
      </c>
      <c r="BO620" s="79">
        <v>1</v>
      </c>
      <c r="CA620" t="e">
        <f t="shared" si="71"/>
        <v>#NUM!</v>
      </c>
    </row>
    <row r="621" spans="1:79" x14ac:dyDescent="0.3">
      <c r="A621" s="2" t="s">
        <v>430</v>
      </c>
      <c r="B621" s="18" t="s">
        <v>1064</v>
      </c>
      <c r="C621" s="13"/>
      <c r="D621" s="2">
        <v>3.57</v>
      </c>
      <c r="E621" s="2" t="s">
        <v>432</v>
      </c>
      <c r="F621" s="9">
        <v>-1</v>
      </c>
      <c r="G621">
        <v>-1</v>
      </c>
      <c r="I621" s="2">
        <v>1</v>
      </c>
      <c r="J621" s="25">
        <v>0</v>
      </c>
      <c r="K621">
        <v>0</v>
      </c>
      <c r="L621">
        <v>0</v>
      </c>
      <c r="M621" s="2">
        <v>3.8664000000000001</v>
      </c>
      <c r="N621" s="2">
        <v>3.8664000000000001</v>
      </c>
      <c r="O621" s="2">
        <v>16.116399999999999</v>
      </c>
      <c r="P621" s="2" t="s">
        <v>1137</v>
      </c>
      <c r="Q621" s="2"/>
      <c r="R621" s="25">
        <v>0</v>
      </c>
      <c r="U621">
        <v>0</v>
      </c>
      <c r="X621">
        <v>0</v>
      </c>
      <c r="AA621" s="2"/>
      <c r="AB621">
        <v>20</v>
      </c>
      <c r="AC621" s="55">
        <f t="shared" si="73"/>
        <v>240.92485265894399</v>
      </c>
      <c r="AD621" s="57">
        <v>0</v>
      </c>
      <c r="AE621" s="55">
        <v>0</v>
      </c>
      <c r="AF621" s="55">
        <v>0</v>
      </c>
      <c r="AG621" s="52">
        <f t="shared" si="72"/>
        <v>8.3013436676506888E-2</v>
      </c>
      <c r="AH621" s="52"/>
      <c r="AI621" s="52"/>
      <c r="AJ621" s="52"/>
      <c r="AK621" s="28">
        <v>1.6086956521739131</v>
      </c>
      <c r="AL621" s="28">
        <v>1.956521739130435</v>
      </c>
      <c r="AM621" s="28">
        <v>0.52173913043478259</v>
      </c>
      <c r="AN621" s="28">
        <v>0</v>
      </c>
      <c r="AO621" s="28">
        <v>0.3936170212765957</v>
      </c>
      <c r="AP621" s="28">
        <v>0.47872340425531912</v>
      </c>
      <c r="AQ621" s="28">
        <v>0.1276595744680851</v>
      </c>
      <c r="AR621" s="28">
        <v>0</v>
      </c>
      <c r="AS621" s="25">
        <v>1</v>
      </c>
      <c r="AT621" s="25">
        <v>3.44</v>
      </c>
      <c r="AU621" s="25">
        <v>2.44</v>
      </c>
      <c r="AV621" s="25">
        <v>2.6082608695652172</v>
      </c>
      <c r="AW621">
        <v>2.6082608695652181</v>
      </c>
      <c r="AX621">
        <v>6.5043590032654777</v>
      </c>
      <c r="AY621" s="75"/>
      <c r="AZ621" s="75"/>
      <c r="BA621" s="75"/>
      <c r="BB621">
        <v>4.1506718338253437E-2</v>
      </c>
      <c r="BF621">
        <v>8.3013436676506888E-2</v>
      </c>
      <c r="BG621">
        <v>4.1506718338253437E-2</v>
      </c>
      <c r="BH621">
        <v>0</v>
      </c>
      <c r="BN621" s="79" t="s">
        <v>863</v>
      </c>
      <c r="BO621" s="79">
        <v>1</v>
      </c>
      <c r="CA621" t="e">
        <f t="shared" si="71"/>
        <v>#NUM!</v>
      </c>
    </row>
    <row r="622" spans="1:79" x14ac:dyDescent="0.3">
      <c r="A622" s="2" t="s">
        <v>431</v>
      </c>
      <c r="B622" s="18" t="s">
        <v>1065</v>
      </c>
      <c r="C622" s="13"/>
      <c r="D622" s="2">
        <v>3.57</v>
      </c>
      <c r="E622" s="2" t="s">
        <v>432</v>
      </c>
      <c r="F622" s="9">
        <v>-1</v>
      </c>
      <c r="G622">
        <v>-1</v>
      </c>
      <c r="I622" s="2">
        <v>2</v>
      </c>
      <c r="J622" s="25">
        <v>0</v>
      </c>
      <c r="K622">
        <v>0</v>
      </c>
      <c r="L622">
        <v>0</v>
      </c>
      <c r="M622" s="2">
        <v>3.8982000000000001</v>
      </c>
      <c r="N622" s="2">
        <v>3.8982000000000001</v>
      </c>
      <c r="O622" s="2">
        <v>51.103099999999998</v>
      </c>
      <c r="P622" s="2" t="s">
        <v>1140</v>
      </c>
      <c r="Q622" s="2"/>
      <c r="R622" s="25">
        <v>0</v>
      </c>
      <c r="U622">
        <v>0</v>
      </c>
      <c r="X622">
        <v>0</v>
      </c>
      <c r="AA622" s="2"/>
      <c r="AB622">
        <v>20</v>
      </c>
      <c r="AC622" s="55">
        <f t="shared" si="73"/>
        <v>776.56082905004405</v>
      </c>
      <c r="AD622" s="57">
        <v>0</v>
      </c>
      <c r="AE622" s="55">
        <v>0</v>
      </c>
      <c r="AF622" s="55">
        <v>0</v>
      </c>
      <c r="AG622" s="52">
        <f t="shared" si="72"/>
        <v>5.150916515958117E-2</v>
      </c>
      <c r="AH622" s="52"/>
      <c r="AI622" s="52"/>
      <c r="AJ622" s="52"/>
      <c r="AK622" s="28">
        <v>1.53125</v>
      </c>
      <c r="AL622" s="28">
        <v>1.59375</v>
      </c>
      <c r="AM622" s="28">
        <v>0.375</v>
      </c>
      <c r="AN622" s="28">
        <v>0</v>
      </c>
      <c r="AO622" s="28">
        <v>0.4375</v>
      </c>
      <c r="AP622" s="28">
        <v>0.45535714285714279</v>
      </c>
      <c r="AQ622" s="28">
        <v>0.1071428571428571</v>
      </c>
      <c r="AR622" s="28">
        <v>0</v>
      </c>
      <c r="AS622" s="25">
        <v>1</v>
      </c>
      <c r="AT622" s="25">
        <v>3.44</v>
      </c>
      <c r="AU622" s="25">
        <v>2.44</v>
      </c>
      <c r="AV622" s="25">
        <v>2.5262500000000001</v>
      </c>
      <c r="AW622">
        <v>2.5262500000000001</v>
      </c>
      <c r="AX622">
        <v>6.6075924153816246</v>
      </c>
      <c r="AY622" s="75"/>
      <c r="AZ622" s="75"/>
      <c r="BA622" s="75"/>
      <c r="BB622">
        <v>2.5754582579790589E-2</v>
      </c>
      <c r="BF622">
        <v>5.150916515958117E-2</v>
      </c>
      <c r="BG622">
        <v>2.5754582579790589E-2</v>
      </c>
      <c r="BH622">
        <v>0</v>
      </c>
      <c r="BN622" s="79" t="s">
        <v>863</v>
      </c>
      <c r="BO622" s="79">
        <v>1</v>
      </c>
      <c r="CA622" t="e">
        <f t="shared" si="71"/>
        <v>#NUM!</v>
      </c>
    </row>
    <row r="623" spans="1:79" x14ac:dyDescent="0.3">
      <c r="A623" s="2" t="s">
        <v>107</v>
      </c>
      <c r="B623" s="18" t="s">
        <v>1066</v>
      </c>
      <c r="C623" s="13"/>
      <c r="D623" s="2">
        <v>3.61</v>
      </c>
      <c r="E623" s="2" t="s">
        <v>432</v>
      </c>
      <c r="F623" s="9">
        <v>-1</v>
      </c>
      <c r="G623">
        <v>-1</v>
      </c>
      <c r="I623" s="2">
        <v>2</v>
      </c>
      <c r="J623" s="25">
        <v>0</v>
      </c>
      <c r="K623">
        <v>0</v>
      </c>
      <c r="L623">
        <v>0</v>
      </c>
      <c r="M623" s="2">
        <v>3.8875000000000002</v>
      </c>
      <c r="N623" s="2">
        <v>3.8875000000000002</v>
      </c>
      <c r="O623" s="2">
        <v>34.478000000000002</v>
      </c>
      <c r="P623" s="2" t="s">
        <v>451</v>
      </c>
      <c r="U623">
        <v>0</v>
      </c>
      <c r="X623">
        <v>0</v>
      </c>
      <c r="AA623" s="2"/>
      <c r="AB623">
        <v>20</v>
      </c>
      <c r="AC623" s="55">
        <f t="shared" si="73"/>
        <v>521.05416218750008</v>
      </c>
      <c r="AD623" s="57">
        <v>0</v>
      </c>
      <c r="AE623" s="55">
        <v>0</v>
      </c>
      <c r="AF623" s="55">
        <v>0</v>
      </c>
      <c r="AG623" s="52">
        <f t="shared" si="72"/>
        <v>7.6767451260865469E-2</v>
      </c>
      <c r="AH623" s="52"/>
      <c r="AI623" s="52"/>
      <c r="AJ623" s="52"/>
      <c r="AK623" s="28">
        <v>1.4772727272727271</v>
      </c>
      <c r="AL623" s="28">
        <v>1.3409090909090911</v>
      </c>
      <c r="AM623" s="28">
        <v>0.27272727272727271</v>
      </c>
      <c r="AN623" s="28">
        <v>0</v>
      </c>
      <c r="AO623" s="28">
        <v>0.47794117647058831</v>
      </c>
      <c r="AP623" s="28">
        <v>0.43382352941176472</v>
      </c>
      <c r="AQ623" s="28">
        <v>8.8235294117647051E-2</v>
      </c>
      <c r="AR623" s="28">
        <v>0</v>
      </c>
      <c r="AS623" s="25">
        <v>1</v>
      </c>
      <c r="AT623" s="25">
        <v>3.44</v>
      </c>
      <c r="AU623" s="25">
        <v>2.44</v>
      </c>
      <c r="AV623" s="25">
        <v>2.4690909090909088</v>
      </c>
      <c r="AW623">
        <v>2.4690909090909088</v>
      </c>
      <c r="AX623">
        <v>6.679542975341362</v>
      </c>
      <c r="AY623" s="75"/>
      <c r="AZ623" s="75"/>
      <c r="BA623" s="75"/>
      <c r="BB623">
        <v>3.8383725630432727E-2</v>
      </c>
      <c r="BF623">
        <v>7.6767451260865469E-2</v>
      </c>
      <c r="BG623">
        <v>3.8383725630432727E-2</v>
      </c>
      <c r="BH623">
        <v>0</v>
      </c>
      <c r="BN623" s="79" t="s">
        <v>863</v>
      </c>
      <c r="BO623" s="79">
        <v>1</v>
      </c>
      <c r="CA623" t="e">
        <f t="shared" si="71"/>
        <v>#NUM!</v>
      </c>
    </row>
    <row r="624" spans="1:79" x14ac:dyDescent="0.3">
      <c r="A624" s="2" t="s">
        <v>4</v>
      </c>
      <c r="B624" s="13" t="s">
        <v>689</v>
      </c>
      <c r="C624" s="13"/>
      <c r="D624" s="2">
        <v>3.5</v>
      </c>
      <c r="E624" s="4"/>
      <c r="F624" s="9"/>
      <c r="I624" s="2">
        <v>2</v>
      </c>
      <c r="K624">
        <v>0</v>
      </c>
      <c r="L624">
        <v>0</v>
      </c>
      <c r="M624">
        <v>3.86</v>
      </c>
      <c r="N624">
        <v>3.86</v>
      </c>
      <c r="O624" s="2">
        <v>29.5</v>
      </c>
      <c r="U624">
        <v>0</v>
      </c>
      <c r="X624">
        <v>0</v>
      </c>
      <c r="AB624">
        <v>20</v>
      </c>
      <c r="AC624" s="55">
        <f t="shared" si="73"/>
        <v>439.53819999999996</v>
      </c>
      <c r="AD624" s="55"/>
      <c r="AE624" s="55">
        <v>0</v>
      </c>
      <c r="AF624" s="55">
        <v>0</v>
      </c>
      <c r="AG624" s="52">
        <f t="shared" si="72"/>
        <v>9.1004604377958515E-2</v>
      </c>
      <c r="AH624" s="52"/>
      <c r="AI624" s="52"/>
      <c r="AJ624" s="52"/>
      <c r="AK624" s="28"/>
      <c r="AL624" s="28"/>
      <c r="AM624" s="28"/>
      <c r="AN624" s="28"/>
      <c r="AO624" s="28"/>
      <c r="AP624" s="28"/>
      <c r="AQ624" s="28"/>
      <c r="AR624" s="28"/>
      <c r="AY624" s="75"/>
      <c r="AZ624" s="75"/>
      <c r="BA624" s="75"/>
      <c r="BB624">
        <v>4.5502302188979257E-2</v>
      </c>
      <c r="BF624">
        <v>9.1004604377958515E-2</v>
      </c>
      <c r="BG624">
        <v>4.5502302188979257E-2</v>
      </c>
      <c r="BH624">
        <v>0</v>
      </c>
      <c r="CA624" t="e">
        <f t="shared" si="71"/>
        <v>#NUM!</v>
      </c>
    </row>
    <row r="625" spans="1:79" x14ac:dyDescent="0.3">
      <c r="A625" s="2" t="s">
        <v>1177</v>
      </c>
      <c r="B625" t="s">
        <v>1245</v>
      </c>
      <c r="D625" s="2">
        <v>3.6</v>
      </c>
      <c r="I625" s="2">
        <v>2</v>
      </c>
      <c r="K625">
        <v>4</v>
      </c>
      <c r="L625">
        <v>0</v>
      </c>
      <c r="M625">
        <v>3.85</v>
      </c>
      <c r="N625">
        <v>3.85</v>
      </c>
      <c r="O625" s="2">
        <v>29.5</v>
      </c>
      <c r="U625">
        <v>3.8801999999999999</v>
      </c>
      <c r="V625">
        <v>29.507999999999999</v>
      </c>
      <c r="W625">
        <v>7.7140000000000004</v>
      </c>
      <c r="X625">
        <v>0</v>
      </c>
      <c r="AB625">
        <v>20</v>
      </c>
      <c r="AC625" s="55">
        <f t="shared" si="73"/>
        <v>437.26375000000007</v>
      </c>
      <c r="AD625" s="55"/>
      <c r="AE625" s="55">
        <v>883.22940750240002</v>
      </c>
      <c r="AF625" s="55">
        <v>0</v>
      </c>
      <c r="AG625" s="52">
        <f t="shared" si="72"/>
        <v>9.1477969532118758E-2</v>
      </c>
      <c r="AH625" s="52"/>
      <c r="AI625" s="52">
        <v>9.0576694254581439E-2</v>
      </c>
      <c r="AJ625" s="52"/>
      <c r="AK625" s="28"/>
      <c r="AL625" s="28"/>
      <c r="AM625" s="28"/>
      <c r="AN625" s="28"/>
      <c r="AO625" s="28"/>
      <c r="AP625" s="28"/>
      <c r="AQ625" s="28"/>
      <c r="AR625" s="28"/>
      <c r="AY625" s="75"/>
      <c r="AZ625" s="75"/>
      <c r="BA625" s="75"/>
      <c r="BB625">
        <v>4.5738984766059379E-2</v>
      </c>
      <c r="BD625">
        <v>4.5288347127290719E-2</v>
      </c>
      <c r="BF625">
        <v>9.1027331893350105E-2</v>
      </c>
      <c r="BG625">
        <v>4.5513665946675053E-2</v>
      </c>
      <c r="BH625">
        <v>0</v>
      </c>
      <c r="CA625" t="e">
        <f t="shared" si="71"/>
        <v>#NUM!</v>
      </c>
    </row>
    <row r="626" spans="1:79" x14ac:dyDescent="0.3">
      <c r="A626" s="2" t="s">
        <v>1178</v>
      </c>
      <c r="B626" t="s">
        <v>1246</v>
      </c>
      <c r="D626" s="2">
        <v>3.8</v>
      </c>
      <c r="I626" s="2">
        <v>2</v>
      </c>
      <c r="K626">
        <v>0</v>
      </c>
      <c r="L626">
        <v>0</v>
      </c>
      <c r="M626">
        <v>3.88</v>
      </c>
      <c r="N626">
        <v>3.88</v>
      </c>
      <c r="O626" s="2">
        <v>29.8</v>
      </c>
      <c r="U626">
        <v>0</v>
      </c>
      <c r="X626">
        <v>0</v>
      </c>
      <c r="AB626">
        <v>20</v>
      </c>
      <c r="AC626" s="55">
        <f t="shared" si="73"/>
        <v>448.62112000000002</v>
      </c>
      <c r="AD626" s="55"/>
      <c r="AE626" s="55">
        <v>0</v>
      </c>
      <c r="AF626" s="55">
        <v>0</v>
      </c>
      <c r="AG626" s="52">
        <f t="shared" si="72"/>
        <v>8.9162097406381577E-2</v>
      </c>
      <c r="AH626" s="52"/>
      <c r="AI626" s="52"/>
      <c r="AJ626" s="52"/>
      <c r="AK626" s="28"/>
      <c r="AL626" s="28"/>
      <c r="AM626" s="28"/>
      <c r="AN626" s="28"/>
      <c r="AO626" s="28"/>
      <c r="AP626" s="28"/>
      <c r="AQ626" s="28"/>
      <c r="AR626" s="28"/>
      <c r="AY626" s="75"/>
      <c r="AZ626" s="75"/>
      <c r="BA626" s="75"/>
      <c r="BB626">
        <v>4.4581048703190788E-2</v>
      </c>
      <c r="BF626">
        <v>8.9162097406381577E-2</v>
      </c>
      <c r="BG626">
        <v>4.4581048703190788E-2</v>
      </c>
      <c r="BH626">
        <v>0</v>
      </c>
      <c r="CA626" t="e">
        <f t="shared" si="71"/>
        <v>#NUM!</v>
      </c>
    </row>
    <row r="627" spans="1:79" x14ac:dyDescent="0.3">
      <c r="A627" s="2" t="s">
        <v>308</v>
      </c>
      <c r="B627" t="s">
        <v>830</v>
      </c>
      <c r="D627" s="2">
        <v>4.2</v>
      </c>
      <c r="I627" s="2">
        <v>2</v>
      </c>
      <c r="K627">
        <v>0</v>
      </c>
      <c r="L627">
        <v>0</v>
      </c>
      <c r="M627">
        <v>3.86</v>
      </c>
      <c r="N627">
        <v>3.86</v>
      </c>
      <c r="O627" s="2">
        <v>29.8</v>
      </c>
      <c r="U627">
        <v>0</v>
      </c>
      <c r="X627">
        <v>0</v>
      </c>
      <c r="AB627">
        <v>20</v>
      </c>
      <c r="AC627" s="55">
        <f t="shared" si="73"/>
        <v>444.00808000000001</v>
      </c>
      <c r="AD627" s="55"/>
      <c r="AE627" s="55">
        <v>0</v>
      </c>
      <c r="AF627" s="55">
        <v>0</v>
      </c>
      <c r="AG627" s="52">
        <f t="shared" si="72"/>
        <v>9.0088450642609924E-2</v>
      </c>
      <c r="AH627" s="52"/>
      <c r="AI627" s="52"/>
      <c r="AJ627" s="52"/>
      <c r="AK627" s="28"/>
      <c r="AL627" s="28"/>
      <c r="AM627" s="28"/>
      <c r="AN627" s="28"/>
      <c r="AO627" s="28"/>
      <c r="AP627" s="28"/>
      <c r="AQ627" s="28"/>
      <c r="AR627" s="28"/>
      <c r="AY627" s="75"/>
      <c r="AZ627" s="75"/>
      <c r="BA627" s="75"/>
      <c r="BB627">
        <v>4.5044225321304962E-2</v>
      </c>
      <c r="BF627">
        <v>9.0088450642609924E-2</v>
      </c>
      <c r="BG627">
        <v>4.5044225321304962E-2</v>
      </c>
      <c r="BH627">
        <v>0</v>
      </c>
      <c r="CA627" t="e">
        <f t="shared" si="71"/>
        <v>#NUM!</v>
      </c>
    </row>
  </sheetData>
  <hyperlinks>
    <hyperlink ref="E391" r:id="rId1" tooltip="Persistent link using digital object identifier" display="https://doi.org/10.1016/j.pnsc.2012.03.002"/>
    <hyperlink ref="E392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B2" sqref="B2"/>
    </sheetView>
  </sheetViews>
  <sheetFormatPr defaultRowHeight="14.4" x14ac:dyDescent="0.3"/>
  <cols>
    <col min="1" max="1" width="23" customWidth="1"/>
    <col min="4" max="4" width="14.33203125" customWidth="1"/>
  </cols>
  <sheetData>
    <row r="1" spans="1:5" x14ac:dyDescent="0.3">
      <c r="A1" t="s">
        <v>1277</v>
      </c>
      <c r="B1">
        <v>3.3</v>
      </c>
      <c r="D1" t="s">
        <v>1330</v>
      </c>
      <c r="E1">
        <v>1</v>
      </c>
    </row>
    <row r="2" spans="1:5" x14ac:dyDescent="0.3">
      <c r="A2" t="s">
        <v>1278</v>
      </c>
      <c r="B2">
        <f>B1</f>
        <v>3.3</v>
      </c>
      <c r="D2" t="s">
        <v>1331</v>
      </c>
      <c r="E2">
        <f>E1</f>
        <v>1</v>
      </c>
    </row>
    <row r="3" spans="1:5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</row>
    <row r="4" spans="1:5" x14ac:dyDescent="0.3">
      <c r="A4" t="s">
        <v>1280</v>
      </c>
      <c r="B4">
        <v>1</v>
      </c>
      <c r="D4" t="s">
        <v>1280</v>
      </c>
      <c r="E4">
        <v>1</v>
      </c>
    </row>
    <row r="5" spans="1:5" x14ac:dyDescent="0.3">
      <c r="A5" t="s">
        <v>1281</v>
      </c>
      <c r="B5">
        <f>B2*(12+3+17)</f>
        <v>105.6</v>
      </c>
      <c r="D5" t="s">
        <v>1332</v>
      </c>
      <c r="E5">
        <f>E2*(12+3+17+12+12)</f>
        <v>56</v>
      </c>
    </row>
    <row r="6" spans="1:5" x14ac:dyDescent="0.3">
      <c r="A6" t="s">
        <v>1283</v>
      </c>
      <c r="B6">
        <v>0.79200000000000004</v>
      </c>
      <c r="D6" t="s">
        <v>1333</v>
      </c>
      <c r="E6">
        <v>0.80300000000000005</v>
      </c>
    </row>
    <row r="7" spans="1:5" x14ac:dyDescent="0.3">
      <c r="A7" t="s">
        <v>1282</v>
      </c>
      <c r="B7">
        <f>B5/(1000*B6)</f>
        <v>0.13333333333333333</v>
      </c>
      <c r="D7" t="s">
        <v>1334</v>
      </c>
      <c r="E7">
        <f>E5/(1000*E6)</f>
        <v>6.9738480697384808E-2</v>
      </c>
    </row>
    <row r="9" spans="1:5" x14ac:dyDescent="0.3">
      <c r="A9" t="s">
        <v>1284</v>
      </c>
      <c r="B9">
        <f>100*B7/B4</f>
        <v>13.333333333333334</v>
      </c>
      <c r="D9" t="s">
        <v>1284</v>
      </c>
      <c r="E9">
        <f>100*E7/E4</f>
        <v>6.973848069738481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Conc converter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2025-11-20T19:36:31Z</dcterms:modified>
</cp:coreProperties>
</file>