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gramming practice\Python\Perovskite\Mattergen dataset generation IO\"/>
    </mc:Choice>
  </mc:AlternateContent>
  <xr:revisionPtr revIDLastSave="0" documentId="13_ncr:1_{B8EAAD0A-1699-4BA5-A167-DC7292C34DFA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All" sheetId="1" r:id="rId1"/>
    <sheet name="Pt" sheetId="2" r:id="rId2"/>
    <sheet name="No_P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57" i="3" l="1"/>
  <c r="AI257" i="3"/>
  <c r="AH257" i="3"/>
  <c r="AI245" i="3"/>
  <c r="AJ245" i="3"/>
  <c r="AI242" i="3"/>
  <c r="AJ242" i="3"/>
  <c r="AI248" i="3"/>
  <c r="AJ248" i="3" s="1"/>
  <c r="AI247" i="3"/>
  <c r="AJ247" i="3"/>
  <c r="AI253" i="3"/>
  <c r="AJ253" i="3"/>
  <c r="AI254" i="3"/>
  <c r="AJ254" i="3" s="1"/>
  <c r="AI249" i="3"/>
  <c r="AJ249" i="3"/>
  <c r="AI227" i="3"/>
  <c r="AJ227" i="3"/>
  <c r="AI226" i="3"/>
  <c r="AJ226" i="3" s="1"/>
  <c r="AI228" i="3"/>
  <c r="AJ228" i="3"/>
  <c r="AI235" i="3"/>
  <c r="AJ235" i="3" s="1"/>
  <c r="AI200" i="3"/>
  <c r="AJ200" i="3"/>
  <c r="AI210" i="3"/>
  <c r="AJ210" i="3"/>
  <c r="AI225" i="3"/>
  <c r="AJ225" i="3" s="1"/>
  <c r="AI189" i="3"/>
  <c r="AJ189" i="3"/>
  <c r="AI236" i="3"/>
  <c r="AJ236" i="3"/>
  <c r="AI241" i="3"/>
  <c r="AJ241" i="3" s="1"/>
  <c r="AI250" i="3"/>
  <c r="AJ250" i="3"/>
  <c r="AI2" i="3"/>
  <c r="AJ2" i="3" s="1"/>
  <c r="AI229" i="3"/>
  <c r="AJ229" i="3"/>
  <c r="AI3" i="3"/>
  <c r="AJ3" i="3"/>
  <c r="AI4" i="3"/>
  <c r="AJ4" i="3" s="1"/>
  <c r="AI5" i="3"/>
  <c r="AJ5" i="3"/>
  <c r="AI6" i="3"/>
  <c r="AJ6" i="3"/>
  <c r="AI243" i="3"/>
  <c r="AJ243" i="3" s="1"/>
  <c r="AI255" i="3"/>
  <c r="AJ255" i="3"/>
  <c r="AI251" i="3"/>
  <c r="AJ251" i="3" s="1"/>
  <c r="AI252" i="3"/>
  <c r="AJ252" i="3"/>
  <c r="AI180" i="3"/>
  <c r="AJ180" i="3"/>
  <c r="AI145" i="3"/>
  <c r="AJ145" i="3" s="1"/>
  <c r="AI205" i="3"/>
  <c r="AJ205" i="3"/>
  <c r="AI203" i="3"/>
  <c r="AJ203" i="3"/>
  <c r="AI163" i="3"/>
  <c r="AJ163" i="3" s="1"/>
  <c r="AI186" i="3"/>
  <c r="AJ186" i="3"/>
  <c r="AI7" i="3"/>
  <c r="AJ7" i="3" s="1"/>
  <c r="AI8" i="3"/>
  <c r="AJ8" i="3"/>
  <c r="AI9" i="3"/>
  <c r="AJ9" i="3"/>
  <c r="AI10" i="3"/>
  <c r="AJ10" i="3" s="1"/>
  <c r="AI11" i="3"/>
  <c r="AJ11" i="3"/>
  <c r="AI12" i="3"/>
  <c r="AJ12" i="3"/>
  <c r="AI13" i="3"/>
  <c r="AJ13" i="3" s="1"/>
  <c r="AI14" i="3"/>
  <c r="AJ14" i="3"/>
  <c r="AI15" i="3"/>
  <c r="AJ15" i="3" s="1"/>
  <c r="AI16" i="3"/>
  <c r="AJ16" i="3"/>
  <c r="AI17" i="3"/>
  <c r="AJ17" i="3"/>
  <c r="AI18" i="3"/>
  <c r="AJ18" i="3" s="1"/>
  <c r="AI19" i="3"/>
  <c r="AJ19" i="3"/>
  <c r="AI20" i="3"/>
  <c r="AJ20" i="3"/>
  <c r="AI21" i="3"/>
  <c r="AJ21" i="3" s="1"/>
  <c r="AI22" i="3"/>
  <c r="AJ22" i="3"/>
  <c r="AI23" i="3"/>
  <c r="AJ23" i="3" s="1"/>
  <c r="AI24" i="3"/>
  <c r="AJ24" i="3"/>
  <c r="AI25" i="3"/>
  <c r="AJ25" i="3"/>
  <c r="AI26" i="3"/>
  <c r="AJ26" i="3" s="1"/>
  <c r="AI27" i="3"/>
  <c r="AJ27" i="3"/>
  <c r="AI28" i="3"/>
  <c r="AJ28" i="3"/>
  <c r="AI29" i="3"/>
  <c r="AJ29" i="3" s="1"/>
  <c r="AI30" i="3"/>
  <c r="AJ30" i="3"/>
  <c r="AI31" i="3"/>
  <c r="AJ31" i="3" s="1"/>
  <c r="AI32" i="3"/>
  <c r="AJ32" i="3"/>
  <c r="AI33" i="3"/>
  <c r="AJ33" i="3"/>
  <c r="AI34" i="3"/>
  <c r="AJ34" i="3" s="1"/>
  <c r="AI35" i="3"/>
  <c r="AJ35" i="3"/>
  <c r="AI36" i="3"/>
  <c r="AJ36" i="3"/>
  <c r="AI37" i="3"/>
  <c r="AJ37" i="3" s="1"/>
  <c r="AI38" i="3"/>
  <c r="AJ38" i="3"/>
  <c r="AI39" i="3"/>
  <c r="AJ39" i="3" s="1"/>
  <c r="AI40" i="3"/>
  <c r="AJ40" i="3"/>
  <c r="AI41" i="3"/>
  <c r="AJ41" i="3"/>
  <c r="AI42" i="3"/>
  <c r="AJ42" i="3" s="1"/>
  <c r="AI43" i="3"/>
  <c r="AJ43" i="3"/>
  <c r="AI44" i="3"/>
  <c r="AJ44" i="3"/>
  <c r="AI45" i="3"/>
  <c r="AJ45" i="3" s="1"/>
  <c r="AI46" i="3"/>
  <c r="AJ46" i="3"/>
  <c r="AI47" i="3"/>
  <c r="AJ47" i="3" s="1"/>
  <c r="AI48" i="3"/>
  <c r="AJ48" i="3"/>
  <c r="AI49" i="3"/>
  <c r="AJ49" i="3"/>
  <c r="AI185" i="3"/>
  <c r="AJ185" i="3" s="1"/>
  <c r="AI50" i="3"/>
  <c r="AJ50" i="3"/>
  <c r="AI51" i="3"/>
  <c r="AJ51" i="3"/>
  <c r="AI52" i="3"/>
  <c r="AJ52" i="3" s="1"/>
  <c r="AI53" i="3"/>
  <c r="AJ53" i="3"/>
  <c r="AI54" i="3"/>
  <c r="AJ54" i="3" s="1"/>
  <c r="AI55" i="3"/>
  <c r="AJ55" i="3"/>
  <c r="AI56" i="3"/>
  <c r="AJ56" i="3"/>
  <c r="AI57" i="3"/>
  <c r="AJ57" i="3" s="1"/>
  <c r="AI58" i="3"/>
  <c r="AJ58" i="3"/>
  <c r="AI59" i="3"/>
  <c r="AJ59" i="3"/>
  <c r="AI60" i="3"/>
  <c r="AJ60" i="3" s="1"/>
  <c r="AI61" i="3"/>
  <c r="AJ61" i="3"/>
  <c r="AI62" i="3"/>
  <c r="AJ62" i="3" s="1"/>
  <c r="AI63" i="3"/>
  <c r="AJ63" i="3"/>
  <c r="AI64" i="3"/>
  <c r="AJ64" i="3"/>
  <c r="AI65" i="3"/>
  <c r="AJ65" i="3" s="1"/>
  <c r="AI187" i="3"/>
  <c r="AJ187" i="3"/>
  <c r="AI215" i="3"/>
  <c r="AJ215" i="3"/>
  <c r="AI194" i="3"/>
  <c r="AJ194" i="3" s="1"/>
  <c r="AI197" i="3"/>
  <c r="AJ197" i="3"/>
  <c r="AI208" i="3"/>
  <c r="AJ208" i="3" s="1"/>
  <c r="AI246" i="3"/>
  <c r="AJ246" i="3"/>
  <c r="AI195" i="3"/>
  <c r="AJ195" i="3"/>
  <c r="AI150" i="3"/>
  <c r="AJ150" i="3" s="1"/>
  <c r="AI157" i="3"/>
  <c r="AJ157" i="3"/>
  <c r="AI160" i="3"/>
  <c r="AJ160" i="3"/>
  <c r="AI207" i="3"/>
  <c r="AJ207" i="3" s="1"/>
  <c r="AI240" i="3"/>
  <c r="AJ240" i="3"/>
  <c r="AI223" i="3"/>
  <c r="AJ223" i="3" s="1"/>
  <c r="AI230" i="3"/>
  <c r="AJ230" i="3"/>
  <c r="AI239" i="3"/>
  <c r="AJ239" i="3"/>
  <c r="AI66" i="3"/>
  <c r="AJ66" i="3" s="1"/>
  <c r="AI67" i="3"/>
  <c r="AJ67" i="3"/>
  <c r="AI68" i="3"/>
  <c r="AJ68" i="3"/>
  <c r="AI69" i="3"/>
  <c r="AJ69" i="3" s="1"/>
  <c r="AI70" i="3"/>
  <c r="AJ70" i="3"/>
  <c r="AI71" i="3"/>
  <c r="AJ71" i="3" s="1"/>
  <c r="AI72" i="3"/>
  <c r="AJ72" i="3"/>
  <c r="AI199" i="3"/>
  <c r="AJ199" i="3"/>
  <c r="AI169" i="3"/>
  <c r="AJ169" i="3" s="1"/>
  <c r="AI220" i="3"/>
  <c r="AJ220" i="3"/>
  <c r="AI218" i="3"/>
  <c r="AJ218" i="3"/>
  <c r="AI219" i="3"/>
  <c r="AJ219" i="3" s="1"/>
  <c r="AI217" i="3"/>
  <c r="AJ217" i="3"/>
  <c r="AI214" i="3"/>
  <c r="AJ214" i="3" s="1"/>
  <c r="AI216" i="3"/>
  <c r="AJ216" i="3"/>
  <c r="AI222" i="3"/>
  <c r="AJ222" i="3"/>
  <c r="AI209" i="3"/>
  <c r="AJ209" i="3" s="1"/>
  <c r="AI224" i="3"/>
  <c r="AJ224" i="3"/>
  <c r="AI244" i="3"/>
  <c r="AJ244" i="3"/>
  <c r="AI73" i="3"/>
  <c r="AJ73" i="3" s="1"/>
  <c r="AI74" i="3"/>
  <c r="AJ74" i="3"/>
  <c r="AI75" i="3"/>
  <c r="AJ75" i="3" s="1"/>
  <c r="AI76" i="3"/>
  <c r="AJ76" i="3"/>
  <c r="AI202" i="3"/>
  <c r="AJ202" i="3"/>
  <c r="AI114" i="3"/>
  <c r="AJ114" i="3" s="1"/>
  <c r="AI154" i="3"/>
  <c r="AJ154" i="3"/>
  <c r="AI123" i="3"/>
  <c r="AJ123" i="3"/>
  <c r="AI113" i="3"/>
  <c r="AJ113" i="3" s="1"/>
  <c r="AI128" i="3"/>
  <c r="AJ128" i="3"/>
  <c r="AI142" i="3"/>
  <c r="AJ142" i="3" s="1"/>
  <c r="AI206" i="3"/>
  <c r="AJ206" i="3"/>
  <c r="AI182" i="3"/>
  <c r="AJ182" i="3"/>
  <c r="AI237" i="3"/>
  <c r="AJ237" i="3" s="1"/>
  <c r="AI212" i="3"/>
  <c r="AJ212" i="3"/>
  <c r="AI173" i="3"/>
  <c r="AJ173" i="3"/>
  <c r="AI121" i="3"/>
  <c r="AJ121" i="3" s="1"/>
  <c r="AI213" i="3"/>
  <c r="AJ213" i="3"/>
  <c r="AI165" i="3"/>
  <c r="AJ165" i="3" s="1"/>
  <c r="AI127" i="3"/>
  <c r="AJ127" i="3"/>
  <c r="AI234" i="3"/>
  <c r="AJ234" i="3"/>
  <c r="AI190" i="3"/>
  <c r="AJ190" i="3" s="1"/>
  <c r="AI129" i="3"/>
  <c r="AJ129" i="3"/>
  <c r="AI144" i="3"/>
  <c r="AJ144" i="3"/>
  <c r="AI135" i="3"/>
  <c r="AJ135" i="3" s="1"/>
  <c r="AI132" i="3"/>
  <c r="AJ132" i="3"/>
  <c r="AI120" i="3"/>
  <c r="AJ120" i="3" s="1"/>
  <c r="AI136" i="3"/>
  <c r="AJ136" i="3"/>
  <c r="AI152" i="3"/>
  <c r="AJ152" i="3"/>
  <c r="AI161" i="3"/>
  <c r="AJ161" i="3" s="1"/>
  <c r="AI191" i="3"/>
  <c r="AJ191" i="3"/>
  <c r="AI175" i="3"/>
  <c r="AJ175" i="3"/>
  <c r="AI176" i="3"/>
  <c r="AJ176" i="3" s="1"/>
  <c r="AI177" i="3"/>
  <c r="AJ177" i="3"/>
  <c r="AI178" i="3"/>
  <c r="AJ178" i="3" s="1"/>
  <c r="AI137" i="3"/>
  <c r="AJ137" i="3"/>
  <c r="AI149" i="3"/>
  <c r="AJ149" i="3"/>
  <c r="AI158" i="3"/>
  <c r="AJ158" i="3" s="1"/>
  <c r="AI170" i="3"/>
  <c r="AJ170" i="3"/>
  <c r="AI124" i="3"/>
  <c r="AJ124" i="3"/>
  <c r="AI138" i="3"/>
  <c r="AJ138" i="3" s="1"/>
  <c r="AI141" i="3"/>
  <c r="AJ141" i="3"/>
  <c r="AI148" i="3"/>
  <c r="AJ148" i="3" s="1"/>
  <c r="AI77" i="3"/>
  <c r="AJ77" i="3"/>
  <c r="AI78" i="3"/>
  <c r="AJ78" i="3"/>
  <c r="AI79" i="3"/>
  <c r="AJ79" i="3" s="1"/>
  <c r="AI80" i="3"/>
  <c r="AJ80" i="3"/>
  <c r="AI81" i="3"/>
  <c r="AJ81" i="3"/>
  <c r="AI82" i="3"/>
  <c r="AJ82" i="3" s="1"/>
  <c r="AI83" i="3"/>
  <c r="AJ83" i="3"/>
  <c r="AI84" i="3"/>
  <c r="AJ84" i="3" s="1"/>
  <c r="AI85" i="3"/>
  <c r="AJ85" i="3"/>
  <c r="AI86" i="3"/>
  <c r="AJ86" i="3"/>
  <c r="AI87" i="3"/>
  <c r="AJ87" i="3" s="1"/>
  <c r="AI92" i="3"/>
  <c r="AJ92" i="3"/>
  <c r="AI116" i="3"/>
  <c r="AJ116" i="3"/>
  <c r="AI91" i="3"/>
  <c r="AJ91" i="3" s="1"/>
  <c r="AI93" i="3"/>
  <c r="AJ93" i="3"/>
  <c r="AI89" i="3"/>
  <c r="AJ89" i="3" s="1"/>
  <c r="AI90" i="3"/>
  <c r="AJ90" i="3"/>
  <c r="AI171" i="3"/>
  <c r="AJ171" i="3"/>
  <c r="AI109" i="3"/>
  <c r="AJ109" i="3" s="1"/>
  <c r="AI115" i="3"/>
  <c r="AJ115" i="3"/>
  <c r="AI112" i="3"/>
  <c r="AJ112" i="3"/>
  <c r="AI119" i="3"/>
  <c r="AJ119" i="3" s="1"/>
  <c r="AI96" i="3"/>
  <c r="AJ96" i="3"/>
  <c r="AI105" i="3"/>
  <c r="AJ105" i="3" s="1"/>
  <c r="AI110" i="3"/>
  <c r="AJ110" i="3"/>
  <c r="AI101" i="3"/>
  <c r="AJ101" i="3"/>
  <c r="AI117" i="3"/>
  <c r="AJ117" i="3" s="1"/>
  <c r="AI167" i="3"/>
  <c r="AJ167" i="3"/>
  <c r="AI98" i="3"/>
  <c r="AJ98" i="3"/>
  <c r="AI102" i="3"/>
  <c r="AJ102" i="3" s="1"/>
  <c r="AI97" i="3"/>
  <c r="AJ97" i="3"/>
  <c r="AI122" i="3"/>
  <c r="AJ122" i="3" s="1"/>
  <c r="AI118" i="3"/>
  <c r="AJ118" i="3"/>
  <c r="AI100" i="3"/>
  <c r="AJ100" i="3"/>
  <c r="AI111" i="3"/>
  <c r="AJ111" i="3" s="1"/>
  <c r="AI108" i="3"/>
  <c r="AJ108" i="3"/>
  <c r="AI103" i="3"/>
  <c r="AJ103" i="3"/>
  <c r="AI179" i="3"/>
  <c r="AJ179" i="3" s="1"/>
  <c r="AI95" i="3"/>
  <c r="AJ95" i="3"/>
  <c r="AI104" i="3"/>
  <c r="AJ104" i="3" s="1"/>
  <c r="AI164" i="3"/>
  <c r="AJ164" i="3"/>
  <c r="AI192" i="3"/>
  <c r="AJ192" i="3"/>
  <c r="AI193" i="3"/>
  <c r="AJ193" i="3" s="1"/>
  <c r="AI172" i="3"/>
  <c r="AJ172" i="3"/>
  <c r="AI168" i="3"/>
  <c r="AJ168" i="3"/>
  <c r="AI162" i="3"/>
  <c r="AJ162" i="3" s="1"/>
  <c r="AI184" i="3"/>
  <c r="AJ184" i="3"/>
  <c r="AI131" i="3"/>
  <c r="AJ131" i="3" s="1"/>
  <c r="AI140" i="3"/>
  <c r="AJ140" i="3"/>
  <c r="AI151" i="3"/>
  <c r="AJ151" i="3"/>
  <c r="AI133" i="3"/>
  <c r="AJ133" i="3" s="1"/>
  <c r="AI88" i="3"/>
  <c r="AJ88" i="3"/>
  <c r="AI166" i="3"/>
  <c r="AJ166" i="3"/>
  <c r="AI181" i="3"/>
  <c r="AJ181" i="3" s="1"/>
  <c r="AI183" i="3"/>
  <c r="AJ183" i="3"/>
  <c r="AI188" i="3"/>
  <c r="AJ188" i="3" s="1"/>
  <c r="AI196" i="3"/>
  <c r="AJ196" i="3"/>
  <c r="AI201" i="3"/>
  <c r="AJ201" i="3"/>
  <c r="AI211" i="3"/>
  <c r="AJ211" i="3" s="1"/>
  <c r="AI221" i="3"/>
  <c r="AJ221" i="3"/>
  <c r="AI231" i="3"/>
  <c r="AJ231" i="3"/>
  <c r="AI232" i="3"/>
  <c r="AJ232" i="3" s="1"/>
  <c r="AI233" i="3"/>
  <c r="AJ233" i="3"/>
  <c r="AI204" i="3"/>
  <c r="AJ204" i="3" s="1"/>
  <c r="AI159" i="3"/>
  <c r="AJ159" i="3"/>
  <c r="AI174" i="3"/>
  <c r="AJ174" i="3"/>
  <c r="AI146" i="3"/>
  <c r="AJ146" i="3" s="1"/>
  <c r="AI155" i="3"/>
  <c r="AJ155" i="3"/>
  <c r="AI106" i="3"/>
  <c r="AJ106" i="3"/>
  <c r="AI134" i="3"/>
  <c r="AJ134" i="3" s="1"/>
  <c r="AI139" i="3"/>
  <c r="AJ139" i="3"/>
  <c r="AI125" i="3"/>
  <c r="AJ125" i="3" s="1"/>
  <c r="AI107" i="3"/>
  <c r="AJ107" i="3" s="1"/>
  <c r="AI94" i="3"/>
  <c r="AJ94" i="3"/>
  <c r="AI99" i="3"/>
  <c r="AJ99" i="3" s="1"/>
  <c r="AI147" i="3"/>
  <c r="AJ147" i="3"/>
  <c r="AI198" i="3"/>
  <c r="AJ198" i="3"/>
  <c r="AI130" i="3"/>
  <c r="AJ130" i="3" s="1"/>
  <c r="AI156" i="3"/>
  <c r="AJ156" i="3"/>
  <c r="AI126" i="3"/>
  <c r="AJ126" i="3" s="1"/>
  <c r="AI143" i="3"/>
  <c r="AJ143" i="3"/>
  <c r="AI153" i="3"/>
  <c r="AJ153" i="3"/>
  <c r="AI238" i="3"/>
  <c r="AJ238" i="3"/>
  <c r="AJ221" i="2"/>
  <c r="AI221" i="2"/>
  <c r="AH221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" i="2"/>
  <c r="AI118" i="2"/>
  <c r="AI112" i="2"/>
  <c r="AI124" i="2"/>
  <c r="AI130" i="2"/>
  <c r="AI156" i="2"/>
  <c r="AI175" i="2"/>
  <c r="AI2" i="2"/>
  <c r="AI3" i="2"/>
  <c r="AI34" i="2"/>
  <c r="AI117" i="2"/>
  <c r="AI98" i="2"/>
  <c r="AI174" i="2"/>
  <c r="AI176" i="2"/>
  <c r="AI179" i="2"/>
  <c r="AI182" i="2"/>
  <c r="AI188" i="2"/>
  <c r="AI190" i="2"/>
  <c r="AI184" i="2"/>
  <c r="AI197" i="2"/>
  <c r="AI198" i="2"/>
  <c r="AI212" i="2"/>
  <c r="AI214" i="2"/>
  <c r="AI191" i="2"/>
  <c r="AI219" i="2"/>
  <c r="AI202" i="2"/>
  <c r="AI213" i="2"/>
  <c r="AI186" i="2"/>
  <c r="AI177" i="2"/>
  <c r="AI208" i="2"/>
  <c r="AI185" i="2"/>
  <c r="AI171" i="2"/>
  <c r="AI172" i="2"/>
  <c r="AI137" i="2"/>
  <c r="AI170" i="2"/>
  <c r="AI168" i="2"/>
  <c r="AI165" i="2"/>
  <c r="AI178" i="2"/>
  <c r="AI4" i="2"/>
  <c r="AI113" i="2"/>
  <c r="AI180" i="2"/>
  <c r="AI105" i="2"/>
  <c r="AI90" i="2"/>
  <c r="AI80" i="2"/>
  <c r="AI88" i="2"/>
  <c r="AI81" i="2"/>
  <c r="AI79" i="2"/>
  <c r="AI94" i="2"/>
  <c r="AI89" i="2"/>
  <c r="AI92" i="2"/>
  <c r="AI116" i="2"/>
  <c r="AI102" i="2"/>
  <c r="AI109" i="2"/>
  <c r="AI107" i="2"/>
  <c r="AI99" i="2"/>
  <c r="AI93" i="2"/>
  <c r="AI103" i="2"/>
  <c r="AI97" i="2"/>
  <c r="AI100" i="2"/>
  <c r="AI67" i="2"/>
  <c r="AI60" i="2"/>
  <c r="AI57" i="2"/>
  <c r="AI56" i="2"/>
  <c r="AI5" i="2"/>
  <c r="AI6" i="2"/>
  <c r="AI7" i="2"/>
  <c r="AI8" i="2"/>
  <c r="AI9" i="2"/>
  <c r="AI10" i="2"/>
  <c r="AI82" i="2"/>
  <c r="AI38" i="2"/>
  <c r="AI19" i="2"/>
  <c r="AI23" i="2"/>
  <c r="AI36" i="2"/>
  <c r="AI29" i="2"/>
  <c r="AI45" i="2"/>
  <c r="AI13" i="2"/>
  <c r="AI15" i="2"/>
  <c r="AI14" i="2"/>
  <c r="AI85" i="2"/>
  <c r="AI41" i="2"/>
  <c r="AI40" i="2"/>
  <c r="AI25" i="2"/>
  <c r="AI55" i="2"/>
  <c r="AI52" i="2"/>
  <c r="AI32" i="2"/>
  <c r="AI22" i="2"/>
  <c r="AI17" i="2"/>
  <c r="AI21" i="2"/>
  <c r="AI78" i="2"/>
  <c r="AI35" i="2"/>
  <c r="AI53" i="2"/>
  <c r="AI54" i="2"/>
  <c r="AI33" i="2"/>
  <c r="AI43" i="2"/>
  <c r="AI62" i="2"/>
  <c r="AI68" i="2"/>
  <c r="AI20" i="2"/>
  <c r="AI18" i="2"/>
  <c r="AI51" i="2"/>
  <c r="AI64" i="2"/>
  <c r="AI63" i="2"/>
  <c r="AI121" i="2"/>
  <c r="AI104" i="2"/>
  <c r="AI115" i="2"/>
  <c r="AI83" i="2"/>
  <c r="AI86" i="2"/>
  <c r="AI72" i="2"/>
  <c r="AI110" i="2"/>
  <c r="AI46" i="2"/>
  <c r="AI65" i="2"/>
  <c r="AI48" i="2"/>
  <c r="AI70" i="2"/>
  <c r="AI75" i="2"/>
  <c r="AI37" i="2"/>
  <c r="AI49" i="2"/>
  <c r="AI27" i="2"/>
  <c r="AI24" i="2"/>
  <c r="AI47" i="2"/>
  <c r="AI61" i="2"/>
  <c r="AI69" i="2"/>
  <c r="AI74" i="2"/>
  <c r="AI77" i="2"/>
  <c r="AI84" i="2"/>
  <c r="AI16" i="2"/>
  <c r="AI30" i="2"/>
  <c r="AI31" i="2"/>
  <c r="AI26" i="2"/>
  <c r="AI44" i="2"/>
  <c r="AI59" i="2"/>
  <c r="AI66" i="2"/>
  <c r="AI71" i="2"/>
  <c r="AI76" i="2"/>
  <c r="AI87" i="2"/>
  <c r="AI166" i="2"/>
  <c r="AI101" i="2"/>
  <c r="AI111" i="2"/>
  <c r="AI106" i="2"/>
  <c r="AI108" i="2"/>
  <c r="AI114" i="2"/>
  <c r="AI122" i="2"/>
  <c r="AI134" i="2"/>
  <c r="AI146" i="2"/>
  <c r="AI152" i="2"/>
  <c r="AI140" i="2"/>
  <c r="AI159" i="2"/>
  <c r="AI135" i="2"/>
  <c r="AI157" i="2"/>
  <c r="AI148" i="2"/>
  <c r="AI145" i="2"/>
  <c r="AI147" i="2"/>
  <c r="AI73" i="2"/>
  <c r="AI91" i="2"/>
  <c r="AI95" i="2"/>
  <c r="AI96" i="2"/>
  <c r="AI129" i="2"/>
  <c r="AI167" i="2"/>
  <c r="AI169" i="2"/>
  <c r="AI163" i="2"/>
  <c r="AI155" i="2"/>
  <c r="AI131" i="2"/>
  <c r="AI132" i="2"/>
  <c r="AI143" i="2"/>
  <c r="AI123" i="2"/>
  <c r="AI125" i="2"/>
  <c r="AI128" i="2"/>
  <c r="AI28" i="2"/>
  <c r="AI119" i="2"/>
  <c r="AI210" i="2"/>
  <c r="AI158" i="2"/>
  <c r="AI142" i="2"/>
  <c r="AI144" i="2"/>
  <c r="AI149" i="2"/>
  <c r="AI151" i="2"/>
  <c r="AI153" i="2"/>
  <c r="AI150" i="2"/>
  <c r="AI139" i="2"/>
  <c r="AI136" i="2"/>
  <c r="AI141" i="2"/>
  <c r="AI39" i="2"/>
  <c r="AI42" i="2"/>
  <c r="AI216" i="2"/>
  <c r="AI215" i="2"/>
  <c r="AI217" i="2"/>
  <c r="AI218" i="2"/>
  <c r="AI161" i="2"/>
  <c r="AI160" i="2"/>
  <c r="AI183" i="2"/>
  <c r="AI58" i="2"/>
  <c r="AI181" i="2"/>
  <c r="AI196" i="2"/>
  <c r="AI192" i="2"/>
  <c r="AI199" i="2"/>
  <c r="AI189" i="2"/>
  <c r="AI201" i="2"/>
  <c r="AI209" i="2"/>
  <c r="AI187" i="2"/>
  <c r="AI138" i="2"/>
  <c r="AI173" i="2"/>
  <c r="AI154" i="2"/>
  <c r="AI162" i="2"/>
  <c r="AI164" i="2"/>
  <c r="AI126" i="2"/>
  <c r="AI127" i="2"/>
  <c r="AI133" i="2"/>
  <c r="AI120" i="2"/>
  <c r="AI11" i="2"/>
  <c r="AI203" i="2"/>
  <c r="AI200" i="2"/>
  <c r="AI205" i="2"/>
  <c r="AI207" i="2"/>
  <c r="AI211" i="2"/>
  <c r="AI195" i="2"/>
  <c r="AI204" i="2"/>
  <c r="AI193" i="2"/>
  <c r="AI194" i="2"/>
  <c r="AI206" i="2"/>
  <c r="AI12" i="2"/>
  <c r="AI50" i="2"/>
</calcChain>
</file>

<file path=xl/sharedStrings.xml><?xml version="1.0" encoding="utf-8"?>
<sst xmlns="http://schemas.openxmlformats.org/spreadsheetml/2006/main" count="13944" uniqueCount="1371">
  <si>
    <t>Perovskite</t>
  </si>
  <si>
    <t>Hill formula</t>
  </si>
  <si>
    <t>Interlayer space composition</t>
  </si>
  <si>
    <t>Class</t>
  </si>
  <si>
    <t>Bandgap, eV</t>
  </si>
  <si>
    <t>Materials Project ID</t>
  </si>
  <si>
    <t>COD_ID</t>
  </si>
  <si>
    <t>Springer_ID</t>
  </si>
  <si>
    <t>Z</t>
  </si>
  <si>
    <t>a, A</t>
  </si>
  <si>
    <t>b, A</t>
  </si>
  <si>
    <t>c, A</t>
  </si>
  <si>
    <t>Symmetry group</t>
  </si>
  <si>
    <t>d,A</t>
  </si>
  <si>
    <t>Number of octahedrons on a layer</t>
  </si>
  <si>
    <t>Prep Method</t>
  </si>
  <si>
    <t>CalcT(K)</t>
  </si>
  <si>
    <t>Calc time (h)</t>
  </si>
  <si>
    <t>Nitrogen</t>
  </si>
  <si>
    <t>Promotion method</t>
  </si>
  <si>
    <t>Promoter</t>
  </si>
  <si>
    <t>Promoter, w%</t>
  </si>
  <si>
    <t>Surface area, m2/g</t>
  </si>
  <si>
    <t>CatW, g/L</t>
  </si>
  <si>
    <t>Alcohol, %</t>
  </si>
  <si>
    <t>Sac Agent 1</t>
  </si>
  <si>
    <t>Sac agent 2</t>
  </si>
  <si>
    <t>Light type</t>
  </si>
  <si>
    <t>Power, W</t>
  </si>
  <si>
    <t>Wave length min, nm</t>
  </si>
  <si>
    <t>Cell material</t>
  </si>
  <si>
    <t>Temperature, K</t>
  </si>
  <si>
    <t>Rate, umol/(g*h)</t>
  </si>
  <si>
    <t>MP_CIF_modifier</t>
  </si>
  <si>
    <t>COD_CIF_modifier</t>
  </si>
  <si>
    <t>Springer_CIF_modifier</t>
  </si>
  <si>
    <t>Materials Project verification</t>
  </si>
  <si>
    <t>COD verification</t>
  </si>
  <si>
    <t>Springer verification</t>
  </si>
  <si>
    <t>General verification</t>
  </si>
  <si>
    <t>MP_CIF_modified</t>
  </si>
  <si>
    <t>COD_CIF_modified</t>
  </si>
  <si>
    <t>Springer_CIF_modified</t>
  </si>
  <si>
    <t>Log_rate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</si>
  <si>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</si>
  <si>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</si>
  <si>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</si>
  <si>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</si>
  <si>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</si>
  <si>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</si>
  <si>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</si>
  <si>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</si>
  <si>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Average Mulliken electronegativity</t>
  </si>
  <si>
    <t>Valence electrons</t>
  </si>
  <si>
    <t>Volume_MP</t>
  </si>
  <si>
    <t>Z_MP</t>
  </si>
  <si>
    <t>Valence Electrons Density_MP</t>
  </si>
  <si>
    <t>a_MP</t>
  </si>
  <si>
    <t>b_MP</t>
  </si>
  <si>
    <t>c_MP</t>
  </si>
  <si>
    <t>Volume_COD</t>
  </si>
  <si>
    <t>Z_COD</t>
  </si>
  <si>
    <t>Valence Electrons Density_COD</t>
  </si>
  <si>
    <t>a_COD</t>
  </si>
  <si>
    <t>b_COD</t>
  </si>
  <si>
    <t>c_COD</t>
  </si>
  <si>
    <t>Volume_Springer</t>
  </si>
  <si>
    <t>Z_Springer</t>
  </si>
  <si>
    <t>Valence Electrons Density_Springer</t>
  </si>
  <si>
    <t>a_Springer</t>
  </si>
  <si>
    <t>b_Springer</t>
  </si>
  <si>
    <t>c_Springer</t>
  </si>
  <si>
    <t>Volume_manual</t>
  </si>
  <si>
    <t>Valence Electrons Density_manual</t>
  </si>
  <si>
    <t>Oxygen_count</t>
  </si>
  <si>
    <t>Oxygen_concentration_manual</t>
  </si>
  <si>
    <t>Oxygen_concentration_MP</t>
  </si>
  <si>
    <t>Oxygen_concentration_COD</t>
  </si>
  <si>
    <t>Oxygen_concentration_Springer</t>
  </si>
  <si>
    <t>MP_packing_fraction</t>
  </si>
  <si>
    <t>COD_packing_fraction</t>
  </si>
  <si>
    <t>Springer_packing_fraction</t>
  </si>
  <si>
    <t>Manual_packing_fraction</t>
  </si>
  <si>
    <t>K4Nb6O17</t>
  </si>
  <si>
    <t>K4 Nb6 O17</t>
  </si>
  <si>
    <t>mp-560692</t>
  </si>
  <si>
    <t>1001842</t>
  </si>
  <si>
    <t>SSR</t>
  </si>
  <si>
    <t>No promotion</t>
  </si>
  <si>
    <t>No promoter</t>
  </si>
  <si>
    <t>Hg lamp</t>
  </si>
  <si>
    <t>quartz</t>
  </si>
  <si>
    <t>KLaNb2O7</t>
  </si>
  <si>
    <t>K1 La1 Nb2 O7</t>
  </si>
  <si>
    <t>HLaNb2O7</t>
  </si>
  <si>
    <t>mp-1223501</t>
  </si>
  <si>
    <t>1545643</t>
  </si>
  <si>
    <t>Pmaa</t>
  </si>
  <si>
    <t>RbLaNb2O7</t>
  </si>
  <si>
    <t>Rb1 La1 Nb2 O7</t>
  </si>
  <si>
    <t>mp-553965</t>
  </si>
  <si>
    <t>P4/mmm</t>
  </si>
  <si>
    <t>CsLaNb2O7</t>
  </si>
  <si>
    <t>Cs1 La1 Nb2 O7</t>
  </si>
  <si>
    <t>mp-553248</t>
  </si>
  <si>
    <t>2004917</t>
  </si>
  <si>
    <t>KCa2Nb3O10</t>
  </si>
  <si>
    <t>K1 Ca2 Nb3 O10</t>
  </si>
  <si>
    <t>mp-557195</t>
  </si>
  <si>
    <t>1521061</t>
  </si>
  <si>
    <t>P42412</t>
  </si>
  <si>
    <t>RbCa2Nb3O10</t>
  </si>
  <si>
    <t>Rb1 Ca2 Nb3 O10</t>
  </si>
  <si>
    <t>mp-20396</t>
  </si>
  <si>
    <t>2238958</t>
  </si>
  <si>
    <t>P4212</t>
  </si>
  <si>
    <t>CsCa2Nb3O10</t>
  </si>
  <si>
    <t>Cs1 Ca2 Nb3 O10</t>
  </si>
  <si>
    <t>mp-581330</t>
  </si>
  <si>
    <t>1518045</t>
  </si>
  <si>
    <t>KSr2Nb3O10</t>
  </si>
  <si>
    <t>K1 Sr2 Nb3 O10</t>
  </si>
  <si>
    <t>P21/m</t>
  </si>
  <si>
    <t>Ca-&gt;Sr</t>
  </si>
  <si>
    <t>M_MP0</t>
  </si>
  <si>
    <t>PD</t>
  </si>
  <si>
    <t>Pt</t>
  </si>
  <si>
    <t>M_MP1</t>
  </si>
  <si>
    <t>TiO2</t>
  </si>
  <si>
    <t>Ti1 O2</t>
  </si>
  <si>
    <t>oxide</t>
  </si>
  <si>
    <t>mp-1245098</t>
  </si>
  <si>
    <t>1010942</t>
  </si>
  <si>
    <t>inf</t>
  </si>
  <si>
    <t>H4Nb6O17</t>
  </si>
  <si>
    <t>H4 Nb6 O17</t>
  </si>
  <si>
    <t>K-&gt;H</t>
  </si>
  <si>
    <t>M_MP2</t>
  </si>
  <si>
    <t>H1 La1 Nb2 O7</t>
  </si>
  <si>
    <t>mp-1205881</t>
  </si>
  <si>
    <t>HCa2Nb3O10</t>
  </si>
  <si>
    <t>H1 Ca2 Nb3 O10</t>
  </si>
  <si>
    <t>mp-10347</t>
  </si>
  <si>
    <t>sd_1614775</t>
  </si>
  <si>
    <t>Cs-&gt;H; Ta-&gt;Nb</t>
  </si>
  <si>
    <t>M_MP3</t>
  </si>
  <si>
    <t>M_COD0</t>
  </si>
  <si>
    <t>M_MP4</t>
  </si>
  <si>
    <t>M_COD1</t>
  </si>
  <si>
    <t>M_MP5</t>
  </si>
  <si>
    <t>M_COD2</t>
  </si>
  <si>
    <t>HSr2Nb3O10</t>
  </si>
  <si>
    <t>H1 Sr2 Nb3 O10</t>
  </si>
  <si>
    <t>Cs-&gt;H; Ca-&gt;Sr; Ta-&gt;Nb</t>
  </si>
  <si>
    <t>M_MP6</t>
  </si>
  <si>
    <t>M_COD3</t>
  </si>
  <si>
    <t>M_MP7</t>
  </si>
  <si>
    <t>M_MP8</t>
  </si>
  <si>
    <t>M_COD4</t>
  </si>
  <si>
    <t>M_MP9</t>
  </si>
  <si>
    <t>M_COD5</t>
  </si>
  <si>
    <t>M_MP10</t>
  </si>
  <si>
    <t>M_COD6</t>
  </si>
  <si>
    <t>M_MP11</t>
  </si>
  <si>
    <t>M_COD7</t>
  </si>
  <si>
    <t>Xe lamp</t>
  </si>
  <si>
    <t>K2Nb6O16</t>
  </si>
  <si>
    <t>K1 Nb3 O8</t>
  </si>
  <si>
    <t>mp-27998</t>
  </si>
  <si>
    <t>KNbO3</t>
  </si>
  <si>
    <t>K1 Nb1 O3</t>
  </si>
  <si>
    <t>sd_0308503</t>
  </si>
  <si>
    <t>impregnation</t>
  </si>
  <si>
    <t>NiO</t>
  </si>
  <si>
    <t>RbLaTa2O7</t>
  </si>
  <si>
    <t>Rb1 La1 Ta2 O7</t>
  </si>
  <si>
    <t>mp-541600</t>
  </si>
  <si>
    <t>sd_1050391</t>
  </si>
  <si>
    <t>Pr-&gt;La</t>
  </si>
  <si>
    <t>M_Springer0</t>
  </si>
  <si>
    <t>RbPrTa2O7</t>
  </si>
  <si>
    <t>Rb1 Pr1 Ta2 O7</t>
  </si>
  <si>
    <t>RbNdTa2O7</t>
  </si>
  <si>
    <t>Rb1 Nd1 Ta2 O7</t>
  </si>
  <si>
    <t>Pr-&gt;Nd</t>
  </si>
  <si>
    <t>M_Springer1</t>
  </si>
  <si>
    <t>RbSmTa2O7</t>
  </si>
  <si>
    <t>Rb1 Sm1 Ta2 O7</t>
  </si>
  <si>
    <t>Pr-&gt;Sm</t>
  </si>
  <si>
    <t>M_Springer2</t>
  </si>
  <si>
    <t>M_Springer3</t>
  </si>
  <si>
    <t>M_Springer4</t>
  </si>
  <si>
    <t>M_Springer5</t>
  </si>
  <si>
    <t>CaBi2Ta2O9</t>
  </si>
  <si>
    <t>Ca1 Bi2 Ta2 O9</t>
  </si>
  <si>
    <t>mp-556848</t>
  </si>
  <si>
    <t>1525923</t>
  </si>
  <si>
    <t>A21am</t>
  </si>
  <si>
    <t>SrBi2Ta2O9</t>
  </si>
  <si>
    <t>Sr1 Bi2 Ta2 O9</t>
  </si>
  <si>
    <t>mp-554675</t>
  </si>
  <si>
    <t>1521923</t>
  </si>
  <si>
    <t>BaBi2Ta2O9</t>
  </si>
  <si>
    <t>Ba1 Bi2 Ta2 O9</t>
  </si>
  <si>
    <t>mp-23611</t>
  </si>
  <si>
    <t>1525921</t>
  </si>
  <si>
    <t>I4/mmm</t>
  </si>
  <si>
    <t>CaBi2Nb2O9</t>
  </si>
  <si>
    <t>Ca1 Bi2 Nb2 O9</t>
  </si>
  <si>
    <t>mp-555616</t>
  </si>
  <si>
    <t>SrBi2Nb2O9</t>
  </si>
  <si>
    <t>Sr1 Bi2 Nb2 O9</t>
  </si>
  <si>
    <t>mp-23614</t>
  </si>
  <si>
    <t>1531753</t>
  </si>
  <si>
    <t>BaBi2Nb2O9</t>
  </si>
  <si>
    <t>Ba1 Bi2 Nb2 O9</t>
  </si>
  <si>
    <t>mp-555867</t>
  </si>
  <si>
    <t>7221049</t>
  </si>
  <si>
    <t>PbBi2Nb1.8W0.2O9</t>
  </si>
  <si>
    <t>Pb1 Bi2 Nb1.8 W0.2 O9</t>
  </si>
  <si>
    <t>mp-23101</t>
  </si>
  <si>
    <t>1531664</t>
  </si>
  <si>
    <t>2Nb-&gt; 1.8Nb, 0.2W</t>
  </si>
  <si>
    <t>M_MP12</t>
  </si>
  <si>
    <t>M_COD8</t>
  </si>
  <si>
    <t>PbBi2Nb1.85W0.15O9</t>
  </si>
  <si>
    <t>Pb1 Bi2 Nb1.85 W0.15 O9</t>
  </si>
  <si>
    <t>2Nb-&gt; 1.85Nb, 0.15W</t>
  </si>
  <si>
    <t>M_MP13</t>
  </si>
  <si>
    <t>M_COD9</t>
  </si>
  <si>
    <t>PbBi2Nb1.9W0.1O9</t>
  </si>
  <si>
    <t>Pb1 Bi2 Nb1.9 W0.1 O9</t>
  </si>
  <si>
    <t>2Nb-&gt; 1.9Nb, 0.1W</t>
  </si>
  <si>
    <t>M_MP14</t>
  </si>
  <si>
    <t>M_COD10</t>
  </si>
  <si>
    <t>PbBi2Nb2O9</t>
  </si>
  <si>
    <t>Pb1 Bi2 Nb2 O9</t>
  </si>
  <si>
    <t>PbBi2Nb1.9Ti0.1O9</t>
  </si>
  <si>
    <t>Pb1 Bi2 Nb1.9 Ti0.1 O9</t>
  </si>
  <si>
    <t>2Nb-&gt; 1.9Nb, 0.1Ti</t>
  </si>
  <si>
    <t>M_MP15</t>
  </si>
  <si>
    <t>M_COD11</t>
  </si>
  <si>
    <t>M_Springer6</t>
  </si>
  <si>
    <t>M_Springer7</t>
  </si>
  <si>
    <t>M_Springer8</t>
  </si>
  <si>
    <t>Ta2O5</t>
  </si>
  <si>
    <t>Ta2 O5</t>
  </si>
  <si>
    <t>sd_1232960</t>
  </si>
  <si>
    <t>purchased</t>
  </si>
  <si>
    <t>Nb2O5</t>
  </si>
  <si>
    <t>Nb2 O5</t>
  </si>
  <si>
    <t>sd_0314261</t>
  </si>
  <si>
    <t>PbBi4Ti4O15</t>
  </si>
  <si>
    <t>Pb1 Bi4 Ti4 O15</t>
  </si>
  <si>
    <t>sd_0551678</t>
  </si>
  <si>
    <t>PbTiO3</t>
  </si>
  <si>
    <t>Pb1 Ti1 O3</t>
  </si>
  <si>
    <t>mp-19845</t>
  </si>
  <si>
    <t>1011028</t>
  </si>
  <si>
    <t>La4Ti3O12</t>
  </si>
  <si>
    <t>La4 Ti3 O12</t>
  </si>
  <si>
    <t>mp-3249</t>
  </si>
  <si>
    <t>1526720</t>
  </si>
  <si>
    <t>PTP</t>
  </si>
  <si>
    <t>CaLa4Ti4O15</t>
  </si>
  <si>
    <t>Ca1 La4 Ti4 O15</t>
  </si>
  <si>
    <t>sd_0306542</t>
  </si>
  <si>
    <t>SrLa4Ti4O15</t>
  </si>
  <si>
    <t>Sr1 La4 Ti4 O15</t>
  </si>
  <si>
    <t>sd_0306445</t>
  </si>
  <si>
    <t>BaLa4Ti4O15</t>
  </si>
  <si>
    <t>Ba1 La4 Ti4 O15</t>
  </si>
  <si>
    <t>mp-1228245</t>
  </si>
  <si>
    <t>1526777</t>
  </si>
  <si>
    <t>Ba3LaNb3O12</t>
  </si>
  <si>
    <t>Ba3 La1 Nb3 O12</t>
  </si>
  <si>
    <t>mp-1228150</t>
  </si>
  <si>
    <t>Sr5Nb4O15</t>
  </si>
  <si>
    <t>Sr5 Nb4 O15</t>
  </si>
  <si>
    <t>mp-561133</t>
  </si>
  <si>
    <t>8101224</t>
  </si>
  <si>
    <t>Ba5Nb4O15</t>
  </si>
  <si>
    <t>Ba5 Nb4 O15</t>
  </si>
  <si>
    <t>mp-3563</t>
  </si>
  <si>
    <t>7039788</t>
  </si>
  <si>
    <t>Sr2Ta2O7</t>
  </si>
  <si>
    <t>Sr2 Ta2 O7</t>
  </si>
  <si>
    <t>mp-13664</t>
  </si>
  <si>
    <t>2106523</t>
  </si>
  <si>
    <t>Sr2Nb2O7</t>
  </si>
  <si>
    <t>Sr2 Nb2 O7</t>
  </si>
  <si>
    <t>mp-15590</t>
  </si>
  <si>
    <t>2002850</t>
  </si>
  <si>
    <t>sd_0376709</t>
  </si>
  <si>
    <t>K4Nb4Ta2O17</t>
  </si>
  <si>
    <t>K4 Nb4 Ta2 O17</t>
  </si>
  <si>
    <t>6Nb-&gt;4Nb,2Ta</t>
  </si>
  <si>
    <t>M_MP16</t>
  </si>
  <si>
    <t>M_COD12</t>
  </si>
  <si>
    <t>M_Springer9</t>
  </si>
  <si>
    <t>K4Nb3Ta3O17</t>
  </si>
  <si>
    <t>K4 Nb3 Ta3 O17</t>
  </si>
  <si>
    <t>6Nb-&gt;3Nb,3Ta</t>
  </si>
  <si>
    <t>M_MP17</t>
  </si>
  <si>
    <t>M_COD13</t>
  </si>
  <si>
    <t>M_Springer10</t>
  </si>
  <si>
    <t>K4Nb2Ta4O17</t>
  </si>
  <si>
    <t>K4 Nb2 Ta4 O17</t>
  </si>
  <si>
    <t>6Nb-&gt;2Nb,4Ta</t>
  </si>
  <si>
    <t>M_MP18</t>
  </si>
  <si>
    <t>M_COD14</t>
  </si>
  <si>
    <t>M_Springer11</t>
  </si>
  <si>
    <t>K4Ta6O17</t>
  </si>
  <si>
    <t>K4 Ta6 O17</t>
  </si>
  <si>
    <t>Nb-&gt;Ta</t>
  </si>
  <si>
    <t>M_MP19</t>
  </si>
  <si>
    <t>M_COD15</t>
  </si>
  <si>
    <t>M_Springer12</t>
  </si>
  <si>
    <t>Rb4Nb6O17</t>
  </si>
  <si>
    <t>Rb4 Nb6 O17</t>
  </si>
  <si>
    <t>K-&gt;Rb</t>
  </si>
  <si>
    <t>M_MP20</t>
  </si>
  <si>
    <t>M_COD16</t>
  </si>
  <si>
    <t>M_Springer13</t>
  </si>
  <si>
    <t>Rb4Nb4Ta2O17</t>
  </si>
  <si>
    <t>Rb4 Nb4 Ta2 O17</t>
  </si>
  <si>
    <t>K-&gt;Rb; 6Nb-&gt;4Nb,2Ta</t>
  </si>
  <si>
    <t>M_MP21</t>
  </si>
  <si>
    <t>M_COD17</t>
  </si>
  <si>
    <t>M_Springer14</t>
  </si>
  <si>
    <t>Rb4Nb3Ta3O17</t>
  </si>
  <si>
    <t>Rb4 Nb3 Ta3 O17</t>
  </si>
  <si>
    <t>K-&gt;Rb; 6Nb-&gt;3Nb,3Ta</t>
  </si>
  <si>
    <t>M_MP22</t>
  </si>
  <si>
    <t>M_COD18</t>
  </si>
  <si>
    <t>M_Springer15</t>
  </si>
  <si>
    <t>Rb4Nb2Ta4O17</t>
  </si>
  <si>
    <t>Rb4 Nb2 Ta4 O17</t>
  </si>
  <si>
    <t>K-&gt;Rb; 6Nb-&gt;2Nb,4Ta</t>
  </si>
  <si>
    <t>M_MP23</t>
  </si>
  <si>
    <t>M_COD19</t>
  </si>
  <si>
    <t>M_Springer16</t>
  </si>
  <si>
    <t>Rb4Ta6O17</t>
  </si>
  <si>
    <t>Rb4 Ta6 O17</t>
  </si>
  <si>
    <t>K-&gt;Rb; Nb-&gt;Ta</t>
  </si>
  <si>
    <t>M_MP24</t>
  </si>
  <si>
    <t>M_COD20</t>
  </si>
  <si>
    <t>M_Springer17</t>
  </si>
  <si>
    <t>KNb3O8</t>
  </si>
  <si>
    <t>sd_1127671</t>
  </si>
  <si>
    <t>KTaO3</t>
  </si>
  <si>
    <t>K1 Ta1 O3</t>
  </si>
  <si>
    <t>mp-3614</t>
  </si>
  <si>
    <t>2102087</t>
  </si>
  <si>
    <t>CsCa2Ta3O10</t>
  </si>
  <si>
    <t>Cs1 Ca2 Ta3 O10</t>
  </si>
  <si>
    <t>1522043</t>
  </si>
  <si>
    <t>Cs0.03Na0.97Ca2Ta3O10</t>
  </si>
  <si>
    <t>Cs0.03 Na0.97 Ca2 Ta3 O10</t>
  </si>
  <si>
    <t>1.86 H2O</t>
  </si>
  <si>
    <t>mp-1221096</t>
  </si>
  <si>
    <t>1Na-&gt;0.03Cs, 0.97Na</t>
  </si>
  <si>
    <t>M_MP25</t>
  </si>
  <si>
    <t>Cs0.03Na0.1H0.87Ca2Ta3O10</t>
  </si>
  <si>
    <t>Cs0.03 Na0.1 H0.87 Ca2 Ta3 O10</t>
  </si>
  <si>
    <t>0.38 H2O</t>
  </si>
  <si>
    <t>1Na-&gt;0.03Cs, 0.1Na, 0.87H</t>
  </si>
  <si>
    <t>M_MP26</t>
  </si>
  <si>
    <t>M_MP27</t>
  </si>
  <si>
    <t>M_MP28</t>
  </si>
  <si>
    <t>KLaTiO4</t>
  </si>
  <si>
    <t>K1 La1 Ti1 O4</t>
  </si>
  <si>
    <t>HLaTiO4</t>
  </si>
  <si>
    <t>mp-1104930</t>
  </si>
  <si>
    <t>2229871</t>
  </si>
  <si>
    <t>KLaZr0.1Ti0.9O4</t>
  </si>
  <si>
    <t>K1 La1 Zr0.1 Ti0.9 O4</t>
  </si>
  <si>
    <t>Ti-&gt;0.1Zr, 0.9Ti</t>
  </si>
  <si>
    <t>M_MP31</t>
  </si>
  <si>
    <t>KLaZr0.3Ti0.7O4</t>
  </si>
  <si>
    <t>K1 La1 Zr0.3 Ti0.7 O4</t>
  </si>
  <si>
    <t>Ti-&gt;0.3Zr, 0.7Ti</t>
  </si>
  <si>
    <t>M_MP32</t>
  </si>
  <si>
    <t>KLaZr0.5Ti0.5O4</t>
  </si>
  <si>
    <t>K1 La1 Zr0.5 Ti0.5 O4</t>
  </si>
  <si>
    <t>Ti-&gt;0.5Zr, 0.5Ti</t>
  </si>
  <si>
    <t>M_MP33</t>
  </si>
  <si>
    <t>KLaZr0.7Ti0.3O4</t>
  </si>
  <si>
    <t>K1 La1 Zr0.7 Ti0.3 O4</t>
  </si>
  <si>
    <t>Ti-&gt;0.7Zr, 0.3Ti</t>
  </si>
  <si>
    <t>M_MP34</t>
  </si>
  <si>
    <t>KLaZrO4</t>
  </si>
  <si>
    <t>K1 La1 Zr1 O4</t>
  </si>
  <si>
    <t>Ti-&gt;Zr</t>
  </si>
  <si>
    <t>M_MP35</t>
  </si>
  <si>
    <t>M_COD21</t>
  </si>
  <si>
    <t>M_MP36</t>
  </si>
  <si>
    <t>M_MP37</t>
  </si>
  <si>
    <t>M_MP38</t>
  </si>
  <si>
    <t>M_MP39</t>
  </si>
  <si>
    <t>M_MP40</t>
  </si>
  <si>
    <t>M_COD22</t>
  </si>
  <si>
    <t>K2La2Ti3O10</t>
  </si>
  <si>
    <t>K2 La2 Ti3 O10</t>
  </si>
  <si>
    <t>A2Ln2M3O10</t>
  </si>
  <si>
    <t>mp-6548</t>
  </si>
  <si>
    <t>sd_1241786</t>
  </si>
  <si>
    <t>pyrex</t>
  </si>
  <si>
    <t>K2La2Ti2.9Fe0.1O10</t>
  </si>
  <si>
    <t>K2 La2 Ti2.9 Fe0.1 O10</t>
  </si>
  <si>
    <t>3Ti-&gt;2.9Ti, 0.1Fe</t>
  </si>
  <si>
    <t>M_MP41</t>
  </si>
  <si>
    <t>M_Springer18</t>
  </si>
  <si>
    <t>K2La2Ti2.8Fe0.2O10</t>
  </si>
  <si>
    <t>K2 La2 Ti2.8 Fe0.2 O10</t>
  </si>
  <si>
    <t>3Ti-&gt;2.8Ti, 0.2Fe</t>
  </si>
  <si>
    <t>M_MP42</t>
  </si>
  <si>
    <t>M_Springer19</t>
  </si>
  <si>
    <t>K2La2Ti2.7Fe0.3O10</t>
  </si>
  <si>
    <t>K2 La2 Ti2.7 Fe0.3 O10</t>
  </si>
  <si>
    <t>3Ti-&gt;2.7Ti, 0.3Fe</t>
  </si>
  <si>
    <t>M_MP43</t>
  </si>
  <si>
    <t>M_Springer20</t>
  </si>
  <si>
    <t>K2La2Ti2.6Fe0.4O10</t>
  </si>
  <si>
    <t>K2 La2 Ti2.6 Fe0.4 O10</t>
  </si>
  <si>
    <t>3Ti-&gt;2.6Ti, 0.4Fe</t>
  </si>
  <si>
    <t>M_MP44</t>
  </si>
  <si>
    <t>M_Springer21</t>
  </si>
  <si>
    <t>K2La2Ti2.8W0.2O10</t>
  </si>
  <si>
    <t>K2 La2 Ti2.8 W0.2 O10</t>
  </si>
  <si>
    <t>3Ti-&gt;2.8Ti, 0.2W</t>
  </si>
  <si>
    <t>M_MP46</t>
  </si>
  <si>
    <t>M_Springer23</t>
  </si>
  <si>
    <t>K2La2Ti2.8Ni0.2O10</t>
  </si>
  <si>
    <t>K2 La2 Ti2.8 Ni0.2 O10</t>
  </si>
  <si>
    <t>3Ti-&gt;2.8Ti, 0.2Ni</t>
  </si>
  <si>
    <t>M_MP47</t>
  </si>
  <si>
    <t>M_Springer24</t>
  </si>
  <si>
    <t>M_MP49</t>
  </si>
  <si>
    <t>M_Springer26</t>
  </si>
  <si>
    <t>M_MP50</t>
  </si>
  <si>
    <t>M_Springer27</t>
  </si>
  <si>
    <t>M_MP53</t>
  </si>
  <si>
    <t>M_Springer30</t>
  </si>
  <si>
    <t>M_MP54</t>
  </si>
  <si>
    <t>M_Springer31</t>
  </si>
  <si>
    <t>H2SrTa2O7</t>
  </si>
  <si>
    <t>H2 Sr1 Ta2 O7</t>
  </si>
  <si>
    <t>mp-990430</t>
  </si>
  <si>
    <t>sd_1200159</t>
  </si>
  <si>
    <t>Li2SrTa2O7</t>
  </si>
  <si>
    <t>Li2 Sr1 Ta2 O7</t>
  </si>
  <si>
    <t>mp-6259</t>
  </si>
  <si>
    <t>7221013</t>
  </si>
  <si>
    <t>K2SrTa2O7</t>
  </si>
  <si>
    <t>K2 Sr1 Ta2 O7</t>
  </si>
  <si>
    <t>mp-7148</t>
  </si>
  <si>
    <t>Rb2SrTa2O7</t>
  </si>
  <si>
    <t>Rb2 Sr1 Ta2 O7</t>
  </si>
  <si>
    <t>M_MP55</t>
  </si>
  <si>
    <t>LaTa3O9</t>
  </si>
  <si>
    <t>La1 Ta3 O9</t>
  </si>
  <si>
    <t>mp-5308</t>
  </si>
  <si>
    <t>Sr3Ti2O7</t>
  </si>
  <si>
    <t>Sr3 Ti2 O7</t>
  </si>
  <si>
    <t>mp-3349</t>
  </si>
  <si>
    <t>1530317</t>
  </si>
  <si>
    <t>PC</t>
  </si>
  <si>
    <t>Na2Ca2Nb4O13</t>
  </si>
  <si>
    <t>Na2 Ca2 Nb4 O13</t>
  </si>
  <si>
    <t>1544411</t>
  </si>
  <si>
    <t>Immm</t>
  </si>
  <si>
    <t>Bi2W2O9</t>
  </si>
  <si>
    <t>Bi2 W2 O9</t>
  </si>
  <si>
    <t>mp-1197485</t>
  </si>
  <si>
    <t>7213033</t>
  </si>
  <si>
    <t>Bi2WO6</t>
  </si>
  <si>
    <t>Bi2 W1 O6</t>
  </si>
  <si>
    <t>mp-554500</t>
  </si>
  <si>
    <t>1528730</t>
  </si>
  <si>
    <t>Bi4Ti3O12</t>
  </si>
  <si>
    <t>Bi4 Ti3 O12</t>
  </si>
  <si>
    <t>mp-1179025</t>
  </si>
  <si>
    <t>1528445</t>
  </si>
  <si>
    <t>Bi3TiNbO9</t>
  </si>
  <si>
    <t>Bi3 Ti1 Nb1 O9</t>
  </si>
  <si>
    <t>mp-1216832</t>
  </si>
  <si>
    <t>1529003</t>
  </si>
  <si>
    <t>Bi2MoO6</t>
  </si>
  <si>
    <t>Bi2 Mo1 O6</t>
  </si>
  <si>
    <t>mp-23423</t>
  </si>
  <si>
    <t>1525625</t>
  </si>
  <si>
    <t>BaBi4Ti4O15</t>
  </si>
  <si>
    <t>Ba1 Bi4 Ti4 O15</t>
  </si>
  <si>
    <t>mp-1227554</t>
  </si>
  <si>
    <t>1531494</t>
  </si>
  <si>
    <t xml:space="preserve">W lamp </t>
  </si>
  <si>
    <t>K0.5La0.5Bi2Ta2O9</t>
  </si>
  <si>
    <t>K0.5 La0.5 Bi2 Ta2 O9</t>
  </si>
  <si>
    <t>sd_1237170</t>
  </si>
  <si>
    <t>Cmc21</t>
  </si>
  <si>
    <t>Bi4NbO8Cl</t>
  </si>
  <si>
    <t>Bi4 Nb1 O8 Cl1</t>
  </si>
  <si>
    <t>mp-23630</t>
  </si>
  <si>
    <t>sd_1003951</t>
  </si>
  <si>
    <t>1529527</t>
  </si>
  <si>
    <t>Bi4NbO8Br</t>
  </si>
  <si>
    <t>Bi4 Nb1 O8 Br1</t>
  </si>
  <si>
    <t>mp-1198841</t>
  </si>
  <si>
    <t>Bi4TaO8Cl</t>
  </si>
  <si>
    <t>Bi4 Ta1 O8 Cl1</t>
  </si>
  <si>
    <t>mp-558314</t>
  </si>
  <si>
    <t>7221321</t>
  </si>
  <si>
    <t>Bi4TaO8Br</t>
  </si>
  <si>
    <t>Bi4 Ta1 O8 Br1</t>
  </si>
  <si>
    <t>mp-554207</t>
  </si>
  <si>
    <t>NaLaTa2O7</t>
  </si>
  <si>
    <t>Na1 La1 Ta2 O7</t>
  </si>
  <si>
    <t>mp-1220741</t>
  </si>
  <si>
    <t>1544432</t>
  </si>
  <si>
    <t>CsLaTa2O7</t>
  </si>
  <si>
    <t>Cs1 La1 Ta2 O7</t>
  </si>
  <si>
    <t>sd_1150217</t>
  </si>
  <si>
    <t>Na-&gt;Cs</t>
  </si>
  <si>
    <t>Nd-&gt;La</t>
  </si>
  <si>
    <t>M_MP57</t>
  </si>
  <si>
    <t>M_Springer38</t>
  </si>
  <si>
    <t>HPrTa2O7</t>
  </si>
  <si>
    <t>H1 Pr1 Ta2 O7</t>
  </si>
  <si>
    <t>tetragonal</t>
  </si>
  <si>
    <t>Na-&gt;H; La-&gt;Pr</t>
  </si>
  <si>
    <t>M_MP58</t>
  </si>
  <si>
    <t>NaPrTa2O7</t>
  </si>
  <si>
    <t>Na1 Pr1 Ta2 O7</t>
  </si>
  <si>
    <t>La-&gt;Pr</t>
  </si>
  <si>
    <t>M_MP59</t>
  </si>
  <si>
    <t>Na-&gt;Rb; La-&gt;Pr</t>
  </si>
  <si>
    <t>M_MP60</t>
  </si>
  <si>
    <t>CsPrTa2O7</t>
  </si>
  <si>
    <t>Cs1 Pr1 Ta2 O7</t>
  </si>
  <si>
    <t>Na-&gt;Cs; La-&gt;Pr</t>
  </si>
  <si>
    <t>Nd-&gt;Pr</t>
  </si>
  <si>
    <t>M_MP61</t>
  </si>
  <si>
    <t>M_Springer39</t>
  </si>
  <si>
    <t>HNdTa2O7</t>
  </si>
  <si>
    <t>H1 Nd1 Ta2 O7</t>
  </si>
  <si>
    <t>Na-&gt;H; La-&gt;Nd</t>
  </si>
  <si>
    <t>M_MP62</t>
  </si>
  <si>
    <t>NaNdTa2O7</t>
  </si>
  <si>
    <t>Na1 Nd1 Ta2 O7</t>
  </si>
  <si>
    <t>La-&gt;Nd</t>
  </si>
  <si>
    <t>M_MP63</t>
  </si>
  <si>
    <t>Na-&gt;Rb; La-&gt;Nd</t>
  </si>
  <si>
    <t>M_MP64</t>
  </si>
  <si>
    <t>CsNdTa2O7</t>
  </si>
  <si>
    <t>Cs1 Nd1 Ta2 O7</t>
  </si>
  <si>
    <t>Na-&gt;Cs; La-&gt;Nd</t>
  </si>
  <si>
    <t>M_MP65</t>
  </si>
  <si>
    <t>HSmTa2O7</t>
  </si>
  <si>
    <t>H1 Sm1 Ta2 O7</t>
  </si>
  <si>
    <t>Na-&gt;H; La-&gt;Sm</t>
  </si>
  <si>
    <t>M_MP66</t>
  </si>
  <si>
    <t>NaSmTa2O7</t>
  </si>
  <si>
    <t>Na1 Sm1 Ta2 O7</t>
  </si>
  <si>
    <t>La-&gt;Sm</t>
  </si>
  <si>
    <t>M_MP67</t>
  </si>
  <si>
    <t>Na-&gt;Rb; La-&gt;Sm</t>
  </si>
  <si>
    <t>M_MP68</t>
  </si>
  <si>
    <t>CsSmTa2O7</t>
  </si>
  <si>
    <t>Cs1 Sm1 Ta2 O7</t>
  </si>
  <si>
    <t>Na-&gt;Cs; La-&gt;Sm</t>
  </si>
  <si>
    <t>Nd-&gt;Sm</t>
  </si>
  <si>
    <t>M_MP69</t>
  </si>
  <si>
    <t>M_Springer40</t>
  </si>
  <si>
    <t>HLaTa2O7</t>
  </si>
  <si>
    <t>H1 La1 Ta2 O7</t>
  </si>
  <si>
    <t>sd_1241784</t>
  </si>
  <si>
    <t>Na-&gt;H</t>
  </si>
  <si>
    <t>M_MP70</t>
  </si>
  <si>
    <t>LiCa2Ta3O10</t>
  </si>
  <si>
    <t>Li1 Ca2 Ta3 O10</t>
  </si>
  <si>
    <t>mp-774479</t>
  </si>
  <si>
    <t>1522041</t>
  </si>
  <si>
    <t>NaCa2Ta3O10</t>
  </si>
  <si>
    <t>Na1 Ca2 Ta3 O10</t>
  </si>
  <si>
    <t>Li-&gt;Na</t>
  </si>
  <si>
    <t>M_MP71</t>
  </si>
  <si>
    <t>M_COD23</t>
  </si>
  <si>
    <t>KCa2Ta3O10</t>
  </si>
  <si>
    <t>K1 Ca2 Ta3 O10</t>
  </si>
  <si>
    <t>mp-1223520</t>
  </si>
  <si>
    <t>1522039</t>
  </si>
  <si>
    <t>RbCa2Ta3O10</t>
  </si>
  <si>
    <t>Rb1 Ca2 Ta3 O10</t>
  </si>
  <si>
    <t>Li-&gt;Rb</t>
  </si>
  <si>
    <t>M_MP72</t>
  </si>
  <si>
    <t>M_COD24</t>
  </si>
  <si>
    <t>M_MP73</t>
  </si>
  <si>
    <t>M_COD25</t>
  </si>
  <si>
    <t>M_MP74</t>
  </si>
  <si>
    <t>M_COD26</t>
  </si>
  <si>
    <t>sd_1241782</t>
  </si>
  <si>
    <t>M_MP80</t>
  </si>
  <si>
    <t>M_COD32</t>
  </si>
  <si>
    <t>HSr2TaNb2O10</t>
  </si>
  <si>
    <t>H1 Sr2 Ta1 Nb2 O10</t>
  </si>
  <si>
    <t>Cs-&gt;H; Ca-&gt;Sr; 3Ta-&gt;Ta, 2Nb</t>
  </si>
  <si>
    <t>M_MP81</t>
  </si>
  <si>
    <t>M_COD33</t>
  </si>
  <si>
    <t>HSr2Ta1.5Nb1.5O10</t>
  </si>
  <si>
    <t>H1 Sr2 Ta1.5 Nb1.5 O10</t>
  </si>
  <si>
    <t>Cs-&gt;H; Ca-&gt;Sr; 3Ta-&gt;1.5Ta, 1.5Nb</t>
  </si>
  <si>
    <t>M_MP82</t>
  </si>
  <si>
    <t>M_COD34</t>
  </si>
  <si>
    <t>HSr2Ta2NbO10</t>
  </si>
  <si>
    <t>H1 Sr2 Ta2 Nb1 O10</t>
  </si>
  <si>
    <t>Cs-&gt;H; Ca-&gt;Sr; 3Ta-&gt;2Ta, Nb</t>
  </si>
  <si>
    <t>M_MP83</t>
  </si>
  <si>
    <t>M_COD35</t>
  </si>
  <si>
    <t>HSr2Ta3O10</t>
  </si>
  <si>
    <t>H1 Sr2 Ta3 O10</t>
  </si>
  <si>
    <t>Cs-&gt;H; Ca-&gt;Sr</t>
  </si>
  <si>
    <t>M_MP84</t>
  </si>
  <si>
    <t>M_COD36</t>
  </si>
  <si>
    <t>M_MP85</t>
  </si>
  <si>
    <t>M_COD37</t>
  </si>
  <si>
    <t>M_MP86</t>
  </si>
  <si>
    <t>M_COD38</t>
  </si>
  <si>
    <t>M_MP87</t>
  </si>
  <si>
    <t>M_COD39</t>
  </si>
  <si>
    <t>M_MP88</t>
  </si>
  <si>
    <t>M_COD40</t>
  </si>
  <si>
    <t>M_MP89</t>
  </si>
  <si>
    <t>M_COD41</t>
  </si>
  <si>
    <t>Ta-&gt;Nb; K-&gt;H</t>
  </si>
  <si>
    <t>M_MP90</t>
  </si>
  <si>
    <t>HCa2TaNb2O10</t>
  </si>
  <si>
    <t>H1 Ca2 Ta1 Nb2 O10</t>
  </si>
  <si>
    <t>3Ta-&gt;Ta, 2Nb; K-&gt;H</t>
  </si>
  <si>
    <t>M_MP91</t>
  </si>
  <si>
    <t>HCa2Ta1.5Nb1.5O10</t>
  </si>
  <si>
    <t>H1 Ca2 Ta1.5 Nb1.5 O10</t>
  </si>
  <si>
    <t>3Ta-&gt;1.5Ta, 1.5Nb; K-&gt;H</t>
  </si>
  <si>
    <t>M_MP92</t>
  </si>
  <si>
    <t>HCa2Ta2NbO10</t>
  </si>
  <si>
    <t>H1 Ca2 Ta2 Nb1 O10</t>
  </si>
  <si>
    <t>3Ta-&gt;2Ta, Nb; K-&gt;H</t>
  </si>
  <si>
    <t>M_MP93</t>
  </si>
  <si>
    <t>HCa2Ta3O10</t>
  </si>
  <si>
    <t>H1 Ca2 Ta3 O10</t>
  </si>
  <si>
    <t>P42212</t>
  </si>
  <si>
    <t>M_MP94</t>
  </si>
  <si>
    <t>Imma</t>
  </si>
  <si>
    <t>fused-silica</t>
  </si>
  <si>
    <t>AgLaNb2O7</t>
  </si>
  <si>
    <t>Ag1 La1 Nb2 O7</t>
  </si>
  <si>
    <t>mp-1222828</t>
  </si>
  <si>
    <t>1509430</t>
  </si>
  <si>
    <t>Ia1/acd</t>
  </si>
  <si>
    <t>AgCa2Nb3O10</t>
  </si>
  <si>
    <t>Ag1 Ca2 Nb3 O10</t>
  </si>
  <si>
    <t>Rb-&gt;Ag</t>
  </si>
  <si>
    <t>M_MP95</t>
  </si>
  <si>
    <t>M_COD42</t>
  </si>
  <si>
    <t>RbSr2Nb3O10</t>
  </si>
  <si>
    <t>Rb1 Sr2 Nb3 O10</t>
  </si>
  <si>
    <t>mp-22720</t>
  </si>
  <si>
    <t>1526803</t>
  </si>
  <si>
    <t>AgSr2Nb3O10</t>
  </si>
  <si>
    <t>Ag1 Sr2 Nb3 O10</t>
  </si>
  <si>
    <t>Rb-&gt;Ag; Ca-&gt;Sr</t>
  </si>
  <si>
    <t>M_MP96</t>
  </si>
  <si>
    <t>M_COD43</t>
  </si>
  <si>
    <t>Rb2La2Ti3O10</t>
  </si>
  <si>
    <t>Rb2 La2 Ti3 O10</t>
  </si>
  <si>
    <t>mp-6000</t>
  </si>
  <si>
    <t>1509663</t>
  </si>
  <si>
    <t>Ag-&gt;Rb</t>
  </si>
  <si>
    <t>M_MP97</t>
  </si>
  <si>
    <t>M_COD44</t>
  </si>
  <si>
    <t>Ag2La2Ti3O10</t>
  </si>
  <si>
    <t>Ag2 La2 Ti3 O10</t>
  </si>
  <si>
    <t>M_MP98</t>
  </si>
  <si>
    <t>M_COD45</t>
  </si>
  <si>
    <t>M_MP99</t>
  </si>
  <si>
    <t>M_COD46</t>
  </si>
  <si>
    <t>Ca2Nb2O7</t>
  </si>
  <si>
    <t>Ca2 Nb2 O7</t>
  </si>
  <si>
    <t>mp-4155</t>
  </si>
  <si>
    <t>1011128</t>
  </si>
  <si>
    <t>La2Ti2O7</t>
  </si>
  <si>
    <t>La2 Ti2 O7</t>
  </si>
  <si>
    <t>mp-4423</t>
  </si>
  <si>
    <t>1001022</t>
  </si>
  <si>
    <t>La4CaTi5O17</t>
  </si>
  <si>
    <t>La4 Ca1 Ti5 O17</t>
  </si>
  <si>
    <t>sd_1835408</t>
  </si>
  <si>
    <t>KBa2Ta3O10</t>
  </si>
  <si>
    <t>K1 Ba2 Ta3 O10</t>
  </si>
  <si>
    <t>Rb-&gt;K; Ca-&gt;Ba; Nb-&gt;Ta</t>
  </si>
  <si>
    <t>M_MP101</t>
  </si>
  <si>
    <t>M_COD48</t>
  </si>
  <si>
    <t>Sr2Nb0.1Ta1.9O7</t>
  </si>
  <si>
    <t>Sr2 Nb0.1 Ta1.9 O7</t>
  </si>
  <si>
    <t>2Ta-&gt;1.9Ta, 0.1Nb</t>
  </si>
  <si>
    <t>M_MP102</t>
  </si>
  <si>
    <t>Sr2Nb0.2Ta1.8O7</t>
  </si>
  <si>
    <t>Sr2 Nb0.2 Ta1.8 O7</t>
  </si>
  <si>
    <t>2Ta-&gt;1.8Ta, 0.2Nb</t>
  </si>
  <si>
    <t>M_MP103</t>
  </si>
  <si>
    <t>Sr2Nb0.3Ta1.7O7</t>
  </si>
  <si>
    <t>Sr2 Nb0.3 Ta1.7 O7</t>
  </si>
  <si>
    <t>2Ta-&gt;1.7Ta, 0.3Nb</t>
  </si>
  <si>
    <t>M_MP104</t>
  </si>
  <si>
    <t>Sr2Nb0.5Ta1.5O7</t>
  </si>
  <si>
    <t>Sr2 Nb0.5 Ta1.5 O7</t>
  </si>
  <si>
    <t>2Ta-&gt;1.5Ta, 0.5Nb</t>
  </si>
  <si>
    <t>M_MP105</t>
  </si>
  <si>
    <t>Sr2Nb0.7Ta1.3O7</t>
  </si>
  <si>
    <t>Sr2 Nb0.7 Ta1.3 O7</t>
  </si>
  <si>
    <t>2Ta-&gt;1.3Ta, 0.7Nb</t>
  </si>
  <si>
    <t>M_MP106</t>
  </si>
  <si>
    <t>Sr2NbTaO7</t>
  </si>
  <si>
    <t>Sr2 Nb1 Ta1 O7</t>
  </si>
  <si>
    <t>2Ta-&gt;Nb, Ta</t>
  </si>
  <si>
    <t>M_MP107</t>
  </si>
  <si>
    <t>Sr2Nb1.6Ta0.4O7</t>
  </si>
  <si>
    <t>Sr2 Nb1.6 Ta0.4 O7</t>
  </si>
  <si>
    <t>2Ta-&gt;1.6Nb, 0.4Ta</t>
  </si>
  <si>
    <t>M_MP108</t>
  </si>
  <si>
    <t>P21</t>
  </si>
  <si>
    <t>NdLaTi2O7</t>
  </si>
  <si>
    <t>Nd1 La1 Ti2 O7</t>
  </si>
  <si>
    <t>2La-&gt; Nd, La</t>
  </si>
  <si>
    <t>M_MP109</t>
  </si>
  <si>
    <t>Nd2Ti2O7</t>
  </si>
  <si>
    <t>Nd2 Ti2 O7</t>
  </si>
  <si>
    <t>mp-555785</t>
  </si>
  <si>
    <t>2002197</t>
  </si>
  <si>
    <t>Pr2Ti2O7</t>
  </si>
  <si>
    <t>Pr2 Ti2 O7</t>
  </si>
  <si>
    <t>M_MP110</t>
  </si>
  <si>
    <t>M_COD49</t>
  </si>
  <si>
    <t>PrLaTi2O7</t>
  </si>
  <si>
    <t>Pr1 La1 Ti2 O7</t>
  </si>
  <si>
    <t>2La-&gt; Pr, La</t>
  </si>
  <si>
    <t>M_MP111</t>
  </si>
  <si>
    <t>M_MP112</t>
  </si>
  <si>
    <t>M_MP113</t>
  </si>
  <si>
    <t>M_COD50</t>
  </si>
  <si>
    <t>M_MP114</t>
  </si>
  <si>
    <t>M_MP119</t>
  </si>
  <si>
    <t>M_COD52</t>
  </si>
  <si>
    <t>M_MP120</t>
  </si>
  <si>
    <t>sd_1925412</t>
  </si>
  <si>
    <t>SG</t>
  </si>
  <si>
    <t>RuO2</t>
  </si>
  <si>
    <t>P4/m</t>
  </si>
  <si>
    <t>Bi4Ti2.94Cr0.06O12</t>
  </si>
  <si>
    <t>Bi4 Ti2.94 Cr0.06 O12</t>
  </si>
  <si>
    <t>3Ti-&gt;2.94Ti, 0.06Cr</t>
  </si>
  <si>
    <t>M_MP140</t>
  </si>
  <si>
    <t>M_COD58</t>
  </si>
  <si>
    <t>Bi4Ti2.85Cr0.15O12</t>
  </si>
  <si>
    <t>Bi4 Ti2.85 Cr0.15 O12</t>
  </si>
  <si>
    <t>3Ti-&gt;2.85Ti, 0.15Cr</t>
  </si>
  <si>
    <t>M_MP141</t>
  </si>
  <si>
    <t>M_COD59</t>
  </si>
  <si>
    <t>Bi4Ti2.7Cr0.3O12</t>
  </si>
  <si>
    <t>Bi4 Ti2.7 Cr0.3 O12</t>
  </si>
  <si>
    <t>3Ti-&gt;2.7Ti, 0.3Cr</t>
  </si>
  <si>
    <t>M_MP142</t>
  </si>
  <si>
    <t>M_COD60</t>
  </si>
  <si>
    <t>Bi4Ti2.6Cr0.4O12</t>
  </si>
  <si>
    <t>Bi4 Ti2.6 Cr0.4 O12</t>
  </si>
  <si>
    <t>3Ti-&gt;2.6Ti, 0.4Cr</t>
  </si>
  <si>
    <t>M_MP143</t>
  </si>
  <si>
    <t>M_COD61</t>
  </si>
  <si>
    <t>Bi4Ti2.5Cr0.5O12</t>
  </si>
  <si>
    <t>Bi4 Ti2.5 Cr0.5 O12</t>
  </si>
  <si>
    <t>3Ti-&gt;2.5Ti, 0.5Cr</t>
  </si>
  <si>
    <t>M_MP144</t>
  </si>
  <si>
    <t>M_COD62</t>
  </si>
  <si>
    <t>M_MP145</t>
  </si>
  <si>
    <t>M_COD63</t>
  </si>
  <si>
    <t>M_MP146</t>
  </si>
  <si>
    <t>M_COD64</t>
  </si>
  <si>
    <t>M_MP147</t>
  </si>
  <si>
    <t>M_COD65</t>
  </si>
  <si>
    <t>M_MP148</t>
  </si>
  <si>
    <t>M_COD66</t>
  </si>
  <si>
    <t>M_MP149</t>
  </si>
  <si>
    <t>M_COD67</t>
  </si>
  <si>
    <t>M_MP150</t>
  </si>
  <si>
    <t>M_COD68</t>
  </si>
  <si>
    <t>HPb2Nb3O10</t>
  </si>
  <si>
    <t>H1 Pb2 Nb3 O10</t>
  </si>
  <si>
    <t>Cs-&gt;H; Ca-&gt;Pb; Ta-&gt;Nb</t>
  </si>
  <si>
    <t>M_MP151</t>
  </si>
  <si>
    <t>M_COD69</t>
  </si>
  <si>
    <t>M_MP152</t>
  </si>
  <si>
    <t>M_COD70</t>
  </si>
  <si>
    <t>Ba5Ta4O15</t>
  </si>
  <si>
    <t>Ba5 Ta4 O15</t>
  </si>
  <si>
    <t>mp-504554</t>
  </si>
  <si>
    <t>2106435</t>
  </si>
  <si>
    <t>visible</t>
  </si>
  <si>
    <t>Sr2Ta2O7N0.1</t>
  </si>
  <si>
    <t>Sr2 Ta2 O7 N0.1</t>
  </si>
  <si>
    <t>SrTiO3</t>
  </si>
  <si>
    <t>Sr1 Ti1 O3</t>
  </si>
  <si>
    <t>sd_0305037</t>
  </si>
  <si>
    <t>sd_0305964</t>
  </si>
  <si>
    <t>sd_0305963</t>
  </si>
  <si>
    <t>LaTiO3</t>
  </si>
  <si>
    <t>La1 Ti1 O3</t>
  </si>
  <si>
    <t>sd_0306202</t>
  </si>
  <si>
    <t>Na2Ta2O6</t>
  </si>
  <si>
    <t>Na1 Ta1 O3</t>
  </si>
  <si>
    <t>mp-676280</t>
  </si>
  <si>
    <t>1001030</t>
  </si>
  <si>
    <t>HT</t>
  </si>
  <si>
    <t>K2Ta2O6</t>
  </si>
  <si>
    <t>Ca2Ta2O7</t>
  </si>
  <si>
    <t>Ca2 Ta2 O7</t>
  </si>
  <si>
    <t>mp-640836</t>
  </si>
  <si>
    <t>1001177</t>
  </si>
  <si>
    <t>SrTa2O6</t>
  </si>
  <si>
    <t>Sr1 Ta2 O6</t>
  </si>
  <si>
    <t>mp-17715</t>
  </si>
  <si>
    <t>1534928</t>
  </si>
  <si>
    <t>Sr4Ta2O9</t>
  </si>
  <si>
    <t>Sr4 Ta2 O9</t>
  </si>
  <si>
    <t>mp-769246</t>
  </si>
  <si>
    <t>Sr5Ta4O15</t>
  </si>
  <si>
    <t>Sr5 Ta4 O15</t>
  </si>
  <si>
    <t>mp-769297</t>
  </si>
  <si>
    <t>Cmcm</t>
  </si>
  <si>
    <t>co-pre</t>
  </si>
  <si>
    <t>Rh</t>
  </si>
  <si>
    <t>M_MP181</t>
  </si>
  <si>
    <t>M_COD98</t>
  </si>
  <si>
    <t>M_MP182</t>
  </si>
  <si>
    <t>M_COD99</t>
  </si>
  <si>
    <t>CsSr1.5Ba0.5Ta3O10</t>
  </si>
  <si>
    <t>Cs1 Sr1.5 Ba0.5 Ta3 O10</t>
  </si>
  <si>
    <t>sd_1000988</t>
  </si>
  <si>
    <t>2Sr-&gt;1.5Sr, 0.5Ba</t>
  </si>
  <si>
    <t>M_Springer50</t>
  </si>
  <si>
    <t>HSr1.5Ba0.5Ta3O10</t>
  </si>
  <si>
    <t>H1 Sr1.5 Ba0.5 Ta3 O10</t>
  </si>
  <si>
    <t>2Sr-&gt;1.5Sr, 0.5Ba; Cs-&gt;H</t>
  </si>
  <si>
    <t>M_Springer51</t>
  </si>
  <si>
    <t>KCa2Nb2.97Rh0.03O10</t>
  </si>
  <si>
    <t>K1 Ca2 Nb2.97 Rh0.03 O10</t>
  </si>
  <si>
    <t>3Nb-&gt;2.97Nb, 0.03Rh; H-&gt;K</t>
  </si>
  <si>
    <t>M_MP183</t>
  </si>
  <si>
    <t>M_COD100</t>
  </si>
  <si>
    <t>HCa2Nb2.97Rh0.03O10</t>
  </si>
  <si>
    <t>H1 Ca2 Nb2.97 Rh0.03 O10</t>
  </si>
  <si>
    <t>3Nb-&gt;2.97Nb, 0.03Rh; K-&gt;H</t>
  </si>
  <si>
    <t>M_MP184</t>
  </si>
  <si>
    <t>M_COD101</t>
  </si>
  <si>
    <t>M_MP185</t>
  </si>
  <si>
    <t>M_COD102</t>
  </si>
  <si>
    <t>M_MP186</t>
  </si>
  <si>
    <t>M_COD103</t>
  </si>
  <si>
    <t>HCa2Nb2.999Rh0.001O10</t>
  </si>
  <si>
    <t>H1 Ca2 Nb2.999 Rh0.001 O10</t>
  </si>
  <si>
    <t>3Nb-&gt;2.999Nb, 0.001Rh; K-&gt;H</t>
  </si>
  <si>
    <t>M_MP187</t>
  </si>
  <si>
    <t>M_COD104</t>
  </si>
  <si>
    <t>HCa2Nb2.99Rh0.01O10</t>
  </si>
  <si>
    <t>H1 Ca2 Nb2.99 Rh0.01 O10</t>
  </si>
  <si>
    <t>3Nb-&gt;2.99Nb, 0.01Rh; K-&gt;H</t>
  </si>
  <si>
    <t>M_MP188</t>
  </si>
  <si>
    <t>M_COD105</t>
  </si>
  <si>
    <t>HCa2Nb2.9Rh0.1O10</t>
  </si>
  <si>
    <t>H1 Ca2 Nb2.9 Rh0.1 O10</t>
  </si>
  <si>
    <t>3Nb-&gt;2.9Nb, 0.1Rh; K-&gt;H</t>
  </si>
  <si>
    <t>M_MP189</t>
  </si>
  <si>
    <t>M_COD106</t>
  </si>
  <si>
    <t>HCa2Nb2.85Rh0.15O10</t>
  </si>
  <si>
    <t>H1 Ca2 Nb2.85 Rh0.15 O10</t>
  </si>
  <si>
    <t>3Nb-&gt;2.85Nb, 0.15Rh; K-&gt;H</t>
  </si>
  <si>
    <t>M_MP190</t>
  </si>
  <si>
    <t>M_COD107</t>
  </si>
  <si>
    <t>M_MP191</t>
  </si>
  <si>
    <t>M_COD108</t>
  </si>
  <si>
    <t>CsBa2Nb3O10</t>
  </si>
  <si>
    <t>Cs1 Ba2 Nb3 O10</t>
  </si>
  <si>
    <t>mp-505814</t>
  </si>
  <si>
    <t>1526807</t>
  </si>
  <si>
    <t>LED</t>
  </si>
  <si>
    <t>Li2La2Ti3O10</t>
  </si>
  <si>
    <t>Li2 La2 Ti3 O10</t>
  </si>
  <si>
    <t>mp-9406</t>
  </si>
  <si>
    <t>Na2La2Ti3O10</t>
  </si>
  <si>
    <t>Na2 La2 Ti3 O10</t>
  </si>
  <si>
    <t>mp-6144</t>
  </si>
  <si>
    <t>1544433</t>
  </si>
  <si>
    <t>sd_1210175</t>
  </si>
  <si>
    <t>Li2Nd2Ti3O10</t>
  </si>
  <si>
    <t>Li2 Nd2 Ti3 O10</t>
  </si>
  <si>
    <t>K-&gt;Li; La-&gt;Nd</t>
  </si>
  <si>
    <t>M_MP205</t>
  </si>
  <si>
    <t>Na2Nd2Ti3O10</t>
  </si>
  <si>
    <t>Na2 Nd2 Ti3 O10</t>
  </si>
  <si>
    <t>mp-6119</t>
  </si>
  <si>
    <t>K2Nd2Ti3O10</t>
  </si>
  <si>
    <t>K2 Nd2 Ti3 O10</t>
  </si>
  <si>
    <t>mp-1223975</t>
  </si>
  <si>
    <t>2007573</t>
  </si>
  <si>
    <t>M_MP206</t>
  </si>
  <si>
    <t>M_COD110</t>
  </si>
  <si>
    <t>HCa1.5Sr0.5Nb3O10</t>
  </si>
  <si>
    <t>H1 Ca1.5 Sr0.5 Nb3 O10</t>
  </si>
  <si>
    <t>K-&gt;H; 2Ca-&gt;1.5Ca, 0.5Sr</t>
  </si>
  <si>
    <t>M_MP207</t>
  </si>
  <si>
    <t>HCaSrNb3O10</t>
  </si>
  <si>
    <t>H1 Ca1 Sr1 Nb3 O10</t>
  </si>
  <si>
    <t>K-&gt;H; 2Ca-&gt;Ca, Sr</t>
  </si>
  <si>
    <t>M_MP208</t>
  </si>
  <si>
    <t>HCa0.5Sr1.5Nb3O10</t>
  </si>
  <si>
    <t>H1 Ca0.5 Sr1.5 Nb3 O10</t>
  </si>
  <si>
    <t>K-&gt;H; 2Ca-&gt;0.5Ca, 1.5Sr</t>
  </si>
  <si>
    <t>M_MP209</t>
  </si>
  <si>
    <t>M_MP210</t>
  </si>
  <si>
    <t>M_COD111</t>
  </si>
  <si>
    <t>HCa2Nb2.7Ta0.3O10</t>
  </si>
  <si>
    <t>H1 Ca2 Nb2.7 Ta0.3 O10</t>
  </si>
  <si>
    <t>K-&gt;H; 3Nb-&gt;2.7Nb, 0.3Ta</t>
  </si>
  <si>
    <t>M_MP211</t>
  </si>
  <si>
    <t>M_COD112</t>
  </si>
  <si>
    <t>HCa2Nb2TaO10</t>
  </si>
  <si>
    <t>H1 Ca2 Nb2 Ta1 O10</t>
  </si>
  <si>
    <t>K-&gt;H; 3Nb-&gt;2Nb, 1Ta</t>
  </si>
  <si>
    <t>M_MP212</t>
  </si>
  <si>
    <t>M_COD113</t>
  </si>
  <si>
    <t>HCa2Nb1.5Ta1.5O10</t>
  </si>
  <si>
    <t>H1 Ca2 Nb1.5 Ta1.5 O10</t>
  </si>
  <si>
    <t>K-&gt;H; 3Nb-&gt;1.5Nb, 1.5Ta</t>
  </si>
  <si>
    <t>M_MP213</t>
  </si>
  <si>
    <t>M_COD114</t>
  </si>
  <si>
    <t>H1 La1 Ti1 O4</t>
  </si>
  <si>
    <t>M_MP222</t>
  </si>
  <si>
    <t>HLaTiO4*CH3NH2</t>
  </si>
  <si>
    <t>H6 La1 Ti1 O4 C1 N1</t>
  </si>
  <si>
    <t>HLaTiO4_MeNH2</t>
  </si>
  <si>
    <t>HLaTiO4*C2H5NH2</t>
  </si>
  <si>
    <t>H8 La1 Ti1 O4 C2 N1</t>
  </si>
  <si>
    <t>HLaTiO4_EtNH2</t>
  </si>
  <si>
    <t>HLaTiO4*C4H9NH2</t>
  </si>
  <si>
    <t>H12 La1 Ti1 O4 C4 N1</t>
  </si>
  <si>
    <t>HLaTiO4_BuNH2</t>
  </si>
  <si>
    <t>HLaTiO4*C6H13NH2</t>
  </si>
  <si>
    <t>H16 La1 Ti1 O4 C6 N1</t>
  </si>
  <si>
    <t>HLaTiO4_HxNH2</t>
  </si>
  <si>
    <t>HLaTiO4*CH3OH</t>
  </si>
  <si>
    <t>H5 La1 Ti1 O5 C1</t>
  </si>
  <si>
    <t>HLaTiO4_MeOH</t>
  </si>
  <si>
    <t>HLaTiO4*C2H5OH</t>
  </si>
  <si>
    <t>H7 La1 Ti1 O5 C2</t>
  </si>
  <si>
    <t>HLaTiO4_EtOH</t>
  </si>
  <si>
    <t>HLaTiO4*C4H9OH</t>
  </si>
  <si>
    <t>H11 La1 Ti1 O5 C4</t>
  </si>
  <si>
    <t>HLaTiO4_BuOH</t>
  </si>
  <si>
    <t>HLaTiO4*C6H13OH</t>
  </si>
  <si>
    <t>H15 La1 Ti1 O5 C6</t>
  </si>
  <si>
    <t>HLaTiO4_HxOH</t>
  </si>
  <si>
    <t>HNdTiO4</t>
  </si>
  <si>
    <t>H1 Nd1 Ti1 O4</t>
  </si>
  <si>
    <t>K-&gt;H; La-&gt;Nd</t>
  </si>
  <si>
    <t>M_MP223</t>
  </si>
  <si>
    <t>HNdTiO4*CH3NH2</t>
  </si>
  <si>
    <t>H6 Nd1 Ti1 O4 C1 N1</t>
  </si>
  <si>
    <t>M_MP224</t>
  </si>
  <si>
    <t>HNdTiO4*C2H5NH2</t>
  </si>
  <si>
    <t>H8 Nd1 Ti1 O4 C2 N1</t>
  </si>
  <si>
    <t>M_MP225</t>
  </si>
  <si>
    <t>HNdTiO4*C4H9NH2</t>
  </si>
  <si>
    <t>H12 Nd1 Ti1 O4 C4 N1</t>
  </si>
  <si>
    <t>M_MP227</t>
  </si>
  <si>
    <t>HNdTiO4*C6H13NH2</t>
  </si>
  <si>
    <t>H16 Nd1 Ti1 O4 C6 N1</t>
  </si>
  <si>
    <t>M_MP228</t>
  </si>
  <si>
    <t>HNdTiO4*CH3OH</t>
  </si>
  <si>
    <t>H5 Nd1 Ti1 O5 C1</t>
  </si>
  <si>
    <t>M_MP229</t>
  </si>
  <si>
    <t>HNdTiO4*C2H5OH</t>
  </si>
  <si>
    <t>H7 Nd1 Ti1 O5 C2</t>
  </si>
  <si>
    <t>M_MP230</t>
  </si>
  <si>
    <t>HNdTiO4*C4H9OH</t>
  </si>
  <si>
    <t>H11 Nd1 Ti1 O5 C4</t>
  </si>
  <si>
    <t>M_MP232</t>
  </si>
  <si>
    <t>HNdTiO4*C6H13OH</t>
  </si>
  <si>
    <t>H15 Nd1 Ti1 O5 C6</t>
  </si>
  <si>
    <t>M_MP233</t>
  </si>
  <si>
    <t>M_MP235</t>
  </si>
  <si>
    <t>M_MP236</t>
  </si>
  <si>
    <t>M_MP237</t>
  </si>
  <si>
    <t>M_MP238</t>
  </si>
  <si>
    <t>M_MP240</t>
  </si>
  <si>
    <t>M_MP241</t>
  </si>
  <si>
    <t>M_MP242</t>
  </si>
  <si>
    <t>M_MP243</t>
  </si>
  <si>
    <t>M_MP245</t>
  </si>
  <si>
    <t>M_MP246</t>
  </si>
  <si>
    <t>M_MP248</t>
  </si>
  <si>
    <t>M_COD121</t>
  </si>
  <si>
    <t>M_MP249</t>
  </si>
  <si>
    <t>M_COD122</t>
  </si>
  <si>
    <t>M_MP250</t>
  </si>
  <si>
    <t>M_COD123</t>
  </si>
  <si>
    <t>M_MP251</t>
  </si>
  <si>
    <t>M_COD124</t>
  </si>
  <si>
    <t>M_MP252</t>
  </si>
  <si>
    <t>M_COD125</t>
  </si>
  <si>
    <t>M_MP253</t>
  </si>
  <si>
    <t>M_COD126</t>
  </si>
  <si>
    <t>M_MP254</t>
  </si>
  <si>
    <t>M_COD127</t>
  </si>
  <si>
    <t>M_MP255</t>
  </si>
  <si>
    <t>M_COD128</t>
  </si>
  <si>
    <t>M_MP256</t>
  </si>
  <si>
    <t>M_COD129</t>
  </si>
  <si>
    <t>M_MP257</t>
  </si>
  <si>
    <t>M_COD130</t>
  </si>
  <si>
    <t>M_MP258</t>
  </si>
  <si>
    <t>M_COD131</t>
  </si>
  <si>
    <t>M_MP259</t>
  </si>
  <si>
    <t>M_COD132</t>
  </si>
  <si>
    <t>M_MP260</t>
  </si>
  <si>
    <t>M_COD133</t>
  </si>
  <si>
    <t>M_MP261</t>
  </si>
  <si>
    <t>M_COD134</t>
  </si>
  <si>
    <t>M_MP262</t>
  </si>
  <si>
    <t>M_COD135</t>
  </si>
  <si>
    <t>M_MP263</t>
  </si>
  <si>
    <t>M_COD136</t>
  </si>
  <si>
    <t>M_MP264</t>
  </si>
  <si>
    <t>M_COD137</t>
  </si>
  <si>
    <t>M_MP271</t>
  </si>
  <si>
    <t>M_COD138</t>
  </si>
  <si>
    <t>M_MP278</t>
  </si>
  <si>
    <t>HRbLa2Ti3O10</t>
  </si>
  <si>
    <t>H1 Rb1 La2 Ti3 O10</t>
  </si>
  <si>
    <t>C222</t>
  </si>
  <si>
    <t>2K-&gt;H, Rb</t>
  </si>
  <si>
    <t>M_MP279</t>
  </si>
  <si>
    <t>H1.5Rb0.5La2Ti3O10</t>
  </si>
  <si>
    <t>H1.5 Rb0.5 La2 Ti3 O10</t>
  </si>
  <si>
    <t>2K-&gt;1.5H, 0.5Rb</t>
  </si>
  <si>
    <t>M_MP280</t>
  </si>
  <si>
    <t>H2La2Ti3O10</t>
  </si>
  <si>
    <t>H2 La2 Ti3 O10</t>
  </si>
  <si>
    <t>sd_1241787</t>
  </si>
  <si>
    <t>M_MP281</t>
  </si>
  <si>
    <t>perchased</t>
  </si>
  <si>
    <t>sd_1955780</t>
  </si>
  <si>
    <t>Li-&gt;H</t>
  </si>
  <si>
    <t>M_Springer52</t>
  </si>
  <si>
    <t>LiNdTa2O7</t>
  </si>
  <si>
    <t>Li1 Nd1 Ta2 O7</t>
  </si>
  <si>
    <t>sd_1955782</t>
  </si>
  <si>
    <t>KNdTa2O7</t>
  </si>
  <si>
    <t>K1 Nd1 Ta2 O7</t>
  </si>
  <si>
    <t>sd_1538044</t>
  </si>
  <si>
    <t>sd_1050392</t>
  </si>
  <si>
    <t>M_MP295</t>
  </si>
  <si>
    <t>H2La2Ti3O10*2CH3NH2</t>
  </si>
  <si>
    <t>H12 La2 Ti3 O10 C2 N2</t>
  </si>
  <si>
    <t>K2La2Ti3O10_MeNH2</t>
  </si>
  <si>
    <t>M_MP296</t>
  </si>
  <si>
    <t>H2La2Ti3O10*2C2H5NH2</t>
  </si>
  <si>
    <t>H16 La2 Ti3 O10 C4 N2</t>
  </si>
  <si>
    <t>K2La2Ti3O10_EtNH2</t>
  </si>
  <si>
    <t>M_MP297</t>
  </si>
  <si>
    <t>H2La2Ti3O10*2C4H9NH2</t>
  </si>
  <si>
    <t>H24 La2 Ti3 O10 C8 N2</t>
  </si>
  <si>
    <t>K2La2Ti3O10_BuNH2</t>
  </si>
  <si>
    <t>M_MP299</t>
  </si>
  <si>
    <t>H2La2Ti3O10*2C6H13NH2</t>
  </si>
  <si>
    <t>H32 La2 Ti3 O10 C12 N2</t>
  </si>
  <si>
    <t>K2La2Ti3O10_HxNH2</t>
  </si>
  <si>
    <t>M_MP300</t>
  </si>
  <si>
    <t>H2La2Ti3O10*2C8H17NH2</t>
  </si>
  <si>
    <t>H40 La2 Ti3 O10 C16 N2</t>
  </si>
  <si>
    <t>K2La2Ti3O10_OcNH2</t>
  </si>
  <si>
    <t>M_MP301</t>
  </si>
  <si>
    <t>H2La2Ti3O10*2CH3OH</t>
  </si>
  <si>
    <t>H10 La2 Ti3 O12 C2</t>
  </si>
  <si>
    <t>K2La2Ti3O10_MeOH</t>
  </si>
  <si>
    <t>M_MP302</t>
  </si>
  <si>
    <t>H2La2Ti3O10*2C2H5OH</t>
  </si>
  <si>
    <t>H14 La2 Ti3 O12 C4</t>
  </si>
  <si>
    <t>K2La2Ti3O10_EtOH</t>
  </si>
  <si>
    <t>M_MP303</t>
  </si>
  <si>
    <t>H2La2Ti3O10*2C4H9OH</t>
  </si>
  <si>
    <t>H22 La2 Ti3 O12 C8</t>
  </si>
  <si>
    <t>K2La2Ti3O10_BuOH</t>
  </si>
  <si>
    <t>M_MP305</t>
  </si>
  <si>
    <t>H2La2Ti3O10*2C6H13OH</t>
  </si>
  <si>
    <t>H30 La2 Ti3 O12 C12</t>
  </si>
  <si>
    <t>K2La2Ti3O10_HxOH</t>
  </si>
  <si>
    <t>M_MP306</t>
  </si>
  <si>
    <t>H2Nd2Ti3O10</t>
  </si>
  <si>
    <t>H2 Nd2 Ti3 O10</t>
  </si>
  <si>
    <t>M_MP307</t>
  </si>
  <si>
    <t>H2Nd2Ti3O10*2CH3NH2</t>
  </si>
  <si>
    <t>H12 Nd2 Ti3 O10 C2 N2</t>
  </si>
  <si>
    <t>M_MP308</t>
  </si>
  <si>
    <t>H2Nd2Ti3O10*2C2H5NH2</t>
  </si>
  <si>
    <t>H16 Nd2 Ti3 O10 C4 N2</t>
  </si>
  <si>
    <t>M_MP309</t>
  </si>
  <si>
    <t>H2Nd2Ti3O10*2C4H9NH2</t>
  </si>
  <si>
    <t>H24 Nd2 Ti3 O10 C8 N2</t>
  </si>
  <si>
    <t>M_MP311</t>
  </si>
  <si>
    <t>H2Nd2Ti3O10*2C6H13NH2</t>
  </si>
  <si>
    <t>H32 Nd2 Ti3 O10 C12 N2</t>
  </si>
  <si>
    <t>M_MP312</t>
  </si>
  <si>
    <t>H2Nd2Ti3O10*2C8H17NH2</t>
  </si>
  <si>
    <t>H40 Nd2 Ti3 O10 C16 N2</t>
  </si>
  <si>
    <t>M_MP313</t>
  </si>
  <si>
    <t>H2Nd2Ti3O10*2CH3OH</t>
  </si>
  <si>
    <t>H10 Nd2 Ti3 O12 C2</t>
  </si>
  <si>
    <t>M_MP314</t>
  </si>
  <si>
    <t>H2Nd2Ti3O10*2C2H5OH</t>
  </si>
  <si>
    <t>H14 Nd2 Ti3 O12 C4</t>
  </si>
  <si>
    <t>M_MP315</t>
  </si>
  <si>
    <t>H2Nd2Ti3O10*2C4H9OH</t>
  </si>
  <si>
    <t>H22 Nd2 Ti3 O12 C8</t>
  </si>
  <si>
    <t>M_MP317</t>
  </si>
  <si>
    <t>H2Nd2Ti3O10*2C6H13OH</t>
  </si>
  <si>
    <t>H30 Nd2 Ti3 O12 C12</t>
  </si>
  <si>
    <t>M_MP318</t>
  </si>
  <si>
    <t>M_MP319</t>
  </si>
  <si>
    <t>M_MP320</t>
  </si>
  <si>
    <t>M_MP321</t>
  </si>
  <si>
    <t>M_MP323</t>
  </si>
  <si>
    <t>M_MP324</t>
  </si>
  <si>
    <t>M_MP325</t>
  </si>
  <si>
    <t>M_MP326</t>
  </si>
  <si>
    <t>M_MP327</t>
  </si>
  <si>
    <t>M_MP329</t>
  </si>
  <si>
    <t>M_MP330</t>
  </si>
  <si>
    <t>M_MP331</t>
  </si>
  <si>
    <t>M_MP332</t>
  </si>
  <si>
    <t>M_MP333</t>
  </si>
  <si>
    <t>M_MP335</t>
  </si>
  <si>
    <t>M_MP336</t>
  </si>
  <si>
    <t>M_MP337</t>
  </si>
  <si>
    <t>M_MP338</t>
  </si>
  <si>
    <t>M_MP339</t>
  </si>
  <si>
    <t>M_MP341</t>
  </si>
  <si>
    <t>M_MP342</t>
  </si>
  <si>
    <t>M_MP343</t>
  </si>
  <si>
    <t>M_MP344</t>
  </si>
  <si>
    <t>M_MP345</t>
  </si>
  <si>
    <t>M_MP346</t>
  </si>
  <si>
    <t>M_MP347</t>
  </si>
  <si>
    <t>M_MP348</t>
  </si>
  <si>
    <t>M_MP349</t>
  </si>
  <si>
    <t>M_MP350</t>
  </si>
  <si>
    <t>M_MP351</t>
  </si>
  <si>
    <t>M_MP352</t>
  </si>
  <si>
    <t>M_MP353</t>
  </si>
  <si>
    <t>M_MP354</t>
  </si>
  <si>
    <t>M_MP355</t>
  </si>
  <si>
    <t>M_MP356</t>
  </si>
  <si>
    <t>M_MP357</t>
  </si>
  <si>
    <t>M_MP359</t>
  </si>
  <si>
    <t>M_MP360</t>
  </si>
  <si>
    <t>M_MP361</t>
  </si>
  <si>
    <t>M_MP362</t>
  </si>
  <si>
    <t>P4</t>
  </si>
  <si>
    <t>M_MP367</t>
  </si>
  <si>
    <t>M_COD141</t>
  </si>
  <si>
    <t>P42cm</t>
  </si>
  <si>
    <t>M_MP368</t>
  </si>
  <si>
    <t>M_COD142</t>
  </si>
  <si>
    <t>M_MP377</t>
  </si>
  <si>
    <t>M_MP378</t>
  </si>
  <si>
    <t>M_MP379</t>
  </si>
  <si>
    <t>M_MP380</t>
  </si>
  <si>
    <t>M_MP381</t>
  </si>
  <si>
    <t>M_MP382</t>
  </si>
  <si>
    <t>M_MP383</t>
  </si>
  <si>
    <t>M_MP384</t>
  </si>
  <si>
    <t>M_MP385</t>
  </si>
  <si>
    <t>M_MP386</t>
  </si>
  <si>
    <t>M_MP387</t>
  </si>
  <si>
    <t>M_MP388</t>
  </si>
  <si>
    <t>M_MP389</t>
  </si>
  <si>
    <t>M_MP390</t>
  </si>
  <si>
    <t>M_MP391</t>
  </si>
  <si>
    <t>M_MP392</t>
  </si>
  <si>
    <t>M_MP393</t>
  </si>
  <si>
    <t>M_MP394</t>
  </si>
  <si>
    <t>M_MP395</t>
  </si>
  <si>
    <t>M_MP396</t>
  </si>
  <si>
    <t>M_MP397</t>
  </si>
  <si>
    <t>M_MP398</t>
  </si>
  <si>
    <t>M_MP399</t>
  </si>
  <si>
    <t>M_MP400</t>
  </si>
  <si>
    <t>M_MP401</t>
  </si>
  <si>
    <t>M_MP402</t>
  </si>
  <si>
    <t>M_MP403</t>
  </si>
  <si>
    <t>M_MP404</t>
  </si>
  <si>
    <t>M_MP405</t>
  </si>
  <si>
    <t>M_MP407</t>
  </si>
  <si>
    <t>M_MP408</t>
  </si>
  <si>
    <t>M_MP409</t>
  </si>
  <si>
    <t>M_MP410</t>
  </si>
  <si>
    <t>M_MP411</t>
  </si>
  <si>
    <t>M_MP412</t>
  </si>
  <si>
    <t>M_MP413</t>
  </si>
  <si>
    <t>M_MP414</t>
  </si>
  <si>
    <t>M_MP415</t>
  </si>
  <si>
    <t>M_MP417</t>
  </si>
  <si>
    <t>M_MP418</t>
  </si>
  <si>
    <t>M_MP419</t>
  </si>
  <si>
    <t>M_MP420</t>
  </si>
  <si>
    <t>M_MP421</t>
  </si>
  <si>
    <t>M_MP422</t>
  </si>
  <si>
    <t>M_MP423</t>
  </si>
  <si>
    <t>M_MP424</t>
  </si>
  <si>
    <t>M_MP425</t>
  </si>
  <si>
    <t>M_MP426</t>
  </si>
  <si>
    <t>M_MP427</t>
  </si>
  <si>
    <t>M_COD145</t>
  </si>
  <si>
    <t>M_MP428</t>
  </si>
  <si>
    <t>M_COD146</t>
  </si>
  <si>
    <t>H1.4Na0.6La2Ti3O10</t>
  </si>
  <si>
    <t>H1.4 Na0.6 La2 Ti3 O10</t>
  </si>
  <si>
    <t>2Na-&gt;1.4H, 0.6Na</t>
  </si>
  <si>
    <t>M_MP435</t>
  </si>
  <si>
    <t>H1.4Na0.6La2Mn0.002Ti2.998O10</t>
  </si>
  <si>
    <t>H1.4 Na0.6 La2 Mn0.002 Ti2.998 O10</t>
  </si>
  <si>
    <t>2Na-&gt;1.4H, 0.6Na;3Ti-&gt;2.998Ti,0.002Mn</t>
  </si>
  <si>
    <t>M_MP436</t>
  </si>
  <si>
    <t>M_COD153</t>
  </si>
  <si>
    <t>Invalid structure to modify: sd_1210175</t>
  </si>
  <si>
    <t>H1.4Na0.6La2Mn0.005Ti2.995O10</t>
  </si>
  <si>
    <t>H1.4 Na0.6 La2 Mn0.005 Ti2.995 O10</t>
  </si>
  <si>
    <t>2Na-&gt;1.4H, 0.6Na;3Ti-&gt;2.995Ti,0.005Mn</t>
  </si>
  <si>
    <t>M_MP437</t>
  </si>
  <si>
    <t>M_COD154</t>
  </si>
  <si>
    <t>H1.4Na0.6La2Mn0.01Ti2.99O10</t>
  </si>
  <si>
    <t>H1.4 Na0.6 La2 Mn0.01 Ti2.99 O10</t>
  </si>
  <si>
    <t>2Na-&gt;1.4H, 0.6Na;3Ti-&gt;2.99Ti,0.01Mn</t>
  </si>
  <si>
    <t>M_MP438</t>
  </si>
  <si>
    <t>M_COD155</t>
  </si>
  <si>
    <t>H1.4Na0.6La2Mn0.025Ti2.975O10</t>
  </si>
  <si>
    <t>H1.4 Na0.6 La2 Mn0.025 Ti2.975 O10</t>
  </si>
  <si>
    <t>2Na-&gt;1.4H, 0.6Na;3Ti-&gt;2.975Ti,0.025Mn</t>
  </si>
  <si>
    <t>M_MP439</t>
  </si>
  <si>
    <t>M_COD156</t>
  </si>
  <si>
    <t>H1.4Na0.6La2Mn0.05Ti2.95O10</t>
  </si>
  <si>
    <t>H1.4 Na0.6 La2 Mn0.05 Ti2.95 O10</t>
  </si>
  <si>
    <t>2Na-&gt;1.4H, 0.6Na;3Ti-&gt;2.95Ti,0.05Mn</t>
  </si>
  <si>
    <t>M_MP440</t>
  </si>
  <si>
    <t>M_COD157</t>
  </si>
  <si>
    <t>H1.4Na0.6La2Mn0.1Ti2.9O10</t>
  </si>
  <si>
    <t>H1.4 Na0.6 La2 Mn0.1 Ti2.9 O10</t>
  </si>
  <si>
    <t>2Na-&gt;1.4H, 0.6Na;3Ti-&gt;2.9Ti,0.1Mn</t>
  </si>
  <si>
    <t>M_MP441</t>
  </si>
  <si>
    <t>M_COD158</t>
  </si>
  <si>
    <t>H1.6Na0.4La2Mn0.3Ti2.7O10</t>
  </si>
  <si>
    <t>H1.6 Na0.4 La2 Mn0.3 Ti2.7 O10</t>
  </si>
  <si>
    <t>2Na-&gt;1.6H, 0.4Na;3Ti-&gt;2.7Ti,0.3Mn</t>
  </si>
  <si>
    <t>M_MP442</t>
  </si>
  <si>
    <t>M_COD159</t>
  </si>
  <si>
    <t>H1.8Na0.2La2Mn0.5Ti2.5O10</t>
  </si>
  <si>
    <t>H1.8 Na0.2 La2 Mn0.5 Ti2.5 O10</t>
  </si>
  <si>
    <t>2Na-&gt;1.8H, 0.2Na;3Ti-&gt;2.5Ti,0.5Mn</t>
  </si>
  <si>
    <t>M_MP443</t>
  </si>
  <si>
    <t>M_COD160</t>
  </si>
  <si>
    <t>H1.8Na0.2La2Mn0.7Ti2.3O10</t>
  </si>
  <si>
    <t>H1.8 Na0.2 La2 Mn0.7 Ti2.3 O10</t>
  </si>
  <si>
    <t>2Na-&gt;1.8H, 0.2Na;3Ti-&gt;2.3Ti,0.7Mn</t>
  </si>
  <si>
    <t>M_MP444</t>
  </si>
  <si>
    <t>M_COD161</t>
  </si>
  <si>
    <t>H1.8Na0.2La2Mn0.9Ti2.1O10</t>
  </si>
  <si>
    <t>H1.8 Na0.2 La2 Mn0.9 Ti2.1 O10</t>
  </si>
  <si>
    <t>2Na-&gt;1.8H, 0.2Na;3Ti-&gt;2.1Ti,0.9Mn</t>
  </si>
  <si>
    <t>M_MP445</t>
  </si>
  <si>
    <t>M_COD162</t>
  </si>
  <si>
    <t>H1.8Na0.2La2MnTi2O10</t>
  </si>
  <si>
    <t>H1.8 Na0.2 La2 Mn1 Ti2 O10</t>
  </si>
  <si>
    <t>2Na-&gt;1.8H, 0.2Na;3Ti-&gt;2Ti,Mn</t>
  </si>
  <si>
    <t>M_MP446</t>
  </si>
  <si>
    <t>M_COD163</t>
  </si>
  <si>
    <t>M_MP447</t>
  </si>
  <si>
    <t>M_MP448</t>
  </si>
  <si>
    <t>M_COD164</t>
  </si>
  <si>
    <t>M_MP449</t>
  </si>
  <si>
    <t>M_COD165</t>
  </si>
  <si>
    <t>M_MP450</t>
  </si>
  <si>
    <t>M_COD166</t>
  </si>
  <si>
    <t>M_MP451</t>
  </si>
  <si>
    <t>M_COD167</t>
  </si>
  <si>
    <t>M_MP452</t>
  </si>
  <si>
    <t>M_COD168</t>
  </si>
  <si>
    <t>M_MP453</t>
  </si>
  <si>
    <t>M_COD169</t>
  </si>
  <si>
    <t>M_MP454</t>
  </si>
  <si>
    <t>M_COD170</t>
  </si>
  <si>
    <t>M_MP455</t>
  </si>
  <si>
    <t>M_COD171</t>
  </si>
  <si>
    <t>M_MP456</t>
  </si>
  <si>
    <t>M_COD172</t>
  </si>
  <si>
    <t>M_MP457</t>
  </si>
  <si>
    <t>M_COD173</t>
  </si>
  <si>
    <t>M_MP458</t>
  </si>
  <si>
    <t>M_COD174</t>
  </si>
  <si>
    <t>M_MP460</t>
  </si>
  <si>
    <t>M_COD175</t>
  </si>
  <si>
    <t>M_MP461</t>
  </si>
  <si>
    <t>M_COD176</t>
  </si>
  <si>
    <t>M_MP462</t>
  </si>
  <si>
    <t>M_COD177</t>
  </si>
  <si>
    <t>M_MP472</t>
  </si>
  <si>
    <t>M_COD186</t>
  </si>
  <si>
    <t>M_MP473</t>
  </si>
  <si>
    <t>M_COD187</t>
  </si>
  <si>
    <t>M_MP474</t>
  </si>
  <si>
    <t>M_COD188</t>
  </si>
  <si>
    <t>sd_0304039</t>
  </si>
  <si>
    <t>M_MP487</t>
  </si>
  <si>
    <t>M_MP488</t>
  </si>
  <si>
    <t>HRbNd2Ti3O10</t>
  </si>
  <si>
    <t>H1 Rb1 Nd2 Ti3 O10</t>
  </si>
  <si>
    <t>2K-&gt;H,Rb; La-&gt;Nd</t>
  </si>
  <si>
    <t>M_MP489</t>
  </si>
  <si>
    <t>H1.5Rb0.5Nd2Ti3O10</t>
  </si>
  <si>
    <t>H1.5 Rb0.5 Nd2 Ti3 O10</t>
  </si>
  <si>
    <t>2K-&gt;1.5H,0.5Rb; La-&gt;Nd</t>
  </si>
  <si>
    <t>M_MP490</t>
  </si>
  <si>
    <t>M_MP491</t>
  </si>
  <si>
    <t>ZrO2</t>
  </si>
  <si>
    <t>Zr1 O2</t>
  </si>
  <si>
    <t>mp-775909</t>
  </si>
  <si>
    <t>sd_0560284</t>
  </si>
  <si>
    <t>HNdNb2O7</t>
  </si>
  <si>
    <t>H1 Nd1 Nb2 O7</t>
  </si>
  <si>
    <t>Ta-&gt;Nb;Cs-&gt;H</t>
  </si>
  <si>
    <t>M_Springer65</t>
  </si>
  <si>
    <t>LiNdNb2O7</t>
  </si>
  <si>
    <t>Li1 Nd1 Nb2 O7</t>
  </si>
  <si>
    <t>Ta-&gt;Nb;Cs-&gt;Li</t>
  </si>
  <si>
    <t>M_Springer66</t>
  </si>
  <si>
    <t>NaNdNb2O7</t>
  </si>
  <si>
    <t>Na1 Nd1 Nb2 O7</t>
  </si>
  <si>
    <t>Ta-&gt;Nb; Cs-&gt;Na</t>
  </si>
  <si>
    <t>M_Springer67</t>
  </si>
  <si>
    <t>RbNdNb2O7</t>
  </si>
  <si>
    <t>Rb1 Nd1 Nb2 O7</t>
  </si>
  <si>
    <t>Ta-&gt;Nb;Cs-&gt;Rb</t>
  </si>
  <si>
    <t>M_Springer68</t>
  </si>
  <si>
    <t>CsNdNb2O7</t>
  </si>
  <si>
    <t>Cs1 Nd1 Nb2 O7</t>
  </si>
  <si>
    <t>Ta-&gt;Nb</t>
  </si>
  <si>
    <t>M_Springer69</t>
  </si>
  <si>
    <t>Ni</t>
  </si>
  <si>
    <t>CuO</t>
  </si>
  <si>
    <t>ZnO</t>
  </si>
  <si>
    <t>Cr2O3</t>
  </si>
  <si>
    <t>Fe2O3</t>
  </si>
  <si>
    <t>Norm_rate</t>
  </si>
  <si>
    <t>Log_norm_rate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</si>
</sst>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26"/>
  <sheetViews>
    <sheetView topLeftCell="I599" workbookViewId="0">
      <selection activeCell="I373" sqref="A373:XFD626"/>
    </sheetView>
  </sheetViews>
  <sheetFormatPr defaultRowHeight="14.4" x14ac:dyDescent="0.3"/>
  <cols>
    <col min="2" max="2" width="19.5546875" customWidth="1"/>
    <col min="34" max="34" width="12.88671875" customWidth="1"/>
  </cols>
  <sheetData>
    <row r="1" spans="1:8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</row>
    <row r="2" spans="1:84" x14ac:dyDescent="0.3">
      <c r="A2" s="1">
        <v>822</v>
      </c>
      <c r="B2" t="s">
        <v>128</v>
      </c>
      <c r="C2" t="s">
        <v>129</v>
      </c>
      <c r="E2" t="s">
        <v>130</v>
      </c>
      <c r="F2">
        <v>3.2</v>
      </c>
      <c r="G2" t="s">
        <v>131</v>
      </c>
      <c r="H2" t="s">
        <v>132</v>
      </c>
      <c r="I2">
        <v>-1</v>
      </c>
      <c r="O2">
        <v>0</v>
      </c>
      <c r="Q2" t="s">
        <v>248</v>
      </c>
      <c r="R2">
        <v>623</v>
      </c>
      <c r="S2">
        <v>11</v>
      </c>
      <c r="T2" t="b">
        <v>0</v>
      </c>
      <c r="U2" t="s">
        <v>172</v>
      </c>
      <c r="V2" t="s">
        <v>1365</v>
      </c>
      <c r="W2">
        <v>10</v>
      </c>
      <c r="X2">
        <v>50</v>
      </c>
      <c r="Y2">
        <v>1</v>
      </c>
      <c r="Z2">
        <v>0.1</v>
      </c>
      <c r="AC2" t="s">
        <v>90</v>
      </c>
      <c r="AD2">
        <v>125</v>
      </c>
      <c r="AE2">
        <v>220</v>
      </c>
      <c r="AF2" t="s">
        <v>91</v>
      </c>
      <c r="AG2">
        <v>288</v>
      </c>
      <c r="AH2">
        <v>490.90909090909088</v>
      </c>
      <c r="AL2" t="b">
        <v>1</v>
      </c>
      <c r="AM2" t="b">
        <v>0</v>
      </c>
      <c r="AN2" t="b">
        <v>0</v>
      </c>
      <c r="AO2" t="b">
        <v>0</v>
      </c>
      <c r="AP2" t="s">
        <v>131</v>
      </c>
      <c r="AQ2" t="s">
        <v>132</v>
      </c>
      <c r="AS2">
        <v>6.1962589597539948</v>
      </c>
      <c r="AT2">
        <v>2</v>
      </c>
      <c r="AU2">
        <v>2.666666666666667</v>
      </c>
      <c r="AV2">
        <v>0.66666666666666663</v>
      </c>
      <c r="AW2">
        <v>0</v>
      </c>
      <c r="AX2">
        <v>0.375</v>
      </c>
      <c r="AY2">
        <v>0.5</v>
      </c>
      <c r="AZ2">
        <v>0.125</v>
      </c>
      <c r="BA2">
        <v>0</v>
      </c>
      <c r="BB2">
        <v>6.1770001596666662</v>
      </c>
      <c r="BC2">
        <v>4</v>
      </c>
      <c r="BD2">
        <v>1182.741260108548</v>
      </c>
      <c r="BE2">
        <v>30</v>
      </c>
      <c r="BF2">
        <v>0.1014592151701775</v>
      </c>
      <c r="BG2">
        <v>10.59112378</v>
      </c>
      <c r="BH2">
        <v>10.784736629999999</v>
      </c>
      <c r="BI2">
        <v>10.486176179999999</v>
      </c>
      <c r="BJ2">
        <v>130.36387300000001</v>
      </c>
      <c r="BK2">
        <v>4</v>
      </c>
      <c r="BL2">
        <v>0.1227333894874388</v>
      </c>
      <c r="BM2">
        <v>3.73</v>
      </c>
      <c r="BN2">
        <v>3.73</v>
      </c>
      <c r="BO2">
        <v>9.3699999999999992</v>
      </c>
      <c r="BP2">
        <v>0</v>
      </c>
      <c r="BQ2">
        <v>0</v>
      </c>
      <c r="BS2">
        <v>0</v>
      </c>
      <c r="BT2">
        <v>0</v>
      </c>
      <c r="BU2">
        <v>0</v>
      </c>
      <c r="BX2">
        <v>2</v>
      </c>
      <c r="BZ2">
        <v>5.0729607585088737E-2</v>
      </c>
      <c r="CA2">
        <v>6.1366694743719377E-2</v>
      </c>
      <c r="CC2">
        <v>0.46900407026869612</v>
      </c>
      <c r="CD2">
        <v>0.56734579634715776</v>
      </c>
    </row>
    <row r="3" spans="1:84" x14ac:dyDescent="0.3">
      <c r="A3" s="1">
        <v>165</v>
      </c>
      <c r="B3" t="s">
        <v>463</v>
      </c>
      <c r="C3" t="s">
        <v>464</v>
      </c>
      <c r="F3">
        <v>3.2</v>
      </c>
      <c r="G3" t="s">
        <v>465</v>
      </c>
      <c r="H3" t="s">
        <v>466</v>
      </c>
      <c r="I3">
        <v>-1</v>
      </c>
      <c r="O3">
        <v>0</v>
      </c>
      <c r="Q3" t="s">
        <v>87</v>
      </c>
      <c r="R3">
        <v>1373</v>
      </c>
      <c r="S3">
        <v>30</v>
      </c>
      <c r="T3" t="b">
        <v>0</v>
      </c>
      <c r="U3" t="s">
        <v>172</v>
      </c>
      <c r="V3" t="s">
        <v>173</v>
      </c>
      <c r="W3">
        <v>7</v>
      </c>
      <c r="X3">
        <v>3.49</v>
      </c>
      <c r="Y3">
        <v>2.11</v>
      </c>
      <c r="Z3">
        <v>0</v>
      </c>
      <c r="AC3" t="s">
        <v>90</v>
      </c>
      <c r="AD3">
        <v>400</v>
      </c>
      <c r="AF3" t="s">
        <v>91</v>
      </c>
      <c r="AH3">
        <v>50</v>
      </c>
      <c r="AL3" t="b">
        <v>1</v>
      </c>
      <c r="AM3" t="b">
        <v>1</v>
      </c>
      <c r="AN3" t="b">
        <v>0</v>
      </c>
      <c r="AO3" t="b">
        <v>0</v>
      </c>
      <c r="AP3" t="s">
        <v>465</v>
      </c>
      <c r="AQ3" t="s">
        <v>466</v>
      </c>
      <c r="AS3">
        <v>3.912023005428146</v>
      </c>
      <c r="AT3">
        <v>2</v>
      </c>
      <c r="AU3">
        <v>2.333333333333333</v>
      </c>
      <c r="AV3">
        <v>0.33333333333333331</v>
      </c>
      <c r="AW3">
        <v>0</v>
      </c>
      <c r="AX3">
        <v>0.42857142857142849</v>
      </c>
      <c r="AY3">
        <v>0.5</v>
      </c>
      <c r="AZ3">
        <v>7.1428571428571425E-2</v>
      </c>
      <c r="BA3">
        <v>0</v>
      </c>
      <c r="BB3">
        <v>5.6917627584583332</v>
      </c>
      <c r="BC3">
        <v>14</v>
      </c>
      <c r="BD3">
        <v>155.59136328639269</v>
      </c>
      <c r="BE3">
        <v>1</v>
      </c>
      <c r="BF3">
        <v>8.9979287437893268E-2</v>
      </c>
      <c r="BG3">
        <v>3.9086759899999999</v>
      </c>
      <c r="BH3">
        <v>3.908676100000001</v>
      </c>
      <c r="BI3">
        <v>10.552604730000001</v>
      </c>
      <c r="BJ3">
        <v>310.12474837798999</v>
      </c>
      <c r="BK3">
        <v>2</v>
      </c>
      <c r="BL3">
        <v>9.0286248183820222E-2</v>
      </c>
      <c r="BM3">
        <v>3.899</v>
      </c>
      <c r="BN3">
        <v>3.899</v>
      </c>
      <c r="BO3">
        <v>20.399989999999999</v>
      </c>
      <c r="BP3">
        <v>0</v>
      </c>
      <c r="BQ3">
        <v>0</v>
      </c>
      <c r="BS3">
        <v>0</v>
      </c>
      <c r="BT3">
        <v>0</v>
      </c>
      <c r="BU3">
        <v>0</v>
      </c>
      <c r="BX3">
        <v>7</v>
      </c>
      <c r="BZ3">
        <v>4.4989643718946627E-2</v>
      </c>
      <c r="CA3">
        <v>4.5143124091910111E-2</v>
      </c>
      <c r="CC3">
        <v>0.58499657192886356</v>
      </c>
      <c r="CD3">
        <v>0.5869922643731712</v>
      </c>
    </row>
    <row r="4" spans="1:84" x14ac:dyDescent="0.3">
      <c r="A4" s="1">
        <v>166</v>
      </c>
      <c r="B4" t="s">
        <v>463</v>
      </c>
      <c r="C4" t="s">
        <v>464</v>
      </c>
      <c r="F4">
        <v>3.2</v>
      </c>
      <c r="G4" t="s">
        <v>465</v>
      </c>
      <c r="H4" t="s">
        <v>466</v>
      </c>
      <c r="I4">
        <v>-1</v>
      </c>
      <c r="O4">
        <v>0</v>
      </c>
      <c r="Q4" t="s">
        <v>467</v>
      </c>
      <c r="R4">
        <v>973</v>
      </c>
      <c r="S4">
        <v>2</v>
      </c>
      <c r="T4" t="b">
        <v>0</v>
      </c>
      <c r="U4" t="s">
        <v>172</v>
      </c>
      <c r="V4" t="s">
        <v>173</v>
      </c>
      <c r="W4">
        <v>7</v>
      </c>
      <c r="X4">
        <v>8.1449999999999996</v>
      </c>
      <c r="Y4">
        <v>2.11</v>
      </c>
      <c r="Z4">
        <v>0</v>
      </c>
      <c r="AC4" t="s">
        <v>90</v>
      </c>
      <c r="AD4">
        <v>400</v>
      </c>
      <c r="AF4" t="s">
        <v>91</v>
      </c>
      <c r="AH4">
        <v>10</v>
      </c>
      <c r="AL4" t="b">
        <v>1</v>
      </c>
      <c r="AM4" t="b">
        <v>1</v>
      </c>
      <c r="AN4" t="b">
        <v>0</v>
      </c>
      <c r="AO4" t="b">
        <v>0</v>
      </c>
      <c r="AP4" t="s">
        <v>465</v>
      </c>
      <c r="AQ4" t="s">
        <v>466</v>
      </c>
      <c r="AS4">
        <v>2.3025850929940459</v>
      </c>
      <c r="AT4">
        <v>2</v>
      </c>
      <c r="AU4">
        <v>2.333333333333333</v>
      </c>
      <c r="AV4">
        <v>0.33333333333333331</v>
      </c>
      <c r="AW4">
        <v>0</v>
      </c>
      <c r="AX4">
        <v>0.42857142857142849</v>
      </c>
      <c r="AY4">
        <v>0.5</v>
      </c>
      <c r="AZ4">
        <v>7.1428571428571425E-2</v>
      </c>
      <c r="BA4">
        <v>0</v>
      </c>
      <c r="BB4">
        <v>5.6917627584583332</v>
      </c>
      <c r="BC4">
        <v>14</v>
      </c>
      <c r="BD4">
        <v>155.59136328639269</v>
      </c>
      <c r="BE4">
        <v>1</v>
      </c>
      <c r="BF4">
        <v>8.9979287437893268E-2</v>
      </c>
      <c r="BG4">
        <v>3.9086759899999999</v>
      </c>
      <c r="BH4">
        <v>3.908676100000001</v>
      </c>
      <c r="BI4">
        <v>10.552604730000001</v>
      </c>
      <c r="BJ4">
        <v>310.12474837798999</v>
      </c>
      <c r="BK4">
        <v>2</v>
      </c>
      <c r="BL4">
        <v>9.0286248183820222E-2</v>
      </c>
      <c r="BM4">
        <v>3.899</v>
      </c>
      <c r="BN4">
        <v>3.899</v>
      </c>
      <c r="BO4">
        <v>20.399989999999999</v>
      </c>
      <c r="BP4">
        <v>0</v>
      </c>
      <c r="BQ4">
        <v>0</v>
      </c>
      <c r="BS4">
        <v>0</v>
      </c>
      <c r="BT4">
        <v>0</v>
      </c>
      <c r="BU4">
        <v>0</v>
      </c>
      <c r="BX4">
        <v>7</v>
      </c>
      <c r="BZ4">
        <v>4.4989643718946627E-2</v>
      </c>
      <c r="CA4">
        <v>4.5143124091910111E-2</v>
      </c>
      <c r="CC4">
        <v>0.58499657192886356</v>
      </c>
      <c r="CD4">
        <v>0.5869922643731712</v>
      </c>
    </row>
    <row r="5" spans="1:84" x14ac:dyDescent="0.3">
      <c r="A5" s="1">
        <v>163</v>
      </c>
      <c r="B5" t="s">
        <v>463</v>
      </c>
      <c r="C5" t="s">
        <v>464</v>
      </c>
      <c r="F5">
        <v>3.2</v>
      </c>
      <c r="G5" t="s">
        <v>465</v>
      </c>
      <c r="H5" t="s">
        <v>466</v>
      </c>
      <c r="I5">
        <v>-1</v>
      </c>
      <c r="O5">
        <v>0</v>
      </c>
      <c r="Q5" t="s">
        <v>87</v>
      </c>
      <c r="R5">
        <v>1373</v>
      </c>
      <c r="S5">
        <v>30</v>
      </c>
      <c r="T5" t="b">
        <v>0</v>
      </c>
      <c r="U5" t="s">
        <v>172</v>
      </c>
      <c r="V5" t="s">
        <v>173</v>
      </c>
      <c r="W5">
        <v>5</v>
      </c>
      <c r="X5">
        <v>3.49</v>
      </c>
      <c r="Y5">
        <v>2.11</v>
      </c>
      <c r="Z5">
        <v>0</v>
      </c>
      <c r="AC5" t="s">
        <v>90</v>
      </c>
      <c r="AD5">
        <v>400</v>
      </c>
      <c r="AF5" t="s">
        <v>91</v>
      </c>
      <c r="AH5">
        <v>86</v>
      </c>
      <c r="AL5" t="b">
        <v>1</v>
      </c>
      <c r="AM5" t="b">
        <v>1</v>
      </c>
      <c r="AN5" t="b">
        <v>0</v>
      </c>
      <c r="AO5" t="b">
        <v>0</v>
      </c>
      <c r="AP5" t="s">
        <v>465</v>
      </c>
      <c r="AQ5" t="s">
        <v>466</v>
      </c>
      <c r="AS5">
        <v>4.4543472962535073</v>
      </c>
      <c r="AT5">
        <v>2</v>
      </c>
      <c r="AU5">
        <v>2.333333333333333</v>
      </c>
      <c r="AV5">
        <v>0.33333333333333331</v>
      </c>
      <c r="AW5">
        <v>0</v>
      </c>
      <c r="AX5">
        <v>0.42857142857142849</v>
      </c>
      <c r="AY5">
        <v>0.5</v>
      </c>
      <c r="AZ5">
        <v>7.1428571428571425E-2</v>
      </c>
      <c r="BA5">
        <v>0</v>
      </c>
      <c r="BB5">
        <v>5.6917627584583332</v>
      </c>
      <c r="BC5">
        <v>14</v>
      </c>
      <c r="BD5">
        <v>155.59136328639269</v>
      </c>
      <c r="BE5">
        <v>1</v>
      </c>
      <c r="BF5">
        <v>8.9979287437893268E-2</v>
      </c>
      <c r="BG5">
        <v>3.9086759899999999</v>
      </c>
      <c r="BH5">
        <v>3.908676100000001</v>
      </c>
      <c r="BI5">
        <v>10.552604730000001</v>
      </c>
      <c r="BJ5">
        <v>310.12474837798999</v>
      </c>
      <c r="BK5">
        <v>2</v>
      </c>
      <c r="BL5">
        <v>9.0286248183820222E-2</v>
      </c>
      <c r="BM5">
        <v>3.899</v>
      </c>
      <c r="BN5">
        <v>3.899</v>
      </c>
      <c r="BO5">
        <v>20.399989999999999</v>
      </c>
      <c r="BP5">
        <v>0</v>
      </c>
      <c r="BQ5">
        <v>0</v>
      </c>
      <c r="BS5">
        <v>0</v>
      </c>
      <c r="BT5">
        <v>0</v>
      </c>
      <c r="BU5">
        <v>0</v>
      </c>
      <c r="BX5">
        <v>7</v>
      </c>
      <c r="BZ5">
        <v>4.4989643718946627E-2</v>
      </c>
      <c r="CA5">
        <v>4.5143124091910111E-2</v>
      </c>
      <c r="CC5">
        <v>0.58499657192886356</v>
      </c>
      <c r="CD5">
        <v>0.5869922643731712</v>
      </c>
    </row>
    <row r="6" spans="1:84" x14ac:dyDescent="0.3">
      <c r="A6" s="1">
        <v>164</v>
      </c>
      <c r="B6" t="s">
        <v>463</v>
      </c>
      <c r="C6" t="s">
        <v>464</v>
      </c>
      <c r="F6">
        <v>3.2</v>
      </c>
      <c r="G6" t="s">
        <v>465</v>
      </c>
      <c r="H6" t="s">
        <v>466</v>
      </c>
      <c r="I6">
        <v>-1</v>
      </c>
      <c r="O6">
        <v>0</v>
      </c>
      <c r="Q6" t="s">
        <v>467</v>
      </c>
      <c r="R6">
        <v>973</v>
      </c>
      <c r="S6">
        <v>2</v>
      </c>
      <c r="T6" t="b">
        <v>0</v>
      </c>
      <c r="U6" t="s">
        <v>172</v>
      </c>
      <c r="V6" t="s">
        <v>173</v>
      </c>
      <c r="W6">
        <v>5</v>
      </c>
      <c r="X6">
        <v>8.1449999999999996</v>
      </c>
      <c r="Y6">
        <v>2.11</v>
      </c>
      <c r="Z6">
        <v>0</v>
      </c>
      <c r="AC6" t="s">
        <v>90</v>
      </c>
      <c r="AD6">
        <v>400</v>
      </c>
      <c r="AF6" t="s">
        <v>91</v>
      </c>
      <c r="AH6">
        <v>65</v>
      </c>
      <c r="AL6" t="b">
        <v>1</v>
      </c>
      <c r="AM6" t="b">
        <v>1</v>
      </c>
      <c r="AN6" t="b">
        <v>0</v>
      </c>
      <c r="AO6" t="b">
        <v>0</v>
      </c>
      <c r="AP6" t="s">
        <v>465</v>
      </c>
      <c r="AQ6" t="s">
        <v>466</v>
      </c>
      <c r="AS6">
        <v>4.1743872698956368</v>
      </c>
      <c r="AT6">
        <v>2</v>
      </c>
      <c r="AU6">
        <v>2.333333333333333</v>
      </c>
      <c r="AV6">
        <v>0.33333333333333331</v>
      </c>
      <c r="AW6">
        <v>0</v>
      </c>
      <c r="AX6">
        <v>0.42857142857142849</v>
      </c>
      <c r="AY6">
        <v>0.5</v>
      </c>
      <c r="AZ6">
        <v>7.1428571428571425E-2</v>
      </c>
      <c r="BA6">
        <v>0</v>
      </c>
      <c r="BB6">
        <v>5.6917627584583332</v>
      </c>
      <c r="BC6">
        <v>14</v>
      </c>
      <c r="BD6">
        <v>155.59136328639269</v>
      </c>
      <c r="BE6">
        <v>1</v>
      </c>
      <c r="BF6">
        <v>8.9979287437893268E-2</v>
      </c>
      <c r="BG6">
        <v>3.9086759899999999</v>
      </c>
      <c r="BH6">
        <v>3.908676100000001</v>
      </c>
      <c r="BI6">
        <v>10.552604730000001</v>
      </c>
      <c r="BJ6">
        <v>310.12474837798999</v>
      </c>
      <c r="BK6">
        <v>2</v>
      </c>
      <c r="BL6">
        <v>9.0286248183820222E-2</v>
      </c>
      <c r="BM6">
        <v>3.899</v>
      </c>
      <c r="BN6">
        <v>3.899</v>
      </c>
      <c r="BO6">
        <v>20.399989999999999</v>
      </c>
      <c r="BP6">
        <v>0</v>
      </c>
      <c r="BQ6">
        <v>0</v>
      </c>
      <c r="BS6">
        <v>0</v>
      </c>
      <c r="BT6">
        <v>0</v>
      </c>
      <c r="BU6">
        <v>0</v>
      </c>
      <c r="BX6">
        <v>7</v>
      </c>
      <c r="BZ6">
        <v>4.4989643718946627E-2</v>
      </c>
      <c r="CA6">
        <v>4.5143124091910111E-2</v>
      </c>
      <c r="CC6">
        <v>0.58499657192886356</v>
      </c>
      <c r="CD6">
        <v>0.5869922643731712</v>
      </c>
    </row>
    <row r="7" spans="1:84" x14ac:dyDescent="0.3">
      <c r="A7" s="1">
        <v>643</v>
      </c>
      <c r="B7" t="s">
        <v>1115</v>
      </c>
      <c r="C7" t="s">
        <v>1116</v>
      </c>
      <c r="E7" t="s">
        <v>404</v>
      </c>
      <c r="F7">
        <v>3.58</v>
      </c>
      <c r="G7" t="s">
        <v>1080</v>
      </c>
      <c r="H7">
        <v>-1</v>
      </c>
      <c r="I7">
        <v>-1</v>
      </c>
      <c r="J7">
        <v>1</v>
      </c>
      <c r="K7">
        <v>3.802</v>
      </c>
      <c r="L7">
        <v>3.802</v>
      </c>
      <c r="M7">
        <v>24.7</v>
      </c>
      <c r="N7" t="s">
        <v>101</v>
      </c>
      <c r="O7">
        <v>24.7</v>
      </c>
      <c r="Q7" t="s">
        <v>87</v>
      </c>
      <c r="R7">
        <v>1273</v>
      </c>
      <c r="S7">
        <v>10</v>
      </c>
      <c r="T7" t="b">
        <v>0</v>
      </c>
      <c r="U7" t="s">
        <v>125</v>
      </c>
      <c r="V7" t="s">
        <v>126</v>
      </c>
      <c r="W7">
        <v>5</v>
      </c>
      <c r="Y7">
        <v>0.5</v>
      </c>
      <c r="Z7">
        <v>1</v>
      </c>
      <c r="AC7" t="s">
        <v>90</v>
      </c>
      <c r="AD7">
        <v>125</v>
      </c>
      <c r="AE7">
        <v>220</v>
      </c>
      <c r="AF7" t="s">
        <v>91</v>
      </c>
      <c r="AG7">
        <v>288</v>
      </c>
      <c r="AH7">
        <v>44000</v>
      </c>
      <c r="AI7" t="s">
        <v>972</v>
      </c>
      <c r="AL7" t="b">
        <v>1</v>
      </c>
      <c r="AM7" t="b">
        <v>0</v>
      </c>
      <c r="AN7" t="b">
        <v>0</v>
      </c>
      <c r="AO7" t="b">
        <v>0</v>
      </c>
      <c r="AP7" t="s">
        <v>1170</v>
      </c>
      <c r="AS7">
        <v>10.6919449129004</v>
      </c>
      <c r="AT7">
        <v>1.510204081632653</v>
      </c>
      <c r="AU7">
        <v>1.2653061224489801</v>
      </c>
      <c r="AV7">
        <v>0.1224489795918367</v>
      </c>
      <c r="AW7">
        <v>0.16326530612244899</v>
      </c>
      <c r="AX7">
        <v>0.49333333333333329</v>
      </c>
      <c r="AY7">
        <v>0.41333333333333339</v>
      </c>
      <c r="AZ7">
        <v>0.04</v>
      </c>
      <c r="BA7">
        <v>5.333333333333333E-2</v>
      </c>
      <c r="BB7">
        <v>6.6971257268453872</v>
      </c>
      <c r="BC7">
        <v>20</v>
      </c>
      <c r="BD7">
        <v>733.37308460000008</v>
      </c>
      <c r="BE7">
        <v>2</v>
      </c>
      <c r="BF7">
        <v>5.4542497999932729E-2</v>
      </c>
      <c r="BG7">
        <v>3.8530000000000002</v>
      </c>
      <c r="BH7">
        <v>3.8530000000000002</v>
      </c>
      <c r="BI7">
        <v>49.4</v>
      </c>
      <c r="BJ7">
        <v>0</v>
      </c>
      <c r="BK7">
        <v>0</v>
      </c>
      <c r="BM7">
        <v>0</v>
      </c>
      <c r="BN7">
        <v>0</v>
      </c>
      <c r="BO7">
        <v>0</v>
      </c>
      <c r="BP7">
        <v>0</v>
      </c>
      <c r="BQ7">
        <v>0</v>
      </c>
      <c r="BS7">
        <v>0</v>
      </c>
      <c r="BT7">
        <v>0</v>
      </c>
      <c r="BU7">
        <v>0</v>
      </c>
      <c r="BV7">
        <v>357.04353880000002</v>
      </c>
      <c r="BW7">
        <v>5.6015577448113731E-2</v>
      </c>
      <c r="BX7">
        <v>10</v>
      </c>
      <c r="BY7">
        <v>2.8007788724056869E-2</v>
      </c>
      <c r="BZ7">
        <v>2.7271248999966361E-2</v>
      </c>
      <c r="CC7">
        <v>0.33005342247707181</v>
      </c>
      <c r="CF7">
        <v>0.33896747906196412</v>
      </c>
    </row>
    <row r="8" spans="1:84" x14ac:dyDescent="0.3">
      <c r="A8" s="1">
        <v>821</v>
      </c>
      <c r="B8" t="s">
        <v>128</v>
      </c>
      <c r="C8" t="s">
        <v>129</v>
      </c>
      <c r="E8" t="s">
        <v>130</v>
      </c>
      <c r="F8">
        <v>3.2</v>
      </c>
      <c r="G8" t="s">
        <v>131</v>
      </c>
      <c r="H8" t="s">
        <v>132</v>
      </c>
      <c r="I8">
        <v>-1</v>
      </c>
      <c r="O8">
        <v>0</v>
      </c>
      <c r="Q8" t="s">
        <v>248</v>
      </c>
      <c r="R8">
        <v>623</v>
      </c>
      <c r="S8">
        <v>10</v>
      </c>
      <c r="T8" t="b">
        <v>0</v>
      </c>
      <c r="U8" t="s">
        <v>172</v>
      </c>
      <c r="V8" t="s">
        <v>1365</v>
      </c>
      <c r="W8">
        <v>5</v>
      </c>
      <c r="X8">
        <v>50</v>
      </c>
      <c r="Y8">
        <v>1</v>
      </c>
      <c r="Z8">
        <v>0.1</v>
      </c>
      <c r="AC8" t="s">
        <v>90</v>
      </c>
      <c r="AD8">
        <v>125</v>
      </c>
      <c r="AE8">
        <v>220</v>
      </c>
      <c r="AF8" t="s">
        <v>91</v>
      </c>
      <c r="AG8">
        <v>288</v>
      </c>
      <c r="AH8">
        <v>563.63636363636363</v>
      </c>
      <c r="AL8" t="b">
        <v>1</v>
      </c>
      <c r="AM8" t="b">
        <v>0</v>
      </c>
      <c r="AN8" t="b">
        <v>0</v>
      </c>
      <c r="AO8" t="b">
        <v>0</v>
      </c>
      <c r="AP8" t="s">
        <v>131</v>
      </c>
      <c r="AQ8" t="s">
        <v>132</v>
      </c>
      <c r="AS8">
        <v>6.3344092982348128</v>
      </c>
      <c r="AT8">
        <v>2</v>
      </c>
      <c r="AU8">
        <v>2.666666666666667</v>
      </c>
      <c r="AV8">
        <v>0.66666666666666663</v>
      </c>
      <c r="AW8">
        <v>0</v>
      </c>
      <c r="AX8">
        <v>0.375</v>
      </c>
      <c r="AY8">
        <v>0.5</v>
      </c>
      <c r="AZ8">
        <v>0.125</v>
      </c>
      <c r="BA8">
        <v>0</v>
      </c>
      <c r="BB8">
        <v>6.1770001596666662</v>
      </c>
      <c r="BC8">
        <v>4</v>
      </c>
      <c r="BD8">
        <v>1182.741260108548</v>
      </c>
      <c r="BE8">
        <v>30</v>
      </c>
      <c r="BF8">
        <v>0.1014592151701775</v>
      </c>
      <c r="BG8">
        <v>10.59112378</v>
      </c>
      <c r="BH8">
        <v>10.784736629999999</v>
      </c>
      <c r="BI8">
        <v>10.486176179999999</v>
      </c>
      <c r="BJ8">
        <v>130.36387300000001</v>
      </c>
      <c r="BK8">
        <v>4</v>
      </c>
      <c r="BL8">
        <v>0.1227333894874388</v>
      </c>
      <c r="BM8">
        <v>3.73</v>
      </c>
      <c r="BN8">
        <v>3.73</v>
      </c>
      <c r="BO8">
        <v>9.3699999999999992</v>
      </c>
      <c r="BP8">
        <v>0</v>
      </c>
      <c r="BQ8">
        <v>0</v>
      </c>
      <c r="BS8">
        <v>0</v>
      </c>
      <c r="BT8">
        <v>0</v>
      </c>
      <c r="BU8">
        <v>0</v>
      </c>
      <c r="BX8">
        <v>2</v>
      </c>
      <c r="BZ8">
        <v>5.0729607585088737E-2</v>
      </c>
      <c r="CA8">
        <v>6.1366694743719377E-2</v>
      </c>
      <c r="CC8">
        <v>0.46900407026869612</v>
      </c>
      <c r="CD8">
        <v>0.56734579634715776</v>
      </c>
    </row>
    <row r="9" spans="1:84" x14ac:dyDescent="0.3">
      <c r="A9" s="1">
        <v>233</v>
      </c>
      <c r="B9" t="s">
        <v>151</v>
      </c>
      <c r="C9" t="s">
        <v>152</v>
      </c>
      <c r="E9" t="s">
        <v>106</v>
      </c>
      <c r="F9">
        <v>3.35</v>
      </c>
      <c r="G9" t="s">
        <v>142</v>
      </c>
      <c r="H9">
        <v>1522043</v>
      </c>
      <c r="I9">
        <v>-1</v>
      </c>
      <c r="J9">
        <v>8</v>
      </c>
      <c r="K9">
        <v>7.76</v>
      </c>
      <c r="L9">
        <v>7.76</v>
      </c>
      <c r="M9">
        <v>33</v>
      </c>
      <c r="O9">
        <v>16.5</v>
      </c>
      <c r="Q9" t="s">
        <v>87</v>
      </c>
      <c r="R9">
        <v>1423</v>
      </c>
      <c r="S9">
        <v>24</v>
      </c>
      <c r="T9" t="b">
        <v>0</v>
      </c>
      <c r="U9" t="s">
        <v>172</v>
      </c>
      <c r="V9" t="s">
        <v>126</v>
      </c>
      <c r="W9">
        <v>4</v>
      </c>
      <c r="X9">
        <v>11.84</v>
      </c>
      <c r="Y9">
        <v>2</v>
      </c>
      <c r="Z9">
        <v>10</v>
      </c>
      <c r="AC9" t="s">
        <v>90</v>
      </c>
      <c r="AD9">
        <v>100</v>
      </c>
      <c r="AE9">
        <v>400</v>
      </c>
      <c r="AF9" t="s">
        <v>407</v>
      </c>
      <c r="AG9">
        <v>333</v>
      </c>
      <c r="AH9">
        <v>6785.7142857142862</v>
      </c>
      <c r="AI9" t="s">
        <v>153</v>
      </c>
      <c r="AJ9" t="s">
        <v>153</v>
      </c>
      <c r="AL9" t="b">
        <v>1</v>
      </c>
      <c r="AM9" t="b">
        <v>1</v>
      </c>
      <c r="AN9" t="b">
        <v>0</v>
      </c>
      <c r="AO9" t="b">
        <v>0</v>
      </c>
      <c r="AP9" t="s">
        <v>624</v>
      </c>
      <c r="AQ9" t="s">
        <v>625</v>
      </c>
      <c r="AS9">
        <v>8.8225748409674196</v>
      </c>
      <c r="AT9">
        <v>1.75</v>
      </c>
      <c r="AU9">
        <v>2.5</v>
      </c>
      <c r="AV9">
        <v>0.75</v>
      </c>
      <c r="AW9">
        <v>0</v>
      </c>
      <c r="AX9">
        <v>0.35</v>
      </c>
      <c r="AY9">
        <v>0.5</v>
      </c>
      <c r="AZ9">
        <v>0.15</v>
      </c>
      <c r="BA9">
        <v>0</v>
      </c>
      <c r="BB9">
        <v>6.2395921087406876</v>
      </c>
      <c r="BC9">
        <v>20</v>
      </c>
      <c r="BD9">
        <v>242.1279024923125</v>
      </c>
      <c r="BE9">
        <v>1</v>
      </c>
      <c r="BF9">
        <v>8.2600971611006269E-2</v>
      </c>
      <c r="BG9">
        <v>3.950634</v>
      </c>
      <c r="BH9">
        <v>3.950634</v>
      </c>
      <c r="BI9">
        <v>15.513552000000001</v>
      </c>
      <c r="BJ9">
        <v>227.970829547178</v>
      </c>
      <c r="BK9">
        <v>1</v>
      </c>
      <c r="BL9">
        <v>8.7730522539775438E-2</v>
      </c>
      <c r="BM9">
        <v>3.8658999999999999</v>
      </c>
      <c r="BN9">
        <v>3.8658999999999999</v>
      </c>
      <c r="BO9">
        <v>15.2538</v>
      </c>
      <c r="BP9">
        <v>0</v>
      </c>
      <c r="BQ9">
        <v>0</v>
      </c>
      <c r="BS9">
        <v>0</v>
      </c>
      <c r="BT9">
        <v>0</v>
      </c>
      <c r="BU9">
        <v>0</v>
      </c>
      <c r="BV9">
        <v>1987.1808000000001</v>
      </c>
      <c r="BW9">
        <v>8.0516075839702161E-2</v>
      </c>
      <c r="BX9">
        <v>10</v>
      </c>
      <c r="BY9">
        <v>4.0258037919851081E-2</v>
      </c>
      <c r="BZ9">
        <v>4.1300485805503127E-2</v>
      </c>
      <c r="CA9">
        <v>4.3865261269887719E-2</v>
      </c>
      <c r="CC9">
        <v>0.45027090848362911</v>
      </c>
      <c r="CD9">
        <v>0.47823289866077828</v>
      </c>
      <c r="CF9">
        <v>0.43890581319807093</v>
      </c>
    </row>
    <row r="10" spans="1:84" x14ac:dyDescent="0.3">
      <c r="A10" s="1">
        <v>234</v>
      </c>
      <c r="B10" t="s">
        <v>604</v>
      </c>
      <c r="C10" t="s">
        <v>605</v>
      </c>
      <c r="E10" t="s">
        <v>106</v>
      </c>
      <c r="F10">
        <v>3.74</v>
      </c>
      <c r="G10" t="s">
        <v>142</v>
      </c>
      <c r="H10">
        <v>1522043</v>
      </c>
      <c r="I10">
        <v>-1</v>
      </c>
      <c r="J10">
        <v>8</v>
      </c>
      <c r="K10">
        <v>7.76</v>
      </c>
      <c r="L10">
        <v>7.76</v>
      </c>
      <c r="M10">
        <v>33.08</v>
      </c>
      <c r="O10">
        <v>16.54</v>
      </c>
      <c r="Q10" t="s">
        <v>87</v>
      </c>
      <c r="R10">
        <v>1423</v>
      </c>
      <c r="S10">
        <v>24</v>
      </c>
      <c r="T10" t="b">
        <v>0</v>
      </c>
      <c r="U10" t="s">
        <v>172</v>
      </c>
      <c r="V10" t="s">
        <v>126</v>
      </c>
      <c r="W10">
        <v>4</v>
      </c>
      <c r="X10">
        <v>11.25</v>
      </c>
      <c r="Y10">
        <v>2</v>
      </c>
      <c r="Z10">
        <v>10</v>
      </c>
      <c r="AC10" t="s">
        <v>90</v>
      </c>
      <c r="AD10">
        <v>100</v>
      </c>
      <c r="AE10">
        <v>400</v>
      </c>
      <c r="AF10" t="s">
        <v>407</v>
      </c>
      <c r="AG10">
        <v>333</v>
      </c>
      <c r="AH10">
        <v>9285.7142857142862</v>
      </c>
      <c r="AI10" t="s">
        <v>606</v>
      </c>
      <c r="AJ10" t="s">
        <v>606</v>
      </c>
      <c r="AL10" t="b">
        <v>1</v>
      </c>
      <c r="AM10" t="b">
        <v>1</v>
      </c>
      <c r="AN10" t="b">
        <v>0</v>
      </c>
      <c r="AO10" t="b">
        <v>0</v>
      </c>
      <c r="AP10" t="s">
        <v>626</v>
      </c>
      <c r="AQ10" t="s">
        <v>627</v>
      </c>
      <c r="AS10">
        <v>9.136232399822461</v>
      </c>
      <c r="AT10">
        <v>1.8125</v>
      </c>
      <c r="AU10">
        <v>2.5</v>
      </c>
      <c r="AV10">
        <v>0.6875</v>
      </c>
      <c r="AW10">
        <v>0.875</v>
      </c>
      <c r="AX10">
        <v>0.30851063829787229</v>
      </c>
      <c r="AY10">
        <v>0.42553191489361702</v>
      </c>
      <c r="AZ10">
        <v>0.1170212765957447</v>
      </c>
      <c r="BA10">
        <v>0.14893617021276601</v>
      </c>
      <c r="BB10">
        <v>6.2459100221781876</v>
      </c>
      <c r="BC10">
        <v>20</v>
      </c>
      <c r="BD10">
        <v>242.1279024923125</v>
      </c>
      <c r="BE10">
        <v>1</v>
      </c>
      <c r="BF10">
        <v>8.2600971611006269E-2</v>
      </c>
      <c r="BG10">
        <v>3.950634</v>
      </c>
      <c r="BH10">
        <v>3.950634</v>
      </c>
      <c r="BI10">
        <v>15.513552000000001</v>
      </c>
      <c r="BJ10">
        <v>227.970829547178</v>
      </c>
      <c r="BK10">
        <v>1</v>
      </c>
      <c r="BL10">
        <v>8.7730522539775438E-2</v>
      </c>
      <c r="BM10">
        <v>3.8658999999999999</v>
      </c>
      <c r="BN10">
        <v>3.8658999999999999</v>
      </c>
      <c r="BO10">
        <v>15.2538</v>
      </c>
      <c r="BP10">
        <v>0</v>
      </c>
      <c r="BQ10">
        <v>0</v>
      </c>
      <c r="BS10">
        <v>0</v>
      </c>
      <c r="BT10">
        <v>0</v>
      </c>
      <c r="BU10">
        <v>0</v>
      </c>
      <c r="BV10">
        <v>1991.998208</v>
      </c>
      <c r="BW10">
        <v>8.0321357397526341E-2</v>
      </c>
      <c r="BX10">
        <v>10</v>
      </c>
      <c r="BY10">
        <v>4.0160678698763171E-2</v>
      </c>
      <c r="BZ10">
        <v>4.1300485805503127E-2</v>
      </c>
      <c r="CA10">
        <v>4.3865261269887719E-2</v>
      </c>
      <c r="CC10">
        <v>0.45027090848362911</v>
      </c>
      <c r="CD10">
        <v>0.47823289866077828</v>
      </c>
      <c r="CF10">
        <v>0.4378443722955363</v>
      </c>
    </row>
    <row r="11" spans="1:84" x14ac:dyDescent="0.3">
      <c r="A11" s="1">
        <v>235</v>
      </c>
      <c r="B11" t="s">
        <v>609</v>
      </c>
      <c r="C11" t="s">
        <v>610</v>
      </c>
      <c r="E11" t="s">
        <v>106</v>
      </c>
      <c r="F11">
        <v>3.74</v>
      </c>
      <c r="G11" t="s">
        <v>142</v>
      </c>
      <c r="H11">
        <v>1522043</v>
      </c>
      <c r="I11">
        <v>-1</v>
      </c>
      <c r="J11">
        <v>8</v>
      </c>
      <c r="K11">
        <v>7.76</v>
      </c>
      <c r="L11">
        <v>7.76</v>
      </c>
      <c r="M11">
        <v>33.24</v>
      </c>
      <c r="O11">
        <v>16.62</v>
      </c>
      <c r="Q11" t="s">
        <v>87</v>
      </c>
      <c r="R11">
        <v>1423</v>
      </c>
      <c r="S11">
        <v>24</v>
      </c>
      <c r="T11" t="b">
        <v>0</v>
      </c>
      <c r="U11" t="s">
        <v>172</v>
      </c>
      <c r="V11" t="s">
        <v>126</v>
      </c>
      <c r="W11">
        <v>4</v>
      </c>
      <c r="X11">
        <v>10.97</v>
      </c>
      <c r="Y11">
        <v>2</v>
      </c>
      <c r="Z11">
        <v>10</v>
      </c>
      <c r="AC11" t="s">
        <v>90</v>
      </c>
      <c r="AD11">
        <v>100</v>
      </c>
      <c r="AE11">
        <v>400</v>
      </c>
      <c r="AF11" t="s">
        <v>407</v>
      </c>
      <c r="AG11">
        <v>333</v>
      </c>
      <c r="AH11">
        <v>2767.8571428571431</v>
      </c>
      <c r="AI11" t="s">
        <v>611</v>
      </c>
      <c r="AJ11" t="s">
        <v>611</v>
      </c>
      <c r="AL11" t="b">
        <v>1</v>
      </c>
      <c r="AM11" t="b">
        <v>1</v>
      </c>
      <c r="AN11" t="b">
        <v>0</v>
      </c>
      <c r="AO11" t="b">
        <v>0</v>
      </c>
      <c r="AP11" t="s">
        <v>628</v>
      </c>
      <c r="AQ11" t="s">
        <v>629</v>
      </c>
      <c r="AS11">
        <v>7.9258287051662348</v>
      </c>
      <c r="AT11">
        <v>1.84375</v>
      </c>
      <c r="AU11">
        <v>2.5</v>
      </c>
      <c r="AV11">
        <v>0.65625</v>
      </c>
      <c r="AW11">
        <v>1.3125</v>
      </c>
      <c r="AX11">
        <v>0.29207920792079212</v>
      </c>
      <c r="AY11">
        <v>0.39603960396039611</v>
      </c>
      <c r="AZ11">
        <v>0.103960396039604</v>
      </c>
      <c r="BA11">
        <v>0.20792079207920791</v>
      </c>
      <c r="BB11">
        <v>6.2490689788969371</v>
      </c>
      <c r="BC11">
        <v>20</v>
      </c>
      <c r="BD11">
        <v>242.1279024923125</v>
      </c>
      <c r="BE11">
        <v>1</v>
      </c>
      <c r="BF11">
        <v>8.2600971611006269E-2</v>
      </c>
      <c r="BG11">
        <v>3.950634</v>
      </c>
      <c r="BH11">
        <v>3.950634</v>
      </c>
      <c r="BI11">
        <v>15.513552000000001</v>
      </c>
      <c r="BJ11">
        <v>227.970829547178</v>
      </c>
      <c r="BK11">
        <v>1</v>
      </c>
      <c r="BL11">
        <v>8.7730522539775438E-2</v>
      </c>
      <c r="BM11">
        <v>3.8658999999999999</v>
      </c>
      <c r="BN11">
        <v>3.8658999999999999</v>
      </c>
      <c r="BO11">
        <v>15.2538</v>
      </c>
      <c r="BP11">
        <v>0</v>
      </c>
      <c r="BQ11">
        <v>0</v>
      </c>
      <c r="BS11">
        <v>0</v>
      </c>
      <c r="BT11">
        <v>0</v>
      </c>
      <c r="BU11">
        <v>0</v>
      </c>
      <c r="BV11">
        <v>2001.633024</v>
      </c>
      <c r="BW11">
        <v>7.9934732331834277E-2</v>
      </c>
      <c r="BX11">
        <v>10</v>
      </c>
      <c r="BY11">
        <v>3.9967366165917138E-2</v>
      </c>
      <c r="BZ11">
        <v>4.1300485805503127E-2</v>
      </c>
      <c r="CA11">
        <v>4.3865261269887719E-2</v>
      </c>
      <c r="CC11">
        <v>0.45027090848362911</v>
      </c>
      <c r="CD11">
        <v>0.47823289866077828</v>
      </c>
      <c r="CF11">
        <v>0.43573681815692961</v>
      </c>
    </row>
    <row r="12" spans="1:84" x14ac:dyDescent="0.3">
      <c r="A12" s="1">
        <v>236</v>
      </c>
      <c r="B12" t="s">
        <v>614</v>
      </c>
      <c r="C12" t="s">
        <v>615</v>
      </c>
      <c r="E12" t="s">
        <v>106</v>
      </c>
      <c r="F12">
        <v>3.78</v>
      </c>
      <c r="G12" t="s">
        <v>142</v>
      </c>
      <c r="H12">
        <v>1522043</v>
      </c>
      <c r="I12">
        <v>-1</v>
      </c>
      <c r="J12">
        <v>8</v>
      </c>
      <c r="K12">
        <v>7.76</v>
      </c>
      <c r="L12">
        <v>7.76</v>
      </c>
      <c r="M12">
        <v>33</v>
      </c>
      <c r="O12">
        <v>16.5</v>
      </c>
      <c r="Q12" t="s">
        <v>87</v>
      </c>
      <c r="R12">
        <v>1423</v>
      </c>
      <c r="S12">
        <v>24</v>
      </c>
      <c r="T12" t="b">
        <v>0</v>
      </c>
      <c r="U12" t="s">
        <v>172</v>
      </c>
      <c r="V12" t="s">
        <v>126</v>
      </c>
      <c r="W12">
        <v>4</v>
      </c>
      <c r="X12">
        <v>11.41</v>
      </c>
      <c r="Y12">
        <v>2</v>
      </c>
      <c r="Z12">
        <v>10</v>
      </c>
      <c r="AC12" t="s">
        <v>90</v>
      </c>
      <c r="AD12">
        <v>100</v>
      </c>
      <c r="AE12">
        <v>400</v>
      </c>
      <c r="AF12" t="s">
        <v>407</v>
      </c>
      <c r="AG12">
        <v>333</v>
      </c>
      <c r="AH12">
        <v>1473.214285714286</v>
      </c>
      <c r="AI12" t="s">
        <v>616</v>
      </c>
      <c r="AJ12" t="s">
        <v>616</v>
      </c>
      <c r="AL12" t="b">
        <v>1</v>
      </c>
      <c r="AM12" t="b">
        <v>1</v>
      </c>
      <c r="AN12" t="b">
        <v>0</v>
      </c>
      <c r="AO12" t="b">
        <v>0</v>
      </c>
      <c r="AP12" t="s">
        <v>630</v>
      </c>
      <c r="AQ12" t="s">
        <v>631</v>
      </c>
      <c r="AS12">
        <v>7.2952018815876229</v>
      </c>
      <c r="AT12">
        <v>1.875</v>
      </c>
      <c r="AU12">
        <v>2.5</v>
      </c>
      <c r="AV12">
        <v>0.625</v>
      </c>
      <c r="AW12">
        <v>1.75</v>
      </c>
      <c r="AX12">
        <v>0.27777777777777779</v>
      </c>
      <c r="AY12">
        <v>0.37037037037037029</v>
      </c>
      <c r="AZ12">
        <v>9.2592592592592587E-2</v>
      </c>
      <c r="BA12">
        <v>0.25925925925925919</v>
      </c>
      <c r="BB12">
        <v>6.2522279356156876</v>
      </c>
      <c r="BC12">
        <v>20</v>
      </c>
      <c r="BD12">
        <v>242.1279024923125</v>
      </c>
      <c r="BE12">
        <v>1</v>
      </c>
      <c r="BF12">
        <v>8.2600971611006269E-2</v>
      </c>
      <c r="BG12">
        <v>3.950634</v>
      </c>
      <c r="BH12">
        <v>3.950634</v>
      </c>
      <c r="BI12">
        <v>15.513552000000001</v>
      </c>
      <c r="BJ12">
        <v>227.970829547178</v>
      </c>
      <c r="BK12">
        <v>1</v>
      </c>
      <c r="BL12">
        <v>8.7730522539775438E-2</v>
      </c>
      <c r="BM12">
        <v>3.8658999999999999</v>
      </c>
      <c r="BN12">
        <v>3.8658999999999999</v>
      </c>
      <c r="BO12">
        <v>15.2538</v>
      </c>
      <c r="BP12">
        <v>0</v>
      </c>
      <c r="BQ12">
        <v>0</v>
      </c>
      <c r="BS12">
        <v>0</v>
      </c>
      <c r="BT12">
        <v>0</v>
      </c>
      <c r="BU12">
        <v>0</v>
      </c>
      <c r="BV12">
        <v>1987.1808000000001</v>
      </c>
      <c r="BW12">
        <v>8.0516075839702161E-2</v>
      </c>
      <c r="BX12">
        <v>10</v>
      </c>
      <c r="BY12">
        <v>4.0258037919851081E-2</v>
      </c>
      <c r="BZ12">
        <v>4.1300485805503127E-2</v>
      </c>
      <c r="CA12">
        <v>4.3865261269887719E-2</v>
      </c>
      <c r="CC12">
        <v>0.45027090848362911</v>
      </c>
      <c r="CD12">
        <v>0.47823289866077828</v>
      </c>
      <c r="CF12">
        <v>0.43890581319807093</v>
      </c>
    </row>
    <row r="13" spans="1:84" x14ac:dyDescent="0.3">
      <c r="A13" s="1">
        <v>237</v>
      </c>
      <c r="B13" t="s">
        <v>619</v>
      </c>
      <c r="C13" t="s">
        <v>620</v>
      </c>
      <c r="E13" t="s">
        <v>106</v>
      </c>
      <c r="F13">
        <v>3.99</v>
      </c>
      <c r="G13" t="s">
        <v>142</v>
      </c>
      <c r="H13">
        <v>1522043</v>
      </c>
      <c r="I13">
        <v>-1</v>
      </c>
      <c r="J13">
        <v>8</v>
      </c>
      <c r="K13">
        <v>7.76</v>
      </c>
      <c r="L13">
        <v>7.76</v>
      </c>
      <c r="M13">
        <v>29.18</v>
      </c>
      <c r="O13">
        <v>14.59</v>
      </c>
      <c r="Q13" t="s">
        <v>87</v>
      </c>
      <c r="R13">
        <v>1423</v>
      </c>
      <c r="S13">
        <v>24</v>
      </c>
      <c r="T13" t="b">
        <v>0</v>
      </c>
      <c r="U13" t="s">
        <v>172</v>
      </c>
      <c r="V13" t="s">
        <v>126</v>
      </c>
      <c r="W13">
        <v>4</v>
      </c>
      <c r="X13">
        <v>11.97</v>
      </c>
      <c r="Y13">
        <v>2</v>
      </c>
      <c r="Z13">
        <v>10</v>
      </c>
      <c r="AC13" t="s">
        <v>90</v>
      </c>
      <c r="AD13">
        <v>100</v>
      </c>
      <c r="AE13">
        <v>400</v>
      </c>
      <c r="AF13" t="s">
        <v>407</v>
      </c>
      <c r="AG13">
        <v>333</v>
      </c>
      <c r="AH13">
        <v>401.78571428571428</v>
      </c>
      <c r="AI13" t="s">
        <v>621</v>
      </c>
      <c r="AJ13" t="s">
        <v>621</v>
      </c>
      <c r="AL13" t="b">
        <v>1</v>
      </c>
      <c r="AM13" t="b">
        <v>1</v>
      </c>
      <c r="AN13" t="b">
        <v>0</v>
      </c>
      <c r="AO13" t="b">
        <v>0</v>
      </c>
      <c r="AP13" t="s">
        <v>632</v>
      </c>
      <c r="AQ13" t="s">
        <v>633</v>
      </c>
      <c r="AS13">
        <v>5.9959188974573623</v>
      </c>
      <c r="AT13">
        <v>1.9375</v>
      </c>
      <c r="AU13">
        <v>2.5</v>
      </c>
      <c r="AV13">
        <v>0.5625</v>
      </c>
      <c r="AW13">
        <v>2.625</v>
      </c>
      <c r="AX13">
        <v>0.25409836065573771</v>
      </c>
      <c r="AY13">
        <v>0.32786885245901642</v>
      </c>
      <c r="AZ13">
        <v>7.3770491803278687E-2</v>
      </c>
      <c r="BA13">
        <v>0.34426229508196721</v>
      </c>
      <c r="BB13">
        <v>6.2585458490531876</v>
      </c>
      <c r="BC13">
        <v>20</v>
      </c>
      <c r="BD13">
        <v>242.1279024923125</v>
      </c>
      <c r="BE13">
        <v>1</v>
      </c>
      <c r="BF13">
        <v>8.2600971611006269E-2</v>
      </c>
      <c r="BG13">
        <v>3.950634</v>
      </c>
      <c r="BH13">
        <v>3.950634</v>
      </c>
      <c r="BI13">
        <v>15.513552000000001</v>
      </c>
      <c r="BJ13">
        <v>227.970829547178</v>
      </c>
      <c r="BK13">
        <v>1</v>
      </c>
      <c r="BL13">
        <v>8.7730522539775438E-2</v>
      </c>
      <c r="BM13">
        <v>3.8658999999999999</v>
      </c>
      <c r="BN13">
        <v>3.8658999999999999</v>
      </c>
      <c r="BO13">
        <v>15.2538</v>
      </c>
      <c r="BP13">
        <v>0</v>
      </c>
      <c r="BQ13">
        <v>0</v>
      </c>
      <c r="BS13">
        <v>0</v>
      </c>
      <c r="BT13">
        <v>0</v>
      </c>
      <c r="BU13">
        <v>0</v>
      </c>
      <c r="BV13">
        <v>1757.149568</v>
      </c>
      <c r="BW13">
        <v>9.1056562807065505E-2</v>
      </c>
      <c r="BX13">
        <v>10</v>
      </c>
      <c r="BY13">
        <v>4.5528281403532753E-2</v>
      </c>
      <c r="BZ13">
        <v>4.1300485805503127E-2</v>
      </c>
      <c r="CA13">
        <v>4.3865261269887719E-2</v>
      </c>
      <c r="CC13">
        <v>0.45027090848362911</v>
      </c>
      <c r="CD13">
        <v>0.47823289866077828</v>
      </c>
      <c r="CF13">
        <v>0.49636366811296567</v>
      </c>
    </row>
    <row r="14" spans="1:84" x14ac:dyDescent="0.3">
      <c r="A14" s="1">
        <v>239</v>
      </c>
      <c r="B14" t="s">
        <v>128</v>
      </c>
      <c r="C14" t="s">
        <v>129</v>
      </c>
      <c r="E14" t="s">
        <v>130</v>
      </c>
      <c r="F14">
        <v>3.2</v>
      </c>
      <c r="G14" t="s">
        <v>131</v>
      </c>
      <c r="H14" t="s">
        <v>132</v>
      </c>
      <c r="I14">
        <v>-1</v>
      </c>
      <c r="Q14" t="s">
        <v>87</v>
      </c>
      <c r="R14">
        <v>1423</v>
      </c>
      <c r="S14">
        <v>24</v>
      </c>
      <c r="T14" t="b">
        <v>0</v>
      </c>
      <c r="U14" t="s">
        <v>172</v>
      </c>
      <c r="V14" t="s">
        <v>126</v>
      </c>
      <c r="W14">
        <v>4</v>
      </c>
      <c r="X14">
        <v>49</v>
      </c>
      <c r="Y14">
        <v>2</v>
      </c>
      <c r="Z14">
        <v>10</v>
      </c>
      <c r="AC14" t="s">
        <v>90</v>
      </c>
      <c r="AD14">
        <v>100</v>
      </c>
      <c r="AE14">
        <v>400</v>
      </c>
      <c r="AF14" t="s">
        <v>407</v>
      </c>
      <c r="AG14">
        <v>333</v>
      </c>
      <c r="AH14">
        <v>58.928571428571431</v>
      </c>
      <c r="AL14" t="b">
        <v>1</v>
      </c>
      <c r="AM14" t="b">
        <v>0</v>
      </c>
      <c r="AN14" t="b">
        <v>0</v>
      </c>
      <c r="AO14" t="b">
        <v>0</v>
      </c>
      <c r="AP14" t="s">
        <v>131</v>
      </c>
      <c r="AQ14" t="s">
        <v>132</v>
      </c>
      <c r="AS14">
        <v>4.0763260567194228</v>
      </c>
      <c r="AT14">
        <v>2</v>
      </c>
      <c r="AU14">
        <v>2.666666666666667</v>
      </c>
      <c r="AV14">
        <v>0.66666666666666663</v>
      </c>
      <c r="AW14">
        <v>0</v>
      </c>
      <c r="AX14">
        <v>0.375</v>
      </c>
      <c r="AY14">
        <v>0.5</v>
      </c>
      <c r="AZ14">
        <v>0.125</v>
      </c>
      <c r="BA14">
        <v>0</v>
      </c>
      <c r="BB14">
        <v>6.1770001596666662</v>
      </c>
      <c r="BC14">
        <v>4</v>
      </c>
      <c r="BD14">
        <v>1182.741260108548</v>
      </c>
      <c r="BE14">
        <v>30</v>
      </c>
      <c r="BF14">
        <v>0.1014592151701775</v>
      </c>
      <c r="BG14">
        <v>10.59112378</v>
      </c>
      <c r="BH14">
        <v>10.784736629999999</v>
      </c>
      <c r="BI14">
        <v>10.486176179999999</v>
      </c>
      <c r="BJ14">
        <v>130.36387300000001</v>
      </c>
      <c r="BK14">
        <v>4</v>
      </c>
      <c r="BL14">
        <v>0.1227333894874388</v>
      </c>
      <c r="BM14">
        <v>3.73</v>
      </c>
      <c r="BN14">
        <v>3.73</v>
      </c>
      <c r="BO14">
        <v>9.3699999999999992</v>
      </c>
      <c r="BP14">
        <v>0</v>
      </c>
      <c r="BQ14">
        <v>0</v>
      </c>
      <c r="BS14">
        <v>0</v>
      </c>
      <c r="BT14">
        <v>0</v>
      </c>
      <c r="BU14">
        <v>0</v>
      </c>
      <c r="BX14">
        <v>2</v>
      </c>
      <c r="BZ14">
        <v>5.0729607585088737E-2</v>
      </c>
      <c r="CA14">
        <v>6.1366694743719377E-2</v>
      </c>
      <c r="CC14">
        <v>0.46900407026869612</v>
      </c>
      <c r="CD14">
        <v>0.56734579634715776</v>
      </c>
    </row>
    <row r="15" spans="1:84" x14ac:dyDescent="0.3">
      <c r="A15" s="1">
        <v>161</v>
      </c>
      <c r="B15" t="s">
        <v>463</v>
      </c>
      <c r="C15" t="s">
        <v>464</v>
      </c>
      <c r="F15">
        <v>3.2</v>
      </c>
      <c r="G15" t="s">
        <v>465</v>
      </c>
      <c r="H15" t="s">
        <v>466</v>
      </c>
      <c r="I15">
        <v>-1</v>
      </c>
      <c r="O15">
        <v>0</v>
      </c>
      <c r="Q15" t="s">
        <v>87</v>
      </c>
      <c r="R15">
        <v>1373</v>
      </c>
      <c r="S15">
        <v>30</v>
      </c>
      <c r="T15" t="b">
        <v>0</v>
      </c>
      <c r="U15" t="s">
        <v>172</v>
      </c>
      <c r="V15" t="s">
        <v>173</v>
      </c>
      <c r="W15">
        <v>3</v>
      </c>
      <c r="X15">
        <v>3.49</v>
      </c>
      <c r="Y15">
        <v>2.11</v>
      </c>
      <c r="Z15">
        <v>0</v>
      </c>
      <c r="AC15" t="s">
        <v>90</v>
      </c>
      <c r="AD15">
        <v>400</v>
      </c>
      <c r="AF15" t="s">
        <v>91</v>
      </c>
      <c r="AH15">
        <v>75</v>
      </c>
      <c r="AL15" t="b">
        <v>1</v>
      </c>
      <c r="AM15" t="b">
        <v>1</v>
      </c>
      <c r="AN15" t="b">
        <v>0</v>
      </c>
      <c r="AO15" t="b">
        <v>0</v>
      </c>
      <c r="AP15" t="s">
        <v>465</v>
      </c>
      <c r="AQ15" t="s">
        <v>466</v>
      </c>
      <c r="AS15">
        <v>4.3174881135363101</v>
      </c>
      <c r="AT15">
        <v>2</v>
      </c>
      <c r="AU15">
        <v>2.333333333333333</v>
      </c>
      <c r="AV15">
        <v>0.33333333333333331</v>
      </c>
      <c r="AW15">
        <v>0</v>
      </c>
      <c r="AX15">
        <v>0.42857142857142849</v>
      </c>
      <c r="AY15">
        <v>0.5</v>
      </c>
      <c r="AZ15">
        <v>7.1428571428571425E-2</v>
      </c>
      <c r="BA15">
        <v>0</v>
      </c>
      <c r="BB15">
        <v>5.6917627584583332</v>
      </c>
      <c r="BC15">
        <v>14</v>
      </c>
      <c r="BD15">
        <v>155.59136328639269</v>
      </c>
      <c r="BE15">
        <v>1</v>
      </c>
      <c r="BF15">
        <v>8.9979287437893268E-2</v>
      </c>
      <c r="BG15">
        <v>3.9086759899999999</v>
      </c>
      <c r="BH15">
        <v>3.908676100000001</v>
      </c>
      <c r="BI15">
        <v>10.552604730000001</v>
      </c>
      <c r="BJ15">
        <v>310.12474837798999</v>
      </c>
      <c r="BK15">
        <v>2</v>
      </c>
      <c r="BL15">
        <v>9.0286248183820222E-2</v>
      </c>
      <c r="BM15">
        <v>3.899</v>
      </c>
      <c r="BN15">
        <v>3.899</v>
      </c>
      <c r="BO15">
        <v>20.399989999999999</v>
      </c>
      <c r="BP15">
        <v>0</v>
      </c>
      <c r="BQ15">
        <v>0</v>
      </c>
      <c r="BS15">
        <v>0</v>
      </c>
      <c r="BT15">
        <v>0</v>
      </c>
      <c r="BU15">
        <v>0</v>
      </c>
      <c r="BX15">
        <v>7</v>
      </c>
      <c r="BZ15">
        <v>4.4989643718946627E-2</v>
      </c>
      <c r="CA15">
        <v>4.5143124091910111E-2</v>
      </c>
      <c r="CC15">
        <v>0.58499657192886356</v>
      </c>
      <c r="CD15">
        <v>0.5869922643731712</v>
      </c>
    </row>
    <row r="16" spans="1:84" x14ac:dyDescent="0.3">
      <c r="A16" s="1">
        <v>162</v>
      </c>
      <c r="B16" t="s">
        <v>463</v>
      </c>
      <c r="C16" t="s">
        <v>464</v>
      </c>
      <c r="F16">
        <v>3.2</v>
      </c>
      <c r="G16" t="s">
        <v>465</v>
      </c>
      <c r="H16" t="s">
        <v>466</v>
      </c>
      <c r="I16">
        <v>-1</v>
      </c>
      <c r="O16">
        <v>0</v>
      </c>
      <c r="Q16" t="s">
        <v>467</v>
      </c>
      <c r="R16">
        <v>973</v>
      </c>
      <c r="S16">
        <v>2</v>
      </c>
      <c r="T16" t="b">
        <v>0</v>
      </c>
      <c r="U16" t="s">
        <v>172</v>
      </c>
      <c r="V16" t="s">
        <v>173</v>
      </c>
      <c r="W16">
        <v>3</v>
      </c>
      <c r="X16">
        <v>8.1449999999999996</v>
      </c>
      <c r="Y16">
        <v>2.11</v>
      </c>
      <c r="Z16">
        <v>0</v>
      </c>
      <c r="AC16" t="s">
        <v>90</v>
      </c>
      <c r="AD16">
        <v>400</v>
      </c>
      <c r="AF16" t="s">
        <v>91</v>
      </c>
      <c r="AH16">
        <v>145</v>
      </c>
      <c r="AL16" t="b">
        <v>1</v>
      </c>
      <c r="AM16" t="b">
        <v>1</v>
      </c>
      <c r="AN16" t="b">
        <v>0</v>
      </c>
      <c r="AO16" t="b">
        <v>0</v>
      </c>
      <c r="AP16" t="s">
        <v>465</v>
      </c>
      <c r="AQ16" t="s">
        <v>466</v>
      </c>
      <c r="AS16">
        <v>4.9767337424205742</v>
      </c>
      <c r="AT16">
        <v>2</v>
      </c>
      <c r="AU16">
        <v>2.333333333333333</v>
      </c>
      <c r="AV16">
        <v>0.33333333333333331</v>
      </c>
      <c r="AW16">
        <v>0</v>
      </c>
      <c r="AX16">
        <v>0.42857142857142849</v>
      </c>
      <c r="AY16">
        <v>0.5</v>
      </c>
      <c r="AZ16">
        <v>7.1428571428571425E-2</v>
      </c>
      <c r="BA16">
        <v>0</v>
      </c>
      <c r="BB16">
        <v>5.6917627584583332</v>
      </c>
      <c r="BC16">
        <v>14</v>
      </c>
      <c r="BD16">
        <v>155.59136328639269</v>
      </c>
      <c r="BE16">
        <v>1</v>
      </c>
      <c r="BF16">
        <v>8.9979287437893268E-2</v>
      </c>
      <c r="BG16">
        <v>3.9086759899999999</v>
      </c>
      <c r="BH16">
        <v>3.908676100000001</v>
      </c>
      <c r="BI16">
        <v>10.552604730000001</v>
      </c>
      <c r="BJ16">
        <v>310.12474837798999</v>
      </c>
      <c r="BK16">
        <v>2</v>
      </c>
      <c r="BL16">
        <v>9.0286248183820222E-2</v>
      </c>
      <c r="BM16">
        <v>3.899</v>
      </c>
      <c r="BN16">
        <v>3.899</v>
      </c>
      <c r="BO16">
        <v>20.399989999999999</v>
      </c>
      <c r="BP16">
        <v>0</v>
      </c>
      <c r="BQ16">
        <v>0</v>
      </c>
      <c r="BS16">
        <v>0</v>
      </c>
      <c r="BT16">
        <v>0</v>
      </c>
      <c r="BU16">
        <v>0</v>
      </c>
      <c r="BX16">
        <v>7</v>
      </c>
      <c r="BZ16">
        <v>4.4989643718946627E-2</v>
      </c>
      <c r="CA16">
        <v>4.5143124091910111E-2</v>
      </c>
      <c r="CC16">
        <v>0.58499657192886356</v>
      </c>
      <c r="CD16">
        <v>0.5869922643731712</v>
      </c>
    </row>
    <row r="17" spans="1:84" x14ac:dyDescent="0.3">
      <c r="A17" s="1">
        <v>451</v>
      </c>
      <c r="B17" t="s">
        <v>106</v>
      </c>
      <c r="C17" t="s">
        <v>107</v>
      </c>
      <c r="E17" t="s">
        <v>106</v>
      </c>
      <c r="F17">
        <v>3.35</v>
      </c>
      <c r="G17" t="s">
        <v>108</v>
      </c>
      <c r="H17" t="s">
        <v>109</v>
      </c>
      <c r="I17">
        <v>-1</v>
      </c>
      <c r="Q17" t="s">
        <v>87</v>
      </c>
      <c r="R17">
        <v>1523</v>
      </c>
      <c r="S17">
        <v>120</v>
      </c>
      <c r="T17" t="b">
        <v>0</v>
      </c>
      <c r="U17" t="s">
        <v>125</v>
      </c>
      <c r="V17" t="s">
        <v>126</v>
      </c>
      <c r="W17">
        <v>3</v>
      </c>
      <c r="X17">
        <v>208</v>
      </c>
      <c r="Y17">
        <v>2</v>
      </c>
      <c r="Z17">
        <v>0</v>
      </c>
      <c r="AC17" t="s">
        <v>90</v>
      </c>
      <c r="AD17">
        <v>175</v>
      </c>
      <c r="AF17" t="s">
        <v>91</v>
      </c>
      <c r="AH17">
        <v>22.8</v>
      </c>
      <c r="AL17" t="b">
        <v>1</v>
      </c>
      <c r="AM17" t="b">
        <v>1</v>
      </c>
      <c r="AN17" t="b">
        <v>0</v>
      </c>
      <c r="AO17" t="b">
        <v>0</v>
      </c>
      <c r="AP17" t="s">
        <v>108</v>
      </c>
      <c r="AQ17" t="s">
        <v>109</v>
      </c>
      <c r="AS17">
        <v>3.1267605359603952</v>
      </c>
      <c r="AT17">
        <v>1.75</v>
      </c>
      <c r="AU17">
        <v>2.5</v>
      </c>
      <c r="AV17">
        <v>0.75</v>
      </c>
      <c r="AW17">
        <v>0</v>
      </c>
      <c r="AX17">
        <v>0.35</v>
      </c>
      <c r="AY17">
        <v>0.5</v>
      </c>
      <c r="AZ17">
        <v>0.15</v>
      </c>
      <c r="BA17">
        <v>0</v>
      </c>
      <c r="BB17">
        <v>5.9668120809374994</v>
      </c>
      <c r="BC17">
        <v>20</v>
      </c>
      <c r="BD17">
        <v>924.74694800021894</v>
      </c>
      <c r="BE17">
        <v>4</v>
      </c>
      <c r="BF17">
        <v>8.6510153045653584E-2</v>
      </c>
      <c r="BG17">
        <v>7.8084429999999996</v>
      </c>
      <c r="BH17">
        <v>7.8548809999999998</v>
      </c>
      <c r="BI17">
        <v>15.19056011</v>
      </c>
      <c r="BJ17">
        <v>883.22940750240002</v>
      </c>
      <c r="BK17">
        <v>4</v>
      </c>
      <c r="BL17">
        <v>9.0576694254581439E-2</v>
      </c>
      <c r="BM17">
        <v>3.8801999999999999</v>
      </c>
      <c r="BN17">
        <v>29.507999999999999</v>
      </c>
      <c r="BO17">
        <v>7.7140000000000004</v>
      </c>
      <c r="BP17">
        <v>0</v>
      </c>
      <c r="BQ17">
        <v>0</v>
      </c>
      <c r="BS17">
        <v>0</v>
      </c>
      <c r="BT17">
        <v>0</v>
      </c>
      <c r="BU17">
        <v>0</v>
      </c>
      <c r="BX17">
        <v>10</v>
      </c>
      <c r="BZ17">
        <v>4.3255076522826792E-2</v>
      </c>
      <c r="CA17">
        <v>4.5288347127290719E-2</v>
      </c>
      <c r="CC17">
        <v>0.50555206026575006</v>
      </c>
      <c r="CD17">
        <v>0.52931630311992839</v>
      </c>
    </row>
    <row r="18" spans="1:84" x14ac:dyDescent="0.3">
      <c r="A18" s="1">
        <v>452</v>
      </c>
      <c r="B18" t="s">
        <v>106</v>
      </c>
      <c r="C18" t="s">
        <v>107</v>
      </c>
      <c r="E18" t="s">
        <v>106</v>
      </c>
      <c r="F18">
        <v>3.35</v>
      </c>
      <c r="G18" t="s">
        <v>108</v>
      </c>
      <c r="H18" t="s">
        <v>109</v>
      </c>
      <c r="I18">
        <v>-1</v>
      </c>
      <c r="Q18" t="s">
        <v>87</v>
      </c>
      <c r="R18">
        <v>1523</v>
      </c>
      <c r="S18">
        <v>120</v>
      </c>
      <c r="T18" t="b">
        <v>0</v>
      </c>
      <c r="U18" t="s">
        <v>125</v>
      </c>
      <c r="V18" t="s">
        <v>126</v>
      </c>
      <c r="W18">
        <v>3</v>
      </c>
      <c r="X18">
        <v>208</v>
      </c>
      <c r="Y18">
        <v>2</v>
      </c>
      <c r="Z18">
        <v>0</v>
      </c>
      <c r="AC18" t="s">
        <v>90</v>
      </c>
      <c r="AD18">
        <v>175</v>
      </c>
      <c r="AF18" t="s">
        <v>91</v>
      </c>
      <c r="AH18">
        <v>784</v>
      </c>
      <c r="AL18" t="b">
        <v>1</v>
      </c>
      <c r="AM18" t="b">
        <v>1</v>
      </c>
      <c r="AN18" t="b">
        <v>0</v>
      </c>
      <c r="AO18" t="b">
        <v>0</v>
      </c>
      <c r="AP18" t="s">
        <v>108</v>
      </c>
      <c r="AQ18" t="s">
        <v>109</v>
      </c>
      <c r="AS18">
        <v>6.6644090203504076</v>
      </c>
      <c r="AT18">
        <v>1.75</v>
      </c>
      <c r="AU18">
        <v>2.5</v>
      </c>
      <c r="AV18">
        <v>0.75</v>
      </c>
      <c r="AW18">
        <v>0</v>
      </c>
      <c r="AX18">
        <v>0.35</v>
      </c>
      <c r="AY18">
        <v>0.5</v>
      </c>
      <c r="AZ18">
        <v>0.15</v>
      </c>
      <c r="BA18">
        <v>0</v>
      </c>
      <c r="BB18">
        <v>5.9668120809374994</v>
      </c>
      <c r="BC18">
        <v>20</v>
      </c>
      <c r="BD18">
        <v>924.74694800021894</v>
      </c>
      <c r="BE18">
        <v>4</v>
      </c>
      <c r="BF18">
        <v>8.6510153045653584E-2</v>
      </c>
      <c r="BG18">
        <v>7.8084429999999996</v>
      </c>
      <c r="BH18">
        <v>7.8548809999999998</v>
      </c>
      <c r="BI18">
        <v>15.19056011</v>
      </c>
      <c r="BJ18">
        <v>883.22940750240002</v>
      </c>
      <c r="BK18">
        <v>4</v>
      </c>
      <c r="BL18">
        <v>9.0576694254581439E-2</v>
      </c>
      <c r="BM18">
        <v>3.8801999999999999</v>
      </c>
      <c r="BN18">
        <v>29.507999999999999</v>
      </c>
      <c r="BO18">
        <v>7.7140000000000004</v>
      </c>
      <c r="BP18">
        <v>0</v>
      </c>
      <c r="BQ18">
        <v>0</v>
      </c>
      <c r="BS18">
        <v>0</v>
      </c>
      <c r="BT18">
        <v>0</v>
      </c>
      <c r="BU18">
        <v>0</v>
      </c>
      <c r="BX18">
        <v>10</v>
      </c>
      <c r="BZ18">
        <v>4.3255076522826792E-2</v>
      </c>
      <c r="CA18">
        <v>4.5288347127290719E-2</v>
      </c>
      <c r="CC18">
        <v>0.50555206026575006</v>
      </c>
      <c r="CD18">
        <v>0.52931630311992839</v>
      </c>
    </row>
    <row r="19" spans="1:84" x14ac:dyDescent="0.3">
      <c r="A19" s="1">
        <v>122</v>
      </c>
      <c r="B19" t="s">
        <v>370</v>
      </c>
      <c r="C19" t="s">
        <v>371</v>
      </c>
      <c r="E19" t="s">
        <v>372</v>
      </c>
      <c r="F19">
        <v>3.59</v>
      </c>
      <c r="G19" t="s">
        <v>373</v>
      </c>
      <c r="H19" t="s">
        <v>374</v>
      </c>
      <c r="I19">
        <v>-1</v>
      </c>
      <c r="Q19" t="s">
        <v>87</v>
      </c>
      <c r="R19">
        <v>1223</v>
      </c>
      <c r="S19">
        <v>0.5</v>
      </c>
      <c r="T19" t="b">
        <v>0</v>
      </c>
      <c r="U19" t="s">
        <v>172</v>
      </c>
      <c r="V19" t="s">
        <v>173</v>
      </c>
      <c r="W19">
        <v>2</v>
      </c>
      <c r="X19">
        <v>3.59</v>
      </c>
      <c r="Y19">
        <v>0.6</v>
      </c>
      <c r="Z19">
        <v>0</v>
      </c>
      <c r="AC19" t="s">
        <v>90</v>
      </c>
      <c r="AD19">
        <v>450</v>
      </c>
      <c r="AF19" t="s">
        <v>91</v>
      </c>
      <c r="AH19">
        <v>36</v>
      </c>
      <c r="AL19" t="b">
        <v>1</v>
      </c>
      <c r="AM19" t="b">
        <v>1</v>
      </c>
      <c r="AN19" t="b">
        <v>0</v>
      </c>
      <c r="AO19" t="b">
        <v>0</v>
      </c>
      <c r="AP19" t="s">
        <v>373</v>
      </c>
      <c r="AQ19" t="s">
        <v>374</v>
      </c>
      <c r="AS19">
        <v>3.5835189384561099</v>
      </c>
      <c r="AT19">
        <v>1.857142857142857</v>
      </c>
      <c r="AU19">
        <v>2.285714285714286</v>
      </c>
      <c r="AV19">
        <v>0.42857142857142849</v>
      </c>
      <c r="AW19">
        <v>0</v>
      </c>
      <c r="AX19">
        <v>0.40625000000000011</v>
      </c>
      <c r="AY19">
        <v>0.5</v>
      </c>
      <c r="AZ19">
        <v>9.375E-2</v>
      </c>
      <c r="BA19">
        <v>0</v>
      </c>
      <c r="BB19">
        <v>5.585493284</v>
      </c>
      <c r="BC19">
        <v>8</v>
      </c>
      <c r="BD19">
        <v>203.79933701026059</v>
      </c>
      <c r="BE19">
        <v>2</v>
      </c>
      <c r="BF19">
        <v>7.8508596910668346E-2</v>
      </c>
      <c r="BG19">
        <v>3.8703880000000002</v>
      </c>
      <c r="BH19">
        <v>3.8703880000000002</v>
      </c>
      <c r="BI19">
        <v>13.604850000000001</v>
      </c>
      <c r="BJ19">
        <v>198.77623248847371</v>
      </c>
      <c r="BK19">
        <v>2</v>
      </c>
      <c r="BL19">
        <v>8.0492520658513728E-2</v>
      </c>
      <c r="BM19">
        <v>3.8415499999999998</v>
      </c>
      <c r="BN19">
        <v>3.8415499999999998</v>
      </c>
      <c r="BO19">
        <v>13.4695</v>
      </c>
      <c r="BP19">
        <v>0</v>
      </c>
      <c r="BQ19">
        <v>0</v>
      </c>
      <c r="BS19">
        <v>0</v>
      </c>
      <c r="BT19">
        <v>0</v>
      </c>
      <c r="BU19">
        <v>0</v>
      </c>
      <c r="BX19">
        <v>4</v>
      </c>
      <c r="BZ19">
        <v>3.9254298455334173E-2</v>
      </c>
      <c r="CA19">
        <v>4.0246260329256857E-2</v>
      </c>
      <c r="CC19">
        <v>0.55645098073491583</v>
      </c>
      <c r="CD19">
        <v>0.57051257855519022</v>
      </c>
    </row>
    <row r="20" spans="1:84" x14ac:dyDescent="0.3">
      <c r="A20" s="1">
        <v>123</v>
      </c>
      <c r="B20" t="s">
        <v>375</v>
      </c>
      <c r="C20" t="s">
        <v>376</v>
      </c>
      <c r="E20" t="s">
        <v>372</v>
      </c>
      <c r="F20">
        <v>3.74</v>
      </c>
      <c r="G20" t="s">
        <v>373</v>
      </c>
      <c r="H20" t="s">
        <v>374</v>
      </c>
      <c r="I20">
        <v>-1</v>
      </c>
      <c r="Q20" t="s">
        <v>87</v>
      </c>
      <c r="R20">
        <v>1223</v>
      </c>
      <c r="S20">
        <v>0.5</v>
      </c>
      <c r="T20" t="b">
        <v>0</v>
      </c>
      <c r="U20" t="s">
        <v>172</v>
      </c>
      <c r="V20" t="s">
        <v>173</v>
      </c>
      <c r="W20">
        <v>2</v>
      </c>
      <c r="X20">
        <v>3.74</v>
      </c>
      <c r="Y20">
        <v>0.6</v>
      </c>
      <c r="Z20">
        <v>0</v>
      </c>
      <c r="AC20" t="s">
        <v>90</v>
      </c>
      <c r="AD20">
        <v>450</v>
      </c>
      <c r="AF20" t="s">
        <v>91</v>
      </c>
      <c r="AH20">
        <v>65.400000000000006</v>
      </c>
      <c r="AI20" t="s">
        <v>377</v>
      </c>
      <c r="AL20" t="b">
        <v>1</v>
      </c>
      <c r="AM20" t="b">
        <v>0</v>
      </c>
      <c r="AN20" t="b">
        <v>0</v>
      </c>
      <c r="AO20" t="b">
        <v>0</v>
      </c>
      <c r="AP20" t="s">
        <v>396</v>
      </c>
      <c r="AQ20" t="s">
        <v>374</v>
      </c>
      <c r="AS20">
        <v>4.180522258463153</v>
      </c>
      <c r="AT20">
        <v>1.857142857142857</v>
      </c>
      <c r="AU20">
        <v>2.285714285714286</v>
      </c>
      <c r="AV20">
        <v>0.42857142857142849</v>
      </c>
      <c r="AW20">
        <v>0</v>
      </c>
      <c r="AX20">
        <v>0.40625000000000011</v>
      </c>
      <c r="AY20">
        <v>0.5</v>
      </c>
      <c r="AZ20">
        <v>9.375E-2</v>
      </c>
      <c r="BA20">
        <v>0</v>
      </c>
      <c r="BB20">
        <v>5.5866629268571426</v>
      </c>
      <c r="BC20">
        <v>8</v>
      </c>
      <c r="BD20">
        <v>203.79933701026059</v>
      </c>
      <c r="BE20">
        <v>1</v>
      </c>
      <c r="BF20">
        <v>3.9254298455334173E-2</v>
      </c>
      <c r="BG20">
        <v>3.8703880000000002</v>
      </c>
      <c r="BH20">
        <v>3.8703880000000002</v>
      </c>
      <c r="BI20">
        <v>13.604850000000001</v>
      </c>
      <c r="BJ20">
        <v>198.77623248847371</v>
      </c>
      <c r="BK20">
        <v>2</v>
      </c>
      <c r="BL20">
        <v>8.0492520658513728E-2</v>
      </c>
      <c r="BM20">
        <v>3.8415499999999998</v>
      </c>
      <c r="BN20">
        <v>3.8415499999999998</v>
      </c>
      <c r="BO20">
        <v>13.4695</v>
      </c>
      <c r="BP20">
        <v>0</v>
      </c>
      <c r="BQ20">
        <v>0</v>
      </c>
      <c r="BS20">
        <v>0</v>
      </c>
      <c r="BT20">
        <v>0</v>
      </c>
      <c r="BU20">
        <v>0</v>
      </c>
      <c r="BX20">
        <v>4</v>
      </c>
      <c r="BZ20">
        <v>1.962714922766709E-2</v>
      </c>
      <c r="CA20">
        <v>4.0246260329256857E-2</v>
      </c>
      <c r="CC20">
        <v>0.27868293400296251</v>
      </c>
      <c r="CD20">
        <v>0.57145058516159675</v>
      </c>
    </row>
    <row r="21" spans="1:84" x14ac:dyDescent="0.3">
      <c r="A21" s="1">
        <v>124</v>
      </c>
      <c r="B21" t="s">
        <v>379</v>
      </c>
      <c r="C21" t="s">
        <v>380</v>
      </c>
      <c r="E21" t="s">
        <v>372</v>
      </c>
      <c r="F21">
        <v>3.82</v>
      </c>
      <c r="G21" t="s">
        <v>373</v>
      </c>
      <c r="H21" t="s">
        <v>374</v>
      </c>
      <c r="I21">
        <v>-1</v>
      </c>
      <c r="Q21" t="s">
        <v>87</v>
      </c>
      <c r="R21">
        <v>1223</v>
      </c>
      <c r="S21">
        <v>0.5</v>
      </c>
      <c r="T21" t="b">
        <v>0</v>
      </c>
      <c r="U21" t="s">
        <v>172</v>
      </c>
      <c r="V21" t="s">
        <v>173</v>
      </c>
      <c r="W21">
        <v>2</v>
      </c>
      <c r="X21">
        <v>3.82</v>
      </c>
      <c r="Y21">
        <v>0.6</v>
      </c>
      <c r="Z21">
        <v>0</v>
      </c>
      <c r="AC21" t="s">
        <v>90</v>
      </c>
      <c r="AD21">
        <v>450</v>
      </c>
      <c r="AF21" t="s">
        <v>91</v>
      </c>
      <c r="AH21">
        <v>84.2</v>
      </c>
      <c r="AI21" t="s">
        <v>381</v>
      </c>
      <c r="AL21" t="b">
        <v>1</v>
      </c>
      <c r="AM21" t="b">
        <v>0</v>
      </c>
      <c r="AN21" t="b">
        <v>0</v>
      </c>
      <c r="AO21" t="b">
        <v>0</v>
      </c>
      <c r="AP21" t="s">
        <v>397</v>
      </c>
      <c r="AQ21" t="s">
        <v>374</v>
      </c>
      <c r="AS21">
        <v>4.4331949212482824</v>
      </c>
      <c r="AT21">
        <v>1.857142857142857</v>
      </c>
      <c r="AU21">
        <v>2.285714285714286</v>
      </c>
      <c r="AV21">
        <v>0.42857142857142849</v>
      </c>
      <c r="AW21">
        <v>0</v>
      </c>
      <c r="AX21">
        <v>0.40625000000000011</v>
      </c>
      <c r="AY21">
        <v>0.5</v>
      </c>
      <c r="AZ21">
        <v>9.375E-2</v>
      </c>
      <c r="BA21">
        <v>0</v>
      </c>
      <c r="BB21">
        <v>5.5890022125714278</v>
      </c>
      <c r="BC21">
        <v>8</v>
      </c>
      <c r="BD21">
        <v>203.79933701026059</v>
      </c>
      <c r="BE21">
        <v>1</v>
      </c>
      <c r="BF21">
        <v>3.9254298455334173E-2</v>
      </c>
      <c r="BG21">
        <v>3.8703880000000002</v>
      </c>
      <c r="BH21">
        <v>3.8703880000000002</v>
      </c>
      <c r="BI21">
        <v>13.604850000000001</v>
      </c>
      <c r="BJ21">
        <v>198.77623248847371</v>
      </c>
      <c r="BK21">
        <v>2</v>
      </c>
      <c r="BL21">
        <v>8.0492520658513728E-2</v>
      </c>
      <c r="BM21">
        <v>3.8415499999999998</v>
      </c>
      <c r="BN21">
        <v>3.8415499999999998</v>
      </c>
      <c r="BO21">
        <v>13.4695</v>
      </c>
      <c r="BP21">
        <v>0</v>
      </c>
      <c r="BQ21">
        <v>0</v>
      </c>
      <c r="BS21">
        <v>0</v>
      </c>
      <c r="BT21">
        <v>0</v>
      </c>
      <c r="BU21">
        <v>0</v>
      </c>
      <c r="BX21">
        <v>4</v>
      </c>
      <c r="BZ21">
        <v>1.962714922766709E-2</v>
      </c>
      <c r="CA21">
        <v>4.0246260329256857E-2</v>
      </c>
      <c r="CC21">
        <v>0.27959782127397181</v>
      </c>
      <c r="CD21">
        <v>0.57332659837441002</v>
      </c>
    </row>
    <row r="22" spans="1:84" x14ac:dyDescent="0.3">
      <c r="A22" s="1">
        <v>125</v>
      </c>
      <c r="B22" t="s">
        <v>383</v>
      </c>
      <c r="C22" t="s">
        <v>384</v>
      </c>
      <c r="E22" t="s">
        <v>372</v>
      </c>
      <c r="F22">
        <v>4.16</v>
      </c>
      <c r="G22" t="s">
        <v>373</v>
      </c>
      <c r="H22" t="s">
        <v>374</v>
      </c>
      <c r="I22">
        <v>-1</v>
      </c>
      <c r="Q22" t="s">
        <v>87</v>
      </c>
      <c r="R22">
        <v>1223</v>
      </c>
      <c r="S22">
        <v>0.5</v>
      </c>
      <c r="T22" t="b">
        <v>0</v>
      </c>
      <c r="U22" t="s">
        <v>172</v>
      </c>
      <c r="V22" t="s">
        <v>173</v>
      </c>
      <c r="W22">
        <v>2</v>
      </c>
      <c r="X22">
        <v>4.16</v>
      </c>
      <c r="Y22">
        <v>0.6</v>
      </c>
      <c r="Z22">
        <v>0</v>
      </c>
      <c r="AC22" t="s">
        <v>90</v>
      </c>
      <c r="AD22">
        <v>450</v>
      </c>
      <c r="AF22" t="s">
        <v>91</v>
      </c>
      <c r="AH22">
        <v>69.2</v>
      </c>
      <c r="AI22" t="s">
        <v>385</v>
      </c>
      <c r="AL22" t="b">
        <v>1</v>
      </c>
      <c r="AM22" t="b">
        <v>0</v>
      </c>
      <c r="AN22" t="b">
        <v>0</v>
      </c>
      <c r="AO22" t="b">
        <v>0</v>
      </c>
      <c r="AP22" t="s">
        <v>398</v>
      </c>
      <c r="AQ22" t="s">
        <v>374</v>
      </c>
      <c r="AS22">
        <v>4.2370008626236242</v>
      </c>
      <c r="AT22">
        <v>1.857142857142857</v>
      </c>
      <c r="AU22">
        <v>2.285714285714286</v>
      </c>
      <c r="AV22">
        <v>0.42857142857142849</v>
      </c>
      <c r="AW22">
        <v>0</v>
      </c>
      <c r="AX22">
        <v>0.40625000000000011</v>
      </c>
      <c r="AY22">
        <v>0.5</v>
      </c>
      <c r="AZ22">
        <v>9.375E-2</v>
      </c>
      <c r="BA22">
        <v>0</v>
      </c>
      <c r="BB22">
        <v>5.5913414982857139</v>
      </c>
      <c r="BC22">
        <v>8</v>
      </c>
      <c r="BD22">
        <v>203.79933701026059</v>
      </c>
      <c r="BE22">
        <v>1</v>
      </c>
      <c r="BF22">
        <v>3.9254298455334173E-2</v>
      </c>
      <c r="BG22">
        <v>3.8703880000000002</v>
      </c>
      <c r="BH22">
        <v>3.8703880000000002</v>
      </c>
      <c r="BI22">
        <v>13.604850000000001</v>
      </c>
      <c r="BJ22">
        <v>198.77623248847371</v>
      </c>
      <c r="BK22">
        <v>2</v>
      </c>
      <c r="BL22">
        <v>8.0492520658513728E-2</v>
      </c>
      <c r="BM22">
        <v>3.8415499999999998</v>
      </c>
      <c r="BN22">
        <v>3.8415499999999998</v>
      </c>
      <c r="BO22">
        <v>13.4695</v>
      </c>
      <c r="BP22">
        <v>0</v>
      </c>
      <c r="BQ22">
        <v>0</v>
      </c>
      <c r="BS22">
        <v>0</v>
      </c>
      <c r="BT22">
        <v>0</v>
      </c>
      <c r="BU22">
        <v>0</v>
      </c>
      <c r="BX22">
        <v>4</v>
      </c>
      <c r="BZ22">
        <v>1.962714922766709E-2</v>
      </c>
      <c r="CA22">
        <v>4.0246260329256857E-2</v>
      </c>
      <c r="CC22">
        <v>0.28051270854498089</v>
      </c>
      <c r="CD22">
        <v>0.57520261158722319</v>
      </c>
    </row>
    <row r="23" spans="1:84" x14ac:dyDescent="0.3">
      <c r="A23" s="1">
        <v>126</v>
      </c>
      <c r="B23" t="s">
        <v>387</v>
      </c>
      <c r="C23" t="s">
        <v>388</v>
      </c>
      <c r="E23" t="s">
        <v>372</v>
      </c>
      <c r="F23">
        <v>3.52</v>
      </c>
      <c r="G23" t="s">
        <v>373</v>
      </c>
      <c r="H23" t="s">
        <v>374</v>
      </c>
      <c r="I23">
        <v>-1</v>
      </c>
      <c r="Q23" t="s">
        <v>87</v>
      </c>
      <c r="R23">
        <v>1223</v>
      </c>
      <c r="S23">
        <v>0.5</v>
      </c>
      <c r="T23" t="b">
        <v>0</v>
      </c>
      <c r="U23" t="s">
        <v>172</v>
      </c>
      <c r="V23" t="s">
        <v>173</v>
      </c>
      <c r="W23">
        <v>2</v>
      </c>
      <c r="X23">
        <v>3.52</v>
      </c>
      <c r="Y23">
        <v>0.6</v>
      </c>
      <c r="Z23">
        <v>0</v>
      </c>
      <c r="AC23" t="s">
        <v>90</v>
      </c>
      <c r="AD23">
        <v>450</v>
      </c>
      <c r="AF23" t="s">
        <v>91</v>
      </c>
      <c r="AH23">
        <v>34</v>
      </c>
      <c r="AI23" t="s">
        <v>389</v>
      </c>
      <c r="AL23" t="b">
        <v>1</v>
      </c>
      <c r="AM23" t="b">
        <v>0</v>
      </c>
      <c r="AN23" t="b">
        <v>0</v>
      </c>
      <c r="AO23" t="b">
        <v>0</v>
      </c>
      <c r="AP23" t="s">
        <v>399</v>
      </c>
      <c r="AQ23" t="s">
        <v>374</v>
      </c>
      <c r="AS23">
        <v>3.526360524616162</v>
      </c>
      <c r="AT23">
        <v>1.857142857142857</v>
      </c>
      <c r="AU23">
        <v>2.285714285714286</v>
      </c>
      <c r="AV23">
        <v>0.42857142857142849</v>
      </c>
      <c r="AW23">
        <v>0</v>
      </c>
      <c r="AX23">
        <v>0.40625000000000011</v>
      </c>
      <c r="AY23">
        <v>0.5</v>
      </c>
      <c r="AZ23">
        <v>9.375E-2</v>
      </c>
      <c r="BA23">
        <v>0</v>
      </c>
      <c r="BB23">
        <v>5.593680784</v>
      </c>
      <c r="BC23">
        <v>8</v>
      </c>
      <c r="BD23">
        <v>203.79933701026059</v>
      </c>
      <c r="BE23">
        <v>1</v>
      </c>
      <c r="BF23">
        <v>3.9254298455334173E-2</v>
      </c>
      <c r="BG23">
        <v>3.8703880000000002</v>
      </c>
      <c r="BH23">
        <v>3.8703880000000002</v>
      </c>
      <c r="BI23">
        <v>13.604850000000001</v>
      </c>
      <c r="BJ23">
        <v>198.77623248847371</v>
      </c>
      <c r="BK23">
        <v>2</v>
      </c>
      <c r="BL23">
        <v>8.0492520658513728E-2</v>
      </c>
      <c r="BM23">
        <v>3.8415499999999998</v>
      </c>
      <c r="BN23">
        <v>3.8415499999999998</v>
      </c>
      <c r="BO23">
        <v>13.4695</v>
      </c>
      <c r="BP23">
        <v>0</v>
      </c>
      <c r="BQ23">
        <v>0</v>
      </c>
      <c r="BS23">
        <v>0</v>
      </c>
      <c r="BT23">
        <v>0</v>
      </c>
      <c r="BU23">
        <v>0</v>
      </c>
      <c r="BX23">
        <v>4</v>
      </c>
      <c r="BZ23">
        <v>1.962714922766709E-2</v>
      </c>
      <c r="CA23">
        <v>4.0246260329256857E-2</v>
      </c>
      <c r="CC23">
        <v>0.28142759581599008</v>
      </c>
      <c r="CD23">
        <v>0.57707862480003624</v>
      </c>
    </row>
    <row r="24" spans="1:84" x14ac:dyDescent="0.3">
      <c r="A24" s="1">
        <v>127</v>
      </c>
      <c r="B24" t="s">
        <v>391</v>
      </c>
      <c r="C24" t="s">
        <v>392</v>
      </c>
      <c r="E24" t="s">
        <v>372</v>
      </c>
      <c r="F24">
        <v>3.43</v>
      </c>
      <c r="G24" t="s">
        <v>373</v>
      </c>
      <c r="H24" t="s">
        <v>374</v>
      </c>
      <c r="I24">
        <v>-1</v>
      </c>
      <c r="Q24" t="s">
        <v>87</v>
      </c>
      <c r="R24">
        <v>1223</v>
      </c>
      <c r="S24">
        <v>0.5</v>
      </c>
      <c r="T24" t="b">
        <v>0</v>
      </c>
      <c r="U24" t="s">
        <v>172</v>
      </c>
      <c r="V24" t="s">
        <v>173</v>
      </c>
      <c r="W24">
        <v>2</v>
      </c>
      <c r="X24">
        <v>3.43</v>
      </c>
      <c r="Y24">
        <v>0.6</v>
      </c>
      <c r="Z24">
        <v>0</v>
      </c>
      <c r="AC24" t="s">
        <v>90</v>
      </c>
      <c r="AD24">
        <v>450</v>
      </c>
      <c r="AF24" t="s">
        <v>91</v>
      </c>
      <c r="AH24">
        <v>12.5</v>
      </c>
      <c r="AI24" t="s">
        <v>393</v>
      </c>
      <c r="AJ24" t="s">
        <v>393</v>
      </c>
      <c r="AL24" t="b">
        <v>1</v>
      </c>
      <c r="AM24" t="b">
        <v>1</v>
      </c>
      <c r="AN24" t="b">
        <v>0</v>
      </c>
      <c r="AO24" t="b">
        <v>0</v>
      </c>
      <c r="AP24" t="s">
        <v>400</v>
      </c>
      <c r="AQ24" t="s">
        <v>401</v>
      </c>
      <c r="AS24">
        <v>2.5257286443082561</v>
      </c>
      <c r="AT24">
        <v>1.857142857142857</v>
      </c>
      <c r="AU24">
        <v>2.285714285714286</v>
      </c>
      <c r="AV24">
        <v>0.42857142857142849</v>
      </c>
      <c r="AW24">
        <v>0</v>
      </c>
      <c r="AX24">
        <v>0.40625000000000011</v>
      </c>
      <c r="AY24">
        <v>0.5</v>
      </c>
      <c r="AZ24">
        <v>9.375E-2</v>
      </c>
      <c r="BA24">
        <v>0</v>
      </c>
      <c r="BB24">
        <v>5.5971897125714278</v>
      </c>
      <c r="BC24">
        <v>8</v>
      </c>
      <c r="BD24">
        <v>203.79933701026059</v>
      </c>
      <c r="BE24">
        <v>2</v>
      </c>
      <c r="BF24">
        <v>7.8508596910668346E-2</v>
      </c>
      <c r="BG24">
        <v>3.8703880000000002</v>
      </c>
      <c r="BH24">
        <v>3.8703880000000002</v>
      </c>
      <c r="BI24">
        <v>13.604850000000001</v>
      </c>
      <c r="BJ24">
        <v>198.77623248847371</v>
      </c>
      <c r="BK24">
        <v>2</v>
      </c>
      <c r="BL24">
        <v>8.0492520658513728E-2</v>
      </c>
      <c r="BM24">
        <v>3.8415499999999998</v>
      </c>
      <c r="BN24">
        <v>3.8415499999999998</v>
      </c>
      <c r="BO24">
        <v>13.4695</v>
      </c>
      <c r="BP24">
        <v>0</v>
      </c>
      <c r="BQ24">
        <v>0</v>
      </c>
      <c r="BS24">
        <v>0</v>
      </c>
      <c r="BT24">
        <v>0</v>
      </c>
      <c r="BU24">
        <v>0</v>
      </c>
      <c r="BX24">
        <v>4</v>
      </c>
      <c r="BZ24">
        <v>3.9254298455334173E-2</v>
      </c>
      <c r="CA24">
        <v>4.0246260329256857E-2</v>
      </c>
      <c r="CC24">
        <v>0.56559985344500774</v>
      </c>
      <c r="CD24">
        <v>0.57989264461925605</v>
      </c>
    </row>
    <row r="25" spans="1:84" x14ac:dyDescent="0.3">
      <c r="A25" s="1">
        <v>642</v>
      </c>
      <c r="B25" t="s">
        <v>1115</v>
      </c>
      <c r="C25" t="s">
        <v>1116</v>
      </c>
      <c r="E25" t="s">
        <v>404</v>
      </c>
      <c r="F25">
        <v>3.58</v>
      </c>
      <c r="G25" t="s">
        <v>1080</v>
      </c>
      <c r="H25">
        <v>-1</v>
      </c>
      <c r="I25">
        <v>-1</v>
      </c>
      <c r="J25">
        <v>1</v>
      </c>
      <c r="K25">
        <v>3.802</v>
      </c>
      <c r="L25">
        <v>3.802</v>
      </c>
      <c r="M25">
        <v>24.7</v>
      </c>
      <c r="N25" t="s">
        <v>101</v>
      </c>
      <c r="O25">
        <v>24.7</v>
      </c>
      <c r="Q25" t="s">
        <v>87</v>
      </c>
      <c r="R25">
        <v>1273</v>
      </c>
      <c r="S25">
        <v>10</v>
      </c>
      <c r="T25" t="b">
        <v>0</v>
      </c>
      <c r="U25" t="s">
        <v>125</v>
      </c>
      <c r="V25" t="s">
        <v>126</v>
      </c>
      <c r="W25">
        <v>2</v>
      </c>
      <c r="Y25">
        <v>0.5</v>
      </c>
      <c r="Z25">
        <v>1</v>
      </c>
      <c r="AC25" t="s">
        <v>90</v>
      </c>
      <c r="AD25">
        <v>125</v>
      </c>
      <c r="AE25">
        <v>220</v>
      </c>
      <c r="AF25" t="s">
        <v>91</v>
      </c>
      <c r="AG25">
        <v>288</v>
      </c>
      <c r="AH25">
        <v>68000</v>
      </c>
      <c r="AI25" t="s">
        <v>972</v>
      </c>
      <c r="AL25" t="b">
        <v>1</v>
      </c>
      <c r="AM25" t="b">
        <v>0</v>
      </c>
      <c r="AN25" t="b">
        <v>0</v>
      </c>
      <c r="AO25" t="b">
        <v>0</v>
      </c>
      <c r="AP25" t="s">
        <v>1169</v>
      </c>
      <c r="AS25">
        <v>11.127262984158239</v>
      </c>
      <c r="AT25">
        <v>1.510204081632653</v>
      </c>
      <c r="AU25">
        <v>1.2653061224489801</v>
      </c>
      <c r="AV25">
        <v>0.1224489795918367</v>
      </c>
      <c r="AW25">
        <v>0.16326530612244899</v>
      </c>
      <c r="AX25">
        <v>0.49333333333333329</v>
      </c>
      <c r="AY25">
        <v>0.41333333333333339</v>
      </c>
      <c r="AZ25">
        <v>0.04</v>
      </c>
      <c r="BA25">
        <v>5.333333333333333E-2</v>
      </c>
      <c r="BB25">
        <v>6.6971257268453872</v>
      </c>
      <c r="BC25">
        <v>20</v>
      </c>
      <c r="BD25">
        <v>733.37308460000008</v>
      </c>
      <c r="BE25">
        <v>2</v>
      </c>
      <c r="BF25">
        <v>5.4542497999932729E-2</v>
      </c>
      <c r="BG25">
        <v>3.8530000000000002</v>
      </c>
      <c r="BH25">
        <v>3.8530000000000002</v>
      </c>
      <c r="BI25">
        <v>49.4</v>
      </c>
      <c r="BJ25">
        <v>0</v>
      </c>
      <c r="BK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S25">
        <v>0</v>
      </c>
      <c r="BT25">
        <v>0</v>
      </c>
      <c r="BU25">
        <v>0</v>
      </c>
      <c r="BV25">
        <v>357.04353880000002</v>
      </c>
      <c r="BW25">
        <v>5.6015577448113731E-2</v>
      </c>
      <c r="BX25">
        <v>10</v>
      </c>
      <c r="BY25">
        <v>2.8007788724056869E-2</v>
      </c>
      <c r="BZ25">
        <v>2.7271248999966361E-2</v>
      </c>
      <c r="CC25">
        <v>0.33005342247707181</v>
      </c>
      <c r="CF25">
        <v>0.33896747906196412</v>
      </c>
    </row>
    <row r="26" spans="1:84" x14ac:dyDescent="0.3">
      <c r="A26" s="1">
        <v>816</v>
      </c>
      <c r="B26" t="s">
        <v>128</v>
      </c>
      <c r="C26" t="s">
        <v>129</v>
      </c>
      <c r="E26" t="s">
        <v>130</v>
      </c>
      <c r="F26">
        <v>3.2</v>
      </c>
      <c r="G26" t="s">
        <v>131</v>
      </c>
      <c r="H26" t="s">
        <v>132</v>
      </c>
      <c r="I26">
        <v>-1</v>
      </c>
      <c r="O26">
        <v>0</v>
      </c>
      <c r="Q26" t="s">
        <v>248</v>
      </c>
      <c r="R26">
        <v>623</v>
      </c>
      <c r="S26">
        <v>5</v>
      </c>
      <c r="T26" t="b">
        <v>0</v>
      </c>
      <c r="U26" t="s">
        <v>172</v>
      </c>
      <c r="V26" t="s">
        <v>173</v>
      </c>
      <c r="W26">
        <v>1.5</v>
      </c>
      <c r="X26">
        <v>50</v>
      </c>
      <c r="Y26">
        <v>1</v>
      </c>
      <c r="Z26">
        <v>0.1</v>
      </c>
      <c r="AC26" t="s">
        <v>90</v>
      </c>
      <c r="AD26">
        <v>125</v>
      </c>
      <c r="AE26">
        <v>220</v>
      </c>
      <c r="AF26" t="s">
        <v>91</v>
      </c>
      <c r="AG26">
        <v>288</v>
      </c>
      <c r="AH26">
        <v>218.18181818181819</v>
      </c>
      <c r="AL26" t="b">
        <v>1</v>
      </c>
      <c r="AM26" t="b">
        <v>0</v>
      </c>
      <c r="AN26" t="b">
        <v>0</v>
      </c>
      <c r="AO26" t="b">
        <v>0</v>
      </c>
      <c r="AP26" t="s">
        <v>131</v>
      </c>
      <c r="AQ26" t="s">
        <v>132</v>
      </c>
      <c r="AS26">
        <v>5.3853287435376664</v>
      </c>
      <c r="AT26">
        <v>2</v>
      </c>
      <c r="AU26">
        <v>2.666666666666667</v>
      </c>
      <c r="AV26">
        <v>0.66666666666666663</v>
      </c>
      <c r="AW26">
        <v>0</v>
      </c>
      <c r="AX26">
        <v>0.375</v>
      </c>
      <c r="AY26">
        <v>0.5</v>
      </c>
      <c r="AZ26">
        <v>0.125</v>
      </c>
      <c r="BA26">
        <v>0</v>
      </c>
      <c r="BB26">
        <v>6.1770001596666662</v>
      </c>
      <c r="BC26">
        <v>4</v>
      </c>
      <c r="BD26">
        <v>1182.741260108548</v>
      </c>
      <c r="BE26">
        <v>30</v>
      </c>
      <c r="BF26">
        <v>0.1014592151701775</v>
      </c>
      <c r="BG26">
        <v>10.59112378</v>
      </c>
      <c r="BH26">
        <v>10.784736629999999</v>
      </c>
      <c r="BI26">
        <v>10.486176179999999</v>
      </c>
      <c r="BJ26">
        <v>130.36387300000001</v>
      </c>
      <c r="BK26">
        <v>4</v>
      </c>
      <c r="BL26">
        <v>0.1227333894874388</v>
      </c>
      <c r="BM26">
        <v>3.73</v>
      </c>
      <c r="BN26">
        <v>3.73</v>
      </c>
      <c r="BO26">
        <v>9.3699999999999992</v>
      </c>
      <c r="BP26">
        <v>0</v>
      </c>
      <c r="BQ26">
        <v>0</v>
      </c>
      <c r="BS26">
        <v>0</v>
      </c>
      <c r="BT26">
        <v>0</v>
      </c>
      <c r="BU26">
        <v>0</v>
      </c>
      <c r="BX26">
        <v>2</v>
      </c>
      <c r="BZ26">
        <v>5.0729607585088737E-2</v>
      </c>
      <c r="CA26">
        <v>6.1366694743719377E-2</v>
      </c>
      <c r="CC26">
        <v>0.46900407026869612</v>
      </c>
      <c r="CD26">
        <v>0.56734579634715776</v>
      </c>
    </row>
    <row r="27" spans="1:84" x14ac:dyDescent="0.3">
      <c r="A27" s="1">
        <v>334</v>
      </c>
      <c r="B27" t="s">
        <v>94</v>
      </c>
      <c r="C27" t="s">
        <v>138</v>
      </c>
      <c r="E27" t="s">
        <v>94</v>
      </c>
      <c r="F27">
        <v>3.1</v>
      </c>
      <c r="G27" t="s">
        <v>139</v>
      </c>
      <c r="H27">
        <v>-1</v>
      </c>
      <c r="I27">
        <v>-1</v>
      </c>
      <c r="J27">
        <v>1</v>
      </c>
      <c r="K27">
        <v>3.8860000000000001</v>
      </c>
      <c r="L27">
        <v>3.8860000000000001</v>
      </c>
      <c r="M27">
        <v>10.548299999999999</v>
      </c>
      <c r="N27" t="s">
        <v>757</v>
      </c>
      <c r="O27">
        <v>10.548299999999999</v>
      </c>
      <c r="Q27" t="s">
        <v>87</v>
      </c>
      <c r="R27">
        <v>1423</v>
      </c>
      <c r="S27">
        <v>24</v>
      </c>
      <c r="T27" t="b">
        <v>0</v>
      </c>
      <c r="U27" t="s">
        <v>88</v>
      </c>
      <c r="V27" t="s">
        <v>126</v>
      </c>
      <c r="W27">
        <v>1.34</v>
      </c>
      <c r="X27">
        <v>4.18</v>
      </c>
      <c r="Y27">
        <v>2</v>
      </c>
      <c r="Z27">
        <v>10</v>
      </c>
      <c r="AC27" t="s">
        <v>90</v>
      </c>
      <c r="AD27">
        <v>100</v>
      </c>
      <c r="AE27">
        <v>290</v>
      </c>
      <c r="AF27" t="s">
        <v>407</v>
      </c>
      <c r="AG27">
        <v>333</v>
      </c>
      <c r="AH27">
        <v>7723.2142857142862</v>
      </c>
      <c r="AL27" t="b">
        <v>1</v>
      </c>
      <c r="AM27" t="b">
        <v>0</v>
      </c>
      <c r="AN27" t="b">
        <v>0</v>
      </c>
      <c r="AO27" t="b">
        <v>0</v>
      </c>
      <c r="AP27" t="s">
        <v>139</v>
      </c>
      <c r="AQ27">
        <v>-1</v>
      </c>
      <c r="AS27">
        <v>8.9519859146189216</v>
      </c>
      <c r="AT27">
        <v>1.7272727272727271</v>
      </c>
      <c r="AU27">
        <v>2.545454545454545</v>
      </c>
      <c r="AV27">
        <v>0.81818181818181823</v>
      </c>
      <c r="AW27">
        <v>0</v>
      </c>
      <c r="AX27">
        <v>0.3392857142857143</v>
      </c>
      <c r="AY27">
        <v>0.5</v>
      </c>
      <c r="AZ27">
        <v>0.1607142857142857</v>
      </c>
      <c r="BA27">
        <v>0</v>
      </c>
      <c r="BB27">
        <v>6.4269893564864544</v>
      </c>
      <c r="BC27">
        <v>14</v>
      </c>
      <c r="BD27">
        <v>165.66723991337099</v>
      </c>
      <c r="BE27">
        <v>1</v>
      </c>
      <c r="BF27">
        <v>8.4506749839743392E-2</v>
      </c>
      <c r="BG27">
        <v>3.9263319999999999</v>
      </c>
      <c r="BH27">
        <v>3.9263319999999999</v>
      </c>
      <c r="BI27">
        <v>10.74639</v>
      </c>
      <c r="BJ27">
        <v>0</v>
      </c>
      <c r="BK27">
        <v>0</v>
      </c>
      <c r="BM27">
        <v>0</v>
      </c>
      <c r="BP27">
        <v>0</v>
      </c>
      <c r="BQ27">
        <v>0</v>
      </c>
      <c r="BS27">
        <v>0</v>
      </c>
      <c r="BT27">
        <v>0</v>
      </c>
      <c r="BU27">
        <v>0</v>
      </c>
      <c r="BV27">
        <v>159.28983610680001</v>
      </c>
      <c r="BW27">
        <v>8.789010235790147E-2</v>
      </c>
      <c r="BX27">
        <v>7</v>
      </c>
      <c r="BY27">
        <v>4.3945051178950742E-2</v>
      </c>
      <c r="BZ27">
        <v>4.2253374919871703E-2</v>
      </c>
      <c r="CC27">
        <v>0.41874907041247761</v>
      </c>
      <c r="CF27">
        <v>0.4355143077993508</v>
      </c>
    </row>
    <row r="28" spans="1:84" x14ac:dyDescent="0.3">
      <c r="A28" s="1">
        <v>177</v>
      </c>
      <c r="B28" t="s">
        <v>128</v>
      </c>
      <c r="C28" t="s">
        <v>129</v>
      </c>
      <c r="E28" t="s">
        <v>130</v>
      </c>
      <c r="F28">
        <v>3</v>
      </c>
      <c r="G28" t="s">
        <v>131</v>
      </c>
      <c r="H28" t="s">
        <v>132</v>
      </c>
      <c r="I28">
        <v>-1</v>
      </c>
      <c r="O28">
        <v>0</v>
      </c>
      <c r="Q28" t="s">
        <v>248</v>
      </c>
      <c r="T28" t="b">
        <v>0</v>
      </c>
      <c r="U28" t="s">
        <v>172</v>
      </c>
      <c r="V28" t="s">
        <v>126</v>
      </c>
      <c r="W28">
        <v>1.1200000000000001</v>
      </c>
      <c r="X28">
        <v>49</v>
      </c>
      <c r="Y28">
        <v>2</v>
      </c>
      <c r="Z28">
        <v>10</v>
      </c>
      <c r="AC28" t="s">
        <v>90</v>
      </c>
      <c r="AD28">
        <v>100</v>
      </c>
      <c r="AE28">
        <v>290</v>
      </c>
      <c r="AF28" t="s">
        <v>91</v>
      </c>
      <c r="AG28">
        <v>333</v>
      </c>
      <c r="AH28">
        <v>30134</v>
      </c>
      <c r="AL28" t="b">
        <v>1</v>
      </c>
      <c r="AM28" t="b">
        <v>0</v>
      </c>
      <c r="AN28" t="b">
        <v>0</v>
      </c>
      <c r="AO28" t="b">
        <v>0</v>
      </c>
      <c r="AP28" t="s">
        <v>131</v>
      </c>
      <c r="AQ28" t="s">
        <v>132</v>
      </c>
      <c r="AS28">
        <v>10.313409381361231</v>
      </c>
      <c r="AT28">
        <v>2</v>
      </c>
      <c r="AU28">
        <v>2.666666666666667</v>
      </c>
      <c r="AV28">
        <v>0.66666666666666663</v>
      </c>
      <c r="AW28">
        <v>0</v>
      </c>
      <c r="AX28">
        <v>0.375</v>
      </c>
      <c r="AY28">
        <v>0.5</v>
      </c>
      <c r="AZ28">
        <v>0.125</v>
      </c>
      <c r="BA28">
        <v>0</v>
      </c>
      <c r="BB28">
        <v>6.1770001596666662</v>
      </c>
      <c r="BC28">
        <v>4</v>
      </c>
      <c r="BD28">
        <v>1182.741260108548</v>
      </c>
      <c r="BE28">
        <v>30</v>
      </c>
      <c r="BF28">
        <v>0.1014592151701775</v>
      </c>
      <c r="BG28">
        <v>10.59112378</v>
      </c>
      <c r="BH28">
        <v>10.784736629999999</v>
      </c>
      <c r="BI28">
        <v>10.486176179999999</v>
      </c>
      <c r="BJ28">
        <v>130.36387300000001</v>
      </c>
      <c r="BK28">
        <v>4</v>
      </c>
      <c r="BL28">
        <v>0.1227333894874388</v>
      </c>
      <c r="BM28">
        <v>3.73</v>
      </c>
      <c r="BN28">
        <v>3.73</v>
      </c>
      <c r="BO28">
        <v>9.3699999999999992</v>
      </c>
      <c r="BP28">
        <v>0</v>
      </c>
      <c r="BQ28">
        <v>0</v>
      </c>
      <c r="BS28">
        <v>0</v>
      </c>
      <c r="BT28">
        <v>0</v>
      </c>
      <c r="BU28">
        <v>0</v>
      </c>
      <c r="BX28">
        <v>2</v>
      </c>
      <c r="BZ28">
        <v>5.0729607585088737E-2</v>
      </c>
      <c r="CA28">
        <v>6.1366694743719377E-2</v>
      </c>
      <c r="CC28">
        <v>0.46900407026869612</v>
      </c>
      <c r="CD28">
        <v>0.56734579634715776</v>
      </c>
    </row>
    <row r="29" spans="1:84" x14ac:dyDescent="0.3">
      <c r="A29" s="1">
        <v>41</v>
      </c>
      <c r="B29" t="s">
        <v>83</v>
      </c>
      <c r="C29" t="s">
        <v>84</v>
      </c>
      <c r="E29" t="s">
        <v>83</v>
      </c>
      <c r="F29">
        <v>3.3</v>
      </c>
      <c r="G29" t="s">
        <v>85</v>
      </c>
      <c r="H29" t="s">
        <v>86</v>
      </c>
      <c r="I29">
        <v>-1</v>
      </c>
      <c r="J29">
        <v>4</v>
      </c>
      <c r="K29">
        <v>6.6</v>
      </c>
      <c r="L29">
        <v>7.94</v>
      </c>
      <c r="M29">
        <v>33.700000000000003</v>
      </c>
      <c r="O29">
        <v>16.850000000000001</v>
      </c>
      <c r="Q29" t="s">
        <v>87</v>
      </c>
      <c r="R29">
        <v>1473</v>
      </c>
      <c r="S29">
        <v>48</v>
      </c>
      <c r="T29" t="b">
        <v>0</v>
      </c>
      <c r="U29" t="s">
        <v>172</v>
      </c>
      <c r="V29" t="s">
        <v>173</v>
      </c>
      <c r="W29">
        <v>1</v>
      </c>
      <c r="X29">
        <v>1</v>
      </c>
      <c r="Y29">
        <v>3.33</v>
      </c>
      <c r="Z29">
        <v>0</v>
      </c>
      <c r="AC29" t="s">
        <v>90</v>
      </c>
      <c r="AD29">
        <v>450</v>
      </c>
      <c r="AF29" t="s">
        <v>91</v>
      </c>
      <c r="AH29">
        <v>3</v>
      </c>
      <c r="AL29" t="b">
        <v>1</v>
      </c>
      <c r="AM29" t="b">
        <v>0</v>
      </c>
      <c r="AN29" t="b">
        <v>0</v>
      </c>
      <c r="AO29" t="b">
        <v>0</v>
      </c>
      <c r="AP29" t="s">
        <v>85</v>
      </c>
      <c r="AQ29" t="s">
        <v>86</v>
      </c>
      <c r="AS29">
        <v>1.09861228866811</v>
      </c>
      <c r="AT29">
        <v>1.62962962962963</v>
      </c>
      <c r="AU29">
        <v>2.518518518518519</v>
      </c>
      <c r="AV29">
        <v>0.88888888888888884</v>
      </c>
      <c r="AW29">
        <v>0</v>
      </c>
      <c r="AX29">
        <v>0.32352941176470579</v>
      </c>
      <c r="AY29">
        <v>0.5</v>
      </c>
      <c r="AZ29">
        <v>0.1764705882352941</v>
      </c>
      <c r="BA29">
        <v>0</v>
      </c>
      <c r="BB29">
        <v>5.9587386867222234</v>
      </c>
      <c r="BC29">
        <v>34</v>
      </c>
      <c r="BD29">
        <v>1767.0449718798691</v>
      </c>
      <c r="BE29">
        <v>4</v>
      </c>
      <c r="BF29">
        <v>7.6964651247849417E-2</v>
      </c>
      <c r="BG29">
        <v>6.6040679999999998</v>
      </c>
      <c r="BH29">
        <v>7.9389519999999996</v>
      </c>
      <c r="BI29">
        <v>33.703336</v>
      </c>
      <c r="BJ29">
        <v>1679.8210721820001</v>
      </c>
      <c r="BK29">
        <v>4</v>
      </c>
      <c r="BL29">
        <v>8.0961003676030277E-2</v>
      </c>
      <c r="BM29">
        <v>7.83</v>
      </c>
      <c r="BN29">
        <v>33.209989999999998</v>
      </c>
      <c r="BO29">
        <v>6.46</v>
      </c>
      <c r="BP29">
        <v>0</v>
      </c>
      <c r="BQ29">
        <v>0</v>
      </c>
      <c r="BS29">
        <v>0</v>
      </c>
      <c r="BT29">
        <v>0</v>
      </c>
      <c r="BU29">
        <v>0</v>
      </c>
      <c r="BV29">
        <v>1766.0147999999999</v>
      </c>
      <c r="BW29">
        <v>7.7009547145358015E-2</v>
      </c>
      <c r="BX29">
        <v>17</v>
      </c>
      <c r="BY29">
        <v>3.8504773572679007E-2</v>
      </c>
      <c r="BZ29">
        <v>3.8482325623924708E-2</v>
      </c>
      <c r="CA29">
        <v>4.0480501838015139E-2</v>
      </c>
      <c r="CC29">
        <v>0.48264383878002193</v>
      </c>
      <c r="CD29">
        <v>0.50770488753139875</v>
      </c>
      <c r="CF29">
        <v>0.48292538008460401</v>
      </c>
    </row>
    <row r="30" spans="1:84" x14ac:dyDescent="0.3">
      <c r="A30" s="1">
        <v>159</v>
      </c>
      <c r="B30" t="s">
        <v>463</v>
      </c>
      <c r="C30" t="s">
        <v>464</v>
      </c>
      <c r="F30">
        <v>3.2</v>
      </c>
      <c r="G30" t="s">
        <v>465</v>
      </c>
      <c r="H30" t="s">
        <v>466</v>
      </c>
      <c r="I30">
        <v>-1</v>
      </c>
      <c r="O30">
        <v>0</v>
      </c>
      <c r="Q30" t="s">
        <v>87</v>
      </c>
      <c r="R30">
        <v>1373</v>
      </c>
      <c r="S30">
        <v>30</v>
      </c>
      <c r="T30" t="b">
        <v>0</v>
      </c>
      <c r="U30" t="s">
        <v>172</v>
      </c>
      <c r="V30" t="s">
        <v>173</v>
      </c>
      <c r="W30">
        <v>1</v>
      </c>
      <c r="X30">
        <v>3.49</v>
      </c>
      <c r="Y30">
        <v>2.11</v>
      </c>
      <c r="Z30">
        <v>0</v>
      </c>
      <c r="AC30" t="s">
        <v>90</v>
      </c>
      <c r="AD30">
        <v>400</v>
      </c>
      <c r="AF30" t="s">
        <v>91</v>
      </c>
      <c r="AH30">
        <v>60</v>
      </c>
      <c r="AL30" t="b">
        <v>1</v>
      </c>
      <c r="AM30" t="b">
        <v>1</v>
      </c>
      <c r="AN30" t="b">
        <v>0</v>
      </c>
      <c r="AO30" t="b">
        <v>0</v>
      </c>
      <c r="AP30" t="s">
        <v>465</v>
      </c>
      <c r="AQ30" t="s">
        <v>466</v>
      </c>
      <c r="AS30">
        <v>4.0943445622221004</v>
      </c>
      <c r="AT30">
        <v>2</v>
      </c>
      <c r="AU30">
        <v>2.333333333333333</v>
      </c>
      <c r="AV30">
        <v>0.33333333333333331</v>
      </c>
      <c r="AW30">
        <v>0</v>
      </c>
      <c r="AX30">
        <v>0.42857142857142849</v>
      </c>
      <c r="AY30">
        <v>0.5</v>
      </c>
      <c r="AZ30">
        <v>7.1428571428571425E-2</v>
      </c>
      <c r="BA30">
        <v>0</v>
      </c>
      <c r="BB30">
        <v>5.6917627584583332</v>
      </c>
      <c r="BC30">
        <v>14</v>
      </c>
      <c r="BD30">
        <v>155.59136328639269</v>
      </c>
      <c r="BE30">
        <v>1</v>
      </c>
      <c r="BF30">
        <v>8.9979287437893268E-2</v>
      </c>
      <c r="BG30">
        <v>3.9086759899999999</v>
      </c>
      <c r="BH30">
        <v>3.908676100000001</v>
      </c>
      <c r="BI30">
        <v>10.552604730000001</v>
      </c>
      <c r="BJ30">
        <v>310.12474837798999</v>
      </c>
      <c r="BK30">
        <v>2</v>
      </c>
      <c r="BL30">
        <v>9.0286248183820222E-2</v>
      </c>
      <c r="BM30">
        <v>3.899</v>
      </c>
      <c r="BN30">
        <v>3.899</v>
      </c>
      <c r="BO30">
        <v>20.399989999999999</v>
      </c>
      <c r="BP30">
        <v>0</v>
      </c>
      <c r="BQ30">
        <v>0</v>
      </c>
      <c r="BS30">
        <v>0</v>
      </c>
      <c r="BT30">
        <v>0</v>
      </c>
      <c r="BU30">
        <v>0</v>
      </c>
      <c r="BX30">
        <v>7</v>
      </c>
      <c r="BZ30">
        <v>4.4989643718946627E-2</v>
      </c>
      <c r="CA30">
        <v>4.5143124091910111E-2</v>
      </c>
      <c r="CC30">
        <v>0.58499657192886356</v>
      </c>
      <c r="CD30">
        <v>0.5869922643731712</v>
      </c>
    </row>
    <row r="31" spans="1:84" x14ac:dyDescent="0.3">
      <c r="A31" s="1">
        <v>160</v>
      </c>
      <c r="B31" t="s">
        <v>463</v>
      </c>
      <c r="C31" t="s">
        <v>464</v>
      </c>
      <c r="F31">
        <v>3.2</v>
      </c>
      <c r="G31" t="s">
        <v>465</v>
      </c>
      <c r="H31" t="s">
        <v>466</v>
      </c>
      <c r="I31">
        <v>-1</v>
      </c>
      <c r="O31">
        <v>0</v>
      </c>
      <c r="Q31" t="s">
        <v>467</v>
      </c>
      <c r="R31">
        <v>973</v>
      </c>
      <c r="S31">
        <v>2</v>
      </c>
      <c r="T31" t="b">
        <v>0</v>
      </c>
      <c r="U31" t="s">
        <v>172</v>
      </c>
      <c r="V31" t="s">
        <v>173</v>
      </c>
      <c r="W31">
        <v>1</v>
      </c>
      <c r="X31">
        <v>8.1449999999999996</v>
      </c>
      <c r="Y31">
        <v>2.11</v>
      </c>
      <c r="Z31">
        <v>0</v>
      </c>
      <c r="AC31" t="s">
        <v>90</v>
      </c>
      <c r="AD31">
        <v>400</v>
      </c>
      <c r="AF31" t="s">
        <v>91</v>
      </c>
      <c r="AH31">
        <v>80</v>
      </c>
      <c r="AL31" t="b">
        <v>1</v>
      </c>
      <c r="AM31" t="b">
        <v>1</v>
      </c>
      <c r="AN31" t="b">
        <v>0</v>
      </c>
      <c r="AO31" t="b">
        <v>0</v>
      </c>
      <c r="AP31" t="s">
        <v>465</v>
      </c>
      <c r="AQ31" t="s">
        <v>466</v>
      </c>
      <c r="AS31">
        <v>4.3820266346738812</v>
      </c>
      <c r="AT31">
        <v>2</v>
      </c>
      <c r="AU31">
        <v>2.333333333333333</v>
      </c>
      <c r="AV31">
        <v>0.33333333333333331</v>
      </c>
      <c r="AW31">
        <v>0</v>
      </c>
      <c r="AX31">
        <v>0.42857142857142849</v>
      </c>
      <c r="AY31">
        <v>0.5</v>
      </c>
      <c r="AZ31">
        <v>7.1428571428571425E-2</v>
      </c>
      <c r="BA31">
        <v>0</v>
      </c>
      <c r="BB31">
        <v>5.6917627584583332</v>
      </c>
      <c r="BC31">
        <v>14</v>
      </c>
      <c r="BD31">
        <v>155.59136328639269</v>
      </c>
      <c r="BE31">
        <v>1</v>
      </c>
      <c r="BF31">
        <v>8.9979287437893268E-2</v>
      </c>
      <c r="BG31">
        <v>3.9086759899999999</v>
      </c>
      <c r="BH31">
        <v>3.908676100000001</v>
      </c>
      <c r="BI31">
        <v>10.552604730000001</v>
      </c>
      <c r="BJ31">
        <v>310.12474837798999</v>
      </c>
      <c r="BK31">
        <v>2</v>
      </c>
      <c r="BL31">
        <v>9.0286248183820222E-2</v>
      </c>
      <c r="BM31">
        <v>3.899</v>
      </c>
      <c r="BN31">
        <v>3.899</v>
      </c>
      <c r="BO31">
        <v>20.399989999999999</v>
      </c>
      <c r="BP31">
        <v>0</v>
      </c>
      <c r="BQ31">
        <v>0</v>
      </c>
      <c r="BS31">
        <v>0</v>
      </c>
      <c r="BT31">
        <v>0</v>
      </c>
      <c r="BU31">
        <v>0</v>
      </c>
      <c r="BX31">
        <v>7</v>
      </c>
      <c r="BZ31">
        <v>4.4989643718946627E-2</v>
      </c>
      <c r="CA31">
        <v>4.5143124091910111E-2</v>
      </c>
      <c r="CC31">
        <v>0.58499657192886356</v>
      </c>
      <c r="CD31">
        <v>0.5869922643731712</v>
      </c>
    </row>
    <row r="32" spans="1:84" x14ac:dyDescent="0.3">
      <c r="A32" s="1">
        <v>167</v>
      </c>
      <c r="B32" t="s">
        <v>468</v>
      </c>
      <c r="C32" t="s">
        <v>469</v>
      </c>
      <c r="F32">
        <v>3.3</v>
      </c>
      <c r="G32">
        <v>-1</v>
      </c>
      <c r="H32" t="s">
        <v>470</v>
      </c>
      <c r="I32">
        <v>-1</v>
      </c>
      <c r="J32">
        <v>2</v>
      </c>
      <c r="K32">
        <v>3.8917999999999999</v>
      </c>
      <c r="L32">
        <v>3.8820000000000001</v>
      </c>
      <c r="M32">
        <v>36.127000000000002</v>
      </c>
      <c r="N32" t="s">
        <v>471</v>
      </c>
      <c r="O32">
        <v>18.063500000000001</v>
      </c>
      <c r="P32">
        <v>4</v>
      </c>
      <c r="Q32" t="s">
        <v>87</v>
      </c>
      <c r="R32">
        <v>1373</v>
      </c>
      <c r="S32">
        <v>10</v>
      </c>
      <c r="T32" t="b">
        <v>0</v>
      </c>
      <c r="U32" t="s">
        <v>125</v>
      </c>
      <c r="V32" t="s">
        <v>126</v>
      </c>
      <c r="W32">
        <v>1</v>
      </c>
      <c r="X32">
        <v>4.5999999999999996</v>
      </c>
      <c r="Y32">
        <v>2</v>
      </c>
      <c r="Z32">
        <v>20</v>
      </c>
      <c r="AC32" t="s">
        <v>165</v>
      </c>
      <c r="AD32">
        <v>1000</v>
      </c>
      <c r="AE32">
        <v>300</v>
      </c>
      <c r="AF32" t="s">
        <v>91</v>
      </c>
      <c r="AH32">
        <v>1355</v>
      </c>
      <c r="AL32" t="b">
        <v>0</v>
      </c>
      <c r="AM32" t="b">
        <v>1</v>
      </c>
      <c r="AN32" t="b">
        <v>0</v>
      </c>
      <c r="AO32" t="b">
        <v>0</v>
      </c>
      <c r="AP32">
        <v>-1</v>
      </c>
      <c r="AQ32" t="s">
        <v>470</v>
      </c>
      <c r="AS32">
        <v>7.2115567333138024</v>
      </c>
      <c r="AT32">
        <v>1.714285714285714</v>
      </c>
      <c r="AU32">
        <v>2.4761904761904758</v>
      </c>
      <c r="AV32">
        <v>0.76190476190476186</v>
      </c>
      <c r="AW32">
        <v>0</v>
      </c>
      <c r="AX32">
        <v>0.34615384615384609</v>
      </c>
      <c r="AY32">
        <v>0.5</v>
      </c>
      <c r="AZ32">
        <v>0.1538461538461538</v>
      </c>
      <c r="BA32">
        <v>0</v>
      </c>
      <c r="BB32">
        <v>5.9615150258809519</v>
      </c>
      <c r="BC32">
        <v>26</v>
      </c>
      <c r="BD32">
        <v>0</v>
      </c>
      <c r="BE32">
        <v>0</v>
      </c>
      <c r="BG32">
        <v>0</v>
      </c>
      <c r="BJ32">
        <v>553.65927766671996</v>
      </c>
      <c r="BK32">
        <v>1</v>
      </c>
      <c r="BL32">
        <v>4.696028956576237E-2</v>
      </c>
      <c r="BM32">
        <v>3.8715999999999999</v>
      </c>
      <c r="BN32">
        <v>3.8715999999999999</v>
      </c>
      <c r="BO32">
        <v>36.936999999999998</v>
      </c>
      <c r="BP32">
        <v>0</v>
      </c>
      <c r="BQ32">
        <v>0</v>
      </c>
      <c r="BS32">
        <v>0</v>
      </c>
      <c r="BT32">
        <v>0</v>
      </c>
      <c r="BU32">
        <v>0</v>
      </c>
      <c r="BV32">
        <v>545.80554548520001</v>
      </c>
      <c r="BW32">
        <v>9.5272025779390007E-2</v>
      </c>
      <c r="BX32">
        <v>13</v>
      </c>
      <c r="BY32">
        <v>4.7636012889694997E-2</v>
      </c>
      <c r="CA32">
        <v>2.3480144782881181E-2</v>
      </c>
      <c r="CD32">
        <v>0.25714100113935939</v>
      </c>
      <c r="CF32">
        <v>0.52168213433139388</v>
      </c>
    </row>
    <row r="33" spans="1:84" x14ac:dyDescent="0.3">
      <c r="A33" s="1">
        <v>168</v>
      </c>
      <c r="B33" t="s">
        <v>468</v>
      </c>
      <c r="C33" t="s">
        <v>469</v>
      </c>
      <c r="F33">
        <v>3.3</v>
      </c>
      <c r="G33">
        <v>-1</v>
      </c>
      <c r="H33" t="s">
        <v>470</v>
      </c>
      <c r="I33">
        <v>-1</v>
      </c>
      <c r="J33">
        <v>2</v>
      </c>
      <c r="K33">
        <v>3.8917999999999999</v>
      </c>
      <c r="L33">
        <v>3.8820000000000001</v>
      </c>
      <c r="M33">
        <v>36.127000000000002</v>
      </c>
      <c r="N33" t="s">
        <v>471</v>
      </c>
      <c r="O33">
        <v>18.063500000000001</v>
      </c>
      <c r="P33">
        <v>4</v>
      </c>
      <c r="Q33" t="s">
        <v>87</v>
      </c>
      <c r="R33">
        <v>1373</v>
      </c>
      <c r="S33">
        <v>10</v>
      </c>
      <c r="T33" t="b">
        <v>0</v>
      </c>
      <c r="U33" t="s">
        <v>172</v>
      </c>
      <c r="V33" t="s">
        <v>126</v>
      </c>
      <c r="W33">
        <v>1</v>
      </c>
      <c r="X33">
        <v>4.5999999999999996</v>
      </c>
      <c r="Y33">
        <v>2</v>
      </c>
      <c r="Z33">
        <v>20</v>
      </c>
      <c r="AC33" t="s">
        <v>165</v>
      </c>
      <c r="AD33">
        <v>1000</v>
      </c>
      <c r="AE33">
        <v>300</v>
      </c>
      <c r="AF33" t="s">
        <v>91</v>
      </c>
      <c r="AH33">
        <v>1099</v>
      </c>
      <c r="AL33" t="b">
        <v>0</v>
      </c>
      <c r="AM33" t="b">
        <v>1</v>
      </c>
      <c r="AN33" t="b">
        <v>0</v>
      </c>
      <c r="AO33" t="b">
        <v>0</v>
      </c>
      <c r="AP33">
        <v>-1</v>
      </c>
      <c r="AQ33" t="s">
        <v>470</v>
      </c>
      <c r="AS33">
        <v>7.0021559544036212</v>
      </c>
      <c r="AT33">
        <v>1.714285714285714</v>
      </c>
      <c r="AU33">
        <v>2.4761904761904758</v>
      </c>
      <c r="AV33">
        <v>0.76190476190476186</v>
      </c>
      <c r="AW33">
        <v>0</v>
      </c>
      <c r="AX33">
        <v>0.34615384615384609</v>
      </c>
      <c r="AY33">
        <v>0.5</v>
      </c>
      <c r="AZ33">
        <v>0.1538461538461538</v>
      </c>
      <c r="BA33">
        <v>0</v>
      </c>
      <c r="BB33">
        <v>5.9615150258809519</v>
      </c>
      <c r="BC33">
        <v>26</v>
      </c>
      <c r="BD33">
        <v>0</v>
      </c>
      <c r="BE33">
        <v>0</v>
      </c>
      <c r="BG33">
        <v>0</v>
      </c>
      <c r="BJ33">
        <v>553.65927766671996</v>
      </c>
      <c r="BK33">
        <v>1</v>
      </c>
      <c r="BL33">
        <v>4.696028956576237E-2</v>
      </c>
      <c r="BM33">
        <v>3.8715999999999999</v>
      </c>
      <c r="BN33">
        <v>3.8715999999999999</v>
      </c>
      <c r="BO33">
        <v>36.936999999999998</v>
      </c>
      <c r="BP33">
        <v>0</v>
      </c>
      <c r="BQ33">
        <v>0</v>
      </c>
      <c r="BS33">
        <v>0</v>
      </c>
      <c r="BT33">
        <v>0</v>
      </c>
      <c r="BU33">
        <v>0</v>
      </c>
      <c r="BV33">
        <v>545.80554548520001</v>
      </c>
      <c r="BW33">
        <v>9.5272025779390007E-2</v>
      </c>
      <c r="BX33">
        <v>13</v>
      </c>
      <c r="BY33">
        <v>4.7636012889694997E-2</v>
      </c>
      <c r="CA33">
        <v>2.3480144782881181E-2</v>
      </c>
      <c r="CD33">
        <v>0.25714100113935939</v>
      </c>
      <c r="CF33">
        <v>0.52168213433139388</v>
      </c>
    </row>
    <row r="34" spans="1:84" x14ac:dyDescent="0.3">
      <c r="A34" s="1">
        <v>169</v>
      </c>
      <c r="B34" t="s">
        <v>468</v>
      </c>
      <c r="C34" t="s">
        <v>469</v>
      </c>
      <c r="F34">
        <v>3.3</v>
      </c>
      <c r="G34">
        <v>-1</v>
      </c>
      <c r="H34" t="s">
        <v>470</v>
      </c>
      <c r="I34">
        <v>-1</v>
      </c>
      <c r="J34">
        <v>2</v>
      </c>
      <c r="K34">
        <v>3.8917999999999999</v>
      </c>
      <c r="L34">
        <v>3.8820000000000001</v>
      </c>
      <c r="M34">
        <v>36.127000000000002</v>
      </c>
      <c r="N34" t="s">
        <v>471</v>
      </c>
      <c r="O34">
        <v>18.063500000000001</v>
      </c>
      <c r="P34">
        <v>4</v>
      </c>
      <c r="Q34" t="s">
        <v>87</v>
      </c>
      <c r="R34">
        <v>1373</v>
      </c>
      <c r="S34">
        <v>10</v>
      </c>
      <c r="T34" t="b">
        <v>0</v>
      </c>
      <c r="U34" t="s">
        <v>125</v>
      </c>
      <c r="V34" t="s">
        <v>126</v>
      </c>
      <c r="W34">
        <v>1</v>
      </c>
      <c r="X34">
        <v>3.9</v>
      </c>
      <c r="Y34">
        <v>2</v>
      </c>
      <c r="Z34">
        <v>20</v>
      </c>
      <c r="AC34" t="s">
        <v>165</v>
      </c>
      <c r="AD34">
        <v>1000</v>
      </c>
      <c r="AE34">
        <v>300</v>
      </c>
      <c r="AF34" t="s">
        <v>91</v>
      </c>
      <c r="AH34">
        <v>835</v>
      </c>
      <c r="AL34" t="b">
        <v>0</v>
      </c>
      <c r="AM34" t="b">
        <v>1</v>
      </c>
      <c r="AN34" t="b">
        <v>0</v>
      </c>
      <c r="AO34" t="b">
        <v>0</v>
      </c>
      <c r="AP34">
        <v>-1</v>
      </c>
      <c r="AQ34" t="s">
        <v>470</v>
      </c>
      <c r="AS34">
        <v>6.7274317248508551</v>
      </c>
      <c r="AT34">
        <v>1.714285714285714</v>
      </c>
      <c r="AU34">
        <v>2.4761904761904758</v>
      </c>
      <c r="AV34">
        <v>0.76190476190476186</v>
      </c>
      <c r="AW34">
        <v>0</v>
      </c>
      <c r="AX34">
        <v>0.34615384615384609</v>
      </c>
      <c r="AY34">
        <v>0.5</v>
      </c>
      <c r="AZ34">
        <v>0.1538461538461538</v>
      </c>
      <c r="BA34">
        <v>0</v>
      </c>
      <c r="BB34">
        <v>5.9615150258809519</v>
      </c>
      <c r="BC34">
        <v>26</v>
      </c>
      <c r="BD34">
        <v>0</v>
      </c>
      <c r="BE34">
        <v>0</v>
      </c>
      <c r="BG34">
        <v>0</v>
      </c>
      <c r="BJ34">
        <v>553.65927766671996</v>
      </c>
      <c r="BK34">
        <v>1</v>
      </c>
      <c r="BL34">
        <v>4.696028956576237E-2</v>
      </c>
      <c r="BM34">
        <v>3.8715999999999999</v>
      </c>
      <c r="BN34">
        <v>3.8715999999999999</v>
      </c>
      <c r="BO34">
        <v>36.936999999999998</v>
      </c>
      <c r="BP34">
        <v>0</v>
      </c>
      <c r="BQ34">
        <v>0</v>
      </c>
      <c r="BS34">
        <v>0</v>
      </c>
      <c r="BT34">
        <v>0</v>
      </c>
      <c r="BU34">
        <v>0</v>
      </c>
      <c r="BV34">
        <v>545.80554548520001</v>
      </c>
      <c r="BW34">
        <v>9.5272025779390007E-2</v>
      </c>
      <c r="BX34">
        <v>13</v>
      </c>
      <c r="BY34">
        <v>4.7636012889694997E-2</v>
      </c>
      <c r="CA34">
        <v>2.3480144782881181E-2</v>
      </c>
      <c r="CD34">
        <v>0.25714100113935939</v>
      </c>
      <c r="CF34">
        <v>0.52168213433139388</v>
      </c>
    </row>
    <row r="35" spans="1:84" x14ac:dyDescent="0.3">
      <c r="A35" s="1">
        <v>170</v>
      </c>
      <c r="B35" t="s">
        <v>468</v>
      </c>
      <c r="C35" t="s">
        <v>469</v>
      </c>
      <c r="F35">
        <v>3.3</v>
      </c>
      <c r="G35">
        <v>-1</v>
      </c>
      <c r="H35" t="s">
        <v>470</v>
      </c>
      <c r="I35">
        <v>-1</v>
      </c>
      <c r="J35">
        <v>2</v>
      </c>
      <c r="K35">
        <v>3.8917999999999999</v>
      </c>
      <c r="L35">
        <v>3.8820000000000001</v>
      </c>
      <c r="M35">
        <v>36.127000000000002</v>
      </c>
      <c r="N35" t="s">
        <v>471</v>
      </c>
      <c r="O35">
        <v>18.063500000000001</v>
      </c>
      <c r="P35">
        <v>4</v>
      </c>
      <c r="Q35" t="s">
        <v>87</v>
      </c>
      <c r="R35">
        <v>1373</v>
      </c>
      <c r="S35">
        <v>10</v>
      </c>
      <c r="T35" t="b">
        <v>0</v>
      </c>
      <c r="U35" t="s">
        <v>172</v>
      </c>
      <c r="V35" t="s">
        <v>126</v>
      </c>
      <c r="W35">
        <v>1</v>
      </c>
      <c r="X35">
        <v>3.9</v>
      </c>
      <c r="Y35">
        <v>2</v>
      </c>
      <c r="Z35">
        <v>20</v>
      </c>
      <c r="AC35" t="s">
        <v>165</v>
      </c>
      <c r="AD35">
        <v>1000</v>
      </c>
      <c r="AE35">
        <v>300</v>
      </c>
      <c r="AF35" t="s">
        <v>91</v>
      </c>
      <c r="AH35">
        <v>539</v>
      </c>
      <c r="AL35" t="b">
        <v>0</v>
      </c>
      <c r="AM35" t="b">
        <v>1</v>
      </c>
      <c r="AN35" t="b">
        <v>0</v>
      </c>
      <c r="AO35" t="b">
        <v>0</v>
      </c>
      <c r="AP35">
        <v>-1</v>
      </c>
      <c r="AQ35" t="s">
        <v>470</v>
      </c>
      <c r="AS35">
        <v>6.2897155709089976</v>
      </c>
      <c r="AT35">
        <v>1.714285714285714</v>
      </c>
      <c r="AU35">
        <v>2.4761904761904758</v>
      </c>
      <c r="AV35">
        <v>0.76190476190476186</v>
      </c>
      <c r="AW35">
        <v>0</v>
      </c>
      <c r="AX35">
        <v>0.34615384615384609</v>
      </c>
      <c r="AY35">
        <v>0.5</v>
      </c>
      <c r="AZ35">
        <v>0.1538461538461538</v>
      </c>
      <c r="BA35">
        <v>0</v>
      </c>
      <c r="BB35">
        <v>5.9615150258809519</v>
      </c>
      <c r="BC35">
        <v>26</v>
      </c>
      <c r="BD35">
        <v>0</v>
      </c>
      <c r="BE35">
        <v>0</v>
      </c>
      <c r="BG35">
        <v>0</v>
      </c>
      <c r="BJ35">
        <v>553.65927766671996</v>
      </c>
      <c r="BK35">
        <v>1</v>
      </c>
      <c r="BL35">
        <v>4.696028956576237E-2</v>
      </c>
      <c r="BM35">
        <v>3.8715999999999999</v>
      </c>
      <c r="BN35">
        <v>3.8715999999999999</v>
      </c>
      <c r="BO35">
        <v>36.936999999999998</v>
      </c>
      <c r="BP35">
        <v>0</v>
      </c>
      <c r="BQ35">
        <v>0</v>
      </c>
      <c r="BS35">
        <v>0</v>
      </c>
      <c r="BT35">
        <v>0</v>
      </c>
      <c r="BU35">
        <v>0</v>
      </c>
      <c r="BV35">
        <v>545.80554548520001</v>
      </c>
      <c r="BW35">
        <v>9.5272025779390007E-2</v>
      </c>
      <c r="BX35">
        <v>13</v>
      </c>
      <c r="BY35">
        <v>4.7636012889694997E-2</v>
      </c>
      <c r="CA35">
        <v>2.3480144782881181E-2</v>
      </c>
      <c r="CD35">
        <v>0.25714100113935939</v>
      </c>
      <c r="CF35">
        <v>0.52168213433139388</v>
      </c>
    </row>
    <row r="36" spans="1:84" x14ac:dyDescent="0.3">
      <c r="A36" s="1">
        <v>171</v>
      </c>
      <c r="B36" t="s">
        <v>468</v>
      </c>
      <c r="C36" t="s">
        <v>469</v>
      </c>
      <c r="F36">
        <v>3.3</v>
      </c>
      <c r="G36">
        <v>-1</v>
      </c>
      <c r="H36" t="s">
        <v>470</v>
      </c>
      <c r="I36">
        <v>-1</v>
      </c>
      <c r="J36">
        <v>2</v>
      </c>
      <c r="K36">
        <v>3.8917999999999999</v>
      </c>
      <c r="L36">
        <v>3.8820000000000001</v>
      </c>
      <c r="M36">
        <v>36.127000000000002</v>
      </c>
      <c r="N36" t="s">
        <v>471</v>
      </c>
      <c r="O36">
        <v>18.063500000000001</v>
      </c>
      <c r="P36">
        <v>4</v>
      </c>
      <c r="Q36" t="s">
        <v>87</v>
      </c>
      <c r="R36">
        <v>1373</v>
      </c>
      <c r="S36">
        <v>10</v>
      </c>
      <c r="T36" t="b">
        <v>0</v>
      </c>
      <c r="U36" t="s">
        <v>125</v>
      </c>
      <c r="V36" t="s">
        <v>126</v>
      </c>
      <c r="W36">
        <v>1</v>
      </c>
      <c r="X36">
        <v>1.6</v>
      </c>
      <c r="Y36">
        <v>2</v>
      </c>
      <c r="Z36">
        <v>20</v>
      </c>
      <c r="AC36" t="s">
        <v>165</v>
      </c>
      <c r="AD36">
        <v>1000</v>
      </c>
      <c r="AE36">
        <v>300</v>
      </c>
      <c r="AF36" t="s">
        <v>91</v>
      </c>
      <c r="AH36">
        <v>230</v>
      </c>
      <c r="AL36" t="b">
        <v>0</v>
      </c>
      <c r="AM36" t="b">
        <v>1</v>
      </c>
      <c r="AN36" t="b">
        <v>0</v>
      </c>
      <c r="AO36" t="b">
        <v>0</v>
      </c>
      <c r="AP36">
        <v>-1</v>
      </c>
      <c r="AQ36" t="s">
        <v>470</v>
      </c>
      <c r="AS36">
        <v>5.4380793089231956</v>
      </c>
      <c r="AT36">
        <v>1.714285714285714</v>
      </c>
      <c r="AU36">
        <v>2.4761904761904758</v>
      </c>
      <c r="AV36">
        <v>0.76190476190476186</v>
      </c>
      <c r="AW36">
        <v>0</v>
      </c>
      <c r="AX36">
        <v>0.34615384615384609</v>
      </c>
      <c r="AY36">
        <v>0.5</v>
      </c>
      <c r="AZ36">
        <v>0.1538461538461538</v>
      </c>
      <c r="BA36">
        <v>0</v>
      </c>
      <c r="BB36">
        <v>5.9615150258809519</v>
      </c>
      <c r="BC36">
        <v>26</v>
      </c>
      <c r="BD36">
        <v>0</v>
      </c>
      <c r="BE36">
        <v>0</v>
      </c>
      <c r="BG36">
        <v>0</v>
      </c>
      <c r="BJ36">
        <v>553.65927766671996</v>
      </c>
      <c r="BK36">
        <v>1</v>
      </c>
      <c r="BL36">
        <v>4.696028956576237E-2</v>
      </c>
      <c r="BM36">
        <v>3.8715999999999999</v>
      </c>
      <c r="BN36">
        <v>3.8715999999999999</v>
      </c>
      <c r="BO36">
        <v>36.936999999999998</v>
      </c>
      <c r="BP36">
        <v>0</v>
      </c>
      <c r="BQ36">
        <v>0</v>
      </c>
      <c r="BS36">
        <v>0</v>
      </c>
      <c r="BT36">
        <v>0</v>
      </c>
      <c r="BU36">
        <v>0</v>
      </c>
      <c r="BV36">
        <v>545.80554548520001</v>
      </c>
      <c r="BW36">
        <v>9.5272025779390007E-2</v>
      </c>
      <c r="BX36">
        <v>13</v>
      </c>
      <c r="BY36">
        <v>4.7636012889694997E-2</v>
      </c>
      <c r="CA36">
        <v>2.3480144782881181E-2</v>
      </c>
      <c r="CD36">
        <v>0.25714100113935939</v>
      </c>
      <c r="CF36">
        <v>0.52168213433139388</v>
      </c>
    </row>
    <row r="37" spans="1:84" x14ac:dyDescent="0.3">
      <c r="A37" s="1">
        <v>172</v>
      </c>
      <c r="B37" t="s">
        <v>468</v>
      </c>
      <c r="C37" t="s">
        <v>469</v>
      </c>
      <c r="F37">
        <v>3.3</v>
      </c>
      <c r="G37">
        <v>-1</v>
      </c>
      <c r="H37" t="s">
        <v>470</v>
      </c>
      <c r="I37">
        <v>-1</v>
      </c>
      <c r="J37">
        <v>2</v>
      </c>
      <c r="K37">
        <v>3.8917999999999999</v>
      </c>
      <c r="L37">
        <v>3.8820000000000001</v>
      </c>
      <c r="M37">
        <v>36.127000000000002</v>
      </c>
      <c r="N37" t="s">
        <v>471</v>
      </c>
      <c r="O37">
        <v>18.063500000000001</v>
      </c>
      <c r="P37">
        <v>4</v>
      </c>
      <c r="Q37" t="s">
        <v>87</v>
      </c>
      <c r="R37">
        <v>1373</v>
      </c>
      <c r="S37">
        <v>10</v>
      </c>
      <c r="T37" t="b">
        <v>0</v>
      </c>
      <c r="U37" t="s">
        <v>172</v>
      </c>
      <c r="V37" t="s">
        <v>126</v>
      </c>
      <c r="W37">
        <v>1</v>
      </c>
      <c r="X37">
        <v>1.6</v>
      </c>
      <c r="Y37">
        <v>2</v>
      </c>
      <c r="Z37">
        <v>20</v>
      </c>
      <c r="AC37" t="s">
        <v>165</v>
      </c>
      <c r="AD37">
        <v>1000</v>
      </c>
      <c r="AE37">
        <v>300</v>
      </c>
      <c r="AF37" t="s">
        <v>91</v>
      </c>
      <c r="AH37">
        <v>204</v>
      </c>
      <c r="AL37" t="b">
        <v>0</v>
      </c>
      <c r="AM37" t="b">
        <v>1</v>
      </c>
      <c r="AN37" t="b">
        <v>0</v>
      </c>
      <c r="AO37" t="b">
        <v>0</v>
      </c>
      <c r="AP37">
        <v>-1</v>
      </c>
      <c r="AQ37" t="s">
        <v>470</v>
      </c>
      <c r="AS37">
        <v>5.3181199938442161</v>
      </c>
      <c r="AT37">
        <v>1.714285714285714</v>
      </c>
      <c r="AU37">
        <v>2.4761904761904758</v>
      </c>
      <c r="AV37">
        <v>0.76190476190476186</v>
      </c>
      <c r="AW37">
        <v>0</v>
      </c>
      <c r="AX37">
        <v>0.34615384615384609</v>
      </c>
      <c r="AY37">
        <v>0.5</v>
      </c>
      <c r="AZ37">
        <v>0.1538461538461538</v>
      </c>
      <c r="BA37">
        <v>0</v>
      </c>
      <c r="BB37">
        <v>5.9615150258809519</v>
      </c>
      <c r="BC37">
        <v>26</v>
      </c>
      <c r="BD37">
        <v>0</v>
      </c>
      <c r="BE37">
        <v>0</v>
      </c>
      <c r="BG37">
        <v>0</v>
      </c>
      <c r="BJ37">
        <v>553.65927766671996</v>
      </c>
      <c r="BK37">
        <v>1</v>
      </c>
      <c r="BL37">
        <v>4.696028956576237E-2</v>
      </c>
      <c r="BM37">
        <v>3.8715999999999999</v>
      </c>
      <c r="BN37">
        <v>3.8715999999999999</v>
      </c>
      <c r="BO37">
        <v>36.936999999999998</v>
      </c>
      <c r="BP37">
        <v>0</v>
      </c>
      <c r="BQ37">
        <v>0</v>
      </c>
      <c r="BS37">
        <v>0</v>
      </c>
      <c r="BT37">
        <v>0</v>
      </c>
      <c r="BU37">
        <v>0</v>
      </c>
      <c r="BV37">
        <v>545.80554548520001</v>
      </c>
      <c r="BW37">
        <v>9.5272025779390007E-2</v>
      </c>
      <c r="BX37">
        <v>13</v>
      </c>
      <c r="BY37">
        <v>4.7636012889694997E-2</v>
      </c>
      <c r="CA37">
        <v>2.3480144782881181E-2</v>
      </c>
      <c r="CD37">
        <v>0.25714100113935939</v>
      </c>
      <c r="CF37">
        <v>0.52168213433139388</v>
      </c>
    </row>
    <row r="38" spans="1:84" x14ac:dyDescent="0.3">
      <c r="A38" s="1">
        <v>173</v>
      </c>
      <c r="B38" t="s">
        <v>468</v>
      </c>
      <c r="C38" t="s">
        <v>469</v>
      </c>
      <c r="F38">
        <v>3.3</v>
      </c>
      <c r="G38">
        <v>-1</v>
      </c>
      <c r="H38" t="s">
        <v>470</v>
      </c>
      <c r="I38">
        <v>-1</v>
      </c>
      <c r="J38">
        <v>2</v>
      </c>
      <c r="K38">
        <v>3.8917999999999999</v>
      </c>
      <c r="L38">
        <v>3.8820000000000001</v>
      </c>
      <c r="M38">
        <v>36.127000000000002</v>
      </c>
      <c r="N38" t="s">
        <v>471</v>
      </c>
      <c r="O38">
        <v>18.063500000000001</v>
      </c>
      <c r="P38">
        <v>4</v>
      </c>
      <c r="Q38" t="s">
        <v>87</v>
      </c>
      <c r="R38">
        <v>1373</v>
      </c>
      <c r="S38">
        <v>10</v>
      </c>
      <c r="T38" t="b">
        <v>0</v>
      </c>
      <c r="U38" t="s">
        <v>125</v>
      </c>
      <c r="V38" t="s">
        <v>126</v>
      </c>
      <c r="W38">
        <v>1</v>
      </c>
      <c r="X38">
        <v>0.36</v>
      </c>
      <c r="Y38">
        <v>2</v>
      </c>
      <c r="Z38">
        <v>20</v>
      </c>
      <c r="AC38" t="s">
        <v>165</v>
      </c>
      <c r="AD38">
        <v>1000</v>
      </c>
      <c r="AE38">
        <v>300</v>
      </c>
      <c r="AF38" t="s">
        <v>91</v>
      </c>
      <c r="AH38">
        <v>447</v>
      </c>
      <c r="AL38" t="b">
        <v>0</v>
      </c>
      <c r="AM38" t="b">
        <v>1</v>
      </c>
      <c r="AN38" t="b">
        <v>0</v>
      </c>
      <c r="AO38" t="b">
        <v>0</v>
      </c>
      <c r="AP38">
        <v>-1</v>
      </c>
      <c r="AQ38" t="s">
        <v>470</v>
      </c>
      <c r="AS38">
        <v>6.1025585946135692</v>
      </c>
      <c r="AT38">
        <v>1.714285714285714</v>
      </c>
      <c r="AU38">
        <v>2.4761904761904758</v>
      </c>
      <c r="AV38">
        <v>0.76190476190476186</v>
      </c>
      <c r="AW38">
        <v>0</v>
      </c>
      <c r="AX38">
        <v>0.34615384615384609</v>
      </c>
      <c r="AY38">
        <v>0.5</v>
      </c>
      <c r="AZ38">
        <v>0.1538461538461538</v>
      </c>
      <c r="BA38">
        <v>0</v>
      </c>
      <c r="BB38">
        <v>5.9615150258809519</v>
      </c>
      <c r="BC38">
        <v>26</v>
      </c>
      <c r="BD38">
        <v>0</v>
      </c>
      <c r="BE38">
        <v>0</v>
      </c>
      <c r="BG38">
        <v>0</v>
      </c>
      <c r="BJ38">
        <v>553.65927766671996</v>
      </c>
      <c r="BK38">
        <v>1</v>
      </c>
      <c r="BL38">
        <v>4.696028956576237E-2</v>
      </c>
      <c r="BM38">
        <v>3.8715999999999999</v>
      </c>
      <c r="BN38">
        <v>3.8715999999999999</v>
      </c>
      <c r="BO38">
        <v>36.936999999999998</v>
      </c>
      <c r="BP38">
        <v>0</v>
      </c>
      <c r="BQ38">
        <v>0</v>
      </c>
      <c r="BS38">
        <v>0</v>
      </c>
      <c r="BT38">
        <v>0</v>
      </c>
      <c r="BU38">
        <v>0</v>
      </c>
      <c r="BV38">
        <v>545.80554548520001</v>
      </c>
      <c r="BW38">
        <v>9.5272025779390007E-2</v>
      </c>
      <c r="BX38">
        <v>13</v>
      </c>
      <c r="BY38">
        <v>4.7636012889694997E-2</v>
      </c>
      <c r="CA38">
        <v>2.3480144782881181E-2</v>
      </c>
      <c r="CD38">
        <v>0.25714100113935939</v>
      </c>
      <c r="CF38">
        <v>0.52168213433139388</v>
      </c>
    </row>
    <row r="39" spans="1:84" x14ac:dyDescent="0.3">
      <c r="A39" s="1">
        <v>174</v>
      </c>
      <c r="B39" t="s">
        <v>468</v>
      </c>
      <c r="C39" t="s">
        <v>469</v>
      </c>
      <c r="F39">
        <v>3.3</v>
      </c>
      <c r="G39">
        <v>-1</v>
      </c>
      <c r="H39" t="s">
        <v>470</v>
      </c>
      <c r="I39">
        <v>-1</v>
      </c>
      <c r="J39">
        <v>2</v>
      </c>
      <c r="K39">
        <v>3.8917999999999999</v>
      </c>
      <c r="L39">
        <v>3.8820000000000001</v>
      </c>
      <c r="M39">
        <v>36.127000000000002</v>
      </c>
      <c r="N39" t="s">
        <v>471</v>
      </c>
      <c r="O39">
        <v>18.063500000000001</v>
      </c>
      <c r="P39">
        <v>4</v>
      </c>
      <c r="Q39" t="s">
        <v>87</v>
      </c>
      <c r="R39">
        <v>1373</v>
      </c>
      <c r="S39">
        <v>10</v>
      </c>
      <c r="T39" t="b">
        <v>0</v>
      </c>
      <c r="U39" t="s">
        <v>172</v>
      </c>
      <c r="V39" t="s">
        <v>126</v>
      </c>
      <c r="W39">
        <v>1</v>
      </c>
      <c r="X39">
        <v>0.36</v>
      </c>
      <c r="Y39">
        <v>2</v>
      </c>
      <c r="Z39">
        <v>20</v>
      </c>
      <c r="AC39" t="s">
        <v>165</v>
      </c>
      <c r="AD39">
        <v>1000</v>
      </c>
      <c r="AE39">
        <v>300</v>
      </c>
      <c r="AF39" t="s">
        <v>91</v>
      </c>
      <c r="AH39">
        <v>113</v>
      </c>
      <c r="AL39" t="b">
        <v>0</v>
      </c>
      <c r="AM39" t="b">
        <v>1</v>
      </c>
      <c r="AN39" t="b">
        <v>0</v>
      </c>
      <c r="AO39" t="b">
        <v>0</v>
      </c>
      <c r="AP39">
        <v>-1</v>
      </c>
      <c r="AQ39" t="s">
        <v>470</v>
      </c>
      <c r="AS39">
        <v>4.7273878187123408</v>
      </c>
      <c r="AT39">
        <v>1.714285714285714</v>
      </c>
      <c r="AU39">
        <v>2.4761904761904758</v>
      </c>
      <c r="AV39">
        <v>0.76190476190476186</v>
      </c>
      <c r="AW39">
        <v>0</v>
      </c>
      <c r="AX39">
        <v>0.34615384615384609</v>
      </c>
      <c r="AY39">
        <v>0.5</v>
      </c>
      <c r="AZ39">
        <v>0.1538461538461538</v>
      </c>
      <c r="BA39">
        <v>0</v>
      </c>
      <c r="BB39">
        <v>5.9615150258809519</v>
      </c>
      <c r="BC39">
        <v>26</v>
      </c>
      <c r="BD39">
        <v>0</v>
      </c>
      <c r="BE39">
        <v>0</v>
      </c>
      <c r="BG39">
        <v>0</v>
      </c>
      <c r="BJ39">
        <v>553.65927766671996</v>
      </c>
      <c r="BK39">
        <v>1</v>
      </c>
      <c r="BL39">
        <v>4.696028956576237E-2</v>
      </c>
      <c r="BM39">
        <v>3.8715999999999999</v>
      </c>
      <c r="BN39">
        <v>3.8715999999999999</v>
      </c>
      <c r="BO39">
        <v>36.936999999999998</v>
      </c>
      <c r="BP39">
        <v>0</v>
      </c>
      <c r="BQ39">
        <v>0</v>
      </c>
      <c r="BS39">
        <v>0</v>
      </c>
      <c r="BT39">
        <v>0</v>
      </c>
      <c r="BU39">
        <v>0</v>
      </c>
      <c r="BV39">
        <v>545.80554548520001</v>
      </c>
      <c r="BW39">
        <v>9.5272025779390007E-2</v>
      </c>
      <c r="BX39">
        <v>13</v>
      </c>
      <c r="BY39">
        <v>4.7636012889694997E-2</v>
      </c>
      <c r="CA39">
        <v>2.3480144782881181E-2</v>
      </c>
      <c r="CD39">
        <v>0.25714100113935939</v>
      </c>
      <c r="CF39">
        <v>0.52168213433139388</v>
      </c>
    </row>
    <row r="40" spans="1:84" x14ac:dyDescent="0.3">
      <c r="A40" s="1">
        <v>178</v>
      </c>
      <c r="B40" t="s">
        <v>472</v>
      </c>
      <c r="C40" t="s">
        <v>473</v>
      </c>
      <c r="F40">
        <v>3</v>
      </c>
      <c r="G40" t="s">
        <v>474</v>
      </c>
      <c r="H40" t="s">
        <v>475</v>
      </c>
      <c r="I40">
        <v>-1</v>
      </c>
      <c r="Q40" t="s">
        <v>87</v>
      </c>
      <c r="R40">
        <v>1123</v>
      </c>
      <c r="S40">
        <v>10</v>
      </c>
      <c r="T40" t="b">
        <v>0</v>
      </c>
      <c r="U40" t="s">
        <v>125</v>
      </c>
      <c r="V40" t="s">
        <v>126</v>
      </c>
      <c r="W40">
        <v>1</v>
      </c>
      <c r="Y40">
        <v>2.7</v>
      </c>
      <c r="Z40">
        <v>5.4</v>
      </c>
      <c r="AC40" t="s">
        <v>90</v>
      </c>
      <c r="AD40">
        <v>450</v>
      </c>
      <c r="AE40">
        <v>300</v>
      </c>
      <c r="AF40" t="s">
        <v>407</v>
      </c>
      <c r="AH40">
        <v>18</v>
      </c>
      <c r="AL40" t="b">
        <v>1</v>
      </c>
      <c r="AM40" t="b">
        <v>1</v>
      </c>
      <c r="AN40" t="b">
        <v>0</v>
      </c>
      <c r="AO40" t="b">
        <v>0</v>
      </c>
      <c r="AP40" t="s">
        <v>474</v>
      </c>
      <c r="AQ40" t="s">
        <v>475</v>
      </c>
      <c r="AS40">
        <v>2.890371757896165</v>
      </c>
      <c r="AT40">
        <v>2</v>
      </c>
      <c r="AU40">
        <v>3.2307692307692308</v>
      </c>
      <c r="AV40">
        <v>2.1538461538461542</v>
      </c>
      <c r="AW40">
        <v>4.3076923076923066</v>
      </c>
      <c r="AX40">
        <v>0.1710526315789474</v>
      </c>
      <c r="AY40">
        <v>0.27631578947368418</v>
      </c>
      <c r="AZ40">
        <v>0.18421052631578949</v>
      </c>
      <c r="BA40">
        <v>0.36842105263157893</v>
      </c>
      <c r="BB40">
        <v>6.5203588350384614</v>
      </c>
      <c r="BC40">
        <v>18</v>
      </c>
      <c r="BD40">
        <v>730.23330062098216</v>
      </c>
      <c r="BE40">
        <v>4</v>
      </c>
      <c r="BF40">
        <v>9.8598625862134762E-2</v>
      </c>
      <c r="BG40">
        <v>5.452661</v>
      </c>
      <c r="BH40">
        <v>5.4531499999999999</v>
      </c>
      <c r="BI40">
        <v>24.558717999999999</v>
      </c>
      <c r="BJ40">
        <v>699.06513280000001</v>
      </c>
      <c r="BK40">
        <v>4</v>
      </c>
      <c r="BL40">
        <v>0.1029946948027788</v>
      </c>
      <c r="BM40">
        <v>5.44</v>
      </c>
      <c r="BN40">
        <v>5.4130000000000003</v>
      </c>
      <c r="BO40">
        <v>23.74</v>
      </c>
      <c r="BP40">
        <v>0</v>
      </c>
      <c r="BQ40">
        <v>0</v>
      </c>
      <c r="BS40">
        <v>0</v>
      </c>
      <c r="BT40">
        <v>0</v>
      </c>
      <c r="BU40">
        <v>0</v>
      </c>
      <c r="BX40">
        <v>9</v>
      </c>
      <c r="BZ40">
        <v>4.9299312931067381E-2</v>
      </c>
      <c r="CA40">
        <v>5.1497347401389379E-2</v>
      </c>
      <c r="CC40">
        <v>0.50518012153204672</v>
      </c>
      <c r="CD40">
        <v>0.52770382936549076</v>
      </c>
    </row>
    <row r="41" spans="1:84" x14ac:dyDescent="0.3">
      <c r="A41" s="1">
        <v>179</v>
      </c>
      <c r="B41" t="s">
        <v>476</v>
      </c>
      <c r="C41" t="s">
        <v>477</v>
      </c>
      <c r="F41">
        <v>2.8</v>
      </c>
      <c r="G41" t="s">
        <v>478</v>
      </c>
      <c r="H41" t="s">
        <v>479</v>
      </c>
      <c r="I41">
        <v>-1</v>
      </c>
      <c r="P41">
        <v>1</v>
      </c>
      <c r="Q41" t="s">
        <v>87</v>
      </c>
      <c r="R41">
        <v>1073</v>
      </c>
      <c r="S41">
        <v>24</v>
      </c>
      <c r="T41" t="b">
        <v>0</v>
      </c>
      <c r="U41" t="s">
        <v>125</v>
      </c>
      <c r="V41" t="s">
        <v>126</v>
      </c>
      <c r="W41">
        <v>1</v>
      </c>
      <c r="Y41">
        <v>2.7</v>
      </c>
      <c r="Z41">
        <v>5.4</v>
      </c>
      <c r="AC41" t="s">
        <v>90</v>
      </c>
      <c r="AD41">
        <v>450</v>
      </c>
      <c r="AE41">
        <v>300</v>
      </c>
      <c r="AF41" t="s">
        <v>407</v>
      </c>
      <c r="AH41">
        <v>1.6</v>
      </c>
      <c r="AL41" t="b">
        <v>1</v>
      </c>
      <c r="AM41" t="b">
        <v>1</v>
      </c>
      <c r="AN41" t="b">
        <v>0</v>
      </c>
      <c r="AO41" t="b">
        <v>0</v>
      </c>
      <c r="AP41" t="s">
        <v>478</v>
      </c>
      <c r="AQ41" t="s">
        <v>479</v>
      </c>
      <c r="AS41">
        <v>0.47000362924573558</v>
      </c>
      <c r="AT41">
        <v>2</v>
      </c>
      <c r="AU41">
        <v>3.333333333333333</v>
      </c>
      <c r="AV41">
        <v>2.666666666666667</v>
      </c>
      <c r="AW41">
        <v>4.666666666666667</v>
      </c>
      <c r="AX41">
        <v>0.15789473684210531</v>
      </c>
      <c r="AY41">
        <v>0.26315789473684209</v>
      </c>
      <c r="AZ41">
        <v>0.2105263157894737</v>
      </c>
      <c r="BA41">
        <v>0.36842105263157898</v>
      </c>
      <c r="BB41">
        <v>6.4228497196666661</v>
      </c>
      <c r="BC41">
        <v>12</v>
      </c>
      <c r="BD41">
        <v>248.80917443900211</v>
      </c>
      <c r="BE41">
        <v>2</v>
      </c>
      <c r="BF41">
        <v>9.6459465588893817E-2</v>
      </c>
      <c r="BG41">
        <v>8.3195821399999996</v>
      </c>
      <c r="BH41">
        <v>8.3195821399999996</v>
      </c>
      <c r="BI41">
        <v>8.2425581700000006</v>
      </c>
      <c r="BJ41">
        <v>503.73811661477208</v>
      </c>
      <c r="BK41">
        <v>4</v>
      </c>
      <c r="BL41">
        <v>9.5287607621536111E-2</v>
      </c>
      <c r="BM41">
        <v>5.5339970000000003</v>
      </c>
      <c r="BN41">
        <v>5.4998300000000002</v>
      </c>
      <c r="BO41">
        <v>16.550709999999999</v>
      </c>
      <c r="BP41">
        <v>0</v>
      </c>
      <c r="BQ41">
        <v>0</v>
      </c>
      <c r="BS41">
        <v>0</v>
      </c>
      <c r="BT41">
        <v>0</v>
      </c>
      <c r="BU41">
        <v>0</v>
      </c>
      <c r="BX41">
        <v>6</v>
      </c>
      <c r="BZ41">
        <v>4.8229732794446908E-2</v>
      </c>
      <c r="CA41">
        <v>4.7643803810768062E-2</v>
      </c>
      <c r="CC41">
        <v>0.5256234825748447</v>
      </c>
      <c r="CD41">
        <v>0.51923783589802375</v>
      </c>
    </row>
    <row r="42" spans="1:84" x14ac:dyDescent="0.3">
      <c r="A42" s="1">
        <v>181</v>
      </c>
      <c r="B42" t="s">
        <v>480</v>
      </c>
      <c r="C42" t="s">
        <v>481</v>
      </c>
      <c r="F42">
        <v>3.1</v>
      </c>
      <c r="G42" t="s">
        <v>482</v>
      </c>
      <c r="H42" t="s">
        <v>483</v>
      </c>
      <c r="I42">
        <v>-1</v>
      </c>
      <c r="Q42" t="s">
        <v>87</v>
      </c>
      <c r="R42">
        <v>1373</v>
      </c>
      <c r="S42">
        <v>10</v>
      </c>
      <c r="T42" t="b">
        <v>0</v>
      </c>
      <c r="U42" t="s">
        <v>125</v>
      </c>
      <c r="V42" t="s">
        <v>126</v>
      </c>
      <c r="W42">
        <v>1</v>
      </c>
      <c r="Y42">
        <v>2.7</v>
      </c>
      <c r="Z42">
        <v>5.4</v>
      </c>
      <c r="AC42" t="s">
        <v>90</v>
      </c>
      <c r="AD42">
        <v>450</v>
      </c>
      <c r="AE42">
        <v>300</v>
      </c>
      <c r="AF42" t="s">
        <v>407</v>
      </c>
      <c r="AH42">
        <v>0.6</v>
      </c>
      <c r="AL42" t="b">
        <v>1</v>
      </c>
      <c r="AM42" t="b">
        <v>1</v>
      </c>
      <c r="AN42" t="b">
        <v>0</v>
      </c>
      <c r="AO42" t="b">
        <v>0</v>
      </c>
      <c r="AP42" t="s">
        <v>482</v>
      </c>
      <c r="AQ42" t="s">
        <v>483</v>
      </c>
      <c r="AS42">
        <v>-0.51082562376599072</v>
      </c>
      <c r="AT42">
        <v>2</v>
      </c>
      <c r="AU42">
        <v>3.1578947368421049</v>
      </c>
      <c r="AV42">
        <v>2.4210526315789469</v>
      </c>
      <c r="AW42">
        <v>2.947368421052631</v>
      </c>
      <c r="AX42">
        <v>0.19</v>
      </c>
      <c r="AY42">
        <v>0.3</v>
      </c>
      <c r="AZ42">
        <v>0.23</v>
      </c>
      <c r="BA42">
        <v>0.28000000000000003</v>
      </c>
      <c r="BB42">
        <v>6.1729611386315781</v>
      </c>
      <c r="BC42">
        <v>24</v>
      </c>
      <c r="BD42">
        <v>251.01098912285789</v>
      </c>
      <c r="BE42">
        <v>1</v>
      </c>
      <c r="BF42">
        <v>9.5613343797681868E-2</v>
      </c>
      <c r="BG42">
        <v>3.86469438</v>
      </c>
      <c r="BH42">
        <v>3.86469438</v>
      </c>
      <c r="BI42">
        <v>16.978874730000001</v>
      </c>
      <c r="BJ42">
        <v>967.79977224000004</v>
      </c>
      <c r="BK42">
        <v>4</v>
      </c>
      <c r="BL42">
        <v>9.919407170122109E-2</v>
      </c>
      <c r="BM42">
        <v>32.83</v>
      </c>
      <c r="BN42">
        <v>5.4109999999999996</v>
      </c>
      <c r="BO42">
        <v>5.4480000000000004</v>
      </c>
      <c r="BP42">
        <v>0</v>
      </c>
      <c r="BQ42">
        <v>0</v>
      </c>
      <c r="BS42">
        <v>0</v>
      </c>
      <c r="BT42">
        <v>0</v>
      </c>
      <c r="BU42">
        <v>0</v>
      </c>
      <c r="BX42">
        <v>12</v>
      </c>
      <c r="BZ42">
        <v>4.7806671898840927E-2</v>
      </c>
      <c r="CA42">
        <v>4.9597035850610538E-2</v>
      </c>
      <c r="CC42">
        <v>0.52818907539878346</v>
      </c>
      <c r="CD42">
        <v>0.54796980145127872</v>
      </c>
    </row>
    <row r="43" spans="1:84" x14ac:dyDescent="0.3">
      <c r="A43" s="1">
        <v>182</v>
      </c>
      <c r="B43" t="s">
        <v>484</v>
      </c>
      <c r="C43" t="s">
        <v>485</v>
      </c>
      <c r="F43">
        <v>3.1</v>
      </c>
      <c r="G43" t="s">
        <v>486</v>
      </c>
      <c r="H43" t="s">
        <v>487</v>
      </c>
      <c r="I43">
        <v>-1</v>
      </c>
      <c r="Q43" t="s">
        <v>87</v>
      </c>
      <c r="R43">
        <v>1373</v>
      </c>
      <c r="S43">
        <v>10</v>
      </c>
      <c r="T43" t="b">
        <v>0</v>
      </c>
      <c r="U43" t="s">
        <v>125</v>
      </c>
      <c r="V43" t="s">
        <v>126</v>
      </c>
      <c r="W43">
        <v>1</v>
      </c>
      <c r="Y43">
        <v>2.7</v>
      </c>
      <c r="Z43">
        <v>5.4</v>
      </c>
      <c r="AC43" t="s">
        <v>90</v>
      </c>
      <c r="AD43">
        <v>450</v>
      </c>
      <c r="AE43">
        <v>300</v>
      </c>
      <c r="AF43" t="s">
        <v>407</v>
      </c>
      <c r="AH43">
        <v>33</v>
      </c>
      <c r="AL43" t="b">
        <v>1</v>
      </c>
      <c r="AM43" t="b">
        <v>1</v>
      </c>
      <c r="AN43" t="b">
        <v>0</v>
      </c>
      <c r="AO43" t="b">
        <v>0</v>
      </c>
      <c r="AP43" t="s">
        <v>486</v>
      </c>
      <c r="AQ43" t="s">
        <v>487</v>
      </c>
      <c r="AS43">
        <v>3.4965075614664798</v>
      </c>
      <c r="AT43">
        <v>1.928571428571429</v>
      </c>
      <c r="AU43">
        <v>3.214285714285714</v>
      </c>
      <c r="AV43">
        <v>2.5714285714285721</v>
      </c>
      <c r="AW43">
        <v>3</v>
      </c>
      <c r="AX43">
        <v>0.18</v>
      </c>
      <c r="AY43">
        <v>0.3</v>
      </c>
      <c r="AZ43">
        <v>0.24</v>
      </c>
      <c r="BA43">
        <v>0.28000000000000003</v>
      </c>
      <c r="BB43">
        <v>6.249145292892857</v>
      </c>
      <c r="BC43">
        <v>18</v>
      </c>
      <c r="BD43">
        <v>189.23096942123021</v>
      </c>
      <c r="BE43">
        <v>1</v>
      </c>
      <c r="BF43">
        <v>9.5121850588482687E-2</v>
      </c>
      <c r="BG43">
        <v>12.951407789999999</v>
      </c>
      <c r="BH43">
        <v>12.951407789999999</v>
      </c>
      <c r="BI43">
        <v>12.951407789999999</v>
      </c>
      <c r="BJ43">
        <v>733.15456527341007</v>
      </c>
      <c r="BK43">
        <v>4</v>
      </c>
      <c r="BL43">
        <v>9.820575825392229E-2</v>
      </c>
      <c r="BM43">
        <v>5.431</v>
      </c>
      <c r="BN43">
        <v>5.3890000000000002</v>
      </c>
      <c r="BO43">
        <v>25.049990000000001</v>
      </c>
      <c r="BP43">
        <v>0</v>
      </c>
      <c r="BQ43">
        <v>0</v>
      </c>
      <c r="BS43">
        <v>0</v>
      </c>
      <c r="BT43">
        <v>0</v>
      </c>
      <c r="BU43">
        <v>0</v>
      </c>
      <c r="BX43">
        <v>9</v>
      </c>
      <c r="BZ43">
        <v>4.7560925294241337E-2</v>
      </c>
      <c r="CA43">
        <v>4.9102879126961152E-2</v>
      </c>
      <c r="CC43">
        <v>0.52453727954770502</v>
      </c>
      <c r="CD43">
        <v>0.54154309395520839</v>
      </c>
    </row>
    <row r="44" spans="1:84" x14ac:dyDescent="0.3">
      <c r="A44" s="1">
        <v>183</v>
      </c>
      <c r="B44" t="s">
        <v>488</v>
      </c>
      <c r="C44" t="s">
        <v>489</v>
      </c>
      <c r="F44">
        <v>3</v>
      </c>
      <c r="G44" t="s">
        <v>490</v>
      </c>
      <c r="H44" t="s">
        <v>491</v>
      </c>
      <c r="I44">
        <v>-1</v>
      </c>
      <c r="Q44" t="s">
        <v>248</v>
      </c>
      <c r="T44" t="b">
        <v>0</v>
      </c>
      <c r="U44" t="s">
        <v>125</v>
      </c>
      <c r="V44" t="s">
        <v>126</v>
      </c>
      <c r="W44">
        <v>1</v>
      </c>
      <c r="Y44">
        <v>2.7</v>
      </c>
      <c r="Z44">
        <v>5.4</v>
      </c>
      <c r="AC44" t="s">
        <v>90</v>
      </c>
      <c r="AD44">
        <v>450</v>
      </c>
      <c r="AE44">
        <v>300</v>
      </c>
      <c r="AF44" t="s">
        <v>407</v>
      </c>
      <c r="AH44">
        <v>0.01</v>
      </c>
      <c r="AL44" t="b">
        <v>1</v>
      </c>
      <c r="AM44" t="b">
        <v>1</v>
      </c>
      <c r="AN44" t="b">
        <v>0</v>
      </c>
      <c r="AO44" t="b">
        <v>0</v>
      </c>
      <c r="AP44" t="s">
        <v>490</v>
      </c>
      <c r="AQ44" t="s">
        <v>491</v>
      </c>
      <c r="AS44">
        <v>-4.6051701859880909</v>
      </c>
      <c r="AT44">
        <v>1.8888888888888891</v>
      </c>
      <c r="AU44">
        <v>3.333333333333333</v>
      </c>
      <c r="AV44">
        <v>2.7777777777777781</v>
      </c>
      <c r="AW44">
        <v>3.1111111111111112</v>
      </c>
      <c r="AX44">
        <v>0.17</v>
      </c>
      <c r="AY44">
        <v>0.3</v>
      </c>
      <c r="AZ44">
        <v>0.25</v>
      </c>
      <c r="BA44">
        <v>0.28000000000000003</v>
      </c>
      <c r="BB44">
        <v>6.3761351185555553</v>
      </c>
      <c r="BC44">
        <v>12</v>
      </c>
      <c r="BD44">
        <v>2260.7115007974689</v>
      </c>
      <c r="BE44">
        <v>16</v>
      </c>
      <c r="BF44">
        <v>8.4929014574514128E-2</v>
      </c>
      <c r="BG44">
        <v>22.855297</v>
      </c>
      <c r="BH44">
        <v>5.6559619999999997</v>
      </c>
      <c r="BI44">
        <v>17.48922452</v>
      </c>
      <c r="BJ44">
        <v>2160.393128160722</v>
      </c>
      <c r="BK44">
        <v>16</v>
      </c>
      <c r="BL44">
        <v>8.8872713719220939E-2</v>
      </c>
      <c r="BM44">
        <v>17.24399</v>
      </c>
      <c r="BN44">
        <v>22.428989999999999</v>
      </c>
      <c r="BO44">
        <v>5.5860000000000003</v>
      </c>
      <c r="BP44">
        <v>0</v>
      </c>
      <c r="BQ44">
        <v>0</v>
      </c>
      <c r="BS44">
        <v>0</v>
      </c>
      <c r="BT44">
        <v>0</v>
      </c>
      <c r="BU44">
        <v>0</v>
      </c>
      <c r="BX44">
        <v>6</v>
      </c>
      <c r="BZ44">
        <v>4.2464507287257057E-2</v>
      </c>
      <c r="CA44">
        <v>4.4436356859610469E-2</v>
      </c>
      <c r="CC44">
        <v>0.46231169000880451</v>
      </c>
      <c r="CD44">
        <v>0.48377924412573159</v>
      </c>
    </row>
    <row r="45" spans="1:84" x14ac:dyDescent="0.3">
      <c r="A45" s="1">
        <v>184</v>
      </c>
      <c r="B45" t="s">
        <v>492</v>
      </c>
      <c r="C45" t="s">
        <v>493</v>
      </c>
      <c r="F45">
        <v>3.3</v>
      </c>
      <c r="G45" t="s">
        <v>494</v>
      </c>
      <c r="H45" t="s">
        <v>495</v>
      </c>
      <c r="I45">
        <v>-1</v>
      </c>
      <c r="Q45" t="s">
        <v>87</v>
      </c>
      <c r="R45">
        <v>1323</v>
      </c>
      <c r="S45">
        <v>10</v>
      </c>
      <c r="T45" t="b">
        <v>0</v>
      </c>
      <c r="U45" t="s">
        <v>125</v>
      </c>
      <c r="V45" t="s">
        <v>126</v>
      </c>
      <c r="W45">
        <v>1</v>
      </c>
      <c r="Y45">
        <v>2.7</v>
      </c>
      <c r="Z45">
        <v>5.4</v>
      </c>
      <c r="AC45" t="s">
        <v>90</v>
      </c>
      <c r="AD45">
        <v>450</v>
      </c>
      <c r="AE45">
        <v>300</v>
      </c>
      <c r="AF45" t="s">
        <v>407</v>
      </c>
      <c r="AH45">
        <v>8.1999999999999993</v>
      </c>
      <c r="AL45" t="b">
        <v>1</v>
      </c>
      <c r="AM45" t="b">
        <v>0</v>
      </c>
      <c r="AN45" t="b">
        <v>0</v>
      </c>
      <c r="AO45" t="b">
        <v>0</v>
      </c>
      <c r="AP45" t="s">
        <v>494</v>
      </c>
      <c r="AQ45" t="s">
        <v>495</v>
      </c>
      <c r="AS45">
        <v>2.104134154270207</v>
      </c>
      <c r="AT45">
        <v>2</v>
      </c>
      <c r="AU45">
        <v>3</v>
      </c>
      <c r="AV45">
        <v>2</v>
      </c>
      <c r="AW45">
        <v>2.333333333333333</v>
      </c>
      <c r="AX45">
        <v>0.2142857142857143</v>
      </c>
      <c r="AY45">
        <v>0.3214285714285714</v>
      </c>
      <c r="AZ45">
        <v>0.2142857142857143</v>
      </c>
      <c r="BA45">
        <v>0.25</v>
      </c>
      <c r="BB45">
        <v>6.0847913084374996</v>
      </c>
      <c r="BC45">
        <v>30</v>
      </c>
      <c r="BD45">
        <v>309.59189648929049</v>
      </c>
      <c r="BE45">
        <v>1</v>
      </c>
      <c r="BF45">
        <v>9.6901761125513727E-2</v>
      </c>
      <c r="BG45">
        <v>20.551678089999999</v>
      </c>
      <c r="BH45">
        <v>20.551678089999999</v>
      </c>
      <c r="BI45">
        <v>20.551678089999999</v>
      </c>
      <c r="BJ45">
        <v>1248.5309719876</v>
      </c>
      <c r="BK45">
        <v>1</v>
      </c>
      <c r="BL45">
        <v>2.4028238524384762E-2</v>
      </c>
      <c r="BM45">
        <v>41.856999999999999</v>
      </c>
      <c r="BN45">
        <v>5.4550999999999998</v>
      </c>
      <c r="BO45">
        <v>5.468</v>
      </c>
      <c r="BP45">
        <v>0</v>
      </c>
      <c r="BQ45">
        <v>0</v>
      </c>
      <c r="BS45">
        <v>0</v>
      </c>
      <c r="BT45">
        <v>0</v>
      </c>
      <c r="BU45">
        <v>0</v>
      </c>
      <c r="BX45">
        <v>15</v>
      </c>
      <c r="BZ45">
        <v>4.8450880562756857E-2</v>
      </c>
      <c r="CA45">
        <v>1.2014119262192381E-2</v>
      </c>
      <c r="CC45">
        <v>0.55979201272496948</v>
      </c>
      <c r="CD45">
        <v>0.13880878788548109</v>
      </c>
    </row>
    <row r="46" spans="1:84" x14ac:dyDescent="0.3">
      <c r="A46" s="1">
        <v>185</v>
      </c>
      <c r="B46" t="s">
        <v>235</v>
      </c>
      <c r="C46" t="s">
        <v>236</v>
      </c>
      <c r="F46">
        <v>2.88</v>
      </c>
      <c r="G46" t="s">
        <v>220</v>
      </c>
      <c r="H46" t="s">
        <v>221</v>
      </c>
      <c r="I46">
        <v>-1</v>
      </c>
      <c r="J46">
        <v>4</v>
      </c>
      <c r="K46">
        <v>5.4960000000000004</v>
      </c>
      <c r="L46">
        <v>5.4960000000000004</v>
      </c>
      <c r="M46">
        <v>25.55</v>
      </c>
      <c r="N46" t="s">
        <v>197</v>
      </c>
      <c r="O46">
        <v>12.775</v>
      </c>
      <c r="Q46" t="s">
        <v>87</v>
      </c>
      <c r="R46">
        <v>1473</v>
      </c>
      <c r="S46">
        <v>24</v>
      </c>
      <c r="T46" t="b">
        <v>0</v>
      </c>
      <c r="U46" t="s">
        <v>125</v>
      </c>
      <c r="V46" t="s">
        <v>126</v>
      </c>
      <c r="W46">
        <v>1</v>
      </c>
      <c r="Y46">
        <v>5</v>
      </c>
      <c r="Z46">
        <v>15</v>
      </c>
      <c r="AC46" t="s">
        <v>496</v>
      </c>
      <c r="AD46">
        <v>450</v>
      </c>
      <c r="AE46">
        <v>420</v>
      </c>
      <c r="AF46" t="s">
        <v>407</v>
      </c>
      <c r="AH46">
        <v>7.6</v>
      </c>
      <c r="AL46" t="b">
        <v>1</v>
      </c>
      <c r="AM46" t="b">
        <v>1</v>
      </c>
      <c r="AN46" t="b">
        <v>0</v>
      </c>
      <c r="AO46" t="b">
        <v>0</v>
      </c>
      <c r="AP46" t="s">
        <v>220</v>
      </c>
      <c r="AQ46" t="s">
        <v>221</v>
      </c>
      <c r="AS46">
        <v>2.0281482472922852</v>
      </c>
      <c r="AT46">
        <v>1.857142857142857</v>
      </c>
      <c r="AU46">
        <v>3.1428571428571428</v>
      </c>
      <c r="AV46">
        <v>2.714285714285714</v>
      </c>
      <c r="AW46">
        <v>3</v>
      </c>
      <c r="AX46">
        <v>0.17333333333333331</v>
      </c>
      <c r="AY46">
        <v>0.29333333333333328</v>
      </c>
      <c r="AZ46">
        <v>0.25333333333333341</v>
      </c>
      <c r="BA46">
        <v>0.28000000000000003</v>
      </c>
      <c r="BB46">
        <v>6.2605065418214281</v>
      </c>
      <c r="BC46">
        <v>18</v>
      </c>
      <c r="BD46">
        <v>197.4403766939285</v>
      </c>
      <c r="BE46">
        <v>1</v>
      </c>
      <c r="BF46">
        <v>9.1166762854710051E-2</v>
      </c>
      <c r="BG46">
        <v>12.868820120000001</v>
      </c>
      <c r="BH46">
        <v>12.868820120000001</v>
      </c>
      <c r="BI46">
        <v>12.868820120000001</v>
      </c>
      <c r="BJ46">
        <v>789.87506903020289</v>
      </c>
      <c r="BK46">
        <v>4</v>
      </c>
      <c r="BL46">
        <v>9.1153655588092616E-2</v>
      </c>
      <c r="BM46">
        <v>5.5453000000000001</v>
      </c>
      <c r="BN46">
        <v>5.5453000000000001</v>
      </c>
      <c r="BO46">
        <v>25.686699999999998</v>
      </c>
      <c r="BP46">
        <v>0</v>
      </c>
      <c r="BQ46">
        <v>0</v>
      </c>
      <c r="BS46">
        <v>0</v>
      </c>
      <c r="BT46">
        <v>0</v>
      </c>
      <c r="BU46">
        <v>0</v>
      </c>
      <c r="BV46">
        <v>771.76370880000013</v>
      </c>
      <c r="BW46">
        <v>9.3292803456580448E-2</v>
      </c>
      <c r="BX46">
        <v>9</v>
      </c>
      <c r="BY46">
        <v>4.6646401728290217E-2</v>
      </c>
      <c r="BZ46">
        <v>4.5583381427355033E-2</v>
      </c>
      <c r="CA46">
        <v>4.5576827794046308E-2</v>
      </c>
      <c r="CC46">
        <v>0.51995616258071931</v>
      </c>
      <c r="CD46">
        <v>0.51988140722208953</v>
      </c>
      <c r="CF46">
        <v>0.53208172104330353</v>
      </c>
    </row>
    <row r="47" spans="1:84" x14ac:dyDescent="0.3">
      <c r="A47" s="1">
        <v>254</v>
      </c>
      <c r="B47" t="s">
        <v>98</v>
      </c>
      <c r="C47" t="s">
        <v>99</v>
      </c>
      <c r="E47" t="s">
        <v>94</v>
      </c>
      <c r="F47">
        <v>3.3</v>
      </c>
      <c r="G47" t="s">
        <v>100</v>
      </c>
      <c r="H47">
        <v>-1</v>
      </c>
      <c r="I47">
        <v>-1</v>
      </c>
      <c r="J47">
        <v>4</v>
      </c>
      <c r="K47">
        <v>5.4763999999999999</v>
      </c>
      <c r="L47">
        <v>5.1576000000000004</v>
      </c>
      <c r="M47">
        <v>22.404199999999999</v>
      </c>
      <c r="N47" t="s">
        <v>652</v>
      </c>
      <c r="O47">
        <v>11.2021</v>
      </c>
      <c r="Q47" t="s">
        <v>87</v>
      </c>
      <c r="R47">
        <v>1373</v>
      </c>
      <c r="S47">
        <v>24</v>
      </c>
      <c r="T47" t="b">
        <v>0</v>
      </c>
      <c r="U47" t="s">
        <v>125</v>
      </c>
      <c r="V47" t="s">
        <v>126</v>
      </c>
      <c r="W47">
        <v>1</v>
      </c>
      <c r="X47">
        <v>1.2</v>
      </c>
      <c r="Y47">
        <v>1.67</v>
      </c>
      <c r="Z47">
        <v>20</v>
      </c>
      <c r="AC47" t="s">
        <v>165</v>
      </c>
      <c r="AD47">
        <v>1000</v>
      </c>
      <c r="AE47">
        <v>230</v>
      </c>
      <c r="AF47" t="s">
        <v>653</v>
      </c>
      <c r="AH47">
        <v>274</v>
      </c>
      <c r="AL47" t="b">
        <v>1</v>
      </c>
      <c r="AM47" t="b">
        <v>0</v>
      </c>
      <c r="AN47" t="b">
        <v>0</v>
      </c>
      <c r="AO47" t="b">
        <v>0</v>
      </c>
      <c r="AP47" t="s">
        <v>100</v>
      </c>
      <c r="AQ47">
        <v>-1</v>
      </c>
      <c r="AS47">
        <v>5.6131281063880696</v>
      </c>
      <c r="AT47">
        <v>1.7272727272727271</v>
      </c>
      <c r="AU47">
        <v>2.545454545454545</v>
      </c>
      <c r="AV47">
        <v>0.81818181818181823</v>
      </c>
      <c r="AW47">
        <v>0</v>
      </c>
      <c r="AX47">
        <v>0.3392857142857143</v>
      </c>
      <c r="AY47">
        <v>0.5</v>
      </c>
      <c r="AZ47">
        <v>0.1607142857142857</v>
      </c>
      <c r="BA47">
        <v>0</v>
      </c>
      <c r="BB47">
        <v>5.9865536528636358</v>
      </c>
      <c r="BC47">
        <v>14</v>
      </c>
      <c r="BD47">
        <v>349.00875366799971</v>
      </c>
      <c r="BE47">
        <v>2</v>
      </c>
      <c r="BF47">
        <v>8.0227214090553903E-2</v>
      </c>
      <c r="BG47">
        <v>11.92921406</v>
      </c>
      <c r="BH47">
        <v>11.92921406</v>
      </c>
      <c r="BI47">
        <v>11.92921406</v>
      </c>
      <c r="BJ47">
        <v>0</v>
      </c>
      <c r="BK47">
        <v>0</v>
      </c>
      <c r="BM47">
        <v>0</v>
      </c>
      <c r="BP47">
        <v>0</v>
      </c>
      <c r="BQ47">
        <v>0</v>
      </c>
      <c r="BS47">
        <v>0</v>
      </c>
      <c r="BT47">
        <v>0</v>
      </c>
      <c r="BU47">
        <v>0</v>
      </c>
      <c r="BV47">
        <v>632.80843567468798</v>
      </c>
      <c r="BW47">
        <v>8.8494395527919753E-2</v>
      </c>
      <c r="BX47">
        <v>7</v>
      </c>
      <c r="BY47">
        <v>4.4247197763959883E-2</v>
      </c>
      <c r="BZ47">
        <v>4.0113607045276951E-2</v>
      </c>
      <c r="CC47">
        <v>0.50734392504100989</v>
      </c>
      <c r="CF47">
        <v>0.55962424322238391</v>
      </c>
    </row>
    <row r="48" spans="1:84" x14ac:dyDescent="0.3">
      <c r="A48" s="1">
        <v>255</v>
      </c>
      <c r="B48" t="s">
        <v>654</v>
      </c>
      <c r="C48" t="s">
        <v>655</v>
      </c>
      <c r="E48" t="s">
        <v>94</v>
      </c>
      <c r="F48">
        <v>2.98</v>
      </c>
      <c r="G48" t="s">
        <v>656</v>
      </c>
      <c r="H48" t="s">
        <v>657</v>
      </c>
      <c r="I48">
        <v>-1</v>
      </c>
      <c r="J48">
        <v>16</v>
      </c>
      <c r="K48">
        <v>7.7803000000000004</v>
      </c>
      <c r="L48">
        <v>7.7803000000000004</v>
      </c>
      <c r="M48">
        <v>42.569200000000002</v>
      </c>
      <c r="N48" t="s">
        <v>658</v>
      </c>
      <c r="O48">
        <v>10.642300000000001</v>
      </c>
      <c r="Q48" t="s">
        <v>87</v>
      </c>
      <c r="R48">
        <v>1373</v>
      </c>
      <c r="S48">
        <v>24</v>
      </c>
      <c r="T48" t="b">
        <v>0</v>
      </c>
      <c r="U48" t="s">
        <v>125</v>
      </c>
      <c r="V48" t="s">
        <v>126</v>
      </c>
      <c r="W48">
        <v>1</v>
      </c>
      <c r="X48">
        <v>3.8</v>
      </c>
      <c r="Y48">
        <v>1.67</v>
      </c>
      <c r="Z48">
        <v>20</v>
      </c>
      <c r="AC48" t="s">
        <v>165</v>
      </c>
      <c r="AD48">
        <v>1000</v>
      </c>
      <c r="AE48">
        <v>230</v>
      </c>
      <c r="AF48" t="s">
        <v>653</v>
      </c>
      <c r="AH48">
        <v>842</v>
      </c>
      <c r="AL48" t="b">
        <v>1</v>
      </c>
      <c r="AM48" t="b">
        <v>1</v>
      </c>
      <c r="AN48" t="b">
        <v>0</v>
      </c>
      <c r="AO48" t="b">
        <v>0</v>
      </c>
      <c r="AP48" t="s">
        <v>656</v>
      </c>
      <c r="AQ48" t="s">
        <v>657</v>
      </c>
      <c r="AS48">
        <v>6.7357800142423274</v>
      </c>
      <c r="AT48">
        <v>1.7272727272727271</v>
      </c>
      <c r="AU48">
        <v>2.545454545454545</v>
      </c>
      <c r="AV48">
        <v>1.7272727272727271</v>
      </c>
      <c r="AW48">
        <v>0</v>
      </c>
      <c r="AX48">
        <v>0.2878787878787879</v>
      </c>
      <c r="AY48">
        <v>0.42424242424242431</v>
      </c>
      <c r="AZ48">
        <v>0.2878787878787879</v>
      </c>
      <c r="BA48">
        <v>0</v>
      </c>
      <c r="BB48">
        <v>6.1782655933181818</v>
      </c>
      <c r="BC48">
        <v>14</v>
      </c>
      <c r="BD48">
        <v>169.7295487154349</v>
      </c>
      <c r="BE48">
        <v>1</v>
      </c>
      <c r="BF48">
        <v>8.248416440128592E-2</v>
      </c>
      <c r="BG48">
        <v>11.30538971</v>
      </c>
      <c r="BH48">
        <v>11.30538971</v>
      </c>
      <c r="BI48">
        <v>11.30538971</v>
      </c>
      <c r="BJ48">
        <v>329.80681691007999</v>
      </c>
      <c r="BK48">
        <v>2</v>
      </c>
      <c r="BL48">
        <v>8.4898184526107132E-2</v>
      </c>
      <c r="BM48">
        <v>3.8996</v>
      </c>
      <c r="BN48">
        <v>3.8996</v>
      </c>
      <c r="BO48">
        <v>21.687999999999999</v>
      </c>
      <c r="BP48">
        <v>0</v>
      </c>
      <c r="BQ48">
        <v>0</v>
      </c>
      <c r="BS48">
        <v>0</v>
      </c>
      <c r="BT48">
        <v>0</v>
      </c>
      <c r="BU48">
        <v>0</v>
      </c>
      <c r="BV48">
        <v>2576.844282136828</v>
      </c>
      <c r="BW48">
        <v>8.6928031139797746E-2</v>
      </c>
      <c r="BX48">
        <v>7</v>
      </c>
      <c r="BY48">
        <v>4.3464015569898873E-2</v>
      </c>
      <c r="BZ48">
        <v>4.124208220064296E-2</v>
      </c>
      <c r="CA48">
        <v>4.2449092263053573E-2</v>
      </c>
      <c r="CC48">
        <v>0.46170510468104309</v>
      </c>
      <c r="CD48">
        <v>0.4752175821671501</v>
      </c>
      <c r="CF48">
        <v>0.48657964845057688</v>
      </c>
    </row>
    <row r="49" spans="1:84" x14ac:dyDescent="0.3">
      <c r="A49" s="1">
        <v>257</v>
      </c>
      <c r="B49" t="s">
        <v>654</v>
      </c>
      <c r="C49" t="s">
        <v>655</v>
      </c>
      <c r="E49" t="s">
        <v>94</v>
      </c>
      <c r="F49">
        <v>2.98</v>
      </c>
      <c r="G49" t="s">
        <v>656</v>
      </c>
      <c r="H49" t="s">
        <v>657</v>
      </c>
      <c r="I49">
        <v>-1</v>
      </c>
      <c r="J49">
        <v>16</v>
      </c>
      <c r="K49">
        <v>7.7803000000000004</v>
      </c>
      <c r="L49">
        <v>7.7803000000000004</v>
      </c>
      <c r="M49">
        <v>42.569200000000002</v>
      </c>
      <c r="N49" t="s">
        <v>658</v>
      </c>
      <c r="O49">
        <v>10.642300000000001</v>
      </c>
      <c r="Q49" t="s">
        <v>87</v>
      </c>
      <c r="R49">
        <v>1373</v>
      </c>
      <c r="S49">
        <v>24</v>
      </c>
      <c r="T49" t="b">
        <v>0</v>
      </c>
      <c r="U49" t="s">
        <v>125</v>
      </c>
      <c r="V49" t="s">
        <v>126</v>
      </c>
      <c r="W49">
        <v>1</v>
      </c>
      <c r="X49">
        <v>3.8</v>
      </c>
      <c r="Y49">
        <v>1.67</v>
      </c>
      <c r="Z49">
        <v>20</v>
      </c>
      <c r="AC49" t="s">
        <v>165</v>
      </c>
      <c r="AD49">
        <v>1000</v>
      </c>
      <c r="AE49">
        <v>400</v>
      </c>
      <c r="AF49" t="s">
        <v>653</v>
      </c>
      <c r="AH49">
        <v>20</v>
      </c>
      <c r="AL49" t="b">
        <v>1</v>
      </c>
      <c r="AM49" t="b">
        <v>1</v>
      </c>
      <c r="AN49" t="b">
        <v>0</v>
      </c>
      <c r="AO49" t="b">
        <v>0</v>
      </c>
      <c r="AP49" t="s">
        <v>656</v>
      </c>
      <c r="AQ49" t="s">
        <v>657</v>
      </c>
      <c r="AS49">
        <v>2.9957322735539909</v>
      </c>
      <c r="AT49">
        <v>1.7272727272727271</v>
      </c>
      <c r="AU49">
        <v>2.545454545454545</v>
      </c>
      <c r="AV49">
        <v>1.7272727272727271</v>
      </c>
      <c r="AW49">
        <v>0</v>
      </c>
      <c r="AX49">
        <v>0.2878787878787879</v>
      </c>
      <c r="AY49">
        <v>0.42424242424242431</v>
      </c>
      <c r="AZ49">
        <v>0.2878787878787879</v>
      </c>
      <c r="BA49">
        <v>0</v>
      </c>
      <c r="BB49">
        <v>6.1782655933181818</v>
      </c>
      <c r="BC49">
        <v>14</v>
      </c>
      <c r="BD49">
        <v>169.7295487154349</v>
      </c>
      <c r="BE49">
        <v>1</v>
      </c>
      <c r="BF49">
        <v>8.248416440128592E-2</v>
      </c>
      <c r="BG49">
        <v>11.30538971</v>
      </c>
      <c r="BH49">
        <v>11.30538971</v>
      </c>
      <c r="BI49">
        <v>11.30538971</v>
      </c>
      <c r="BJ49">
        <v>329.80681691007999</v>
      </c>
      <c r="BK49">
        <v>2</v>
      </c>
      <c r="BL49">
        <v>8.4898184526107132E-2</v>
      </c>
      <c r="BM49">
        <v>3.8996</v>
      </c>
      <c r="BN49">
        <v>3.8996</v>
      </c>
      <c r="BO49">
        <v>21.687999999999999</v>
      </c>
      <c r="BP49">
        <v>0</v>
      </c>
      <c r="BQ49">
        <v>0</v>
      </c>
      <c r="BS49">
        <v>0</v>
      </c>
      <c r="BT49">
        <v>0</v>
      </c>
      <c r="BU49">
        <v>0</v>
      </c>
      <c r="BV49">
        <v>2576.844282136828</v>
      </c>
      <c r="BW49">
        <v>8.6928031139797746E-2</v>
      </c>
      <c r="BX49">
        <v>7</v>
      </c>
      <c r="BY49">
        <v>4.3464015569898873E-2</v>
      </c>
      <c r="BZ49">
        <v>4.124208220064296E-2</v>
      </c>
      <c r="CA49">
        <v>4.2449092263053573E-2</v>
      </c>
      <c r="CC49">
        <v>0.46170510468104309</v>
      </c>
      <c r="CD49">
        <v>0.4752175821671501</v>
      </c>
      <c r="CF49">
        <v>0.48657964845057688</v>
      </c>
    </row>
    <row r="50" spans="1:84" x14ac:dyDescent="0.3">
      <c r="A50" s="1">
        <v>258</v>
      </c>
      <c r="B50" t="s">
        <v>98</v>
      </c>
      <c r="C50" t="s">
        <v>99</v>
      </c>
      <c r="E50" t="s">
        <v>94</v>
      </c>
      <c r="F50">
        <v>3.3</v>
      </c>
      <c r="G50" t="s">
        <v>100</v>
      </c>
      <c r="H50">
        <v>-1</v>
      </c>
      <c r="I50">
        <v>-1</v>
      </c>
      <c r="J50">
        <v>4</v>
      </c>
      <c r="K50">
        <v>5.5339999999999998</v>
      </c>
      <c r="L50">
        <v>5.5033000000000003</v>
      </c>
      <c r="M50">
        <v>22.083300000000001</v>
      </c>
      <c r="N50" t="s">
        <v>652</v>
      </c>
      <c r="O50">
        <v>11.041650000000001</v>
      </c>
      <c r="Q50" t="s">
        <v>87</v>
      </c>
      <c r="R50">
        <v>1373</v>
      </c>
      <c r="S50">
        <v>50</v>
      </c>
      <c r="T50" t="b">
        <v>0</v>
      </c>
      <c r="U50" t="s">
        <v>125</v>
      </c>
      <c r="V50" t="s">
        <v>126</v>
      </c>
      <c r="W50">
        <v>1</v>
      </c>
      <c r="X50">
        <v>1.5</v>
      </c>
      <c r="Y50">
        <v>1.67</v>
      </c>
      <c r="Z50">
        <v>20</v>
      </c>
      <c r="AC50" t="s">
        <v>165</v>
      </c>
      <c r="AD50">
        <v>1000</v>
      </c>
      <c r="AE50">
        <v>230</v>
      </c>
      <c r="AF50" t="s">
        <v>653</v>
      </c>
      <c r="AH50">
        <v>331</v>
      </c>
      <c r="AL50" t="b">
        <v>1</v>
      </c>
      <c r="AM50" t="b">
        <v>0</v>
      </c>
      <c r="AN50" t="b">
        <v>0</v>
      </c>
      <c r="AO50" t="b">
        <v>0</v>
      </c>
      <c r="AP50" t="s">
        <v>100</v>
      </c>
      <c r="AQ50">
        <v>-1</v>
      </c>
      <c r="AS50">
        <v>5.8021183753770629</v>
      </c>
      <c r="AT50">
        <v>1.7272727272727271</v>
      </c>
      <c r="AU50">
        <v>2.545454545454545</v>
      </c>
      <c r="AV50">
        <v>0.81818181818181823</v>
      </c>
      <c r="AW50">
        <v>0</v>
      </c>
      <c r="AX50">
        <v>0.3392857142857143</v>
      </c>
      <c r="AY50">
        <v>0.5</v>
      </c>
      <c r="AZ50">
        <v>0.1607142857142857</v>
      </c>
      <c r="BA50">
        <v>0</v>
      </c>
      <c r="BB50">
        <v>5.9865536528636358</v>
      </c>
      <c r="BC50">
        <v>14</v>
      </c>
      <c r="BD50">
        <v>349.00875366799971</v>
      </c>
      <c r="BE50">
        <v>2</v>
      </c>
      <c r="BF50">
        <v>8.0227214090553903E-2</v>
      </c>
      <c r="BG50">
        <v>11.92921406</v>
      </c>
      <c r="BH50">
        <v>11.92921406</v>
      </c>
      <c r="BI50">
        <v>11.92921406</v>
      </c>
      <c r="BJ50">
        <v>0</v>
      </c>
      <c r="BK50">
        <v>0</v>
      </c>
      <c r="BM50">
        <v>0</v>
      </c>
      <c r="BP50">
        <v>0</v>
      </c>
      <c r="BQ50">
        <v>0</v>
      </c>
      <c r="BS50">
        <v>0</v>
      </c>
      <c r="BT50">
        <v>0</v>
      </c>
      <c r="BU50">
        <v>0</v>
      </c>
      <c r="BV50">
        <v>672.55269174125999</v>
      </c>
      <c r="BW50">
        <v>8.3264851494407446E-2</v>
      </c>
      <c r="BX50">
        <v>7</v>
      </c>
      <c r="BY50">
        <v>4.1632425747203723E-2</v>
      </c>
      <c r="BZ50">
        <v>4.0113607045276951E-2</v>
      </c>
      <c r="CC50">
        <v>0.50734392504100989</v>
      </c>
      <c r="CF50">
        <v>0.52655345264074604</v>
      </c>
    </row>
    <row r="51" spans="1:84" x14ac:dyDescent="0.3">
      <c r="A51" s="1">
        <v>259</v>
      </c>
      <c r="B51" t="s">
        <v>654</v>
      </c>
      <c r="C51" t="s">
        <v>655</v>
      </c>
      <c r="E51" t="s">
        <v>94</v>
      </c>
      <c r="F51">
        <v>3.15</v>
      </c>
      <c r="G51" t="s">
        <v>656</v>
      </c>
      <c r="H51" t="s">
        <v>657</v>
      </c>
      <c r="I51">
        <v>-1</v>
      </c>
      <c r="J51">
        <v>2</v>
      </c>
      <c r="K51">
        <v>3.9045000000000001</v>
      </c>
      <c r="L51">
        <v>3.9045000000000001</v>
      </c>
      <c r="M51">
        <v>21.652100000000001</v>
      </c>
      <c r="N51" t="s">
        <v>658</v>
      </c>
      <c r="O51">
        <v>10.82605</v>
      </c>
      <c r="Q51" t="s">
        <v>87</v>
      </c>
      <c r="R51">
        <v>1373</v>
      </c>
      <c r="S51">
        <v>50</v>
      </c>
      <c r="T51" t="b">
        <v>0</v>
      </c>
      <c r="U51" t="s">
        <v>125</v>
      </c>
      <c r="V51" t="s">
        <v>126</v>
      </c>
      <c r="W51">
        <v>1</v>
      </c>
      <c r="X51">
        <v>4.2</v>
      </c>
      <c r="Y51">
        <v>1.67</v>
      </c>
      <c r="Z51">
        <v>20</v>
      </c>
      <c r="AC51" t="s">
        <v>165</v>
      </c>
      <c r="AD51">
        <v>1000</v>
      </c>
      <c r="AE51">
        <v>230</v>
      </c>
      <c r="AF51" t="s">
        <v>653</v>
      </c>
      <c r="AH51">
        <v>1445</v>
      </c>
      <c r="AL51" t="b">
        <v>1</v>
      </c>
      <c r="AM51" t="b">
        <v>1</v>
      </c>
      <c r="AN51" t="b">
        <v>0</v>
      </c>
      <c r="AO51" t="b">
        <v>0</v>
      </c>
      <c r="AP51" t="s">
        <v>656</v>
      </c>
      <c r="AQ51" t="s">
        <v>657</v>
      </c>
      <c r="AS51">
        <v>7.2758646005465328</v>
      </c>
      <c r="AT51">
        <v>1.7272727272727271</v>
      </c>
      <c r="AU51">
        <v>2.545454545454545</v>
      </c>
      <c r="AV51">
        <v>1.7272727272727271</v>
      </c>
      <c r="AW51">
        <v>0</v>
      </c>
      <c r="AX51">
        <v>0.2878787878787879</v>
      </c>
      <c r="AY51">
        <v>0.42424242424242431</v>
      </c>
      <c r="AZ51">
        <v>0.2878787878787879</v>
      </c>
      <c r="BA51">
        <v>0</v>
      </c>
      <c r="BB51">
        <v>6.1782655933181818</v>
      </c>
      <c r="BC51">
        <v>14</v>
      </c>
      <c r="BD51">
        <v>169.7295487154349</v>
      </c>
      <c r="BE51">
        <v>1</v>
      </c>
      <c r="BF51">
        <v>8.248416440128592E-2</v>
      </c>
      <c r="BG51">
        <v>11.30538971</v>
      </c>
      <c r="BH51">
        <v>11.30538971</v>
      </c>
      <c r="BI51">
        <v>11.30538971</v>
      </c>
      <c r="BJ51">
        <v>329.80681691007999</v>
      </c>
      <c r="BK51">
        <v>2</v>
      </c>
      <c r="BL51">
        <v>8.4898184526107132E-2</v>
      </c>
      <c r="BM51">
        <v>3.8996</v>
      </c>
      <c r="BN51">
        <v>3.8996</v>
      </c>
      <c r="BO51">
        <v>21.687999999999999</v>
      </c>
      <c r="BP51">
        <v>0</v>
      </c>
      <c r="BQ51">
        <v>0</v>
      </c>
      <c r="BS51">
        <v>0</v>
      </c>
      <c r="BT51">
        <v>0</v>
      </c>
      <c r="BU51">
        <v>0</v>
      </c>
      <c r="BV51">
        <v>330.08886816502502</v>
      </c>
      <c r="BW51">
        <v>8.482564151785224E-2</v>
      </c>
      <c r="BX51">
        <v>7</v>
      </c>
      <c r="BY51">
        <v>4.241282075892612E-2</v>
      </c>
      <c r="BZ51">
        <v>4.124208220064296E-2</v>
      </c>
      <c r="CA51">
        <v>4.2449092263053573E-2</v>
      </c>
      <c r="CC51">
        <v>0.46170510468104309</v>
      </c>
      <c r="CD51">
        <v>0.4752175821671501</v>
      </c>
      <c r="CF51">
        <v>0.47481152268332899</v>
      </c>
    </row>
    <row r="52" spans="1:84" x14ac:dyDescent="0.3">
      <c r="A52" s="1">
        <v>260</v>
      </c>
      <c r="B52" t="s">
        <v>111</v>
      </c>
      <c r="C52" t="s">
        <v>112</v>
      </c>
      <c r="E52" t="s">
        <v>106</v>
      </c>
      <c r="F52">
        <v>3.5</v>
      </c>
      <c r="G52" t="s">
        <v>113</v>
      </c>
      <c r="H52" t="s">
        <v>114</v>
      </c>
      <c r="I52">
        <v>-1</v>
      </c>
      <c r="J52">
        <v>1</v>
      </c>
      <c r="K52">
        <v>3.8650000000000002</v>
      </c>
      <c r="L52">
        <v>3.8650000000000002</v>
      </c>
      <c r="M52">
        <v>14.974299999999999</v>
      </c>
      <c r="N52" t="s">
        <v>101</v>
      </c>
      <c r="O52">
        <v>14.974299999999999</v>
      </c>
      <c r="Q52" t="s">
        <v>87</v>
      </c>
      <c r="R52">
        <v>1373</v>
      </c>
      <c r="S52">
        <v>50</v>
      </c>
      <c r="T52" t="b">
        <v>0</v>
      </c>
      <c r="U52" t="s">
        <v>125</v>
      </c>
      <c r="V52" t="s">
        <v>126</v>
      </c>
      <c r="W52">
        <v>1</v>
      </c>
      <c r="X52">
        <v>1.9</v>
      </c>
      <c r="Y52">
        <v>1.67</v>
      </c>
      <c r="Z52">
        <v>20</v>
      </c>
      <c r="AC52" t="s">
        <v>165</v>
      </c>
      <c r="AD52">
        <v>1000</v>
      </c>
      <c r="AE52">
        <v>230</v>
      </c>
      <c r="AF52" t="s">
        <v>653</v>
      </c>
      <c r="AH52">
        <v>1418</v>
      </c>
      <c r="AL52" t="b">
        <v>1</v>
      </c>
      <c r="AM52" t="b">
        <v>1</v>
      </c>
      <c r="AN52" t="b">
        <v>0</v>
      </c>
      <c r="AO52" t="b">
        <v>0</v>
      </c>
      <c r="AP52" t="s">
        <v>113</v>
      </c>
      <c r="AQ52" t="s">
        <v>114</v>
      </c>
      <c r="AS52">
        <v>7.2570027070920728</v>
      </c>
      <c r="AT52">
        <v>1.75</v>
      </c>
      <c r="AU52">
        <v>2.5</v>
      </c>
      <c r="AV52">
        <v>0.75</v>
      </c>
      <c r="AW52">
        <v>0</v>
      </c>
      <c r="AX52">
        <v>0.35</v>
      </c>
      <c r="AY52">
        <v>0.5</v>
      </c>
      <c r="AZ52">
        <v>0.15</v>
      </c>
      <c r="BA52">
        <v>0</v>
      </c>
      <c r="BB52">
        <v>5.9612158762499998</v>
      </c>
      <c r="BC52">
        <v>20</v>
      </c>
      <c r="BD52">
        <v>240.40623599981481</v>
      </c>
      <c r="BE52">
        <v>1</v>
      </c>
      <c r="BF52">
        <v>8.3192517518619641E-2</v>
      </c>
      <c r="BG52">
        <v>3.9661010000000001</v>
      </c>
      <c r="BH52">
        <v>3.9661010000000001</v>
      </c>
      <c r="BI52">
        <v>15.283337</v>
      </c>
      <c r="BJ52">
        <v>222.00958249733301</v>
      </c>
      <c r="BK52">
        <v>1</v>
      </c>
      <c r="BL52">
        <v>9.0086201573034624E-2</v>
      </c>
      <c r="BM52">
        <v>3.8586499999999999</v>
      </c>
      <c r="BN52">
        <v>3.8586499999999999</v>
      </c>
      <c r="BO52">
        <v>14.9108</v>
      </c>
      <c r="BP52">
        <v>0</v>
      </c>
      <c r="BQ52">
        <v>0</v>
      </c>
      <c r="BS52">
        <v>0</v>
      </c>
      <c r="BT52">
        <v>0</v>
      </c>
      <c r="BU52">
        <v>0</v>
      </c>
      <c r="BV52">
        <v>223.6894626175</v>
      </c>
      <c r="BW52">
        <v>8.9409665372566949E-2</v>
      </c>
      <c r="BX52">
        <v>10</v>
      </c>
      <c r="BY52">
        <v>4.4704832686283467E-2</v>
      </c>
      <c r="BZ52">
        <v>4.159625875930982E-2</v>
      </c>
      <c r="CA52">
        <v>4.5043100786517312E-2</v>
      </c>
      <c r="CC52">
        <v>0.50467688585120685</v>
      </c>
      <c r="CD52">
        <v>0.54649654829675809</v>
      </c>
      <c r="CF52">
        <v>0.54239242700073875</v>
      </c>
    </row>
    <row r="53" spans="1:84" x14ac:dyDescent="0.3">
      <c r="A53" s="1">
        <v>261</v>
      </c>
      <c r="B53" t="s">
        <v>659</v>
      </c>
      <c r="C53" t="s">
        <v>660</v>
      </c>
      <c r="E53" t="s">
        <v>106</v>
      </c>
      <c r="F53">
        <v>3.14</v>
      </c>
      <c r="G53" t="s">
        <v>113</v>
      </c>
      <c r="H53" t="s">
        <v>114</v>
      </c>
      <c r="I53">
        <v>-1</v>
      </c>
      <c r="Q53" t="s">
        <v>87</v>
      </c>
      <c r="R53">
        <v>1373</v>
      </c>
      <c r="S53">
        <v>50</v>
      </c>
      <c r="T53" t="b">
        <v>0</v>
      </c>
      <c r="U53" t="s">
        <v>125</v>
      </c>
      <c r="V53" t="s">
        <v>126</v>
      </c>
      <c r="W53">
        <v>1</v>
      </c>
      <c r="X53">
        <v>2.1</v>
      </c>
      <c r="Y53">
        <v>1.67</v>
      </c>
      <c r="Z53">
        <v>20</v>
      </c>
      <c r="AC53" t="s">
        <v>165</v>
      </c>
      <c r="AD53">
        <v>1000</v>
      </c>
      <c r="AE53">
        <v>230</v>
      </c>
      <c r="AF53" t="s">
        <v>653</v>
      </c>
      <c r="AH53">
        <v>13616</v>
      </c>
      <c r="AI53" t="s">
        <v>661</v>
      </c>
      <c r="AJ53" t="s">
        <v>661</v>
      </c>
      <c r="AL53" t="b">
        <v>1</v>
      </c>
      <c r="AM53" t="b">
        <v>1</v>
      </c>
      <c r="AN53" t="b">
        <v>0</v>
      </c>
      <c r="AO53" t="b">
        <v>0</v>
      </c>
      <c r="AP53" t="s">
        <v>662</v>
      </c>
      <c r="AQ53" t="s">
        <v>663</v>
      </c>
      <c r="AS53">
        <v>9.5190008508131552</v>
      </c>
      <c r="AT53">
        <v>1.75</v>
      </c>
      <c r="AU53">
        <v>2.5</v>
      </c>
      <c r="AV53">
        <v>1.375</v>
      </c>
      <c r="AW53">
        <v>0</v>
      </c>
      <c r="AX53">
        <v>0.31111111111111112</v>
      </c>
      <c r="AY53">
        <v>0.44444444444444442</v>
      </c>
      <c r="AZ53">
        <v>0.24444444444444441</v>
      </c>
      <c r="BA53">
        <v>0</v>
      </c>
      <c r="BB53">
        <v>6.0930178353124997</v>
      </c>
      <c r="BC53">
        <v>20</v>
      </c>
      <c r="BD53">
        <v>240.40623599981481</v>
      </c>
      <c r="BE53">
        <v>1</v>
      </c>
      <c r="BF53">
        <v>8.3192517518619641E-2</v>
      </c>
      <c r="BG53">
        <v>3.9661010000000001</v>
      </c>
      <c r="BH53">
        <v>3.9661010000000001</v>
      </c>
      <c r="BI53">
        <v>15.283337</v>
      </c>
      <c r="BJ53">
        <v>222.00958249733301</v>
      </c>
      <c r="BK53">
        <v>1</v>
      </c>
      <c r="BL53">
        <v>9.0086201573034624E-2</v>
      </c>
      <c r="BM53">
        <v>3.8586499999999999</v>
      </c>
      <c r="BN53">
        <v>3.8586499999999999</v>
      </c>
      <c r="BO53">
        <v>14.9108</v>
      </c>
      <c r="BP53">
        <v>0</v>
      </c>
      <c r="BQ53">
        <v>0</v>
      </c>
      <c r="BS53">
        <v>0</v>
      </c>
      <c r="BT53">
        <v>0</v>
      </c>
      <c r="BU53">
        <v>0</v>
      </c>
      <c r="BX53">
        <v>10</v>
      </c>
      <c r="BZ53">
        <v>4.159625875930982E-2</v>
      </c>
      <c r="CA53">
        <v>4.5043100786517312E-2</v>
      </c>
      <c r="CC53">
        <v>0.46237874670194329</v>
      </c>
      <c r="CD53">
        <v>0.50069340634096882</v>
      </c>
    </row>
    <row r="54" spans="1:84" x14ac:dyDescent="0.3">
      <c r="A54" s="1">
        <v>262</v>
      </c>
      <c r="B54" t="s">
        <v>664</v>
      </c>
      <c r="C54" t="s">
        <v>665</v>
      </c>
      <c r="E54" t="s">
        <v>106</v>
      </c>
      <c r="F54">
        <v>3.1</v>
      </c>
      <c r="G54" t="s">
        <v>666</v>
      </c>
      <c r="H54" t="s">
        <v>667</v>
      </c>
      <c r="I54">
        <v>-1</v>
      </c>
      <c r="J54">
        <v>1</v>
      </c>
      <c r="K54">
        <v>3.9007999999999998</v>
      </c>
      <c r="L54">
        <v>3.9007999999999998</v>
      </c>
      <c r="M54">
        <v>15.317</v>
      </c>
      <c r="N54" t="s">
        <v>101</v>
      </c>
      <c r="O54">
        <v>15.317</v>
      </c>
      <c r="Q54" t="s">
        <v>87</v>
      </c>
      <c r="R54">
        <v>1373</v>
      </c>
      <c r="S54">
        <v>50</v>
      </c>
      <c r="T54" t="b">
        <v>0</v>
      </c>
      <c r="U54" t="s">
        <v>125</v>
      </c>
      <c r="V54" t="s">
        <v>126</v>
      </c>
      <c r="W54">
        <v>1</v>
      </c>
      <c r="X54">
        <v>2.7</v>
      </c>
      <c r="Y54">
        <v>1.67</v>
      </c>
      <c r="Z54">
        <v>20</v>
      </c>
      <c r="AC54" t="s">
        <v>165</v>
      </c>
      <c r="AD54">
        <v>1000</v>
      </c>
      <c r="AE54">
        <v>230</v>
      </c>
      <c r="AF54" t="s">
        <v>653</v>
      </c>
      <c r="AH54">
        <v>1929</v>
      </c>
      <c r="AL54" t="b">
        <v>1</v>
      </c>
      <c r="AM54" t="b">
        <v>1</v>
      </c>
      <c r="AN54" t="b">
        <v>0</v>
      </c>
      <c r="AO54" t="b">
        <v>0</v>
      </c>
      <c r="AP54" t="s">
        <v>666</v>
      </c>
      <c r="AQ54" t="s">
        <v>667</v>
      </c>
      <c r="AS54">
        <v>7.5647570129057291</v>
      </c>
      <c r="AT54">
        <v>1.75</v>
      </c>
      <c r="AU54">
        <v>2.5</v>
      </c>
      <c r="AV54">
        <v>0.75</v>
      </c>
      <c r="AW54">
        <v>0</v>
      </c>
      <c r="AX54">
        <v>0.35</v>
      </c>
      <c r="AY54">
        <v>0.5</v>
      </c>
      <c r="AZ54">
        <v>0.15</v>
      </c>
      <c r="BA54">
        <v>0</v>
      </c>
      <c r="BB54">
        <v>5.9367925625</v>
      </c>
      <c r="BC54">
        <v>20</v>
      </c>
      <c r="BD54">
        <v>245.33049696160739</v>
      </c>
      <c r="BE54">
        <v>1</v>
      </c>
      <c r="BF54">
        <v>8.1522681638434333E-2</v>
      </c>
      <c r="BG54">
        <v>3.9860820000000001</v>
      </c>
      <c r="BH54">
        <v>3.9860820000000001</v>
      </c>
      <c r="BI54">
        <v>15.440419</v>
      </c>
      <c r="BJ54">
        <v>231.60535161856001</v>
      </c>
      <c r="BK54">
        <v>1</v>
      </c>
      <c r="BL54">
        <v>8.6353790446685313E-2</v>
      </c>
      <c r="BM54">
        <v>3.8944000000000001</v>
      </c>
      <c r="BN54">
        <v>3.8944000000000001</v>
      </c>
      <c r="BO54">
        <v>15.271000000000001</v>
      </c>
      <c r="BP54">
        <v>0</v>
      </c>
      <c r="BQ54">
        <v>0</v>
      </c>
      <c r="BS54">
        <v>0</v>
      </c>
      <c r="BT54">
        <v>0</v>
      </c>
      <c r="BU54">
        <v>0</v>
      </c>
      <c r="BV54">
        <v>233.06715788288</v>
      </c>
      <c r="BW54">
        <v>8.5812176119856073E-2</v>
      </c>
      <c r="BX54">
        <v>10</v>
      </c>
      <c r="BY54">
        <v>4.2906088059928037E-2</v>
      </c>
      <c r="BZ54">
        <v>4.0761340819217173E-2</v>
      </c>
      <c r="CA54">
        <v>4.3176895223342657E-2</v>
      </c>
      <c r="CC54">
        <v>0.5224946958501494</v>
      </c>
      <c r="CD54">
        <v>0.55345821025686892</v>
      </c>
      <c r="CF54">
        <v>0.54998689887116359</v>
      </c>
    </row>
    <row r="55" spans="1:84" x14ac:dyDescent="0.3">
      <c r="A55" s="1">
        <v>263</v>
      </c>
      <c r="B55" t="s">
        <v>668</v>
      </c>
      <c r="C55" t="s">
        <v>669</v>
      </c>
      <c r="E55" t="s">
        <v>106</v>
      </c>
      <c r="F55">
        <v>3.22</v>
      </c>
      <c r="G55" t="s">
        <v>113</v>
      </c>
      <c r="H55" t="s">
        <v>114</v>
      </c>
      <c r="I55">
        <v>-1</v>
      </c>
      <c r="Q55" t="s">
        <v>87</v>
      </c>
      <c r="R55">
        <v>1373</v>
      </c>
      <c r="S55">
        <v>50</v>
      </c>
      <c r="T55" t="b">
        <v>0</v>
      </c>
      <c r="U55" t="s">
        <v>125</v>
      </c>
      <c r="V55" t="s">
        <v>126</v>
      </c>
      <c r="W55">
        <v>1</v>
      </c>
      <c r="X55">
        <v>3</v>
      </c>
      <c r="Y55">
        <v>1.67</v>
      </c>
      <c r="Z55">
        <v>20</v>
      </c>
      <c r="AC55" t="s">
        <v>165</v>
      </c>
      <c r="AD55">
        <v>1000</v>
      </c>
      <c r="AE55">
        <v>230</v>
      </c>
      <c r="AF55" t="s">
        <v>653</v>
      </c>
      <c r="AH55">
        <v>3265</v>
      </c>
      <c r="AI55" t="s">
        <v>670</v>
      </c>
      <c r="AJ55" t="s">
        <v>670</v>
      </c>
      <c r="AL55" t="b">
        <v>1</v>
      </c>
      <c r="AM55" t="b">
        <v>1</v>
      </c>
      <c r="AN55" t="b">
        <v>0</v>
      </c>
      <c r="AO55" t="b">
        <v>0</v>
      </c>
      <c r="AP55" t="s">
        <v>671</v>
      </c>
      <c r="AQ55" t="s">
        <v>672</v>
      </c>
      <c r="AS55">
        <v>8.0910150417105307</v>
      </c>
      <c r="AT55">
        <v>1.75</v>
      </c>
      <c r="AU55">
        <v>2.5</v>
      </c>
      <c r="AV55">
        <v>1.375</v>
      </c>
      <c r="AW55">
        <v>0</v>
      </c>
      <c r="AX55">
        <v>0.31111111111111112</v>
      </c>
      <c r="AY55">
        <v>0.44444444444444442</v>
      </c>
      <c r="AZ55">
        <v>0.24444444444444441</v>
      </c>
      <c r="BA55">
        <v>0</v>
      </c>
      <c r="BB55">
        <v>6.0685945215624999</v>
      </c>
      <c r="BC55">
        <v>20</v>
      </c>
      <c r="BD55">
        <v>240.40623599981481</v>
      </c>
      <c r="BE55">
        <v>1</v>
      </c>
      <c r="BF55">
        <v>8.3192517518619641E-2</v>
      </c>
      <c r="BG55">
        <v>3.9661010000000001</v>
      </c>
      <c r="BH55">
        <v>3.9661010000000001</v>
      </c>
      <c r="BI55">
        <v>15.283337</v>
      </c>
      <c r="BJ55">
        <v>222.00958249733301</v>
      </c>
      <c r="BK55">
        <v>1</v>
      </c>
      <c r="BL55">
        <v>9.0086201573034624E-2</v>
      </c>
      <c r="BM55">
        <v>3.8586499999999999</v>
      </c>
      <c r="BN55">
        <v>3.8586499999999999</v>
      </c>
      <c r="BO55">
        <v>14.9108</v>
      </c>
      <c r="BP55">
        <v>0</v>
      </c>
      <c r="BQ55">
        <v>0</v>
      </c>
      <c r="BS55">
        <v>0</v>
      </c>
      <c r="BT55">
        <v>0</v>
      </c>
      <c r="BU55">
        <v>0</v>
      </c>
      <c r="BX55">
        <v>10</v>
      </c>
      <c r="BZ55">
        <v>4.159625875930982E-2</v>
      </c>
      <c r="CA55">
        <v>4.5043100786517312E-2</v>
      </c>
      <c r="CC55">
        <v>0.49089885908841852</v>
      </c>
      <c r="CD55">
        <v>0.53157681593076234</v>
      </c>
    </row>
    <row r="56" spans="1:84" x14ac:dyDescent="0.3">
      <c r="A56" s="1">
        <v>264</v>
      </c>
      <c r="B56" t="s">
        <v>673</v>
      </c>
      <c r="C56" t="s">
        <v>674</v>
      </c>
      <c r="E56" t="s">
        <v>404</v>
      </c>
      <c r="F56">
        <v>3.6</v>
      </c>
      <c r="G56" t="s">
        <v>675</v>
      </c>
      <c r="H56" t="s">
        <v>676</v>
      </c>
      <c r="I56">
        <v>-1</v>
      </c>
      <c r="J56">
        <v>2</v>
      </c>
      <c r="K56">
        <v>3.9287999999999998</v>
      </c>
      <c r="L56">
        <v>3.9287999999999998</v>
      </c>
      <c r="M56">
        <v>30.2698</v>
      </c>
      <c r="N56" t="s">
        <v>101</v>
      </c>
      <c r="O56">
        <v>15.1349</v>
      </c>
      <c r="Q56" t="s">
        <v>87</v>
      </c>
      <c r="R56">
        <v>1373</v>
      </c>
      <c r="S56">
        <v>50</v>
      </c>
      <c r="T56" t="b">
        <v>0</v>
      </c>
      <c r="U56" t="s">
        <v>125</v>
      </c>
      <c r="V56" t="s">
        <v>126</v>
      </c>
      <c r="W56">
        <v>1</v>
      </c>
      <c r="X56">
        <v>2.2999999999999998</v>
      </c>
      <c r="Y56">
        <v>1.67</v>
      </c>
      <c r="Z56">
        <v>20</v>
      </c>
      <c r="AC56" t="s">
        <v>165</v>
      </c>
      <c r="AD56">
        <v>1000</v>
      </c>
      <c r="AE56">
        <v>230</v>
      </c>
      <c r="AF56" t="s">
        <v>653</v>
      </c>
      <c r="AH56">
        <v>3618</v>
      </c>
      <c r="AI56" t="s">
        <v>677</v>
      </c>
      <c r="AJ56" t="s">
        <v>677</v>
      </c>
      <c r="AL56" t="b">
        <v>1</v>
      </c>
      <c r="AM56" t="b">
        <v>1</v>
      </c>
      <c r="AN56" t="b">
        <v>0</v>
      </c>
      <c r="AO56" t="b">
        <v>0</v>
      </c>
      <c r="AP56" t="s">
        <v>678</v>
      </c>
      <c r="AQ56" t="s">
        <v>679</v>
      </c>
      <c r="AS56">
        <v>8.1936766659552411</v>
      </c>
      <c r="AT56">
        <v>1.882352941176471</v>
      </c>
      <c r="AU56">
        <v>2.3529411764705879</v>
      </c>
      <c r="AV56">
        <v>0.47058823529411759</v>
      </c>
      <c r="AW56">
        <v>0</v>
      </c>
      <c r="AX56">
        <v>0.4</v>
      </c>
      <c r="AY56">
        <v>0.5</v>
      </c>
      <c r="AZ56">
        <v>9.9999999999999992E-2</v>
      </c>
      <c r="BA56">
        <v>0</v>
      </c>
      <c r="BB56">
        <v>5.6793428179411762</v>
      </c>
      <c r="BC56">
        <v>20</v>
      </c>
      <c r="BD56">
        <v>218.43262216091571</v>
      </c>
      <c r="BE56">
        <v>1</v>
      </c>
      <c r="BF56">
        <v>9.1561415150097566E-2</v>
      </c>
      <c r="BG56">
        <v>14.88329339</v>
      </c>
      <c r="BH56">
        <v>14.88329339</v>
      </c>
      <c r="BI56">
        <v>14.88329339</v>
      </c>
      <c r="BJ56">
        <v>422.61306904883998</v>
      </c>
      <c r="BK56">
        <v>2</v>
      </c>
      <c r="BL56">
        <v>9.4649226276950119E-2</v>
      </c>
      <c r="BM56">
        <v>3.8250999999999999</v>
      </c>
      <c r="BN56">
        <v>3.8250999999999999</v>
      </c>
      <c r="BO56">
        <v>28.884</v>
      </c>
      <c r="BP56">
        <v>0</v>
      </c>
      <c r="BQ56">
        <v>0</v>
      </c>
      <c r="BS56">
        <v>0</v>
      </c>
      <c r="BT56">
        <v>0</v>
      </c>
      <c r="BU56">
        <v>0</v>
      </c>
      <c r="BV56">
        <v>467.22857285491187</v>
      </c>
      <c r="BW56">
        <v>8.5611202576048706E-2</v>
      </c>
      <c r="BX56">
        <v>10</v>
      </c>
      <c r="BY56">
        <v>4.2805601288024353E-2</v>
      </c>
      <c r="BZ56">
        <v>4.5780707575048783E-2</v>
      </c>
      <c r="CA56">
        <v>4.7324613138475059E-2</v>
      </c>
      <c r="CC56">
        <v>0.64457299028572113</v>
      </c>
      <c r="CD56">
        <v>0.66631052730620211</v>
      </c>
      <c r="CF56">
        <v>0.60268475269783495</v>
      </c>
    </row>
    <row r="57" spans="1:84" x14ac:dyDescent="0.3">
      <c r="A57" s="1">
        <v>265</v>
      </c>
      <c r="B57" t="s">
        <v>680</v>
      </c>
      <c r="C57" t="s">
        <v>681</v>
      </c>
      <c r="E57" t="s">
        <v>404</v>
      </c>
      <c r="F57">
        <v>3.42</v>
      </c>
      <c r="G57" t="s">
        <v>675</v>
      </c>
      <c r="H57" t="s">
        <v>676</v>
      </c>
      <c r="I57">
        <v>-1</v>
      </c>
      <c r="J57">
        <v>2</v>
      </c>
      <c r="K57">
        <v>3.8313999999999999</v>
      </c>
      <c r="L57">
        <v>3.8313999999999999</v>
      </c>
      <c r="M57">
        <v>28.871400000000001</v>
      </c>
      <c r="N57" t="s">
        <v>206</v>
      </c>
      <c r="O57">
        <v>14.435700000000001</v>
      </c>
      <c r="Q57" t="s">
        <v>87</v>
      </c>
      <c r="R57">
        <v>1373</v>
      </c>
      <c r="S57">
        <v>50</v>
      </c>
      <c r="T57" t="b">
        <v>0</v>
      </c>
      <c r="U57" t="s">
        <v>125</v>
      </c>
      <c r="V57" t="s">
        <v>126</v>
      </c>
      <c r="W57">
        <v>1</v>
      </c>
      <c r="X57">
        <v>3.1</v>
      </c>
      <c r="Y57">
        <v>1.67</v>
      </c>
      <c r="Z57">
        <v>20</v>
      </c>
      <c r="AC57" t="s">
        <v>165</v>
      </c>
      <c r="AD57">
        <v>1000</v>
      </c>
      <c r="AE57">
        <v>230</v>
      </c>
      <c r="AF57" t="s">
        <v>653</v>
      </c>
      <c r="AH57">
        <v>763</v>
      </c>
      <c r="AL57" t="b">
        <v>1</v>
      </c>
      <c r="AM57" t="b">
        <v>1</v>
      </c>
      <c r="AN57" t="b">
        <v>0</v>
      </c>
      <c r="AO57" t="b">
        <v>0</v>
      </c>
      <c r="AP57" t="s">
        <v>675</v>
      </c>
      <c r="AQ57" t="s">
        <v>676</v>
      </c>
      <c r="AS57">
        <v>6.6372580312844569</v>
      </c>
      <c r="AT57">
        <v>1.882352941176471</v>
      </c>
      <c r="AU57">
        <v>2.3529411764705879</v>
      </c>
      <c r="AV57">
        <v>1.6470588235294119</v>
      </c>
      <c r="AW57">
        <v>0</v>
      </c>
      <c r="AX57">
        <v>0.32</v>
      </c>
      <c r="AY57">
        <v>0.4</v>
      </c>
      <c r="AZ57">
        <v>0.28000000000000003</v>
      </c>
      <c r="BA57">
        <v>0</v>
      </c>
      <c r="BB57">
        <v>5.9274406232352943</v>
      </c>
      <c r="BC57">
        <v>20</v>
      </c>
      <c r="BD57">
        <v>218.43262216091571</v>
      </c>
      <c r="BE57">
        <v>1</v>
      </c>
      <c r="BF57">
        <v>9.1561415150097566E-2</v>
      </c>
      <c r="BG57">
        <v>14.88329339</v>
      </c>
      <c r="BH57">
        <v>14.88329339</v>
      </c>
      <c r="BI57">
        <v>14.88329339</v>
      </c>
      <c r="BJ57">
        <v>422.61306904883998</v>
      </c>
      <c r="BK57">
        <v>2</v>
      </c>
      <c r="BL57">
        <v>9.4649226276950119E-2</v>
      </c>
      <c r="BM57">
        <v>3.8250999999999999</v>
      </c>
      <c r="BN57">
        <v>3.8250999999999999</v>
      </c>
      <c r="BO57">
        <v>28.884</v>
      </c>
      <c r="BP57">
        <v>0</v>
      </c>
      <c r="BQ57">
        <v>0</v>
      </c>
      <c r="BS57">
        <v>0</v>
      </c>
      <c r="BT57">
        <v>0</v>
      </c>
      <c r="BU57">
        <v>0</v>
      </c>
      <c r="BV57">
        <v>423.82135294154398</v>
      </c>
      <c r="BW57">
        <v>9.4379388207741013E-2</v>
      </c>
      <c r="BX57">
        <v>10</v>
      </c>
      <c r="BY57">
        <v>4.7189694103870507E-2</v>
      </c>
      <c r="BZ57">
        <v>4.5780707575048783E-2</v>
      </c>
      <c r="CA57">
        <v>4.7324613138475059E-2</v>
      </c>
      <c r="CC57">
        <v>0.55146660057091246</v>
      </c>
      <c r="CD57">
        <v>0.57006422384419808</v>
      </c>
      <c r="CF57">
        <v>0.56843901214899417</v>
      </c>
    </row>
    <row r="58" spans="1:84" x14ac:dyDescent="0.3">
      <c r="A58" s="1">
        <v>277</v>
      </c>
      <c r="B58" t="s">
        <v>686</v>
      </c>
      <c r="C58" t="s">
        <v>687</v>
      </c>
      <c r="E58" t="s">
        <v>94</v>
      </c>
      <c r="F58">
        <v>4.3</v>
      </c>
      <c r="G58" t="s">
        <v>688</v>
      </c>
      <c r="H58" t="s">
        <v>689</v>
      </c>
      <c r="I58">
        <v>-1</v>
      </c>
      <c r="Q58" t="s">
        <v>87</v>
      </c>
      <c r="R58">
        <v>1173</v>
      </c>
      <c r="S58">
        <v>6</v>
      </c>
      <c r="T58" t="b">
        <v>0</v>
      </c>
      <c r="U58" t="s">
        <v>172</v>
      </c>
      <c r="V58" t="s">
        <v>173</v>
      </c>
      <c r="W58">
        <v>1</v>
      </c>
      <c r="X58">
        <v>4.2</v>
      </c>
      <c r="Y58">
        <v>2.86</v>
      </c>
      <c r="Z58">
        <v>0</v>
      </c>
      <c r="AC58" t="s">
        <v>90</v>
      </c>
      <c r="AD58">
        <v>450</v>
      </c>
      <c r="AF58" t="s">
        <v>91</v>
      </c>
      <c r="AH58">
        <v>101</v>
      </c>
      <c r="AL58" t="b">
        <v>1</v>
      </c>
      <c r="AM58" t="b">
        <v>0</v>
      </c>
      <c r="AN58" t="b">
        <v>0</v>
      </c>
      <c r="AO58" t="b">
        <v>0</v>
      </c>
      <c r="AP58" t="s">
        <v>688</v>
      </c>
      <c r="AQ58" t="s">
        <v>689</v>
      </c>
      <c r="AS58">
        <v>4.6151205168412597</v>
      </c>
      <c r="AT58">
        <v>1.8181818181818179</v>
      </c>
      <c r="AU58">
        <v>2.545454545454545</v>
      </c>
      <c r="AV58">
        <v>0.72727272727272729</v>
      </c>
      <c r="AW58">
        <v>0</v>
      </c>
      <c r="AX58">
        <v>0.35714285714285721</v>
      </c>
      <c r="AY58">
        <v>0.5</v>
      </c>
      <c r="AZ58">
        <v>0.1428571428571429</v>
      </c>
      <c r="BA58">
        <v>0</v>
      </c>
      <c r="BB58">
        <v>6.0537319451363629</v>
      </c>
      <c r="BC58">
        <v>14</v>
      </c>
      <c r="BD58">
        <v>296.35915518228359</v>
      </c>
      <c r="BE58">
        <v>2</v>
      </c>
      <c r="BF58">
        <v>9.4479956196318104E-2</v>
      </c>
      <c r="BG58">
        <v>7.4836094600000003</v>
      </c>
      <c r="BH58">
        <v>7.4836094600000003</v>
      </c>
      <c r="BI58">
        <v>7.4836094600000003</v>
      </c>
      <c r="BJ58">
        <v>1105.507304</v>
      </c>
      <c r="BK58">
        <v>8</v>
      </c>
      <c r="BL58">
        <v>0.1013109543417363</v>
      </c>
      <c r="BM58">
        <v>10.34</v>
      </c>
      <c r="BN58">
        <v>10.34</v>
      </c>
      <c r="BO58">
        <v>10.34</v>
      </c>
      <c r="BP58">
        <v>0</v>
      </c>
      <c r="BQ58">
        <v>0</v>
      </c>
      <c r="BS58">
        <v>0</v>
      </c>
      <c r="BT58">
        <v>0</v>
      </c>
      <c r="BU58">
        <v>0</v>
      </c>
      <c r="BX58">
        <v>7</v>
      </c>
      <c r="BZ58">
        <v>4.7239978098159052E-2</v>
      </c>
      <c r="CA58">
        <v>5.0655477170868157E-2</v>
      </c>
      <c r="CC58">
        <v>0.50642227837041776</v>
      </c>
      <c r="CD58">
        <v>0.54303713070119819</v>
      </c>
    </row>
    <row r="59" spans="1:84" x14ac:dyDescent="0.3">
      <c r="A59" s="1">
        <v>278</v>
      </c>
      <c r="B59" t="s">
        <v>289</v>
      </c>
      <c r="C59" t="s">
        <v>290</v>
      </c>
      <c r="F59">
        <v>4.0999999999999996</v>
      </c>
      <c r="G59" t="s">
        <v>291</v>
      </c>
      <c r="H59" t="s">
        <v>292</v>
      </c>
      <c r="I59">
        <v>-1</v>
      </c>
      <c r="O59">
        <v>0</v>
      </c>
      <c r="Q59" t="s">
        <v>87</v>
      </c>
      <c r="R59">
        <v>1173</v>
      </c>
      <c r="S59">
        <v>6</v>
      </c>
      <c r="T59" t="b">
        <v>0</v>
      </c>
      <c r="U59" t="s">
        <v>172</v>
      </c>
      <c r="V59" t="s">
        <v>173</v>
      </c>
      <c r="W59">
        <v>1</v>
      </c>
      <c r="X59">
        <v>5.0999999999999996</v>
      </c>
      <c r="Y59">
        <v>2.86</v>
      </c>
      <c r="Z59">
        <v>0</v>
      </c>
      <c r="AC59" t="s">
        <v>90</v>
      </c>
      <c r="AD59">
        <v>450</v>
      </c>
      <c r="AF59" t="s">
        <v>91</v>
      </c>
      <c r="AH59">
        <v>402</v>
      </c>
      <c r="AL59" t="b">
        <v>1</v>
      </c>
      <c r="AM59" t="b">
        <v>0</v>
      </c>
      <c r="AN59" t="b">
        <v>0</v>
      </c>
      <c r="AO59" t="b">
        <v>0</v>
      </c>
      <c r="AP59" t="s">
        <v>291</v>
      </c>
      <c r="AQ59" t="s">
        <v>292</v>
      </c>
      <c r="AS59">
        <v>5.9964520886190211</v>
      </c>
      <c r="AT59">
        <v>1.8181818181818179</v>
      </c>
      <c r="AU59">
        <v>2.545454545454545</v>
      </c>
      <c r="AV59">
        <v>0.72727272727272729</v>
      </c>
      <c r="AW59">
        <v>0</v>
      </c>
      <c r="AX59">
        <v>0.35714285714285721</v>
      </c>
      <c r="AY59">
        <v>0.5</v>
      </c>
      <c r="AZ59">
        <v>0.1428571428571429</v>
      </c>
      <c r="BA59">
        <v>0</v>
      </c>
      <c r="BB59">
        <v>6.0182071251363629</v>
      </c>
      <c r="BC59">
        <v>14</v>
      </c>
      <c r="BD59">
        <v>1265.6493143942739</v>
      </c>
      <c r="BE59">
        <v>8</v>
      </c>
      <c r="BF59">
        <v>8.8492127105210025E-2</v>
      </c>
      <c r="BG59">
        <v>5.8017180100000001</v>
      </c>
      <c r="BH59">
        <v>7.9756520899999996</v>
      </c>
      <c r="BI59">
        <v>27.352093400000001</v>
      </c>
      <c r="BJ59">
        <v>1206.4392746112001</v>
      </c>
      <c r="BK59">
        <v>8</v>
      </c>
      <c r="BL59">
        <v>9.2835174017436004E-2</v>
      </c>
      <c r="BM59">
        <v>26.646989999999999</v>
      </c>
      <c r="BN59">
        <v>7.9359999999999999</v>
      </c>
      <c r="BO59">
        <v>5.7050000000000001</v>
      </c>
      <c r="BP59">
        <v>0</v>
      </c>
      <c r="BQ59">
        <v>0</v>
      </c>
      <c r="BS59">
        <v>0</v>
      </c>
      <c r="BT59">
        <v>0</v>
      </c>
      <c r="BU59">
        <v>0</v>
      </c>
      <c r="BX59">
        <v>7</v>
      </c>
      <c r="BZ59">
        <v>4.4246063552605013E-2</v>
      </c>
      <c r="CA59">
        <v>4.6417587008718002E-2</v>
      </c>
      <c r="CC59">
        <v>0.5176653673612065</v>
      </c>
      <c r="CD59">
        <v>0.54307152550012683</v>
      </c>
    </row>
    <row r="60" spans="1:84" x14ac:dyDescent="0.3">
      <c r="A60" s="1">
        <v>279</v>
      </c>
      <c r="B60" t="s">
        <v>690</v>
      </c>
      <c r="C60" t="s">
        <v>691</v>
      </c>
      <c r="E60" t="s">
        <v>690</v>
      </c>
      <c r="F60">
        <v>3.2</v>
      </c>
      <c r="G60" t="s">
        <v>692</v>
      </c>
      <c r="H60" t="s">
        <v>693</v>
      </c>
      <c r="I60">
        <v>-1</v>
      </c>
      <c r="Q60" t="s">
        <v>87</v>
      </c>
      <c r="R60">
        <v>1173</v>
      </c>
      <c r="S60">
        <v>6</v>
      </c>
      <c r="T60" t="b">
        <v>0</v>
      </c>
      <c r="U60" t="s">
        <v>172</v>
      </c>
      <c r="V60" t="s">
        <v>173</v>
      </c>
      <c r="W60">
        <v>1</v>
      </c>
      <c r="X60">
        <v>5.2</v>
      </c>
      <c r="Y60">
        <v>2.86</v>
      </c>
      <c r="Z60">
        <v>0</v>
      </c>
      <c r="AC60" t="s">
        <v>90</v>
      </c>
      <c r="AD60">
        <v>450</v>
      </c>
      <c r="AF60" t="s">
        <v>91</v>
      </c>
      <c r="AH60">
        <v>441</v>
      </c>
      <c r="AL60" t="b">
        <v>1</v>
      </c>
      <c r="AM60" t="b">
        <v>0</v>
      </c>
      <c r="AN60" t="b">
        <v>0</v>
      </c>
      <c r="AO60" t="b">
        <v>0</v>
      </c>
      <c r="AP60" t="s">
        <v>692</v>
      </c>
      <c r="AQ60" t="s">
        <v>693</v>
      </c>
      <c r="AS60">
        <v>6.089044875446846</v>
      </c>
      <c r="AT60">
        <v>2</v>
      </c>
      <c r="AU60">
        <v>2.545454545454545</v>
      </c>
      <c r="AV60">
        <v>0.54545454545454541</v>
      </c>
      <c r="AW60">
        <v>0</v>
      </c>
      <c r="AX60">
        <v>0.39285714285714279</v>
      </c>
      <c r="AY60">
        <v>0.5</v>
      </c>
      <c r="AZ60">
        <v>0.1071428571428571</v>
      </c>
      <c r="BA60">
        <v>0</v>
      </c>
      <c r="BB60">
        <v>5.9831999205909083</v>
      </c>
      <c r="BC60">
        <v>14</v>
      </c>
      <c r="BD60">
        <v>288.33429290182369</v>
      </c>
      <c r="BE60">
        <v>2</v>
      </c>
      <c r="BF60">
        <v>9.7109503410799117E-2</v>
      </c>
      <c r="BG60">
        <v>7.41544296</v>
      </c>
      <c r="BH60">
        <v>7.4154429599999991</v>
      </c>
      <c r="BI60">
        <v>7.41544296</v>
      </c>
      <c r="BJ60">
        <v>556.51188553357167</v>
      </c>
      <c r="BK60">
        <v>4</v>
      </c>
      <c r="BL60">
        <v>0.10062678166578309</v>
      </c>
      <c r="BM60">
        <v>7.8</v>
      </c>
      <c r="BN60">
        <v>13.010999999999999</v>
      </c>
      <c r="BO60">
        <v>5.5460000000000003</v>
      </c>
      <c r="BP60">
        <v>0</v>
      </c>
      <c r="BQ60">
        <v>0</v>
      </c>
      <c r="BS60">
        <v>0</v>
      </c>
      <c r="BT60">
        <v>0</v>
      </c>
      <c r="BU60">
        <v>0</v>
      </c>
      <c r="BX60">
        <v>7</v>
      </c>
      <c r="BZ60">
        <v>4.8554751705399558E-2</v>
      </c>
      <c r="CA60">
        <v>5.0313390832891547E-2</v>
      </c>
      <c r="CC60">
        <v>0.52442413903612495</v>
      </c>
      <c r="CD60">
        <v>0.54341863036636617</v>
      </c>
    </row>
    <row r="61" spans="1:84" x14ac:dyDescent="0.3">
      <c r="A61" s="1">
        <v>280</v>
      </c>
      <c r="B61" t="s">
        <v>694</v>
      </c>
      <c r="C61" t="s">
        <v>695</v>
      </c>
      <c r="F61">
        <v>3.8</v>
      </c>
      <c r="G61">
        <v>-1</v>
      </c>
      <c r="H61">
        <v>-1</v>
      </c>
      <c r="I61" t="s">
        <v>696</v>
      </c>
      <c r="Q61" t="s">
        <v>87</v>
      </c>
      <c r="R61">
        <v>1173</v>
      </c>
      <c r="S61">
        <v>6</v>
      </c>
      <c r="T61" t="b">
        <v>0</v>
      </c>
      <c r="U61" t="s">
        <v>172</v>
      </c>
      <c r="V61" t="s">
        <v>173</v>
      </c>
      <c r="W61">
        <v>1</v>
      </c>
      <c r="X61">
        <v>4.9000000000000004</v>
      </c>
      <c r="Y61">
        <v>2.86</v>
      </c>
      <c r="Z61">
        <v>0</v>
      </c>
      <c r="AC61" t="s">
        <v>90</v>
      </c>
      <c r="AD61">
        <v>450</v>
      </c>
      <c r="AF61" t="s">
        <v>91</v>
      </c>
      <c r="AH61">
        <v>499</v>
      </c>
      <c r="AL61" t="b">
        <v>0</v>
      </c>
      <c r="AM61" t="b">
        <v>0</v>
      </c>
      <c r="AN61" t="b">
        <v>1</v>
      </c>
      <c r="AO61" t="b">
        <v>0</v>
      </c>
      <c r="AP61">
        <v>-1</v>
      </c>
      <c r="AQ61">
        <v>-1</v>
      </c>
      <c r="AR61" t="s">
        <v>696</v>
      </c>
      <c r="AS61">
        <v>6.2126060957515188</v>
      </c>
      <c r="AT61">
        <v>2</v>
      </c>
      <c r="AU61">
        <v>2.518518518518519</v>
      </c>
      <c r="AV61">
        <v>0.51851851851851849</v>
      </c>
      <c r="AW61">
        <v>0</v>
      </c>
      <c r="AX61">
        <v>0.39705882352941169</v>
      </c>
      <c r="AY61">
        <v>0.5</v>
      </c>
      <c r="AZ61">
        <v>0.1029411764705882</v>
      </c>
      <c r="BA61">
        <v>0</v>
      </c>
      <c r="BB61">
        <v>5.9544383687592592</v>
      </c>
      <c r="BC61">
        <v>34</v>
      </c>
      <c r="BD61">
        <v>0</v>
      </c>
      <c r="BE61">
        <v>0</v>
      </c>
      <c r="BG61">
        <v>0</v>
      </c>
      <c r="BJ61">
        <v>0</v>
      </c>
      <c r="BK61">
        <v>0</v>
      </c>
      <c r="BM61">
        <v>0</v>
      </c>
      <c r="BP61">
        <v>671.92152628500003</v>
      </c>
      <c r="BQ61">
        <v>2</v>
      </c>
      <c r="BR61">
        <v>0.1012022942261822</v>
      </c>
      <c r="BS61">
        <v>5.5170000000000003</v>
      </c>
      <c r="BT61">
        <v>31.274999999999999</v>
      </c>
      <c r="BU61">
        <v>3.8942000000000001</v>
      </c>
      <c r="BX61">
        <v>17</v>
      </c>
      <c r="CB61">
        <v>5.0601147113091112E-2</v>
      </c>
      <c r="CE61">
        <v>0.54853085464874396</v>
      </c>
    </row>
    <row r="62" spans="1:84" x14ac:dyDescent="0.3">
      <c r="A62" s="1">
        <v>281</v>
      </c>
      <c r="B62" t="s">
        <v>128</v>
      </c>
      <c r="C62" t="s">
        <v>129</v>
      </c>
      <c r="E62" t="s">
        <v>130</v>
      </c>
      <c r="F62">
        <v>3.1</v>
      </c>
      <c r="G62" t="s">
        <v>131</v>
      </c>
      <c r="H62" t="s">
        <v>132</v>
      </c>
      <c r="I62">
        <v>-1</v>
      </c>
      <c r="O62">
        <v>0</v>
      </c>
      <c r="Q62" t="s">
        <v>87</v>
      </c>
      <c r="R62">
        <v>1173</v>
      </c>
      <c r="S62">
        <v>6</v>
      </c>
      <c r="T62" t="b">
        <v>0</v>
      </c>
      <c r="U62" t="s">
        <v>172</v>
      </c>
      <c r="V62" t="s">
        <v>173</v>
      </c>
      <c r="W62">
        <v>1</v>
      </c>
      <c r="X62">
        <v>50</v>
      </c>
      <c r="Y62">
        <v>2.86</v>
      </c>
      <c r="Z62">
        <v>0</v>
      </c>
      <c r="AC62" t="s">
        <v>90</v>
      </c>
      <c r="AD62">
        <v>450</v>
      </c>
      <c r="AF62" t="s">
        <v>91</v>
      </c>
      <c r="AH62">
        <v>0.3</v>
      </c>
      <c r="AL62" t="b">
        <v>1</v>
      </c>
      <c r="AM62" t="b">
        <v>0</v>
      </c>
      <c r="AN62" t="b">
        <v>0</v>
      </c>
      <c r="AO62" t="b">
        <v>0</v>
      </c>
      <c r="AP62" t="s">
        <v>131</v>
      </c>
      <c r="AQ62" t="s">
        <v>132</v>
      </c>
      <c r="AS62">
        <v>-1.2039728043259359</v>
      </c>
      <c r="AT62">
        <v>2</v>
      </c>
      <c r="AU62">
        <v>2.666666666666667</v>
      </c>
      <c r="AV62">
        <v>0.66666666666666663</v>
      </c>
      <c r="AW62">
        <v>0</v>
      </c>
      <c r="AX62">
        <v>0.375</v>
      </c>
      <c r="AY62">
        <v>0.5</v>
      </c>
      <c r="AZ62">
        <v>0.125</v>
      </c>
      <c r="BA62">
        <v>0</v>
      </c>
      <c r="BB62">
        <v>6.1770001596666662</v>
      </c>
      <c r="BC62">
        <v>4</v>
      </c>
      <c r="BD62">
        <v>1182.741260108548</v>
      </c>
      <c r="BE62">
        <v>30</v>
      </c>
      <c r="BF62">
        <v>0.1014592151701775</v>
      </c>
      <c r="BG62">
        <v>10.59112378</v>
      </c>
      <c r="BH62">
        <v>10.784736629999999</v>
      </c>
      <c r="BI62">
        <v>10.486176179999999</v>
      </c>
      <c r="BJ62">
        <v>130.36387300000001</v>
      </c>
      <c r="BK62">
        <v>4</v>
      </c>
      <c r="BL62">
        <v>0.1227333894874388</v>
      </c>
      <c r="BM62">
        <v>3.73</v>
      </c>
      <c r="BN62">
        <v>3.73</v>
      </c>
      <c r="BO62">
        <v>9.3699999999999992</v>
      </c>
      <c r="BP62">
        <v>0</v>
      </c>
      <c r="BQ62">
        <v>0</v>
      </c>
      <c r="BS62">
        <v>0</v>
      </c>
      <c r="BT62">
        <v>0</v>
      </c>
      <c r="BU62">
        <v>0</v>
      </c>
      <c r="BX62">
        <v>2</v>
      </c>
      <c r="BZ62">
        <v>5.0729607585088737E-2</v>
      </c>
      <c r="CA62">
        <v>6.1366694743719377E-2</v>
      </c>
      <c r="CC62">
        <v>0.46900407026869612</v>
      </c>
      <c r="CD62">
        <v>0.56734579634715776</v>
      </c>
    </row>
    <row r="63" spans="1:84" x14ac:dyDescent="0.3">
      <c r="A63" s="1">
        <v>298</v>
      </c>
      <c r="B63" t="s">
        <v>690</v>
      </c>
      <c r="C63" t="s">
        <v>691</v>
      </c>
      <c r="E63" t="s">
        <v>690</v>
      </c>
      <c r="F63">
        <v>3.82</v>
      </c>
      <c r="G63" t="s">
        <v>692</v>
      </c>
      <c r="H63" t="s">
        <v>693</v>
      </c>
      <c r="I63">
        <v>-1</v>
      </c>
      <c r="J63">
        <v>4</v>
      </c>
      <c r="K63">
        <v>13.01</v>
      </c>
      <c r="L63">
        <v>5.5439999999999996</v>
      </c>
      <c r="M63">
        <v>7.81</v>
      </c>
      <c r="N63" t="s">
        <v>730</v>
      </c>
      <c r="O63">
        <v>13.01</v>
      </c>
      <c r="Q63" t="s">
        <v>87</v>
      </c>
      <c r="R63">
        <v>1423</v>
      </c>
      <c r="S63">
        <v>10</v>
      </c>
      <c r="T63" t="b">
        <v>0</v>
      </c>
      <c r="U63" t="s">
        <v>172</v>
      </c>
      <c r="V63" t="s">
        <v>173</v>
      </c>
      <c r="W63">
        <v>1</v>
      </c>
      <c r="Y63">
        <v>2</v>
      </c>
      <c r="Z63">
        <v>0</v>
      </c>
      <c r="AC63" t="s">
        <v>90</v>
      </c>
      <c r="AD63">
        <v>450</v>
      </c>
      <c r="AE63">
        <v>200</v>
      </c>
      <c r="AF63" t="s">
        <v>91</v>
      </c>
      <c r="AH63">
        <v>400</v>
      </c>
      <c r="AL63" t="b">
        <v>1</v>
      </c>
      <c r="AM63" t="b">
        <v>0</v>
      </c>
      <c r="AN63" t="b">
        <v>0</v>
      </c>
      <c r="AO63" t="b">
        <v>0</v>
      </c>
      <c r="AP63" t="s">
        <v>692</v>
      </c>
      <c r="AQ63" t="s">
        <v>693</v>
      </c>
      <c r="AS63">
        <v>5.9914645471079817</v>
      </c>
      <c r="AT63">
        <v>2</v>
      </c>
      <c r="AU63">
        <v>2.545454545454545</v>
      </c>
      <c r="AV63">
        <v>0.54545454545454541</v>
      </c>
      <c r="AW63">
        <v>0</v>
      </c>
      <c r="AX63">
        <v>0.39285714285714279</v>
      </c>
      <c r="AY63">
        <v>0.5</v>
      </c>
      <c r="AZ63">
        <v>0.1071428571428571</v>
      </c>
      <c r="BA63">
        <v>0</v>
      </c>
      <c r="BB63">
        <v>5.9831999205909083</v>
      </c>
      <c r="BC63">
        <v>14</v>
      </c>
      <c r="BD63">
        <v>288.33429290182369</v>
      </c>
      <c r="BE63">
        <v>2</v>
      </c>
      <c r="BF63">
        <v>9.7109503410799117E-2</v>
      </c>
      <c r="BG63">
        <v>7.41544296</v>
      </c>
      <c r="BH63">
        <v>7.4154429599999991</v>
      </c>
      <c r="BI63">
        <v>7.41544296</v>
      </c>
      <c r="BJ63">
        <v>556.51188553357167</v>
      </c>
      <c r="BK63">
        <v>4</v>
      </c>
      <c r="BL63">
        <v>0.10062678166578309</v>
      </c>
      <c r="BM63">
        <v>7.8</v>
      </c>
      <c r="BN63">
        <v>13.010999999999999</v>
      </c>
      <c r="BO63">
        <v>5.5460000000000003</v>
      </c>
      <c r="BP63">
        <v>0</v>
      </c>
      <c r="BQ63">
        <v>0</v>
      </c>
      <c r="BS63">
        <v>0</v>
      </c>
      <c r="BT63">
        <v>0</v>
      </c>
      <c r="BU63">
        <v>0</v>
      </c>
      <c r="BV63">
        <v>563.31530639999994</v>
      </c>
      <c r="BW63">
        <v>9.9411465237614932E-2</v>
      </c>
      <c r="BX63">
        <v>7</v>
      </c>
      <c r="BY63">
        <v>4.9705732618807473E-2</v>
      </c>
      <c r="BZ63">
        <v>4.8554751705399558E-2</v>
      </c>
      <c r="CA63">
        <v>5.0313390832891547E-2</v>
      </c>
      <c r="CC63">
        <v>0.52442413903612495</v>
      </c>
      <c r="CD63">
        <v>0.54341863036636617</v>
      </c>
      <c r="CF63">
        <v>0.53685551090727035</v>
      </c>
    </row>
    <row r="64" spans="1:84" x14ac:dyDescent="0.3">
      <c r="A64" s="1">
        <v>299</v>
      </c>
      <c r="B64" t="s">
        <v>731</v>
      </c>
      <c r="C64" t="s">
        <v>732</v>
      </c>
      <c r="E64" t="s">
        <v>690</v>
      </c>
      <c r="F64">
        <v>3.68</v>
      </c>
      <c r="G64" t="s">
        <v>692</v>
      </c>
      <c r="H64" t="s">
        <v>693</v>
      </c>
      <c r="I64">
        <v>-1</v>
      </c>
      <c r="J64">
        <v>4</v>
      </c>
      <c r="K64">
        <v>13.02</v>
      </c>
      <c r="L64">
        <v>5.5119999999999996</v>
      </c>
      <c r="M64">
        <v>7.7450000000000001</v>
      </c>
      <c r="N64" t="s">
        <v>730</v>
      </c>
      <c r="O64">
        <v>13.02</v>
      </c>
      <c r="Q64" t="s">
        <v>87</v>
      </c>
      <c r="R64">
        <v>1423</v>
      </c>
      <c r="S64">
        <v>10</v>
      </c>
      <c r="T64" t="b">
        <v>0</v>
      </c>
      <c r="U64" t="s">
        <v>172</v>
      </c>
      <c r="V64" t="s">
        <v>173</v>
      </c>
      <c r="W64">
        <v>1</v>
      </c>
      <c r="Y64">
        <v>2</v>
      </c>
      <c r="Z64">
        <v>0</v>
      </c>
      <c r="AC64" t="s">
        <v>90</v>
      </c>
      <c r="AD64">
        <v>450</v>
      </c>
      <c r="AE64">
        <v>200</v>
      </c>
      <c r="AF64" t="s">
        <v>91</v>
      </c>
      <c r="AH64">
        <v>131</v>
      </c>
      <c r="AI64" t="s">
        <v>733</v>
      </c>
      <c r="AL64" t="b">
        <v>1</v>
      </c>
      <c r="AM64" t="b">
        <v>0</v>
      </c>
      <c r="AN64" t="b">
        <v>0</v>
      </c>
      <c r="AO64" t="b">
        <v>0</v>
      </c>
      <c r="AP64" t="s">
        <v>747</v>
      </c>
      <c r="AQ64" t="s">
        <v>693</v>
      </c>
      <c r="AS64">
        <v>4.8751973232011512</v>
      </c>
      <c r="AT64">
        <v>2</v>
      </c>
      <c r="AU64">
        <v>2.545454545454545</v>
      </c>
      <c r="AV64">
        <v>0.45454545454545447</v>
      </c>
      <c r="AW64">
        <v>0.36363636363636359</v>
      </c>
      <c r="AX64">
        <v>0.3728813559322034</v>
      </c>
      <c r="AY64">
        <v>0.47457627118644069</v>
      </c>
      <c r="AZ64">
        <v>8.4745762711864403E-2</v>
      </c>
      <c r="BA64">
        <v>6.7796610169491525E-2</v>
      </c>
      <c r="BB64">
        <v>5.9599293342272723</v>
      </c>
      <c r="BC64">
        <v>14</v>
      </c>
      <c r="BD64">
        <v>288.33429290182369</v>
      </c>
      <c r="BE64">
        <v>2</v>
      </c>
      <c r="BF64">
        <v>9.7109503410799117E-2</v>
      </c>
      <c r="BG64">
        <v>7.41544296</v>
      </c>
      <c r="BH64">
        <v>7.4154429599999991</v>
      </c>
      <c r="BI64">
        <v>7.41544296</v>
      </c>
      <c r="BJ64">
        <v>556.51188553357167</v>
      </c>
      <c r="BK64">
        <v>4</v>
      </c>
      <c r="BL64">
        <v>0.10062678166578309</v>
      </c>
      <c r="BM64">
        <v>7.8</v>
      </c>
      <c r="BN64">
        <v>13.010999999999999</v>
      </c>
      <c r="BO64">
        <v>5.5460000000000003</v>
      </c>
      <c r="BP64">
        <v>0</v>
      </c>
      <c r="BQ64">
        <v>0</v>
      </c>
      <c r="BS64">
        <v>0</v>
      </c>
      <c r="BT64">
        <v>0</v>
      </c>
      <c r="BU64">
        <v>0</v>
      </c>
      <c r="BV64">
        <v>555.82952879999993</v>
      </c>
      <c r="BW64">
        <v>0.10075031479687729</v>
      </c>
      <c r="BX64">
        <v>7</v>
      </c>
      <c r="BY64">
        <v>5.0375157398438668E-2</v>
      </c>
      <c r="BZ64">
        <v>4.8554751705399558E-2</v>
      </c>
      <c r="CA64">
        <v>5.0313390832891547E-2</v>
      </c>
      <c r="CC64">
        <v>0.51879928811151954</v>
      </c>
      <c r="CD64">
        <v>0.5375900489607085</v>
      </c>
      <c r="CF64">
        <v>0.5382500142392741</v>
      </c>
    </row>
    <row r="65" spans="1:84" x14ac:dyDescent="0.3">
      <c r="A65" s="1">
        <v>300</v>
      </c>
      <c r="B65" t="s">
        <v>735</v>
      </c>
      <c r="C65" t="s">
        <v>736</v>
      </c>
      <c r="E65" t="s">
        <v>690</v>
      </c>
      <c r="F65">
        <v>3.65</v>
      </c>
      <c r="G65" t="s">
        <v>737</v>
      </c>
      <c r="H65" t="s">
        <v>738</v>
      </c>
      <c r="I65">
        <v>-1</v>
      </c>
      <c r="J65">
        <v>4</v>
      </c>
      <c r="K65">
        <v>13.02</v>
      </c>
      <c r="L65">
        <v>5.48</v>
      </c>
      <c r="M65">
        <v>7.68</v>
      </c>
      <c r="N65" t="s">
        <v>730</v>
      </c>
      <c r="O65">
        <v>13.02</v>
      </c>
      <c r="Q65" t="s">
        <v>87</v>
      </c>
      <c r="R65">
        <v>1423</v>
      </c>
      <c r="S65">
        <v>10</v>
      </c>
      <c r="T65" t="b">
        <v>0</v>
      </c>
      <c r="U65" t="s">
        <v>172</v>
      </c>
      <c r="V65" t="s">
        <v>173</v>
      </c>
      <c r="W65">
        <v>1</v>
      </c>
      <c r="Y65">
        <v>2</v>
      </c>
      <c r="Z65">
        <v>0</v>
      </c>
      <c r="AC65" t="s">
        <v>90</v>
      </c>
      <c r="AD65">
        <v>450</v>
      </c>
      <c r="AE65">
        <v>200</v>
      </c>
      <c r="AF65" t="s">
        <v>91</v>
      </c>
      <c r="AH65">
        <v>99</v>
      </c>
      <c r="AL65" t="b">
        <v>1</v>
      </c>
      <c r="AM65" t="b">
        <v>0</v>
      </c>
      <c r="AN65" t="b">
        <v>0</v>
      </c>
      <c r="AO65" t="b">
        <v>0</v>
      </c>
      <c r="AP65" t="s">
        <v>737</v>
      </c>
      <c r="AQ65" t="s">
        <v>738</v>
      </c>
      <c r="AS65">
        <v>4.5951198501345898</v>
      </c>
      <c r="AT65">
        <v>2</v>
      </c>
      <c r="AU65">
        <v>2.545454545454545</v>
      </c>
      <c r="AV65">
        <v>0.36363636363636359</v>
      </c>
      <c r="AW65">
        <v>0.72727272727272729</v>
      </c>
      <c r="AX65">
        <v>0.35483870967741932</v>
      </c>
      <c r="AY65">
        <v>0.45161290322580638</v>
      </c>
      <c r="AZ65">
        <v>6.4516129032258063E-2</v>
      </c>
      <c r="BA65">
        <v>0.1290322580645161</v>
      </c>
      <c r="BB65">
        <v>5.9366587478636346</v>
      </c>
      <c r="BC65">
        <v>14</v>
      </c>
      <c r="BD65">
        <v>273.44070809730869</v>
      </c>
      <c r="BE65">
        <v>2</v>
      </c>
      <c r="BF65">
        <v>0.1023987986091511</v>
      </c>
      <c r="BG65">
        <v>7.2854997800000012</v>
      </c>
      <c r="BH65">
        <v>7.2855000099999998</v>
      </c>
      <c r="BI65">
        <v>7.28550129</v>
      </c>
      <c r="BJ65">
        <v>1077.884035254056</v>
      </c>
      <c r="BK65">
        <v>8</v>
      </c>
      <c r="BL65">
        <v>0.1039072816155049</v>
      </c>
      <c r="BM65">
        <v>7.6769999999999996</v>
      </c>
      <c r="BN65">
        <v>5.4560000000000004</v>
      </c>
      <c r="BO65">
        <v>26.012989999999999</v>
      </c>
      <c r="BP65">
        <v>0</v>
      </c>
      <c r="BQ65">
        <v>0</v>
      </c>
      <c r="BS65">
        <v>0</v>
      </c>
      <c r="BT65">
        <v>0</v>
      </c>
      <c r="BU65">
        <v>0</v>
      </c>
      <c r="BV65">
        <v>547.9649280000001</v>
      </c>
      <c r="BW65">
        <v>0.1021963215864793</v>
      </c>
      <c r="BX65">
        <v>7</v>
      </c>
      <c r="BY65">
        <v>5.1098160793239672E-2</v>
      </c>
      <c r="BZ65">
        <v>5.1199399304575573E-2</v>
      </c>
      <c r="CA65">
        <v>5.1953640807752437E-2</v>
      </c>
      <c r="CC65">
        <v>0.54112567770605691</v>
      </c>
      <c r="CD65">
        <v>0.54909724475770683</v>
      </c>
      <c r="CF65">
        <v>0.54005568940930559</v>
      </c>
    </row>
    <row r="66" spans="1:84" x14ac:dyDescent="0.3">
      <c r="A66" s="1">
        <v>301</v>
      </c>
      <c r="B66" t="s">
        <v>739</v>
      </c>
      <c r="C66" t="s">
        <v>740</v>
      </c>
      <c r="E66" t="s">
        <v>690</v>
      </c>
      <c r="F66">
        <v>2.99</v>
      </c>
      <c r="G66" t="s">
        <v>737</v>
      </c>
      <c r="H66" t="s">
        <v>738</v>
      </c>
      <c r="I66">
        <v>-1</v>
      </c>
      <c r="J66">
        <v>4</v>
      </c>
      <c r="K66">
        <v>12.996</v>
      </c>
      <c r="L66">
        <v>5.4850000000000003</v>
      </c>
      <c r="M66">
        <v>7.7039999999999997</v>
      </c>
      <c r="N66" t="s">
        <v>730</v>
      </c>
      <c r="O66">
        <v>12.996</v>
      </c>
      <c r="Q66" t="s">
        <v>87</v>
      </c>
      <c r="R66">
        <v>1423</v>
      </c>
      <c r="S66">
        <v>10</v>
      </c>
      <c r="T66" t="b">
        <v>0</v>
      </c>
      <c r="U66" t="s">
        <v>172</v>
      </c>
      <c r="V66" t="s">
        <v>173</v>
      </c>
      <c r="W66">
        <v>1</v>
      </c>
      <c r="Y66">
        <v>2</v>
      </c>
      <c r="Z66">
        <v>0</v>
      </c>
      <c r="AC66" t="s">
        <v>90</v>
      </c>
      <c r="AD66">
        <v>450</v>
      </c>
      <c r="AE66">
        <v>200</v>
      </c>
      <c r="AF66" t="s">
        <v>91</v>
      </c>
      <c r="AH66">
        <v>150</v>
      </c>
      <c r="AI66" t="s">
        <v>541</v>
      </c>
      <c r="AJ66" t="s">
        <v>541</v>
      </c>
      <c r="AL66" t="b">
        <v>1</v>
      </c>
      <c r="AM66" t="b">
        <v>1</v>
      </c>
      <c r="AN66" t="b">
        <v>0</v>
      </c>
      <c r="AO66" t="b">
        <v>0</v>
      </c>
      <c r="AP66" t="s">
        <v>748</v>
      </c>
      <c r="AQ66" t="s">
        <v>749</v>
      </c>
      <c r="AS66">
        <v>5.0106352940962564</v>
      </c>
      <c r="AT66">
        <v>2</v>
      </c>
      <c r="AU66">
        <v>2.545454545454545</v>
      </c>
      <c r="AV66">
        <v>0.36363636363636359</v>
      </c>
      <c r="AW66">
        <v>0.54545454545454541</v>
      </c>
      <c r="AX66">
        <v>0.3666666666666667</v>
      </c>
      <c r="AY66">
        <v>0.46666666666666667</v>
      </c>
      <c r="AZ66">
        <v>6.666666666666668E-2</v>
      </c>
      <c r="BA66">
        <v>0.1</v>
      </c>
      <c r="BB66">
        <v>5.9327443205909089</v>
      </c>
      <c r="BC66">
        <v>14</v>
      </c>
      <c r="BD66">
        <v>273.44070809730869</v>
      </c>
      <c r="BE66">
        <v>2</v>
      </c>
      <c r="BF66">
        <v>0.1023987986091511</v>
      </c>
      <c r="BG66">
        <v>7.2854997800000012</v>
      </c>
      <c r="BH66">
        <v>7.2855000099999998</v>
      </c>
      <c r="BI66">
        <v>7.28550129</v>
      </c>
      <c r="BJ66">
        <v>1077.884035254056</v>
      </c>
      <c r="BK66">
        <v>8</v>
      </c>
      <c r="BL66">
        <v>0.1039072816155049</v>
      </c>
      <c r="BM66">
        <v>7.6769999999999996</v>
      </c>
      <c r="BN66">
        <v>5.4560000000000004</v>
      </c>
      <c r="BO66">
        <v>26.012989999999999</v>
      </c>
      <c r="BP66">
        <v>0</v>
      </c>
      <c r="BQ66">
        <v>0</v>
      </c>
      <c r="BS66">
        <v>0</v>
      </c>
      <c r="BT66">
        <v>0</v>
      </c>
      <c r="BU66">
        <v>0</v>
      </c>
      <c r="BV66">
        <v>549.16469424000002</v>
      </c>
      <c r="BW66">
        <v>0.1019730521414883</v>
      </c>
      <c r="BX66">
        <v>7</v>
      </c>
      <c r="BY66">
        <v>5.0986526070744151E-2</v>
      </c>
      <c r="BZ66">
        <v>5.1199399304575573E-2</v>
      </c>
      <c r="CA66">
        <v>5.1953640807752437E-2</v>
      </c>
      <c r="CC66">
        <v>0.5427586112667282</v>
      </c>
      <c r="CD66">
        <v>0.5507542338010617</v>
      </c>
      <c r="CF66">
        <v>0.54050196797912087</v>
      </c>
    </row>
    <row r="67" spans="1:84" x14ac:dyDescent="0.3">
      <c r="A67" s="1">
        <v>302</v>
      </c>
      <c r="B67" t="s">
        <v>743</v>
      </c>
      <c r="C67" t="s">
        <v>744</v>
      </c>
      <c r="E67" t="s">
        <v>690</v>
      </c>
      <c r="F67">
        <v>2.98</v>
      </c>
      <c r="G67" t="s">
        <v>692</v>
      </c>
      <c r="H67" t="s">
        <v>693</v>
      </c>
      <c r="I67">
        <v>-1</v>
      </c>
      <c r="J67">
        <v>4</v>
      </c>
      <c r="K67">
        <v>13.003</v>
      </c>
      <c r="L67">
        <v>5.5149999999999997</v>
      </c>
      <c r="M67">
        <v>7.7569999999999997</v>
      </c>
      <c r="N67" t="s">
        <v>730</v>
      </c>
      <c r="O67">
        <v>13.003</v>
      </c>
      <c r="Q67" t="s">
        <v>87</v>
      </c>
      <c r="R67">
        <v>1423</v>
      </c>
      <c r="S67">
        <v>10</v>
      </c>
      <c r="T67" t="b">
        <v>0</v>
      </c>
      <c r="U67" t="s">
        <v>172</v>
      </c>
      <c r="V67" t="s">
        <v>173</v>
      </c>
      <c r="W67">
        <v>1</v>
      </c>
      <c r="Y67">
        <v>2</v>
      </c>
      <c r="Z67">
        <v>0</v>
      </c>
      <c r="AC67" t="s">
        <v>90</v>
      </c>
      <c r="AD67">
        <v>450</v>
      </c>
      <c r="AE67">
        <v>200</v>
      </c>
      <c r="AF67" t="s">
        <v>91</v>
      </c>
      <c r="AH67">
        <v>220</v>
      </c>
      <c r="AI67" t="s">
        <v>745</v>
      </c>
      <c r="AL67" t="b">
        <v>1</v>
      </c>
      <c r="AM67" t="b">
        <v>0</v>
      </c>
      <c r="AN67" t="b">
        <v>0</v>
      </c>
      <c r="AO67" t="b">
        <v>0</v>
      </c>
      <c r="AP67" t="s">
        <v>750</v>
      </c>
      <c r="AQ67" t="s">
        <v>693</v>
      </c>
      <c r="AS67">
        <v>5.393627546352362</v>
      </c>
      <c r="AT67">
        <v>2</v>
      </c>
      <c r="AU67">
        <v>2.545454545454545</v>
      </c>
      <c r="AV67">
        <v>0.45454545454545447</v>
      </c>
      <c r="AW67">
        <v>0.27272727272727271</v>
      </c>
      <c r="AX67">
        <v>0.37931034482758619</v>
      </c>
      <c r="AY67">
        <v>0.48275862068965519</v>
      </c>
      <c r="AZ67">
        <v>8.6206896551724144E-2</v>
      </c>
      <c r="BA67">
        <v>5.1724137931034482E-2</v>
      </c>
      <c r="BB67">
        <v>5.9579721205909086</v>
      </c>
      <c r="BC67">
        <v>14</v>
      </c>
      <c r="BD67">
        <v>288.33429290182369</v>
      </c>
      <c r="BE67">
        <v>2</v>
      </c>
      <c r="BF67">
        <v>9.7109503410799117E-2</v>
      </c>
      <c r="BG67">
        <v>7.41544296</v>
      </c>
      <c r="BH67">
        <v>7.4154429599999991</v>
      </c>
      <c r="BI67">
        <v>7.41544296</v>
      </c>
      <c r="BJ67">
        <v>556.51188553357167</v>
      </c>
      <c r="BK67">
        <v>4</v>
      </c>
      <c r="BL67">
        <v>0.10062678166578309</v>
      </c>
      <c r="BM67">
        <v>7.8</v>
      </c>
      <c r="BN67">
        <v>13.010999999999999</v>
      </c>
      <c r="BO67">
        <v>5.5460000000000003</v>
      </c>
      <c r="BP67">
        <v>0</v>
      </c>
      <c r="BQ67">
        <v>0</v>
      </c>
      <c r="BS67">
        <v>0</v>
      </c>
      <c r="BT67">
        <v>0</v>
      </c>
      <c r="BU67">
        <v>0</v>
      </c>
      <c r="BV67">
        <v>556.266454565</v>
      </c>
      <c r="BW67">
        <v>0.1006711793250088</v>
      </c>
      <c r="BX67">
        <v>7</v>
      </c>
      <c r="BY67">
        <v>5.0335589662504419E-2</v>
      </c>
      <c r="BZ67">
        <v>4.8554751705399558E-2</v>
      </c>
      <c r="CA67">
        <v>5.0313390832891547E-2</v>
      </c>
      <c r="CC67">
        <v>0.51957358121521546</v>
      </c>
      <c r="CD67">
        <v>0.53839238673769541</v>
      </c>
      <c r="CF67">
        <v>0.53862993146803873</v>
      </c>
    </row>
    <row r="68" spans="1:84" x14ac:dyDescent="0.3">
      <c r="A68" s="1">
        <v>311</v>
      </c>
      <c r="B68" t="s">
        <v>739</v>
      </c>
      <c r="C68" t="s">
        <v>740</v>
      </c>
      <c r="E68" t="s">
        <v>690</v>
      </c>
      <c r="F68">
        <v>2.99</v>
      </c>
      <c r="G68" t="s">
        <v>737</v>
      </c>
      <c r="H68" t="s">
        <v>738</v>
      </c>
      <c r="I68">
        <v>-1</v>
      </c>
      <c r="J68">
        <v>4</v>
      </c>
      <c r="K68">
        <v>12.996</v>
      </c>
      <c r="L68">
        <v>5.4850000000000003</v>
      </c>
      <c r="M68">
        <v>7.7039999999999997</v>
      </c>
      <c r="N68" t="s">
        <v>730</v>
      </c>
      <c r="O68">
        <v>12.996</v>
      </c>
      <c r="Q68" t="s">
        <v>87</v>
      </c>
      <c r="R68">
        <v>1423</v>
      </c>
      <c r="S68">
        <v>10</v>
      </c>
      <c r="T68" t="b">
        <v>0</v>
      </c>
      <c r="U68" t="s">
        <v>172</v>
      </c>
      <c r="V68" t="s">
        <v>173</v>
      </c>
      <c r="W68">
        <v>1</v>
      </c>
      <c r="Y68">
        <v>6.67</v>
      </c>
      <c r="Z68">
        <v>0</v>
      </c>
      <c r="AC68" t="s">
        <v>90</v>
      </c>
      <c r="AD68">
        <v>500</v>
      </c>
      <c r="AE68">
        <v>360</v>
      </c>
      <c r="AF68" t="s">
        <v>91</v>
      </c>
      <c r="AH68">
        <v>30</v>
      </c>
      <c r="AI68" t="s">
        <v>541</v>
      </c>
      <c r="AJ68" t="s">
        <v>541</v>
      </c>
      <c r="AL68" t="b">
        <v>1</v>
      </c>
      <c r="AM68" t="b">
        <v>1</v>
      </c>
      <c r="AN68" t="b">
        <v>0</v>
      </c>
      <c r="AO68" t="b">
        <v>0</v>
      </c>
      <c r="AP68" t="s">
        <v>751</v>
      </c>
      <c r="AQ68" t="s">
        <v>752</v>
      </c>
      <c r="AS68">
        <v>3.401197381662155</v>
      </c>
      <c r="AT68">
        <v>2</v>
      </c>
      <c r="AU68">
        <v>2.545454545454545</v>
      </c>
      <c r="AV68">
        <v>0.36363636363636359</v>
      </c>
      <c r="AW68">
        <v>0.54545454545454541</v>
      </c>
      <c r="AX68">
        <v>0.3666666666666667</v>
      </c>
      <c r="AY68">
        <v>0.46666666666666667</v>
      </c>
      <c r="AZ68">
        <v>6.666666666666668E-2</v>
      </c>
      <c r="BA68">
        <v>0.1</v>
      </c>
      <c r="BB68">
        <v>5.9327443205909089</v>
      </c>
      <c r="BC68">
        <v>14</v>
      </c>
      <c r="BD68">
        <v>273.44070809730869</v>
      </c>
      <c r="BE68">
        <v>2</v>
      </c>
      <c r="BF68">
        <v>0.1023987986091511</v>
      </c>
      <c r="BG68">
        <v>7.2854997800000012</v>
      </c>
      <c r="BH68">
        <v>7.2855000099999998</v>
      </c>
      <c r="BI68">
        <v>7.28550129</v>
      </c>
      <c r="BJ68">
        <v>1077.884035254056</v>
      </c>
      <c r="BK68">
        <v>8</v>
      </c>
      <c r="BL68">
        <v>0.1039072816155049</v>
      </c>
      <c r="BM68">
        <v>7.6769999999999996</v>
      </c>
      <c r="BN68">
        <v>5.4560000000000004</v>
      </c>
      <c r="BO68">
        <v>26.012989999999999</v>
      </c>
      <c r="BP68">
        <v>0</v>
      </c>
      <c r="BQ68">
        <v>0</v>
      </c>
      <c r="BS68">
        <v>0</v>
      </c>
      <c r="BT68">
        <v>0</v>
      </c>
      <c r="BU68">
        <v>0</v>
      </c>
      <c r="BV68">
        <v>549.16469424000002</v>
      </c>
      <c r="BW68">
        <v>0.1019730521414883</v>
      </c>
      <c r="BX68">
        <v>7</v>
      </c>
      <c r="BY68">
        <v>5.0986526070744151E-2</v>
      </c>
      <c r="BZ68">
        <v>5.1199399304575573E-2</v>
      </c>
      <c r="CA68">
        <v>5.1953640807752437E-2</v>
      </c>
      <c r="CC68">
        <v>0.5427586112667282</v>
      </c>
      <c r="CD68">
        <v>0.5507542338010617</v>
      </c>
      <c r="CF68">
        <v>0.54050196797912087</v>
      </c>
    </row>
    <row r="69" spans="1:84" x14ac:dyDescent="0.3">
      <c r="A69" s="1">
        <v>312</v>
      </c>
      <c r="B69" t="s">
        <v>743</v>
      </c>
      <c r="C69" t="s">
        <v>744</v>
      </c>
      <c r="E69" t="s">
        <v>690</v>
      </c>
      <c r="F69">
        <v>2.98</v>
      </c>
      <c r="G69" t="s">
        <v>692</v>
      </c>
      <c r="H69" t="s">
        <v>693</v>
      </c>
      <c r="I69">
        <v>-1</v>
      </c>
      <c r="J69">
        <v>4</v>
      </c>
      <c r="K69">
        <v>13.003</v>
      </c>
      <c r="L69">
        <v>5.5149999999999997</v>
      </c>
      <c r="M69">
        <v>7.7569999999999997</v>
      </c>
      <c r="N69" t="s">
        <v>730</v>
      </c>
      <c r="O69">
        <v>13.003</v>
      </c>
      <c r="Q69" t="s">
        <v>87</v>
      </c>
      <c r="R69">
        <v>1423</v>
      </c>
      <c r="S69">
        <v>10</v>
      </c>
      <c r="T69" t="b">
        <v>0</v>
      </c>
      <c r="U69" t="s">
        <v>172</v>
      </c>
      <c r="V69" t="s">
        <v>173</v>
      </c>
      <c r="W69">
        <v>1</v>
      </c>
      <c r="Y69">
        <v>6.67</v>
      </c>
      <c r="Z69">
        <v>0</v>
      </c>
      <c r="AC69" t="s">
        <v>90</v>
      </c>
      <c r="AD69">
        <v>500</v>
      </c>
      <c r="AE69">
        <v>360</v>
      </c>
      <c r="AF69" t="s">
        <v>91</v>
      </c>
      <c r="AH69">
        <v>20</v>
      </c>
      <c r="AI69" t="s">
        <v>745</v>
      </c>
      <c r="AL69" t="b">
        <v>1</v>
      </c>
      <c r="AM69" t="b">
        <v>0</v>
      </c>
      <c r="AN69" t="b">
        <v>0</v>
      </c>
      <c r="AO69" t="b">
        <v>0</v>
      </c>
      <c r="AP69" t="s">
        <v>753</v>
      </c>
      <c r="AQ69" t="s">
        <v>693</v>
      </c>
      <c r="AS69">
        <v>2.9957322735539909</v>
      </c>
      <c r="AT69">
        <v>2</v>
      </c>
      <c r="AU69">
        <v>2.545454545454545</v>
      </c>
      <c r="AV69">
        <v>0.45454545454545447</v>
      </c>
      <c r="AW69">
        <v>0.27272727272727271</v>
      </c>
      <c r="AX69">
        <v>0.37931034482758619</v>
      </c>
      <c r="AY69">
        <v>0.48275862068965519</v>
      </c>
      <c r="AZ69">
        <v>8.6206896551724144E-2</v>
      </c>
      <c r="BA69">
        <v>5.1724137931034482E-2</v>
      </c>
      <c r="BB69">
        <v>5.9579721205909086</v>
      </c>
      <c r="BC69">
        <v>14</v>
      </c>
      <c r="BD69">
        <v>288.33429290182369</v>
      </c>
      <c r="BE69">
        <v>2</v>
      </c>
      <c r="BF69">
        <v>9.7109503410799117E-2</v>
      </c>
      <c r="BG69">
        <v>7.41544296</v>
      </c>
      <c r="BH69">
        <v>7.4154429599999991</v>
      </c>
      <c r="BI69">
        <v>7.41544296</v>
      </c>
      <c r="BJ69">
        <v>556.51188553357167</v>
      </c>
      <c r="BK69">
        <v>4</v>
      </c>
      <c r="BL69">
        <v>0.10062678166578309</v>
      </c>
      <c r="BM69">
        <v>7.8</v>
      </c>
      <c r="BN69">
        <v>13.010999999999999</v>
      </c>
      <c r="BO69">
        <v>5.5460000000000003</v>
      </c>
      <c r="BP69">
        <v>0</v>
      </c>
      <c r="BQ69">
        <v>0</v>
      </c>
      <c r="BS69">
        <v>0</v>
      </c>
      <c r="BT69">
        <v>0</v>
      </c>
      <c r="BU69">
        <v>0</v>
      </c>
      <c r="BV69">
        <v>556.266454565</v>
      </c>
      <c r="BW69">
        <v>0.1006711793250088</v>
      </c>
      <c r="BX69">
        <v>7</v>
      </c>
      <c r="BY69">
        <v>5.0335589662504419E-2</v>
      </c>
      <c r="BZ69">
        <v>4.8554751705399558E-2</v>
      </c>
      <c r="CA69">
        <v>5.0313390832891547E-2</v>
      </c>
      <c r="CC69">
        <v>0.51957358121521546</v>
      </c>
      <c r="CD69">
        <v>0.53839238673769541</v>
      </c>
      <c r="CF69">
        <v>0.53862993146803873</v>
      </c>
    </row>
    <row r="70" spans="1:84" x14ac:dyDescent="0.3">
      <c r="A70" s="1">
        <v>370</v>
      </c>
      <c r="B70" t="s">
        <v>809</v>
      </c>
      <c r="C70" t="s">
        <v>810</v>
      </c>
      <c r="G70">
        <v>-1</v>
      </c>
      <c r="H70">
        <v>-1</v>
      </c>
      <c r="I70" t="s">
        <v>811</v>
      </c>
      <c r="O70">
        <v>0</v>
      </c>
      <c r="Q70" t="s">
        <v>87</v>
      </c>
      <c r="R70">
        <v>1273</v>
      </c>
      <c r="S70">
        <v>10</v>
      </c>
      <c r="T70" t="b">
        <v>0</v>
      </c>
      <c r="U70" t="s">
        <v>172</v>
      </c>
      <c r="V70" t="s">
        <v>173</v>
      </c>
      <c r="W70">
        <v>1</v>
      </c>
      <c r="X70">
        <v>2</v>
      </c>
      <c r="Y70">
        <v>2</v>
      </c>
      <c r="Z70">
        <v>0</v>
      </c>
      <c r="AC70" t="s">
        <v>90</v>
      </c>
      <c r="AD70">
        <v>450</v>
      </c>
      <c r="AF70" t="s">
        <v>91</v>
      </c>
      <c r="AH70">
        <v>8</v>
      </c>
      <c r="AL70" t="b">
        <v>0</v>
      </c>
      <c r="AM70" t="b">
        <v>0</v>
      </c>
      <c r="AN70" t="b">
        <v>1</v>
      </c>
      <c r="AO70" t="b">
        <v>0</v>
      </c>
      <c r="AR70" t="s">
        <v>811</v>
      </c>
      <c r="AS70">
        <v>2.0794415416798362</v>
      </c>
      <c r="AT70">
        <v>2</v>
      </c>
      <c r="AU70">
        <v>2.4</v>
      </c>
      <c r="AV70">
        <v>0.4</v>
      </c>
      <c r="AW70">
        <v>0</v>
      </c>
      <c r="AX70">
        <v>0.41666666666666669</v>
      </c>
      <c r="AY70">
        <v>0.5</v>
      </c>
      <c r="AZ70">
        <v>8.3333333333333343E-2</v>
      </c>
      <c r="BA70">
        <v>0</v>
      </c>
      <c r="BB70">
        <v>5.7888102387</v>
      </c>
      <c r="BC70">
        <v>6</v>
      </c>
      <c r="BD70">
        <v>0</v>
      </c>
      <c r="BE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M70">
        <v>0</v>
      </c>
      <c r="BN70">
        <v>0</v>
      </c>
      <c r="BO70">
        <v>0</v>
      </c>
      <c r="BP70">
        <v>59.319000000000003</v>
      </c>
      <c r="BQ70">
        <v>1</v>
      </c>
      <c r="BR70">
        <v>0.101148030142113</v>
      </c>
      <c r="BS70">
        <v>3.9</v>
      </c>
      <c r="BT70">
        <v>3.9</v>
      </c>
      <c r="BU70">
        <v>3.9</v>
      </c>
      <c r="BX70">
        <v>3</v>
      </c>
      <c r="CB70">
        <v>5.0574015071056487E-2</v>
      </c>
      <c r="CE70">
        <v>0.61537766415369632</v>
      </c>
    </row>
    <row r="71" spans="1:84" x14ac:dyDescent="0.3">
      <c r="A71" s="1">
        <v>371</v>
      </c>
      <c r="B71" t="s">
        <v>463</v>
      </c>
      <c r="C71" t="s">
        <v>464</v>
      </c>
      <c r="F71">
        <v>3.31</v>
      </c>
      <c r="G71" t="s">
        <v>465</v>
      </c>
      <c r="H71" t="s">
        <v>466</v>
      </c>
      <c r="I71">
        <v>-1</v>
      </c>
      <c r="O71">
        <v>0</v>
      </c>
      <c r="Q71" t="s">
        <v>87</v>
      </c>
      <c r="R71">
        <v>1273</v>
      </c>
      <c r="S71">
        <v>10</v>
      </c>
      <c r="T71" t="b">
        <v>0</v>
      </c>
      <c r="U71" t="s">
        <v>172</v>
      </c>
      <c r="V71" t="s">
        <v>173</v>
      </c>
      <c r="W71">
        <v>1</v>
      </c>
      <c r="X71">
        <v>2</v>
      </c>
      <c r="Y71">
        <v>2</v>
      </c>
      <c r="Z71">
        <v>0</v>
      </c>
      <c r="AC71" t="s">
        <v>90</v>
      </c>
      <c r="AD71">
        <v>450</v>
      </c>
      <c r="AF71" t="s">
        <v>91</v>
      </c>
      <c r="AH71">
        <v>11</v>
      </c>
      <c r="AL71" t="b">
        <v>1</v>
      </c>
      <c r="AM71" t="b">
        <v>1</v>
      </c>
      <c r="AN71" t="b">
        <v>0</v>
      </c>
      <c r="AO71" t="b">
        <v>0</v>
      </c>
      <c r="AP71" t="s">
        <v>465</v>
      </c>
      <c r="AQ71" t="s">
        <v>466</v>
      </c>
      <c r="AS71">
        <v>2.3978952727983711</v>
      </c>
      <c r="AT71">
        <v>2</v>
      </c>
      <c r="AU71">
        <v>2.333333333333333</v>
      </c>
      <c r="AV71">
        <v>0.33333333333333331</v>
      </c>
      <c r="AW71">
        <v>0</v>
      </c>
      <c r="AX71">
        <v>0.42857142857142849</v>
      </c>
      <c r="AY71">
        <v>0.5</v>
      </c>
      <c r="AZ71">
        <v>7.1428571428571425E-2</v>
      </c>
      <c r="BA71">
        <v>0</v>
      </c>
      <c r="BB71">
        <v>5.6917627584583332</v>
      </c>
      <c r="BC71">
        <v>14</v>
      </c>
      <c r="BD71">
        <v>155.59136328639269</v>
      </c>
      <c r="BE71">
        <v>1</v>
      </c>
      <c r="BF71">
        <v>8.9979287437893268E-2</v>
      </c>
      <c r="BG71">
        <v>3.9086759899999999</v>
      </c>
      <c r="BH71">
        <v>3.908676100000001</v>
      </c>
      <c r="BI71">
        <v>10.552604730000001</v>
      </c>
      <c r="BJ71">
        <v>310.12474837798999</v>
      </c>
      <c r="BK71">
        <v>2</v>
      </c>
      <c r="BL71">
        <v>9.0286248183820222E-2</v>
      </c>
      <c r="BM71">
        <v>3.899</v>
      </c>
      <c r="BN71">
        <v>3.899</v>
      </c>
      <c r="BO71">
        <v>20.399989999999999</v>
      </c>
      <c r="BP71">
        <v>0</v>
      </c>
      <c r="BQ71">
        <v>0</v>
      </c>
      <c r="BS71">
        <v>0</v>
      </c>
      <c r="BT71">
        <v>0</v>
      </c>
      <c r="BU71">
        <v>0</v>
      </c>
      <c r="BX71">
        <v>7</v>
      </c>
      <c r="BZ71">
        <v>4.4989643718946627E-2</v>
      </c>
      <c r="CA71">
        <v>4.5143124091910111E-2</v>
      </c>
      <c r="CC71">
        <v>0.58499657192886356</v>
      </c>
      <c r="CD71">
        <v>0.5869922643731712</v>
      </c>
    </row>
    <row r="72" spans="1:84" x14ac:dyDescent="0.3">
      <c r="A72" s="1">
        <v>372</v>
      </c>
      <c r="B72" t="s">
        <v>289</v>
      </c>
      <c r="C72" t="s">
        <v>290</v>
      </c>
      <c r="F72">
        <v>4.18</v>
      </c>
      <c r="G72" t="s">
        <v>291</v>
      </c>
      <c r="H72" t="s">
        <v>292</v>
      </c>
      <c r="I72" t="s">
        <v>812</v>
      </c>
      <c r="O72">
        <v>0</v>
      </c>
      <c r="Q72" t="s">
        <v>87</v>
      </c>
      <c r="R72">
        <v>1273</v>
      </c>
      <c r="S72">
        <v>10</v>
      </c>
      <c r="T72" t="b">
        <v>0</v>
      </c>
      <c r="U72" t="s">
        <v>172</v>
      </c>
      <c r="V72" t="s">
        <v>173</v>
      </c>
      <c r="W72">
        <v>1</v>
      </c>
      <c r="X72">
        <v>2</v>
      </c>
      <c r="Y72">
        <v>2</v>
      </c>
      <c r="Z72">
        <v>0</v>
      </c>
      <c r="AC72" t="s">
        <v>90</v>
      </c>
      <c r="AD72">
        <v>450</v>
      </c>
      <c r="AF72" t="s">
        <v>91</v>
      </c>
      <c r="AH72">
        <v>402</v>
      </c>
      <c r="AL72" t="b">
        <v>1</v>
      </c>
      <c r="AM72" t="b">
        <v>0</v>
      </c>
      <c r="AN72" t="b">
        <v>1</v>
      </c>
      <c r="AO72" t="b">
        <v>0</v>
      </c>
      <c r="AP72" t="s">
        <v>291</v>
      </c>
      <c r="AQ72" t="s">
        <v>292</v>
      </c>
      <c r="AR72" t="s">
        <v>812</v>
      </c>
      <c r="AS72">
        <v>5.9964520886190211</v>
      </c>
      <c r="AT72">
        <v>1.8181818181818179</v>
      </c>
      <c r="AU72">
        <v>2.545454545454545</v>
      </c>
      <c r="AV72">
        <v>0.72727272727272729</v>
      </c>
      <c r="AW72">
        <v>0</v>
      </c>
      <c r="AX72">
        <v>0.35714285714285721</v>
      </c>
      <c r="AY72">
        <v>0.5</v>
      </c>
      <c r="AZ72">
        <v>0.1428571428571429</v>
      </c>
      <c r="BA72">
        <v>0</v>
      </c>
      <c r="BB72">
        <v>6.0182071251363629</v>
      </c>
      <c r="BC72">
        <v>14</v>
      </c>
      <c r="BD72">
        <v>1265.6493143942739</v>
      </c>
      <c r="BE72">
        <v>8</v>
      </c>
      <c r="BF72">
        <v>8.8492127105210025E-2</v>
      </c>
      <c r="BG72">
        <v>5.8017180100000001</v>
      </c>
      <c r="BH72">
        <v>7.9756520899999996</v>
      </c>
      <c r="BI72">
        <v>27.352093400000001</v>
      </c>
      <c r="BJ72">
        <v>1206.4392746112001</v>
      </c>
      <c r="BK72">
        <v>8</v>
      </c>
      <c r="BL72">
        <v>9.2835174017436004E-2</v>
      </c>
      <c r="BM72">
        <v>26.646989999999999</v>
      </c>
      <c r="BN72">
        <v>7.9359999999999999</v>
      </c>
      <c r="BO72">
        <v>5.7050000000000001</v>
      </c>
      <c r="BP72">
        <v>604.82261327999993</v>
      </c>
      <c r="BQ72">
        <v>4</v>
      </c>
      <c r="BR72">
        <v>9.2589130714388568E-2</v>
      </c>
      <c r="BS72">
        <v>3.9580000000000002</v>
      </c>
      <c r="BT72">
        <v>26.79</v>
      </c>
      <c r="BU72">
        <v>5.7039999999999997</v>
      </c>
      <c r="BX72">
        <v>7</v>
      </c>
      <c r="BZ72">
        <v>4.4246063552605013E-2</v>
      </c>
      <c r="CA72">
        <v>4.6417587008718002E-2</v>
      </c>
      <c r="CB72">
        <v>4.6294565357194277E-2</v>
      </c>
      <c r="CC72">
        <v>0.5176653673612065</v>
      </c>
      <c r="CD72">
        <v>0.54307152550012683</v>
      </c>
      <c r="CE72">
        <v>0.54163220992454597</v>
      </c>
    </row>
    <row r="73" spans="1:84" x14ac:dyDescent="0.3">
      <c r="A73" s="1">
        <v>373</v>
      </c>
      <c r="B73" t="s">
        <v>285</v>
      </c>
      <c r="C73" t="s">
        <v>286</v>
      </c>
      <c r="F73">
        <v>4.18</v>
      </c>
      <c r="G73" t="s">
        <v>287</v>
      </c>
      <c r="H73" t="s">
        <v>288</v>
      </c>
      <c r="I73" t="s">
        <v>813</v>
      </c>
      <c r="O73">
        <v>0</v>
      </c>
      <c r="Q73" t="s">
        <v>87</v>
      </c>
      <c r="R73">
        <v>1273</v>
      </c>
      <c r="S73">
        <v>10</v>
      </c>
      <c r="T73" t="b">
        <v>0</v>
      </c>
      <c r="U73" t="s">
        <v>172</v>
      </c>
      <c r="V73" t="s">
        <v>173</v>
      </c>
      <c r="W73">
        <v>1</v>
      </c>
      <c r="X73">
        <v>2</v>
      </c>
      <c r="Y73">
        <v>2</v>
      </c>
      <c r="Z73">
        <v>0</v>
      </c>
      <c r="AC73" t="s">
        <v>90</v>
      </c>
      <c r="AD73">
        <v>450</v>
      </c>
      <c r="AF73" t="s">
        <v>91</v>
      </c>
      <c r="AH73">
        <v>796</v>
      </c>
      <c r="AL73" t="b">
        <v>1</v>
      </c>
      <c r="AM73" t="b">
        <v>1</v>
      </c>
      <c r="AN73" t="b">
        <v>1</v>
      </c>
      <c r="AO73" t="b">
        <v>0</v>
      </c>
      <c r="AP73" t="s">
        <v>287</v>
      </c>
      <c r="AQ73" t="s">
        <v>288</v>
      </c>
      <c r="AR73" t="s">
        <v>813</v>
      </c>
      <c r="AS73">
        <v>6.6795991858443831</v>
      </c>
      <c r="AT73">
        <v>2</v>
      </c>
      <c r="AU73">
        <v>2.545454545454545</v>
      </c>
      <c r="AV73">
        <v>0.54545454545454541</v>
      </c>
      <c r="AW73">
        <v>2.545454545454545</v>
      </c>
      <c r="AX73">
        <v>0.26190476190476192</v>
      </c>
      <c r="AY73">
        <v>0.33333333333333331</v>
      </c>
      <c r="AZ73">
        <v>7.1428571428571425E-2</v>
      </c>
      <c r="BA73">
        <v>0.33333333333333331</v>
      </c>
      <c r="BB73">
        <v>6.0365865096818183</v>
      </c>
      <c r="BC73">
        <v>14</v>
      </c>
      <c r="BD73">
        <v>309.44138863753989</v>
      </c>
      <c r="BE73">
        <v>2</v>
      </c>
      <c r="BF73">
        <v>9.0485633235046756E-2</v>
      </c>
      <c r="BG73">
        <v>13.81974189</v>
      </c>
      <c r="BH73">
        <v>13.81974189</v>
      </c>
      <c r="BI73">
        <v>5.7110870199999999</v>
      </c>
      <c r="BJ73">
        <v>608.87893199999996</v>
      </c>
      <c r="BK73">
        <v>4</v>
      </c>
      <c r="BL73">
        <v>9.1972306901891634E-2</v>
      </c>
      <c r="BM73">
        <v>3.94</v>
      </c>
      <c r="BN73">
        <v>27.15</v>
      </c>
      <c r="BO73">
        <v>5.6920000000000002</v>
      </c>
      <c r="BP73">
        <v>611.00400816000001</v>
      </c>
      <c r="BQ73">
        <v>4</v>
      </c>
      <c r="BR73">
        <v>9.1652426583322205E-2</v>
      </c>
      <c r="BS73">
        <v>3.948</v>
      </c>
      <c r="BT73">
        <v>27.18</v>
      </c>
      <c r="BU73">
        <v>5.694</v>
      </c>
      <c r="BX73">
        <v>7</v>
      </c>
      <c r="BZ73">
        <v>4.5242816617523378E-2</v>
      </c>
      <c r="CA73">
        <v>4.5986153450945817E-2</v>
      </c>
      <c r="CB73">
        <v>4.5826213291661103E-2</v>
      </c>
      <c r="CC73">
        <v>0.52932707238285004</v>
      </c>
      <c r="CD73">
        <v>0.53802388525275069</v>
      </c>
      <c r="CE73">
        <v>0.5361526344642259</v>
      </c>
    </row>
    <row r="74" spans="1:84" x14ac:dyDescent="0.3">
      <c r="A74" s="1">
        <v>374</v>
      </c>
      <c r="B74" t="s">
        <v>690</v>
      </c>
      <c r="C74" t="s">
        <v>691</v>
      </c>
      <c r="E74" t="s">
        <v>690</v>
      </c>
      <c r="F74">
        <v>3.82</v>
      </c>
      <c r="G74" t="s">
        <v>692</v>
      </c>
      <c r="H74" t="s">
        <v>693</v>
      </c>
      <c r="I74">
        <v>-1</v>
      </c>
      <c r="O74">
        <v>0</v>
      </c>
      <c r="Q74" t="s">
        <v>87</v>
      </c>
      <c r="R74">
        <v>1273</v>
      </c>
      <c r="S74">
        <v>10</v>
      </c>
      <c r="T74" t="b">
        <v>0</v>
      </c>
      <c r="U74" t="s">
        <v>172</v>
      </c>
      <c r="V74" t="s">
        <v>173</v>
      </c>
      <c r="W74">
        <v>1</v>
      </c>
      <c r="X74">
        <v>2</v>
      </c>
      <c r="Y74">
        <v>2</v>
      </c>
      <c r="Z74">
        <v>0</v>
      </c>
      <c r="AC74" t="s">
        <v>90</v>
      </c>
      <c r="AD74">
        <v>450</v>
      </c>
      <c r="AF74" t="s">
        <v>91</v>
      </c>
      <c r="AH74">
        <v>474</v>
      </c>
      <c r="AL74" t="b">
        <v>1</v>
      </c>
      <c r="AM74" t="b">
        <v>0</v>
      </c>
      <c r="AN74" t="b">
        <v>0</v>
      </c>
      <c r="AO74" t="b">
        <v>0</v>
      </c>
      <c r="AP74" t="s">
        <v>692</v>
      </c>
      <c r="AQ74" t="s">
        <v>693</v>
      </c>
      <c r="AS74">
        <v>6.1612073216950769</v>
      </c>
      <c r="AT74">
        <v>2</v>
      </c>
      <c r="AU74">
        <v>2.545454545454545</v>
      </c>
      <c r="AV74">
        <v>0.54545454545454541</v>
      </c>
      <c r="AW74">
        <v>0</v>
      </c>
      <c r="AX74">
        <v>0.39285714285714279</v>
      </c>
      <c r="AY74">
        <v>0.5</v>
      </c>
      <c r="AZ74">
        <v>0.1071428571428571</v>
      </c>
      <c r="BA74">
        <v>0</v>
      </c>
      <c r="BB74">
        <v>5.9831999205909083</v>
      </c>
      <c r="BC74">
        <v>14</v>
      </c>
      <c r="BD74">
        <v>288.33429290182369</v>
      </c>
      <c r="BE74">
        <v>2</v>
      </c>
      <c r="BF74">
        <v>9.7109503410799117E-2</v>
      </c>
      <c r="BG74">
        <v>7.41544296</v>
      </c>
      <c r="BH74">
        <v>7.4154429599999991</v>
      </c>
      <c r="BI74">
        <v>7.41544296</v>
      </c>
      <c r="BJ74">
        <v>556.51188553357167</v>
      </c>
      <c r="BK74">
        <v>4</v>
      </c>
      <c r="BL74">
        <v>0.10062678166578309</v>
      </c>
      <c r="BM74">
        <v>7.8</v>
      </c>
      <c r="BN74">
        <v>13.010999999999999</v>
      </c>
      <c r="BO74">
        <v>5.5460000000000003</v>
      </c>
      <c r="BP74">
        <v>0</v>
      </c>
      <c r="BQ74">
        <v>0</v>
      </c>
      <c r="BS74">
        <v>0</v>
      </c>
      <c r="BT74">
        <v>0</v>
      </c>
      <c r="BU74">
        <v>0</v>
      </c>
      <c r="BX74">
        <v>7</v>
      </c>
      <c r="BZ74">
        <v>4.8554751705399558E-2</v>
      </c>
      <c r="CA74">
        <v>5.0313390832891547E-2</v>
      </c>
      <c r="CC74">
        <v>0.52442413903612495</v>
      </c>
      <c r="CD74">
        <v>0.54341863036636617</v>
      </c>
    </row>
    <row r="75" spans="1:84" x14ac:dyDescent="0.3">
      <c r="A75" s="1">
        <v>375</v>
      </c>
      <c r="B75" t="s">
        <v>814</v>
      </c>
      <c r="C75" t="s">
        <v>815</v>
      </c>
      <c r="G75">
        <v>-1</v>
      </c>
      <c r="H75">
        <v>-1</v>
      </c>
      <c r="I75" t="s">
        <v>816</v>
      </c>
      <c r="Q75" t="s">
        <v>87</v>
      </c>
      <c r="R75">
        <v>1273</v>
      </c>
      <c r="S75">
        <v>10</v>
      </c>
      <c r="T75" t="b">
        <v>0</v>
      </c>
      <c r="U75" t="s">
        <v>172</v>
      </c>
      <c r="V75" t="s">
        <v>173</v>
      </c>
      <c r="W75">
        <v>1</v>
      </c>
      <c r="X75">
        <v>2</v>
      </c>
      <c r="Y75">
        <v>2</v>
      </c>
      <c r="Z75">
        <v>0</v>
      </c>
      <c r="AC75" t="s">
        <v>90</v>
      </c>
      <c r="AD75">
        <v>450</v>
      </c>
      <c r="AF75" t="s">
        <v>91</v>
      </c>
      <c r="AH75">
        <v>137</v>
      </c>
      <c r="AL75" t="b">
        <v>0</v>
      </c>
      <c r="AM75" t="b">
        <v>0</v>
      </c>
      <c r="AN75" t="b">
        <v>1</v>
      </c>
      <c r="AO75" t="b">
        <v>0</v>
      </c>
      <c r="AR75" t="s">
        <v>816</v>
      </c>
      <c r="AS75">
        <v>4.9199809258281251</v>
      </c>
      <c r="AT75">
        <v>2</v>
      </c>
      <c r="AU75">
        <v>2.4</v>
      </c>
      <c r="AV75">
        <v>0.6</v>
      </c>
      <c r="AW75">
        <v>0</v>
      </c>
      <c r="AX75">
        <v>0.4</v>
      </c>
      <c r="AY75">
        <v>0.48</v>
      </c>
      <c r="AZ75">
        <v>0.12</v>
      </c>
      <c r="BA75">
        <v>0</v>
      </c>
      <c r="BB75">
        <v>5.8275615136999992</v>
      </c>
      <c r="BC75">
        <v>6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M75">
        <v>0</v>
      </c>
      <c r="BN75">
        <v>0</v>
      </c>
      <c r="BO75">
        <v>0</v>
      </c>
      <c r="BP75">
        <v>247.67744579999999</v>
      </c>
      <c r="BQ75">
        <v>4</v>
      </c>
      <c r="BR75">
        <v>9.6900224089762482E-2</v>
      </c>
      <c r="BS75">
        <v>5.5949999999999998</v>
      </c>
      <c r="BT75">
        <v>7.9119999999999999</v>
      </c>
      <c r="BU75">
        <v>5.5949999999999998</v>
      </c>
      <c r="BX75">
        <v>3</v>
      </c>
      <c r="CB75">
        <v>4.8450112044881241E-2</v>
      </c>
      <c r="CE75">
        <v>0.5428477836807909</v>
      </c>
    </row>
    <row r="76" spans="1:84" x14ac:dyDescent="0.3">
      <c r="A76" s="1">
        <v>376</v>
      </c>
      <c r="B76" t="s">
        <v>690</v>
      </c>
      <c r="C76" t="s">
        <v>691</v>
      </c>
      <c r="E76" t="s">
        <v>690</v>
      </c>
      <c r="F76">
        <v>3.82</v>
      </c>
      <c r="G76" t="s">
        <v>692</v>
      </c>
      <c r="H76" t="s">
        <v>693</v>
      </c>
      <c r="I76">
        <v>-1</v>
      </c>
      <c r="O76">
        <v>0</v>
      </c>
      <c r="Q76" t="s">
        <v>467</v>
      </c>
      <c r="R76">
        <v>1523</v>
      </c>
      <c r="S76">
        <v>2</v>
      </c>
      <c r="T76" t="b">
        <v>0</v>
      </c>
      <c r="U76" t="s">
        <v>125</v>
      </c>
      <c r="V76" t="s">
        <v>126</v>
      </c>
      <c r="W76">
        <v>1</v>
      </c>
      <c r="Y76">
        <v>2</v>
      </c>
      <c r="Z76">
        <v>0</v>
      </c>
      <c r="AC76" t="s">
        <v>90</v>
      </c>
      <c r="AD76">
        <v>450</v>
      </c>
      <c r="AE76">
        <v>200</v>
      </c>
      <c r="AF76" t="s">
        <v>91</v>
      </c>
      <c r="AH76">
        <v>120</v>
      </c>
      <c r="AL76" t="b">
        <v>1</v>
      </c>
      <c r="AM76" t="b">
        <v>0</v>
      </c>
      <c r="AN76" t="b">
        <v>0</v>
      </c>
      <c r="AO76" t="b">
        <v>0</v>
      </c>
      <c r="AP76" t="s">
        <v>692</v>
      </c>
      <c r="AQ76" t="s">
        <v>693</v>
      </c>
      <c r="AS76">
        <v>4.7874917427820458</v>
      </c>
      <c r="AT76">
        <v>2</v>
      </c>
      <c r="AU76">
        <v>2.545454545454545</v>
      </c>
      <c r="AV76">
        <v>0.54545454545454541</v>
      </c>
      <c r="AW76">
        <v>0</v>
      </c>
      <c r="AX76">
        <v>0.39285714285714279</v>
      </c>
      <c r="AY76">
        <v>0.5</v>
      </c>
      <c r="AZ76">
        <v>0.1071428571428571</v>
      </c>
      <c r="BA76">
        <v>0</v>
      </c>
      <c r="BB76">
        <v>5.9831999205909083</v>
      </c>
      <c r="BC76">
        <v>14</v>
      </c>
      <c r="BD76">
        <v>288.33429290182369</v>
      </c>
      <c r="BE76">
        <v>2</v>
      </c>
      <c r="BF76">
        <v>9.7109503410799117E-2</v>
      </c>
      <c r="BG76">
        <v>7.41544296</v>
      </c>
      <c r="BH76">
        <v>7.4154429599999991</v>
      </c>
      <c r="BI76">
        <v>7.41544296</v>
      </c>
      <c r="BJ76">
        <v>556.51188553357167</v>
      </c>
      <c r="BK76">
        <v>4</v>
      </c>
      <c r="BL76">
        <v>0.10062678166578309</v>
      </c>
      <c r="BM76">
        <v>7.8</v>
      </c>
      <c r="BN76">
        <v>13.010999999999999</v>
      </c>
      <c r="BO76">
        <v>5.5460000000000003</v>
      </c>
      <c r="BP76">
        <v>0</v>
      </c>
      <c r="BQ76">
        <v>0</v>
      </c>
      <c r="BS76">
        <v>0</v>
      </c>
      <c r="BT76">
        <v>0</v>
      </c>
      <c r="BU76">
        <v>0</v>
      </c>
      <c r="BX76">
        <v>7</v>
      </c>
      <c r="BZ76">
        <v>4.8554751705399558E-2</v>
      </c>
      <c r="CA76">
        <v>5.0313390832891547E-2</v>
      </c>
      <c r="CC76">
        <v>0.52442413903612495</v>
      </c>
      <c r="CD76">
        <v>0.54341863036636617</v>
      </c>
    </row>
    <row r="77" spans="1:84" x14ac:dyDescent="0.3">
      <c r="A77" s="1">
        <v>377</v>
      </c>
      <c r="B77" t="s">
        <v>690</v>
      </c>
      <c r="C77" t="s">
        <v>691</v>
      </c>
      <c r="E77" t="s">
        <v>690</v>
      </c>
      <c r="F77">
        <v>3.82</v>
      </c>
      <c r="G77" t="s">
        <v>692</v>
      </c>
      <c r="H77" t="s">
        <v>693</v>
      </c>
      <c r="I77">
        <v>-1</v>
      </c>
      <c r="O77">
        <v>0</v>
      </c>
      <c r="Q77" t="s">
        <v>467</v>
      </c>
      <c r="R77">
        <v>1523</v>
      </c>
      <c r="S77">
        <v>2</v>
      </c>
      <c r="T77" t="b">
        <v>0</v>
      </c>
      <c r="U77" t="s">
        <v>172</v>
      </c>
      <c r="V77" t="s">
        <v>173</v>
      </c>
      <c r="W77">
        <v>1</v>
      </c>
      <c r="Y77">
        <v>2</v>
      </c>
      <c r="Z77">
        <v>0</v>
      </c>
      <c r="AC77" t="s">
        <v>90</v>
      </c>
      <c r="AD77">
        <v>450</v>
      </c>
      <c r="AE77">
        <v>200</v>
      </c>
      <c r="AF77" t="s">
        <v>91</v>
      </c>
      <c r="AH77">
        <v>400</v>
      </c>
      <c r="AL77" t="b">
        <v>1</v>
      </c>
      <c r="AM77" t="b">
        <v>0</v>
      </c>
      <c r="AN77" t="b">
        <v>0</v>
      </c>
      <c r="AO77" t="b">
        <v>0</v>
      </c>
      <c r="AP77" t="s">
        <v>692</v>
      </c>
      <c r="AQ77" t="s">
        <v>693</v>
      </c>
      <c r="AS77">
        <v>5.9914645471079817</v>
      </c>
      <c r="AT77">
        <v>2</v>
      </c>
      <c r="AU77">
        <v>2.545454545454545</v>
      </c>
      <c r="AV77">
        <v>0.54545454545454541</v>
      </c>
      <c r="AW77">
        <v>0</v>
      </c>
      <c r="AX77">
        <v>0.39285714285714279</v>
      </c>
      <c r="AY77">
        <v>0.5</v>
      </c>
      <c r="AZ77">
        <v>0.1071428571428571</v>
      </c>
      <c r="BA77">
        <v>0</v>
      </c>
      <c r="BB77">
        <v>5.9831999205909083</v>
      </c>
      <c r="BC77">
        <v>14</v>
      </c>
      <c r="BD77">
        <v>288.33429290182369</v>
      </c>
      <c r="BE77">
        <v>2</v>
      </c>
      <c r="BF77">
        <v>9.7109503410799117E-2</v>
      </c>
      <c r="BG77">
        <v>7.41544296</v>
      </c>
      <c r="BH77">
        <v>7.4154429599999991</v>
      </c>
      <c r="BI77">
        <v>7.41544296</v>
      </c>
      <c r="BJ77">
        <v>556.51188553357167</v>
      </c>
      <c r="BK77">
        <v>4</v>
      </c>
      <c r="BL77">
        <v>0.10062678166578309</v>
      </c>
      <c r="BM77">
        <v>7.8</v>
      </c>
      <c r="BN77">
        <v>13.010999999999999</v>
      </c>
      <c r="BO77">
        <v>5.5460000000000003</v>
      </c>
      <c r="BP77">
        <v>0</v>
      </c>
      <c r="BQ77">
        <v>0</v>
      </c>
      <c r="BS77">
        <v>0</v>
      </c>
      <c r="BT77">
        <v>0</v>
      </c>
      <c r="BU77">
        <v>0</v>
      </c>
      <c r="BX77">
        <v>7</v>
      </c>
      <c r="BZ77">
        <v>4.8554751705399558E-2</v>
      </c>
      <c r="CA77">
        <v>5.0313390832891547E-2</v>
      </c>
      <c r="CC77">
        <v>0.52442413903612495</v>
      </c>
      <c r="CD77">
        <v>0.54341863036636617</v>
      </c>
    </row>
    <row r="78" spans="1:84" x14ac:dyDescent="0.3">
      <c r="A78" s="1">
        <v>393</v>
      </c>
      <c r="B78" t="s">
        <v>690</v>
      </c>
      <c r="C78" t="s">
        <v>691</v>
      </c>
      <c r="E78" t="s">
        <v>690</v>
      </c>
      <c r="F78">
        <v>3.87</v>
      </c>
      <c r="G78" t="s">
        <v>692</v>
      </c>
      <c r="H78" t="s">
        <v>693</v>
      </c>
      <c r="I78">
        <v>-1</v>
      </c>
      <c r="O78">
        <v>0</v>
      </c>
      <c r="Q78" t="s">
        <v>467</v>
      </c>
      <c r="R78">
        <v>1073</v>
      </c>
      <c r="S78">
        <v>2</v>
      </c>
      <c r="T78" t="b">
        <v>0</v>
      </c>
      <c r="U78" t="s">
        <v>172</v>
      </c>
      <c r="V78" t="s">
        <v>173</v>
      </c>
      <c r="W78">
        <v>1</v>
      </c>
      <c r="X78">
        <v>19</v>
      </c>
      <c r="Y78">
        <v>0.6</v>
      </c>
      <c r="Z78">
        <v>0</v>
      </c>
      <c r="AC78" t="s">
        <v>90</v>
      </c>
      <c r="AD78">
        <v>450</v>
      </c>
      <c r="AF78" t="s">
        <v>91</v>
      </c>
      <c r="AH78">
        <v>2</v>
      </c>
      <c r="AL78" t="b">
        <v>1</v>
      </c>
      <c r="AM78" t="b">
        <v>0</v>
      </c>
      <c r="AN78" t="b">
        <v>0</v>
      </c>
      <c r="AO78" t="b">
        <v>0</v>
      </c>
      <c r="AP78" t="s">
        <v>692</v>
      </c>
      <c r="AQ78" t="s">
        <v>693</v>
      </c>
      <c r="AS78">
        <v>0.69314718055994529</v>
      </c>
      <c r="AT78">
        <v>2</v>
      </c>
      <c r="AU78">
        <v>2.545454545454545</v>
      </c>
      <c r="AV78">
        <v>0.54545454545454541</v>
      </c>
      <c r="AW78">
        <v>0</v>
      </c>
      <c r="AX78">
        <v>0.39285714285714279</v>
      </c>
      <c r="AY78">
        <v>0.5</v>
      </c>
      <c r="AZ78">
        <v>0.1071428571428571</v>
      </c>
      <c r="BA78">
        <v>0</v>
      </c>
      <c r="BB78">
        <v>5.9831999205909083</v>
      </c>
      <c r="BC78">
        <v>14</v>
      </c>
      <c r="BD78">
        <v>288.33429290182369</v>
      </c>
      <c r="BE78">
        <v>2</v>
      </c>
      <c r="BF78">
        <v>9.7109503410799117E-2</v>
      </c>
      <c r="BG78">
        <v>7.41544296</v>
      </c>
      <c r="BH78">
        <v>7.4154429599999991</v>
      </c>
      <c r="BI78">
        <v>7.41544296</v>
      </c>
      <c r="BJ78">
        <v>556.51188553357167</v>
      </c>
      <c r="BK78">
        <v>4</v>
      </c>
      <c r="BL78">
        <v>0.10062678166578309</v>
      </c>
      <c r="BM78">
        <v>7.8</v>
      </c>
      <c r="BN78">
        <v>13.010999999999999</v>
      </c>
      <c r="BO78">
        <v>5.5460000000000003</v>
      </c>
      <c r="BP78">
        <v>0</v>
      </c>
      <c r="BQ78">
        <v>0</v>
      </c>
      <c r="BS78">
        <v>0</v>
      </c>
      <c r="BT78">
        <v>0</v>
      </c>
      <c r="BU78">
        <v>0</v>
      </c>
      <c r="BX78">
        <v>7</v>
      </c>
      <c r="BZ78">
        <v>4.8554751705399558E-2</v>
      </c>
      <c r="CA78">
        <v>5.0313390832891547E-2</v>
      </c>
      <c r="CC78">
        <v>0.52442413903612495</v>
      </c>
      <c r="CD78">
        <v>0.54341863036636617</v>
      </c>
    </row>
    <row r="79" spans="1:84" x14ac:dyDescent="0.3">
      <c r="A79" s="1">
        <v>394</v>
      </c>
      <c r="B79" t="s">
        <v>690</v>
      </c>
      <c r="C79" t="s">
        <v>691</v>
      </c>
      <c r="E79" t="s">
        <v>690</v>
      </c>
      <c r="F79">
        <v>3.87</v>
      </c>
      <c r="G79" t="s">
        <v>692</v>
      </c>
      <c r="H79" t="s">
        <v>693</v>
      </c>
      <c r="I79">
        <v>-1</v>
      </c>
      <c r="O79">
        <v>0</v>
      </c>
      <c r="Q79" t="s">
        <v>467</v>
      </c>
      <c r="R79">
        <v>1123</v>
      </c>
      <c r="S79">
        <v>2</v>
      </c>
      <c r="T79" t="b">
        <v>0</v>
      </c>
      <c r="U79" t="s">
        <v>172</v>
      </c>
      <c r="V79" t="s">
        <v>173</v>
      </c>
      <c r="W79">
        <v>1</v>
      </c>
      <c r="X79">
        <v>17</v>
      </c>
      <c r="Y79">
        <v>0.6</v>
      </c>
      <c r="Z79">
        <v>0</v>
      </c>
      <c r="AC79" t="s">
        <v>90</v>
      </c>
      <c r="AD79">
        <v>450</v>
      </c>
      <c r="AF79" t="s">
        <v>91</v>
      </c>
      <c r="AH79">
        <v>7</v>
      </c>
      <c r="AL79" t="b">
        <v>1</v>
      </c>
      <c r="AM79" t="b">
        <v>0</v>
      </c>
      <c r="AN79" t="b">
        <v>0</v>
      </c>
      <c r="AO79" t="b">
        <v>0</v>
      </c>
      <c r="AP79" t="s">
        <v>692</v>
      </c>
      <c r="AQ79" t="s">
        <v>693</v>
      </c>
      <c r="AS79">
        <v>1.945910149055313</v>
      </c>
      <c r="AT79">
        <v>2</v>
      </c>
      <c r="AU79">
        <v>2.545454545454545</v>
      </c>
      <c r="AV79">
        <v>0.54545454545454541</v>
      </c>
      <c r="AW79">
        <v>0</v>
      </c>
      <c r="AX79">
        <v>0.39285714285714279</v>
      </c>
      <c r="AY79">
        <v>0.5</v>
      </c>
      <c r="AZ79">
        <v>0.1071428571428571</v>
      </c>
      <c r="BA79">
        <v>0</v>
      </c>
      <c r="BB79">
        <v>5.9831999205909083</v>
      </c>
      <c r="BC79">
        <v>14</v>
      </c>
      <c r="BD79">
        <v>288.33429290182369</v>
      </c>
      <c r="BE79">
        <v>2</v>
      </c>
      <c r="BF79">
        <v>9.7109503410799117E-2</v>
      </c>
      <c r="BG79">
        <v>7.41544296</v>
      </c>
      <c r="BH79">
        <v>7.4154429599999991</v>
      </c>
      <c r="BI79">
        <v>7.41544296</v>
      </c>
      <c r="BJ79">
        <v>556.51188553357167</v>
      </c>
      <c r="BK79">
        <v>4</v>
      </c>
      <c r="BL79">
        <v>0.10062678166578309</v>
      </c>
      <c r="BM79">
        <v>7.8</v>
      </c>
      <c r="BN79">
        <v>13.010999999999999</v>
      </c>
      <c r="BO79">
        <v>5.5460000000000003</v>
      </c>
      <c r="BP79">
        <v>0</v>
      </c>
      <c r="BQ79">
        <v>0</v>
      </c>
      <c r="BS79">
        <v>0</v>
      </c>
      <c r="BT79">
        <v>0</v>
      </c>
      <c r="BU79">
        <v>0</v>
      </c>
      <c r="BX79">
        <v>7</v>
      </c>
      <c r="BZ79">
        <v>4.8554751705399558E-2</v>
      </c>
      <c r="CA79">
        <v>5.0313390832891547E-2</v>
      </c>
      <c r="CC79">
        <v>0.52442413903612495</v>
      </c>
      <c r="CD79">
        <v>0.54341863036636617</v>
      </c>
    </row>
    <row r="80" spans="1:84" x14ac:dyDescent="0.3">
      <c r="A80" s="1">
        <v>395</v>
      </c>
      <c r="B80" t="s">
        <v>690</v>
      </c>
      <c r="C80" t="s">
        <v>691</v>
      </c>
      <c r="E80" t="s">
        <v>690</v>
      </c>
      <c r="F80">
        <v>3.87</v>
      </c>
      <c r="G80" t="s">
        <v>692</v>
      </c>
      <c r="H80" t="s">
        <v>693</v>
      </c>
      <c r="I80">
        <v>-1</v>
      </c>
      <c r="O80">
        <v>0</v>
      </c>
      <c r="Q80" t="s">
        <v>467</v>
      </c>
      <c r="R80">
        <v>1173</v>
      </c>
      <c r="S80">
        <v>2</v>
      </c>
      <c r="T80" t="b">
        <v>0</v>
      </c>
      <c r="U80" t="s">
        <v>172</v>
      </c>
      <c r="V80" t="s">
        <v>173</v>
      </c>
      <c r="W80">
        <v>1</v>
      </c>
      <c r="X80">
        <v>12</v>
      </c>
      <c r="Y80">
        <v>0.6</v>
      </c>
      <c r="Z80">
        <v>0</v>
      </c>
      <c r="AC80" t="s">
        <v>90</v>
      </c>
      <c r="AD80">
        <v>450</v>
      </c>
      <c r="AF80" t="s">
        <v>91</v>
      </c>
      <c r="AH80">
        <v>11</v>
      </c>
      <c r="AL80" t="b">
        <v>1</v>
      </c>
      <c r="AM80" t="b">
        <v>0</v>
      </c>
      <c r="AN80" t="b">
        <v>0</v>
      </c>
      <c r="AO80" t="b">
        <v>0</v>
      </c>
      <c r="AP80" t="s">
        <v>692</v>
      </c>
      <c r="AQ80" t="s">
        <v>693</v>
      </c>
      <c r="AS80">
        <v>2.3978952727983711</v>
      </c>
      <c r="AT80">
        <v>2</v>
      </c>
      <c r="AU80">
        <v>2.545454545454545</v>
      </c>
      <c r="AV80">
        <v>0.54545454545454541</v>
      </c>
      <c r="AW80">
        <v>0</v>
      </c>
      <c r="AX80">
        <v>0.39285714285714279</v>
      </c>
      <c r="AY80">
        <v>0.5</v>
      </c>
      <c r="AZ80">
        <v>0.1071428571428571</v>
      </c>
      <c r="BA80">
        <v>0</v>
      </c>
      <c r="BB80">
        <v>5.9831999205909083</v>
      </c>
      <c r="BC80">
        <v>14</v>
      </c>
      <c r="BD80">
        <v>288.33429290182369</v>
      </c>
      <c r="BE80">
        <v>2</v>
      </c>
      <c r="BF80">
        <v>9.7109503410799117E-2</v>
      </c>
      <c r="BG80">
        <v>7.41544296</v>
      </c>
      <c r="BH80">
        <v>7.4154429599999991</v>
      </c>
      <c r="BI80">
        <v>7.41544296</v>
      </c>
      <c r="BJ80">
        <v>556.51188553357167</v>
      </c>
      <c r="BK80">
        <v>4</v>
      </c>
      <c r="BL80">
        <v>0.10062678166578309</v>
      </c>
      <c r="BM80">
        <v>7.8</v>
      </c>
      <c r="BN80">
        <v>13.010999999999999</v>
      </c>
      <c r="BO80">
        <v>5.5460000000000003</v>
      </c>
      <c r="BP80">
        <v>0</v>
      </c>
      <c r="BQ80">
        <v>0</v>
      </c>
      <c r="BS80">
        <v>0</v>
      </c>
      <c r="BT80">
        <v>0</v>
      </c>
      <c r="BU80">
        <v>0</v>
      </c>
      <c r="BX80">
        <v>7</v>
      </c>
      <c r="BZ80">
        <v>4.8554751705399558E-2</v>
      </c>
      <c r="CA80">
        <v>5.0313390832891547E-2</v>
      </c>
      <c r="CC80">
        <v>0.52442413903612495</v>
      </c>
      <c r="CD80">
        <v>0.54341863036636617</v>
      </c>
    </row>
    <row r="81" spans="1:84" x14ac:dyDescent="0.3">
      <c r="A81" s="1">
        <v>396</v>
      </c>
      <c r="B81" t="s">
        <v>690</v>
      </c>
      <c r="C81" t="s">
        <v>691</v>
      </c>
      <c r="E81" t="s">
        <v>690</v>
      </c>
      <c r="F81">
        <v>3.87</v>
      </c>
      <c r="G81" t="s">
        <v>692</v>
      </c>
      <c r="H81" t="s">
        <v>693</v>
      </c>
      <c r="I81">
        <v>-1</v>
      </c>
      <c r="O81">
        <v>0</v>
      </c>
      <c r="Q81" t="s">
        <v>467</v>
      </c>
      <c r="R81">
        <v>1223</v>
      </c>
      <c r="S81">
        <v>2</v>
      </c>
      <c r="T81" t="b">
        <v>0</v>
      </c>
      <c r="U81" t="s">
        <v>172</v>
      </c>
      <c r="V81" t="s">
        <v>173</v>
      </c>
      <c r="W81">
        <v>1</v>
      </c>
      <c r="X81">
        <v>8</v>
      </c>
      <c r="Y81">
        <v>0.6</v>
      </c>
      <c r="Z81">
        <v>0</v>
      </c>
      <c r="AC81" t="s">
        <v>90</v>
      </c>
      <c r="AD81">
        <v>450</v>
      </c>
      <c r="AF81" t="s">
        <v>91</v>
      </c>
      <c r="AH81">
        <v>18</v>
      </c>
      <c r="AL81" t="b">
        <v>1</v>
      </c>
      <c r="AM81" t="b">
        <v>0</v>
      </c>
      <c r="AN81" t="b">
        <v>0</v>
      </c>
      <c r="AO81" t="b">
        <v>0</v>
      </c>
      <c r="AP81" t="s">
        <v>692</v>
      </c>
      <c r="AQ81" t="s">
        <v>693</v>
      </c>
      <c r="AS81">
        <v>2.890371757896165</v>
      </c>
      <c r="AT81">
        <v>2</v>
      </c>
      <c r="AU81">
        <v>2.545454545454545</v>
      </c>
      <c r="AV81">
        <v>0.54545454545454541</v>
      </c>
      <c r="AW81">
        <v>0</v>
      </c>
      <c r="AX81">
        <v>0.39285714285714279</v>
      </c>
      <c r="AY81">
        <v>0.5</v>
      </c>
      <c r="AZ81">
        <v>0.1071428571428571</v>
      </c>
      <c r="BA81">
        <v>0</v>
      </c>
      <c r="BB81">
        <v>5.9831999205909083</v>
      </c>
      <c r="BC81">
        <v>14</v>
      </c>
      <c r="BD81">
        <v>288.33429290182369</v>
      </c>
      <c r="BE81">
        <v>2</v>
      </c>
      <c r="BF81">
        <v>9.7109503410799117E-2</v>
      </c>
      <c r="BG81">
        <v>7.41544296</v>
      </c>
      <c r="BH81">
        <v>7.4154429599999991</v>
      </c>
      <c r="BI81">
        <v>7.41544296</v>
      </c>
      <c r="BJ81">
        <v>556.51188553357167</v>
      </c>
      <c r="BK81">
        <v>4</v>
      </c>
      <c r="BL81">
        <v>0.10062678166578309</v>
      </c>
      <c r="BM81">
        <v>7.8</v>
      </c>
      <c r="BN81">
        <v>13.010999999999999</v>
      </c>
      <c r="BO81">
        <v>5.5460000000000003</v>
      </c>
      <c r="BP81">
        <v>0</v>
      </c>
      <c r="BQ81">
        <v>0</v>
      </c>
      <c r="BS81">
        <v>0</v>
      </c>
      <c r="BT81">
        <v>0</v>
      </c>
      <c r="BU81">
        <v>0</v>
      </c>
      <c r="BX81">
        <v>7</v>
      </c>
      <c r="BZ81">
        <v>4.8554751705399558E-2</v>
      </c>
      <c r="CA81">
        <v>5.0313390832891547E-2</v>
      </c>
      <c r="CC81">
        <v>0.52442413903612495</v>
      </c>
      <c r="CD81">
        <v>0.54341863036636617</v>
      </c>
    </row>
    <row r="82" spans="1:84" x14ac:dyDescent="0.3">
      <c r="A82" s="1">
        <v>397</v>
      </c>
      <c r="B82" t="s">
        <v>690</v>
      </c>
      <c r="C82" t="s">
        <v>691</v>
      </c>
      <c r="E82" t="s">
        <v>690</v>
      </c>
      <c r="F82">
        <v>3.87</v>
      </c>
      <c r="G82" t="s">
        <v>692</v>
      </c>
      <c r="H82" t="s">
        <v>693</v>
      </c>
      <c r="I82">
        <v>-1</v>
      </c>
      <c r="O82">
        <v>0</v>
      </c>
      <c r="Q82" t="s">
        <v>467</v>
      </c>
      <c r="R82">
        <v>1273</v>
      </c>
      <c r="S82">
        <v>2</v>
      </c>
      <c r="T82" t="b">
        <v>0</v>
      </c>
      <c r="U82" t="s">
        <v>172</v>
      </c>
      <c r="V82" t="s">
        <v>173</v>
      </c>
      <c r="W82">
        <v>1</v>
      </c>
      <c r="X82">
        <v>6</v>
      </c>
      <c r="Y82">
        <v>0.6</v>
      </c>
      <c r="Z82">
        <v>0</v>
      </c>
      <c r="AC82" t="s">
        <v>90</v>
      </c>
      <c r="AD82">
        <v>450</v>
      </c>
      <c r="AF82" t="s">
        <v>91</v>
      </c>
      <c r="AH82">
        <v>47</v>
      </c>
      <c r="AL82" t="b">
        <v>1</v>
      </c>
      <c r="AM82" t="b">
        <v>0</v>
      </c>
      <c r="AN82" t="b">
        <v>0</v>
      </c>
      <c r="AO82" t="b">
        <v>0</v>
      </c>
      <c r="AP82" t="s">
        <v>692</v>
      </c>
      <c r="AQ82" t="s">
        <v>693</v>
      </c>
      <c r="AS82">
        <v>3.850147601710058</v>
      </c>
      <c r="AT82">
        <v>2</v>
      </c>
      <c r="AU82">
        <v>2.545454545454545</v>
      </c>
      <c r="AV82">
        <v>0.54545454545454541</v>
      </c>
      <c r="AW82">
        <v>0</v>
      </c>
      <c r="AX82">
        <v>0.39285714285714279</v>
      </c>
      <c r="AY82">
        <v>0.5</v>
      </c>
      <c r="AZ82">
        <v>0.1071428571428571</v>
      </c>
      <c r="BA82">
        <v>0</v>
      </c>
      <c r="BB82">
        <v>5.9831999205909083</v>
      </c>
      <c r="BC82">
        <v>14</v>
      </c>
      <c r="BD82">
        <v>288.33429290182369</v>
      </c>
      <c r="BE82">
        <v>2</v>
      </c>
      <c r="BF82">
        <v>9.7109503410799117E-2</v>
      </c>
      <c r="BG82">
        <v>7.41544296</v>
      </c>
      <c r="BH82">
        <v>7.4154429599999991</v>
      </c>
      <c r="BI82">
        <v>7.41544296</v>
      </c>
      <c r="BJ82">
        <v>556.51188553357167</v>
      </c>
      <c r="BK82">
        <v>4</v>
      </c>
      <c r="BL82">
        <v>0.10062678166578309</v>
      </c>
      <c r="BM82">
        <v>7.8</v>
      </c>
      <c r="BN82">
        <v>13.010999999999999</v>
      </c>
      <c r="BO82">
        <v>5.5460000000000003</v>
      </c>
      <c r="BP82">
        <v>0</v>
      </c>
      <c r="BQ82">
        <v>0</v>
      </c>
      <c r="BS82">
        <v>0</v>
      </c>
      <c r="BT82">
        <v>0</v>
      </c>
      <c r="BU82">
        <v>0</v>
      </c>
      <c r="BX82">
        <v>7</v>
      </c>
      <c r="BZ82">
        <v>4.8554751705399558E-2</v>
      </c>
      <c r="CA82">
        <v>5.0313390832891547E-2</v>
      </c>
      <c r="CC82">
        <v>0.52442413903612495</v>
      </c>
      <c r="CD82">
        <v>0.54341863036636617</v>
      </c>
    </row>
    <row r="83" spans="1:84" x14ac:dyDescent="0.3">
      <c r="A83" s="1">
        <v>398</v>
      </c>
      <c r="B83" t="s">
        <v>690</v>
      </c>
      <c r="C83" t="s">
        <v>691</v>
      </c>
      <c r="E83" t="s">
        <v>690</v>
      </c>
      <c r="F83">
        <v>3.87</v>
      </c>
      <c r="G83" t="s">
        <v>692</v>
      </c>
      <c r="H83" t="s">
        <v>693</v>
      </c>
      <c r="I83">
        <v>-1</v>
      </c>
      <c r="O83">
        <v>0</v>
      </c>
      <c r="Q83" t="s">
        <v>467</v>
      </c>
      <c r="R83">
        <v>1323</v>
      </c>
      <c r="S83">
        <v>2</v>
      </c>
      <c r="T83" t="b">
        <v>0</v>
      </c>
      <c r="U83" t="s">
        <v>172</v>
      </c>
      <c r="V83" t="s">
        <v>173</v>
      </c>
      <c r="W83">
        <v>1</v>
      </c>
      <c r="X83">
        <v>5</v>
      </c>
      <c r="Y83">
        <v>0.6</v>
      </c>
      <c r="Z83">
        <v>0</v>
      </c>
      <c r="AC83" t="s">
        <v>90</v>
      </c>
      <c r="AD83">
        <v>450</v>
      </c>
      <c r="AF83" t="s">
        <v>91</v>
      </c>
      <c r="AH83">
        <v>960</v>
      </c>
      <c r="AL83" t="b">
        <v>1</v>
      </c>
      <c r="AM83" t="b">
        <v>0</v>
      </c>
      <c r="AN83" t="b">
        <v>0</v>
      </c>
      <c r="AO83" t="b">
        <v>0</v>
      </c>
      <c r="AP83" t="s">
        <v>692</v>
      </c>
      <c r="AQ83" t="s">
        <v>693</v>
      </c>
      <c r="AS83">
        <v>6.866933284461882</v>
      </c>
      <c r="AT83">
        <v>2</v>
      </c>
      <c r="AU83">
        <v>2.545454545454545</v>
      </c>
      <c r="AV83">
        <v>0.54545454545454541</v>
      </c>
      <c r="AW83">
        <v>0</v>
      </c>
      <c r="AX83">
        <v>0.39285714285714279</v>
      </c>
      <c r="AY83">
        <v>0.5</v>
      </c>
      <c r="AZ83">
        <v>0.1071428571428571</v>
      </c>
      <c r="BA83">
        <v>0</v>
      </c>
      <c r="BB83">
        <v>5.9831999205909083</v>
      </c>
      <c r="BC83">
        <v>14</v>
      </c>
      <c r="BD83">
        <v>288.33429290182369</v>
      </c>
      <c r="BE83">
        <v>2</v>
      </c>
      <c r="BF83">
        <v>9.7109503410799117E-2</v>
      </c>
      <c r="BG83">
        <v>7.41544296</v>
      </c>
      <c r="BH83">
        <v>7.4154429599999991</v>
      </c>
      <c r="BI83">
        <v>7.41544296</v>
      </c>
      <c r="BJ83">
        <v>556.51188553357167</v>
      </c>
      <c r="BK83">
        <v>4</v>
      </c>
      <c r="BL83">
        <v>0.10062678166578309</v>
      </c>
      <c r="BM83">
        <v>7.8</v>
      </c>
      <c r="BN83">
        <v>13.010999999999999</v>
      </c>
      <c r="BO83">
        <v>5.5460000000000003</v>
      </c>
      <c r="BP83">
        <v>0</v>
      </c>
      <c r="BQ83">
        <v>0</v>
      </c>
      <c r="BS83">
        <v>0</v>
      </c>
      <c r="BT83">
        <v>0</v>
      </c>
      <c r="BU83">
        <v>0</v>
      </c>
      <c r="BX83">
        <v>7</v>
      </c>
      <c r="BZ83">
        <v>4.8554751705399558E-2</v>
      </c>
      <c r="CA83">
        <v>5.0313390832891547E-2</v>
      </c>
      <c r="CC83">
        <v>0.52442413903612495</v>
      </c>
      <c r="CD83">
        <v>0.54341863036636617</v>
      </c>
    </row>
    <row r="84" spans="1:84" x14ac:dyDescent="0.3">
      <c r="A84" s="1">
        <v>399</v>
      </c>
      <c r="B84" t="s">
        <v>690</v>
      </c>
      <c r="C84" t="s">
        <v>691</v>
      </c>
      <c r="E84" t="s">
        <v>690</v>
      </c>
      <c r="F84">
        <v>3.87</v>
      </c>
      <c r="G84" t="s">
        <v>692</v>
      </c>
      <c r="H84" t="s">
        <v>693</v>
      </c>
      <c r="I84">
        <v>-1</v>
      </c>
      <c r="O84">
        <v>0</v>
      </c>
      <c r="Q84" t="s">
        <v>467</v>
      </c>
      <c r="R84">
        <v>1373</v>
      </c>
      <c r="S84">
        <v>2</v>
      </c>
      <c r="T84" t="b">
        <v>0</v>
      </c>
      <c r="U84" t="s">
        <v>172</v>
      </c>
      <c r="V84" t="s">
        <v>173</v>
      </c>
      <c r="W84">
        <v>1</v>
      </c>
      <c r="X84">
        <v>2</v>
      </c>
      <c r="Y84">
        <v>0.6</v>
      </c>
      <c r="Z84">
        <v>0</v>
      </c>
      <c r="AC84" t="s">
        <v>90</v>
      </c>
      <c r="AD84">
        <v>450</v>
      </c>
      <c r="AF84" t="s">
        <v>91</v>
      </c>
      <c r="AH84">
        <v>790</v>
      </c>
      <c r="AL84" t="b">
        <v>1</v>
      </c>
      <c r="AM84" t="b">
        <v>0</v>
      </c>
      <c r="AN84" t="b">
        <v>0</v>
      </c>
      <c r="AO84" t="b">
        <v>0</v>
      </c>
      <c r="AP84" t="s">
        <v>692</v>
      </c>
      <c r="AQ84" t="s">
        <v>693</v>
      </c>
      <c r="AS84">
        <v>6.6720329454610674</v>
      </c>
      <c r="AT84">
        <v>2</v>
      </c>
      <c r="AU84">
        <v>2.545454545454545</v>
      </c>
      <c r="AV84">
        <v>0.54545454545454541</v>
      </c>
      <c r="AW84">
        <v>0</v>
      </c>
      <c r="AX84">
        <v>0.39285714285714279</v>
      </c>
      <c r="AY84">
        <v>0.5</v>
      </c>
      <c r="AZ84">
        <v>0.1071428571428571</v>
      </c>
      <c r="BA84">
        <v>0</v>
      </c>
      <c r="BB84">
        <v>5.9831999205909083</v>
      </c>
      <c r="BC84">
        <v>14</v>
      </c>
      <c r="BD84">
        <v>288.33429290182369</v>
      </c>
      <c r="BE84">
        <v>2</v>
      </c>
      <c r="BF84">
        <v>9.7109503410799117E-2</v>
      </c>
      <c r="BG84">
        <v>7.41544296</v>
      </c>
      <c r="BH84">
        <v>7.4154429599999991</v>
      </c>
      <c r="BI84">
        <v>7.41544296</v>
      </c>
      <c r="BJ84">
        <v>556.51188553357167</v>
      </c>
      <c r="BK84">
        <v>4</v>
      </c>
      <c r="BL84">
        <v>0.10062678166578309</v>
      </c>
      <c r="BM84">
        <v>7.8</v>
      </c>
      <c r="BN84">
        <v>13.010999999999999</v>
      </c>
      <c r="BO84">
        <v>5.5460000000000003</v>
      </c>
      <c r="BP84">
        <v>0</v>
      </c>
      <c r="BQ84">
        <v>0</v>
      </c>
      <c r="BS84">
        <v>0</v>
      </c>
      <c r="BT84">
        <v>0</v>
      </c>
      <c r="BU84">
        <v>0</v>
      </c>
      <c r="BX84">
        <v>7</v>
      </c>
      <c r="BZ84">
        <v>4.8554751705399558E-2</v>
      </c>
      <c r="CA84">
        <v>5.0313390832891547E-2</v>
      </c>
      <c r="CC84">
        <v>0.52442413903612495</v>
      </c>
      <c r="CD84">
        <v>0.54341863036636617</v>
      </c>
    </row>
    <row r="85" spans="1:84" x14ac:dyDescent="0.3">
      <c r="A85" s="1">
        <v>400</v>
      </c>
      <c r="B85" t="s">
        <v>690</v>
      </c>
      <c r="C85" t="s">
        <v>691</v>
      </c>
      <c r="E85" t="s">
        <v>690</v>
      </c>
      <c r="F85">
        <v>3.87</v>
      </c>
      <c r="G85" t="s">
        <v>692</v>
      </c>
      <c r="H85" t="s">
        <v>693</v>
      </c>
      <c r="I85">
        <v>-1</v>
      </c>
      <c r="O85">
        <v>0</v>
      </c>
      <c r="Q85" t="s">
        <v>467</v>
      </c>
      <c r="R85">
        <v>1423</v>
      </c>
      <c r="S85">
        <v>2</v>
      </c>
      <c r="T85" t="b">
        <v>0</v>
      </c>
      <c r="U85" t="s">
        <v>172</v>
      </c>
      <c r="V85" t="s">
        <v>173</v>
      </c>
      <c r="W85">
        <v>1</v>
      </c>
      <c r="X85">
        <v>1</v>
      </c>
      <c r="Y85">
        <v>0.6</v>
      </c>
      <c r="Z85">
        <v>0</v>
      </c>
      <c r="AC85" t="s">
        <v>90</v>
      </c>
      <c r="AD85">
        <v>450</v>
      </c>
      <c r="AF85" t="s">
        <v>91</v>
      </c>
      <c r="AH85">
        <v>442</v>
      </c>
      <c r="AL85" t="b">
        <v>1</v>
      </c>
      <c r="AM85" t="b">
        <v>0</v>
      </c>
      <c r="AN85" t="b">
        <v>0</v>
      </c>
      <c r="AO85" t="b">
        <v>0</v>
      </c>
      <c r="AP85" t="s">
        <v>692</v>
      </c>
      <c r="AQ85" t="s">
        <v>693</v>
      </c>
      <c r="AS85">
        <v>6.0913098820776979</v>
      </c>
      <c r="AT85">
        <v>2</v>
      </c>
      <c r="AU85">
        <v>2.545454545454545</v>
      </c>
      <c r="AV85">
        <v>0.54545454545454541</v>
      </c>
      <c r="AW85">
        <v>0</v>
      </c>
      <c r="AX85">
        <v>0.39285714285714279</v>
      </c>
      <c r="AY85">
        <v>0.5</v>
      </c>
      <c r="AZ85">
        <v>0.1071428571428571</v>
      </c>
      <c r="BA85">
        <v>0</v>
      </c>
      <c r="BB85">
        <v>5.9831999205909083</v>
      </c>
      <c r="BC85">
        <v>14</v>
      </c>
      <c r="BD85">
        <v>288.33429290182369</v>
      </c>
      <c r="BE85">
        <v>2</v>
      </c>
      <c r="BF85">
        <v>9.7109503410799117E-2</v>
      </c>
      <c r="BG85">
        <v>7.41544296</v>
      </c>
      <c r="BH85">
        <v>7.4154429599999991</v>
      </c>
      <c r="BI85">
        <v>7.41544296</v>
      </c>
      <c r="BJ85">
        <v>556.51188553357167</v>
      </c>
      <c r="BK85">
        <v>4</v>
      </c>
      <c r="BL85">
        <v>0.10062678166578309</v>
      </c>
      <c r="BM85">
        <v>7.8</v>
      </c>
      <c r="BN85">
        <v>13.010999999999999</v>
      </c>
      <c r="BO85">
        <v>5.5460000000000003</v>
      </c>
      <c r="BP85">
        <v>0</v>
      </c>
      <c r="BQ85">
        <v>0</v>
      </c>
      <c r="BS85">
        <v>0</v>
      </c>
      <c r="BT85">
        <v>0</v>
      </c>
      <c r="BU85">
        <v>0</v>
      </c>
      <c r="BX85">
        <v>7</v>
      </c>
      <c r="BZ85">
        <v>4.8554751705399558E-2</v>
      </c>
      <c r="CA85">
        <v>5.0313390832891547E-2</v>
      </c>
      <c r="CC85">
        <v>0.52442413903612495</v>
      </c>
      <c r="CD85">
        <v>0.54341863036636617</v>
      </c>
    </row>
    <row r="86" spans="1:84" x14ac:dyDescent="0.3">
      <c r="A86" s="1">
        <v>401</v>
      </c>
      <c r="B86" t="s">
        <v>690</v>
      </c>
      <c r="C86" t="s">
        <v>691</v>
      </c>
      <c r="E86" t="s">
        <v>690</v>
      </c>
      <c r="F86">
        <v>3.87</v>
      </c>
      <c r="G86" t="s">
        <v>692</v>
      </c>
      <c r="H86" t="s">
        <v>693</v>
      </c>
      <c r="I86">
        <v>-1</v>
      </c>
      <c r="O86">
        <v>0</v>
      </c>
      <c r="Q86" t="s">
        <v>87</v>
      </c>
      <c r="R86">
        <v>1273</v>
      </c>
      <c r="S86">
        <v>24</v>
      </c>
      <c r="T86" t="b">
        <v>0</v>
      </c>
      <c r="U86" t="s">
        <v>172</v>
      </c>
      <c r="V86" t="s">
        <v>173</v>
      </c>
      <c r="W86">
        <v>1</v>
      </c>
      <c r="X86">
        <v>2</v>
      </c>
      <c r="Y86">
        <v>0.6</v>
      </c>
      <c r="Z86">
        <v>0</v>
      </c>
      <c r="AC86" t="s">
        <v>90</v>
      </c>
      <c r="AD86">
        <v>450</v>
      </c>
      <c r="AF86" t="s">
        <v>91</v>
      </c>
      <c r="AH86">
        <v>340</v>
      </c>
      <c r="AL86" t="b">
        <v>1</v>
      </c>
      <c r="AM86" t="b">
        <v>0</v>
      </c>
      <c r="AN86" t="b">
        <v>0</v>
      </c>
      <c r="AO86" t="b">
        <v>0</v>
      </c>
      <c r="AP86" t="s">
        <v>692</v>
      </c>
      <c r="AQ86" t="s">
        <v>693</v>
      </c>
      <c r="AS86">
        <v>5.8289456176102066</v>
      </c>
      <c r="AT86">
        <v>2</v>
      </c>
      <c r="AU86">
        <v>2.545454545454545</v>
      </c>
      <c r="AV86">
        <v>0.54545454545454541</v>
      </c>
      <c r="AW86">
        <v>0</v>
      </c>
      <c r="AX86">
        <v>0.39285714285714279</v>
      </c>
      <c r="AY86">
        <v>0.5</v>
      </c>
      <c r="AZ86">
        <v>0.1071428571428571</v>
      </c>
      <c r="BA86">
        <v>0</v>
      </c>
      <c r="BB86">
        <v>5.9831999205909083</v>
      </c>
      <c r="BC86">
        <v>14</v>
      </c>
      <c r="BD86">
        <v>288.33429290182369</v>
      </c>
      <c r="BE86">
        <v>2</v>
      </c>
      <c r="BF86">
        <v>9.7109503410799117E-2</v>
      </c>
      <c r="BG86">
        <v>7.41544296</v>
      </c>
      <c r="BH86">
        <v>7.4154429599999991</v>
      </c>
      <c r="BI86">
        <v>7.41544296</v>
      </c>
      <c r="BJ86">
        <v>556.51188553357167</v>
      </c>
      <c r="BK86">
        <v>4</v>
      </c>
      <c r="BL86">
        <v>0.10062678166578309</v>
      </c>
      <c r="BM86">
        <v>7.8</v>
      </c>
      <c r="BN86">
        <v>13.010999999999999</v>
      </c>
      <c r="BO86">
        <v>5.5460000000000003</v>
      </c>
      <c r="BP86">
        <v>0</v>
      </c>
      <c r="BQ86">
        <v>0</v>
      </c>
      <c r="BS86">
        <v>0</v>
      </c>
      <c r="BT86">
        <v>0</v>
      </c>
      <c r="BU86">
        <v>0</v>
      </c>
      <c r="BX86">
        <v>7</v>
      </c>
      <c r="BZ86">
        <v>4.8554751705399558E-2</v>
      </c>
      <c r="CA86">
        <v>5.0313390832891547E-2</v>
      </c>
      <c r="CC86">
        <v>0.52442413903612495</v>
      </c>
      <c r="CD86">
        <v>0.54341863036636617</v>
      </c>
    </row>
    <row r="87" spans="1:84" x14ac:dyDescent="0.3">
      <c r="A87" s="1">
        <v>402</v>
      </c>
      <c r="B87" t="s">
        <v>690</v>
      </c>
      <c r="C87" t="s">
        <v>691</v>
      </c>
      <c r="E87" t="s">
        <v>690</v>
      </c>
      <c r="F87">
        <v>3.87</v>
      </c>
      <c r="G87" t="s">
        <v>692</v>
      </c>
      <c r="H87" t="s">
        <v>693</v>
      </c>
      <c r="I87">
        <v>-1</v>
      </c>
      <c r="O87">
        <v>0</v>
      </c>
      <c r="Q87" t="s">
        <v>87</v>
      </c>
      <c r="R87">
        <v>1323</v>
      </c>
      <c r="S87">
        <v>24</v>
      </c>
      <c r="T87" t="b">
        <v>0</v>
      </c>
      <c r="U87" t="s">
        <v>172</v>
      </c>
      <c r="V87" t="s">
        <v>173</v>
      </c>
      <c r="W87">
        <v>1</v>
      </c>
      <c r="X87">
        <v>2</v>
      </c>
      <c r="Y87">
        <v>0.6</v>
      </c>
      <c r="Z87">
        <v>0</v>
      </c>
      <c r="AC87" t="s">
        <v>90</v>
      </c>
      <c r="AD87">
        <v>450</v>
      </c>
      <c r="AF87" t="s">
        <v>91</v>
      </c>
      <c r="AH87">
        <v>387</v>
      </c>
      <c r="AL87" t="b">
        <v>1</v>
      </c>
      <c r="AM87" t="b">
        <v>0</v>
      </c>
      <c r="AN87" t="b">
        <v>0</v>
      </c>
      <c r="AO87" t="b">
        <v>0</v>
      </c>
      <c r="AP87" t="s">
        <v>692</v>
      </c>
      <c r="AQ87" t="s">
        <v>693</v>
      </c>
      <c r="AS87">
        <v>5.9584246930297819</v>
      </c>
      <c r="AT87">
        <v>2</v>
      </c>
      <c r="AU87">
        <v>2.545454545454545</v>
      </c>
      <c r="AV87">
        <v>0.54545454545454541</v>
      </c>
      <c r="AW87">
        <v>0</v>
      </c>
      <c r="AX87">
        <v>0.39285714285714279</v>
      </c>
      <c r="AY87">
        <v>0.5</v>
      </c>
      <c r="AZ87">
        <v>0.1071428571428571</v>
      </c>
      <c r="BA87">
        <v>0</v>
      </c>
      <c r="BB87">
        <v>5.9831999205909083</v>
      </c>
      <c r="BC87">
        <v>14</v>
      </c>
      <c r="BD87">
        <v>288.33429290182369</v>
      </c>
      <c r="BE87">
        <v>2</v>
      </c>
      <c r="BF87">
        <v>9.7109503410799117E-2</v>
      </c>
      <c r="BG87">
        <v>7.41544296</v>
      </c>
      <c r="BH87">
        <v>7.4154429599999991</v>
      </c>
      <c r="BI87">
        <v>7.41544296</v>
      </c>
      <c r="BJ87">
        <v>556.51188553357167</v>
      </c>
      <c r="BK87">
        <v>4</v>
      </c>
      <c r="BL87">
        <v>0.10062678166578309</v>
      </c>
      <c r="BM87">
        <v>7.8</v>
      </c>
      <c r="BN87">
        <v>13.010999999999999</v>
      </c>
      <c r="BO87">
        <v>5.5460000000000003</v>
      </c>
      <c r="BP87">
        <v>0</v>
      </c>
      <c r="BQ87">
        <v>0</v>
      </c>
      <c r="BS87">
        <v>0</v>
      </c>
      <c r="BT87">
        <v>0</v>
      </c>
      <c r="BU87">
        <v>0</v>
      </c>
      <c r="BX87">
        <v>7</v>
      </c>
      <c r="BZ87">
        <v>4.8554751705399558E-2</v>
      </c>
      <c r="CA87">
        <v>5.0313390832891547E-2</v>
      </c>
      <c r="CC87">
        <v>0.52442413903612495</v>
      </c>
      <c r="CD87">
        <v>0.54341863036636617</v>
      </c>
    </row>
    <row r="88" spans="1:84" x14ac:dyDescent="0.3">
      <c r="A88" s="1">
        <v>403</v>
      </c>
      <c r="B88" t="s">
        <v>690</v>
      </c>
      <c r="C88" t="s">
        <v>691</v>
      </c>
      <c r="E88" t="s">
        <v>690</v>
      </c>
      <c r="F88">
        <v>3.87</v>
      </c>
      <c r="G88" t="s">
        <v>692</v>
      </c>
      <c r="H88" t="s">
        <v>693</v>
      </c>
      <c r="I88">
        <v>-1</v>
      </c>
      <c r="O88">
        <v>0</v>
      </c>
      <c r="Q88" t="s">
        <v>87</v>
      </c>
      <c r="R88">
        <v>1373</v>
      </c>
      <c r="S88">
        <v>24</v>
      </c>
      <c r="T88" t="b">
        <v>0</v>
      </c>
      <c r="U88" t="s">
        <v>172</v>
      </c>
      <c r="V88" t="s">
        <v>173</v>
      </c>
      <c r="W88">
        <v>1</v>
      </c>
      <c r="X88">
        <v>1</v>
      </c>
      <c r="Y88">
        <v>0.6</v>
      </c>
      <c r="Z88">
        <v>0</v>
      </c>
      <c r="AC88" t="s">
        <v>90</v>
      </c>
      <c r="AD88">
        <v>450</v>
      </c>
      <c r="AF88" t="s">
        <v>91</v>
      </c>
      <c r="AH88">
        <v>408</v>
      </c>
      <c r="AL88" t="b">
        <v>1</v>
      </c>
      <c r="AM88" t="b">
        <v>0</v>
      </c>
      <c r="AN88" t="b">
        <v>0</v>
      </c>
      <c r="AO88" t="b">
        <v>0</v>
      </c>
      <c r="AP88" t="s">
        <v>692</v>
      </c>
      <c r="AQ88" t="s">
        <v>693</v>
      </c>
      <c r="AS88">
        <v>6.0112671744041606</v>
      </c>
      <c r="AT88">
        <v>2</v>
      </c>
      <c r="AU88">
        <v>2.545454545454545</v>
      </c>
      <c r="AV88">
        <v>0.54545454545454541</v>
      </c>
      <c r="AW88">
        <v>0</v>
      </c>
      <c r="AX88">
        <v>0.39285714285714279</v>
      </c>
      <c r="AY88">
        <v>0.5</v>
      </c>
      <c r="AZ88">
        <v>0.1071428571428571</v>
      </c>
      <c r="BA88">
        <v>0</v>
      </c>
      <c r="BB88">
        <v>5.9831999205909083</v>
      </c>
      <c r="BC88">
        <v>14</v>
      </c>
      <c r="BD88">
        <v>288.33429290182369</v>
      </c>
      <c r="BE88">
        <v>2</v>
      </c>
      <c r="BF88">
        <v>9.7109503410799117E-2</v>
      </c>
      <c r="BG88">
        <v>7.41544296</v>
      </c>
      <c r="BH88">
        <v>7.4154429599999991</v>
      </c>
      <c r="BI88">
        <v>7.41544296</v>
      </c>
      <c r="BJ88">
        <v>556.51188553357167</v>
      </c>
      <c r="BK88">
        <v>4</v>
      </c>
      <c r="BL88">
        <v>0.10062678166578309</v>
      </c>
      <c r="BM88">
        <v>7.8</v>
      </c>
      <c r="BN88">
        <v>13.010999999999999</v>
      </c>
      <c r="BO88">
        <v>5.5460000000000003</v>
      </c>
      <c r="BP88">
        <v>0</v>
      </c>
      <c r="BQ88">
        <v>0</v>
      </c>
      <c r="BS88">
        <v>0</v>
      </c>
      <c r="BT88">
        <v>0</v>
      </c>
      <c r="BU88">
        <v>0</v>
      </c>
      <c r="BX88">
        <v>7</v>
      </c>
      <c r="BZ88">
        <v>4.8554751705399558E-2</v>
      </c>
      <c r="CA88">
        <v>5.0313390832891547E-2</v>
      </c>
      <c r="CC88">
        <v>0.52442413903612495</v>
      </c>
      <c r="CD88">
        <v>0.54341863036636617</v>
      </c>
    </row>
    <row r="89" spans="1:84" x14ac:dyDescent="0.3">
      <c r="A89" s="1">
        <v>404</v>
      </c>
      <c r="B89" t="s">
        <v>690</v>
      </c>
      <c r="C89" t="s">
        <v>691</v>
      </c>
      <c r="E89" t="s">
        <v>690</v>
      </c>
      <c r="F89">
        <v>3.87</v>
      </c>
      <c r="G89" t="s">
        <v>692</v>
      </c>
      <c r="H89" t="s">
        <v>693</v>
      </c>
      <c r="I89">
        <v>-1</v>
      </c>
      <c r="O89">
        <v>0</v>
      </c>
      <c r="Q89" t="s">
        <v>87</v>
      </c>
      <c r="R89">
        <v>1423</v>
      </c>
      <c r="S89">
        <v>24</v>
      </c>
      <c r="T89" t="b">
        <v>0</v>
      </c>
      <c r="U89" t="s">
        <v>172</v>
      </c>
      <c r="V89" t="s">
        <v>173</v>
      </c>
      <c r="W89">
        <v>1</v>
      </c>
      <c r="X89">
        <v>1</v>
      </c>
      <c r="Y89">
        <v>0.6</v>
      </c>
      <c r="Z89">
        <v>0</v>
      </c>
      <c r="AC89" t="s">
        <v>90</v>
      </c>
      <c r="AD89">
        <v>450</v>
      </c>
      <c r="AF89" t="s">
        <v>91</v>
      </c>
      <c r="AH89">
        <v>440</v>
      </c>
      <c r="AL89" t="b">
        <v>1</v>
      </c>
      <c r="AM89" t="b">
        <v>0</v>
      </c>
      <c r="AN89" t="b">
        <v>0</v>
      </c>
      <c r="AO89" t="b">
        <v>0</v>
      </c>
      <c r="AP89" t="s">
        <v>692</v>
      </c>
      <c r="AQ89" t="s">
        <v>693</v>
      </c>
      <c r="AS89">
        <v>6.0867747269123056</v>
      </c>
      <c r="AT89">
        <v>2</v>
      </c>
      <c r="AU89">
        <v>2.545454545454545</v>
      </c>
      <c r="AV89">
        <v>0.54545454545454541</v>
      </c>
      <c r="AW89">
        <v>0</v>
      </c>
      <c r="AX89">
        <v>0.39285714285714279</v>
      </c>
      <c r="AY89">
        <v>0.5</v>
      </c>
      <c r="AZ89">
        <v>0.1071428571428571</v>
      </c>
      <c r="BA89">
        <v>0</v>
      </c>
      <c r="BB89">
        <v>5.9831999205909083</v>
      </c>
      <c r="BC89">
        <v>14</v>
      </c>
      <c r="BD89">
        <v>288.33429290182369</v>
      </c>
      <c r="BE89">
        <v>2</v>
      </c>
      <c r="BF89">
        <v>9.7109503410799117E-2</v>
      </c>
      <c r="BG89">
        <v>7.41544296</v>
      </c>
      <c r="BH89">
        <v>7.4154429599999991</v>
      </c>
      <c r="BI89">
        <v>7.41544296</v>
      </c>
      <c r="BJ89">
        <v>556.51188553357167</v>
      </c>
      <c r="BK89">
        <v>4</v>
      </c>
      <c r="BL89">
        <v>0.10062678166578309</v>
      </c>
      <c r="BM89">
        <v>7.8</v>
      </c>
      <c r="BN89">
        <v>13.010999999999999</v>
      </c>
      <c r="BO89">
        <v>5.5460000000000003</v>
      </c>
      <c r="BP89">
        <v>0</v>
      </c>
      <c r="BQ89">
        <v>0</v>
      </c>
      <c r="BS89">
        <v>0</v>
      </c>
      <c r="BT89">
        <v>0</v>
      </c>
      <c r="BU89">
        <v>0</v>
      </c>
      <c r="BX89">
        <v>7</v>
      </c>
      <c r="BZ89">
        <v>4.8554751705399558E-2</v>
      </c>
      <c r="CA89">
        <v>5.0313390832891547E-2</v>
      </c>
      <c r="CC89">
        <v>0.52442413903612495</v>
      </c>
      <c r="CD89">
        <v>0.54341863036636617</v>
      </c>
    </row>
    <row r="90" spans="1:84" x14ac:dyDescent="0.3">
      <c r="A90" s="1">
        <v>442</v>
      </c>
      <c r="B90" t="s">
        <v>83</v>
      </c>
      <c r="C90" t="s">
        <v>84</v>
      </c>
      <c r="E90" t="s">
        <v>83</v>
      </c>
      <c r="F90">
        <v>3.3</v>
      </c>
      <c r="G90" t="s">
        <v>85</v>
      </c>
      <c r="H90" t="s">
        <v>86</v>
      </c>
      <c r="I90">
        <v>-1</v>
      </c>
      <c r="J90">
        <v>4</v>
      </c>
      <c r="K90">
        <v>6.6</v>
      </c>
      <c r="L90">
        <v>7.94</v>
      </c>
      <c r="M90">
        <v>33.700000000000003</v>
      </c>
      <c r="O90">
        <v>16.850000000000001</v>
      </c>
      <c r="Q90" t="s">
        <v>87</v>
      </c>
      <c r="R90">
        <v>1473</v>
      </c>
      <c r="T90" t="b">
        <v>0</v>
      </c>
      <c r="U90" t="s">
        <v>172</v>
      </c>
      <c r="V90" t="s">
        <v>173</v>
      </c>
      <c r="W90">
        <v>1</v>
      </c>
      <c r="X90">
        <v>1</v>
      </c>
      <c r="Y90">
        <v>1.51</v>
      </c>
      <c r="Z90">
        <v>0</v>
      </c>
      <c r="AC90" t="s">
        <v>90</v>
      </c>
      <c r="AD90">
        <v>450</v>
      </c>
      <c r="AF90" t="s">
        <v>91</v>
      </c>
      <c r="AH90">
        <v>1568</v>
      </c>
      <c r="AL90" t="b">
        <v>1</v>
      </c>
      <c r="AM90" t="b">
        <v>0</v>
      </c>
      <c r="AN90" t="b">
        <v>0</v>
      </c>
      <c r="AO90" t="b">
        <v>0</v>
      </c>
      <c r="AP90" t="s">
        <v>85</v>
      </c>
      <c r="AQ90" t="s">
        <v>86</v>
      </c>
      <c r="AS90">
        <v>7.357556200910353</v>
      </c>
      <c r="AT90">
        <v>1.62962962962963</v>
      </c>
      <c r="AU90">
        <v>2.518518518518519</v>
      </c>
      <c r="AV90">
        <v>0.88888888888888884</v>
      </c>
      <c r="AW90">
        <v>0</v>
      </c>
      <c r="AX90">
        <v>0.32352941176470579</v>
      </c>
      <c r="AY90">
        <v>0.5</v>
      </c>
      <c r="AZ90">
        <v>0.1764705882352941</v>
      </c>
      <c r="BA90">
        <v>0</v>
      </c>
      <c r="BB90">
        <v>5.9587386867222234</v>
      </c>
      <c r="BC90">
        <v>34</v>
      </c>
      <c r="BD90">
        <v>1767.0449718798691</v>
      </c>
      <c r="BE90">
        <v>4</v>
      </c>
      <c r="BF90">
        <v>7.6964651247849417E-2</v>
      </c>
      <c r="BG90">
        <v>6.6040679999999998</v>
      </c>
      <c r="BH90">
        <v>7.9389519999999996</v>
      </c>
      <c r="BI90">
        <v>33.703336</v>
      </c>
      <c r="BJ90">
        <v>1679.8210721820001</v>
      </c>
      <c r="BK90">
        <v>4</v>
      </c>
      <c r="BL90">
        <v>8.0961003676030277E-2</v>
      </c>
      <c r="BM90">
        <v>7.83</v>
      </c>
      <c r="BN90">
        <v>33.209989999999998</v>
      </c>
      <c r="BO90">
        <v>6.46</v>
      </c>
      <c r="BP90">
        <v>0</v>
      </c>
      <c r="BQ90">
        <v>0</v>
      </c>
      <c r="BS90">
        <v>0</v>
      </c>
      <c r="BT90">
        <v>0</v>
      </c>
      <c r="BU90">
        <v>0</v>
      </c>
      <c r="BV90">
        <v>1766.0147999999999</v>
      </c>
      <c r="BW90">
        <v>7.7009547145358015E-2</v>
      </c>
      <c r="BX90">
        <v>17</v>
      </c>
      <c r="BY90">
        <v>3.8504773572679007E-2</v>
      </c>
      <c r="BZ90">
        <v>3.8482325623924708E-2</v>
      </c>
      <c r="CA90">
        <v>4.0480501838015139E-2</v>
      </c>
      <c r="CC90">
        <v>0.48264383878002193</v>
      </c>
      <c r="CD90">
        <v>0.50770488753139875</v>
      </c>
      <c r="CF90">
        <v>0.48292538008460401</v>
      </c>
    </row>
    <row r="91" spans="1:84" x14ac:dyDescent="0.3">
      <c r="A91" s="1">
        <v>443</v>
      </c>
      <c r="B91" t="s">
        <v>83</v>
      </c>
      <c r="C91" t="s">
        <v>84</v>
      </c>
      <c r="E91" t="s">
        <v>83</v>
      </c>
      <c r="F91">
        <v>3.3</v>
      </c>
      <c r="G91" t="s">
        <v>85</v>
      </c>
      <c r="H91" t="s">
        <v>86</v>
      </c>
      <c r="I91">
        <v>-1</v>
      </c>
      <c r="J91">
        <v>4</v>
      </c>
      <c r="K91">
        <v>6.6</v>
      </c>
      <c r="L91">
        <v>7.94</v>
      </c>
      <c r="M91">
        <v>33.700000000000003</v>
      </c>
      <c r="O91">
        <v>16.850000000000001</v>
      </c>
      <c r="Q91" t="s">
        <v>87</v>
      </c>
      <c r="R91">
        <v>1473</v>
      </c>
      <c r="T91" t="b">
        <v>0</v>
      </c>
      <c r="U91" t="s">
        <v>172</v>
      </c>
      <c r="V91" t="s">
        <v>173</v>
      </c>
      <c r="W91">
        <v>1</v>
      </c>
      <c r="X91">
        <v>17.3</v>
      </c>
      <c r="Y91">
        <v>1.51</v>
      </c>
      <c r="Z91">
        <v>0</v>
      </c>
      <c r="AC91" t="s">
        <v>90</v>
      </c>
      <c r="AD91">
        <v>450</v>
      </c>
      <c r="AF91" t="s">
        <v>91</v>
      </c>
      <c r="AH91">
        <v>2406</v>
      </c>
      <c r="AL91" t="b">
        <v>1</v>
      </c>
      <c r="AM91" t="b">
        <v>0</v>
      </c>
      <c r="AN91" t="b">
        <v>0</v>
      </c>
      <c r="AO91" t="b">
        <v>0</v>
      </c>
      <c r="AP91" t="s">
        <v>85</v>
      </c>
      <c r="AQ91" t="s">
        <v>86</v>
      </c>
      <c r="AS91">
        <v>7.7857208965346238</v>
      </c>
      <c r="AT91">
        <v>1.62962962962963</v>
      </c>
      <c r="AU91">
        <v>2.518518518518519</v>
      </c>
      <c r="AV91">
        <v>0.88888888888888884</v>
      </c>
      <c r="AW91">
        <v>0</v>
      </c>
      <c r="AX91">
        <v>0.32352941176470579</v>
      </c>
      <c r="AY91">
        <v>0.5</v>
      </c>
      <c r="AZ91">
        <v>0.1764705882352941</v>
      </c>
      <c r="BA91">
        <v>0</v>
      </c>
      <c r="BB91">
        <v>5.9587386867222234</v>
      </c>
      <c r="BC91">
        <v>34</v>
      </c>
      <c r="BD91">
        <v>1767.0449718798691</v>
      </c>
      <c r="BE91">
        <v>4</v>
      </c>
      <c r="BF91">
        <v>7.6964651247849417E-2</v>
      </c>
      <c r="BG91">
        <v>6.6040679999999998</v>
      </c>
      <c r="BH91">
        <v>7.9389519999999996</v>
      </c>
      <c r="BI91">
        <v>33.703336</v>
      </c>
      <c r="BJ91">
        <v>1679.8210721820001</v>
      </c>
      <c r="BK91">
        <v>4</v>
      </c>
      <c r="BL91">
        <v>8.0961003676030277E-2</v>
      </c>
      <c r="BM91">
        <v>7.83</v>
      </c>
      <c r="BN91">
        <v>33.209989999999998</v>
      </c>
      <c r="BO91">
        <v>6.46</v>
      </c>
      <c r="BP91">
        <v>0</v>
      </c>
      <c r="BQ91">
        <v>0</v>
      </c>
      <c r="BS91">
        <v>0</v>
      </c>
      <c r="BT91">
        <v>0</v>
      </c>
      <c r="BU91">
        <v>0</v>
      </c>
      <c r="BV91">
        <v>1766.0147999999999</v>
      </c>
      <c r="BW91">
        <v>7.7009547145358015E-2</v>
      </c>
      <c r="BX91">
        <v>17</v>
      </c>
      <c r="BY91">
        <v>3.8504773572679007E-2</v>
      </c>
      <c r="BZ91">
        <v>3.8482325623924708E-2</v>
      </c>
      <c r="CA91">
        <v>4.0480501838015139E-2</v>
      </c>
      <c r="CC91">
        <v>0.48264383878002193</v>
      </c>
      <c r="CD91">
        <v>0.50770488753139875</v>
      </c>
      <c r="CF91">
        <v>0.48292538008460401</v>
      </c>
    </row>
    <row r="92" spans="1:84" x14ac:dyDescent="0.3">
      <c r="A92" s="1">
        <v>444</v>
      </c>
      <c r="B92" t="s">
        <v>83</v>
      </c>
      <c r="C92" t="s">
        <v>84</v>
      </c>
      <c r="E92" t="s">
        <v>83</v>
      </c>
      <c r="F92">
        <v>3.3</v>
      </c>
      <c r="G92" t="s">
        <v>85</v>
      </c>
      <c r="H92" t="s">
        <v>86</v>
      </c>
      <c r="I92">
        <v>-1</v>
      </c>
      <c r="J92">
        <v>4</v>
      </c>
      <c r="K92">
        <v>6.6</v>
      </c>
      <c r="L92">
        <v>7.94</v>
      </c>
      <c r="M92">
        <v>33.700000000000003</v>
      </c>
      <c r="O92">
        <v>16.850000000000001</v>
      </c>
      <c r="Q92" t="s">
        <v>87</v>
      </c>
      <c r="R92">
        <v>1473</v>
      </c>
      <c r="T92" t="b">
        <v>0</v>
      </c>
      <c r="U92" t="s">
        <v>172</v>
      </c>
      <c r="V92" t="s">
        <v>173</v>
      </c>
      <c r="W92">
        <v>1</v>
      </c>
      <c r="X92">
        <v>14.6</v>
      </c>
      <c r="Y92">
        <v>1.51</v>
      </c>
      <c r="Z92">
        <v>0</v>
      </c>
      <c r="AC92" t="s">
        <v>90</v>
      </c>
      <c r="AD92">
        <v>450</v>
      </c>
      <c r="AF92" t="s">
        <v>91</v>
      </c>
      <c r="AH92">
        <v>2632</v>
      </c>
      <c r="AL92" t="b">
        <v>1</v>
      </c>
      <c r="AM92" t="b">
        <v>0</v>
      </c>
      <c r="AN92" t="b">
        <v>0</v>
      </c>
      <c r="AO92" t="b">
        <v>0</v>
      </c>
      <c r="AP92" t="s">
        <v>85</v>
      </c>
      <c r="AQ92" t="s">
        <v>86</v>
      </c>
      <c r="AS92">
        <v>7.8754992924452081</v>
      </c>
      <c r="AT92">
        <v>1.62962962962963</v>
      </c>
      <c r="AU92">
        <v>2.518518518518519</v>
      </c>
      <c r="AV92">
        <v>0.88888888888888884</v>
      </c>
      <c r="AW92">
        <v>0</v>
      </c>
      <c r="AX92">
        <v>0.32352941176470579</v>
      </c>
      <c r="AY92">
        <v>0.5</v>
      </c>
      <c r="AZ92">
        <v>0.1764705882352941</v>
      </c>
      <c r="BA92">
        <v>0</v>
      </c>
      <c r="BB92">
        <v>5.9587386867222234</v>
      </c>
      <c r="BC92">
        <v>34</v>
      </c>
      <c r="BD92">
        <v>1767.0449718798691</v>
      </c>
      <c r="BE92">
        <v>4</v>
      </c>
      <c r="BF92">
        <v>7.6964651247849417E-2</v>
      </c>
      <c r="BG92">
        <v>6.6040679999999998</v>
      </c>
      <c r="BH92">
        <v>7.9389519999999996</v>
      </c>
      <c r="BI92">
        <v>33.703336</v>
      </c>
      <c r="BJ92">
        <v>1679.8210721820001</v>
      </c>
      <c r="BK92">
        <v>4</v>
      </c>
      <c r="BL92">
        <v>8.0961003676030277E-2</v>
      </c>
      <c r="BM92">
        <v>7.83</v>
      </c>
      <c r="BN92">
        <v>33.209989999999998</v>
      </c>
      <c r="BO92">
        <v>6.46</v>
      </c>
      <c r="BP92">
        <v>0</v>
      </c>
      <c r="BQ92">
        <v>0</v>
      </c>
      <c r="BS92">
        <v>0</v>
      </c>
      <c r="BT92">
        <v>0</v>
      </c>
      <c r="BU92">
        <v>0</v>
      </c>
      <c r="BV92">
        <v>1766.0147999999999</v>
      </c>
      <c r="BW92">
        <v>7.7009547145358015E-2</v>
      </c>
      <c r="BX92">
        <v>17</v>
      </c>
      <c r="BY92">
        <v>3.8504773572679007E-2</v>
      </c>
      <c r="BZ92">
        <v>3.8482325623924708E-2</v>
      </c>
      <c r="CA92">
        <v>4.0480501838015139E-2</v>
      </c>
      <c r="CC92">
        <v>0.48264383878002193</v>
      </c>
      <c r="CD92">
        <v>0.50770488753139875</v>
      </c>
      <c r="CF92">
        <v>0.48292538008460401</v>
      </c>
    </row>
    <row r="93" spans="1:84" x14ac:dyDescent="0.3">
      <c r="A93" s="1">
        <v>445</v>
      </c>
      <c r="B93" t="s">
        <v>83</v>
      </c>
      <c r="C93" t="s">
        <v>84</v>
      </c>
      <c r="E93" t="s">
        <v>83</v>
      </c>
      <c r="F93">
        <v>3.3</v>
      </c>
      <c r="G93" t="s">
        <v>85</v>
      </c>
      <c r="H93" t="s">
        <v>86</v>
      </c>
      <c r="I93">
        <v>-1</v>
      </c>
      <c r="J93">
        <v>4</v>
      </c>
      <c r="K93">
        <v>6.6</v>
      </c>
      <c r="L93">
        <v>7.94</v>
      </c>
      <c r="M93">
        <v>33.700000000000003</v>
      </c>
      <c r="O93">
        <v>16.850000000000001</v>
      </c>
      <c r="Q93" t="s">
        <v>87</v>
      </c>
      <c r="R93">
        <v>1473</v>
      </c>
      <c r="T93" t="b">
        <v>0</v>
      </c>
      <c r="U93" t="s">
        <v>172</v>
      </c>
      <c r="V93" t="s">
        <v>173</v>
      </c>
      <c r="W93">
        <v>1</v>
      </c>
      <c r="X93">
        <v>13.9</v>
      </c>
      <c r="Y93">
        <v>1.51</v>
      </c>
      <c r="Z93">
        <v>0</v>
      </c>
      <c r="AC93" t="s">
        <v>90</v>
      </c>
      <c r="AD93">
        <v>450</v>
      </c>
      <c r="AF93" t="s">
        <v>91</v>
      </c>
      <c r="AH93">
        <v>3216</v>
      </c>
      <c r="AL93" t="b">
        <v>1</v>
      </c>
      <c r="AM93" t="b">
        <v>0</v>
      </c>
      <c r="AN93" t="b">
        <v>0</v>
      </c>
      <c r="AO93" t="b">
        <v>0</v>
      </c>
      <c r="AP93" t="s">
        <v>85</v>
      </c>
      <c r="AQ93" t="s">
        <v>86</v>
      </c>
      <c r="AS93">
        <v>8.0758936302988573</v>
      </c>
      <c r="AT93">
        <v>1.62962962962963</v>
      </c>
      <c r="AU93">
        <v>2.518518518518519</v>
      </c>
      <c r="AV93">
        <v>0.88888888888888884</v>
      </c>
      <c r="AW93">
        <v>0</v>
      </c>
      <c r="AX93">
        <v>0.32352941176470579</v>
      </c>
      <c r="AY93">
        <v>0.5</v>
      </c>
      <c r="AZ93">
        <v>0.1764705882352941</v>
      </c>
      <c r="BA93">
        <v>0</v>
      </c>
      <c r="BB93">
        <v>5.9587386867222234</v>
      </c>
      <c r="BC93">
        <v>34</v>
      </c>
      <c r="BD93">
        <v>1767.0449718798691</v>
      </c>
      <c r="BE93">
        <v>4</v>
      </c>
      <c r="BF93">
        <v>7.6964651247849417E-2</v>
      </c>
      <c r="BG93">
        <v>6.6040679999999998</v>
      </c>
      <c r="BH93">
        <v>7.9389519999999996</v>
      </c>
      <c r="BI93">
        <v>33.703336</v>
      </c>
      <c r="BJ93">
        <v>1679.8210721820001</v>
      </c>
      <c r="BK93">
        <v>4</v>
      </c>
      <c r="BL93">
        <v>8.0961003676030277E-2</v>
      </c>
      <c r="BM93">
        <v>7.83</v>
      </c>
      <c r="BN93">
        <v>33.209989999999998</v>
      </c>
      <c r="BO93">
        <v>6.46</v>
      </c>
      <c r="BP93">
        <v>0</v>
      </c>
      <c r="BQ93">
        <v>0</v>
      </c>
      <c r="BS93">
        <v>0</v>
      </c>
      <c r="BT93">
        <v>0</v>
      </c>
      <c r="BU93">
        <v>0</v>
      </c>
      <c r="BV93">
        <v>1766.0147999999999</v>
      </c>
      <c r="BW93">
        <v>7.7009547145358015E-2</v>
      </c>
      <c r="BX93">
        <v>17</v>
      </c>
      <c r="BY93">
        <v>3.8504773572679007E-2</v>
      </c>
      <c r="BZ93">
        <v>3.8482325623924708E-2</v>
      </c>
      <c r="CA93">
        <v>4.0480501838015139E-2</v>
      </c>
      <c r="CC93">
        <v>0.48264383878002193</v>
      </c>
      <c r="CD93">
        <v>0.50770488753139875</v>
      </c>
      <c r="CF93">
        <v>0.48292538008460401</v>
      </c>
    </row>
    <row r="94" spans="1:84" x14ac:dyDescent="0.3">
      <c r="A94" s="1">
        <v>446</v>
      </c>
      <c r="B94" t="s">
        <v>83</v>
      </c>
      <c r="C94" t="s">
        <v>84</v>
      </c>
      <c r="E94" t="s">
        <v>83</v>
      </c>
      <c r="F94">
        <v>3.3</v>
      </c>
      <c r="G94" t="s">
        <v>85</v>
      </c>
      <c r="H94" t="s">
        <v>86</v>
      </c>
      <c r="I94">
        <v>-1</v>
      </c>
      <c r="J94">
        <v>4</v>
      </c>
      <c r="K94">
        <v>6.6</v>
      </c>
      <c r="L94">
        <v>7.94</v>
      </c>
      <c r="M94">
        <v>33.700000000000003</v>
      </c>
      <c r="O94">
        <v>16.850000000000001</v>
      </c>
      <c r="Q94" t="s">
        <v>87</v>
      </c>
      <c r="R94">
        <v>1473</v>
      </c>
      <c r="T94" t="b">
        <v>0</v>
      </c>
      <c r="U94" t="s">
        <v>172</v>
      </c>
      <c r="V94" t="s">
        <v>173</v>
      </c>
      <c r="W94">
        <v>1</v>
      </c>
      <c r="X94">
        <v>11.3</v>
      </c>
      <c r="Y94">
        <v>1.51</v>
      </c>
      <c r="Z94">
        <v>0</v>
      </c>
      <c r="AC94" t="s">
        <v>90</v>
      </c>
      <c r="AD94">
        <v>450</v>
      </c>
      <c r="AF94" t="s">
        <v>91</v>
      </c>
      <c r="AH94">
        <v>2932</v>
      </c>
      <c r="AL94" t="b">
        <v>1</v>
      </c>
      <c r="AM94" t="b">
        <v>0</v>
      </c>
      <c r="AN94" t="b">
        <v>0</v>
      </c>
      <c r="AO94" t="b">
        <v>0</v>
      </c>
      <c r="AP94" t="s">
        <v>85</v>
      </c>
      <c r="AQ94" t="s">
        <v>86</v>
      </c>
      <c r="AS94">
        <v>7.9834400630065421</v>
      </c>
      <c r="AT94">
        <v>1.62962962962963</v>
      </c>
      <c r="AU94">
        <v>2.518518518518519</v>
      </c>
      <c r="AV94">
        <v>0.88888888888888884</v>
      </c>
      <c r="AW94">
        <v>0</v>
      </c>
      <c r="AX94">
        <v>0.32352941176470579</v>
      </c>
      <c r="AY94">
        <v>0.5</v>
      </c>
      <c r="AZ94">
        <v>0.1764705882352941</v>
      </c>
      <c r="BA94">
        <v>0</v>
      </c>
      <c r="BB94">
        <v>5.9587386867222234</v>
      </c>
      <c r="BC94">
        <v>34</v>
      </c>
      <c r="BD94">
        <v>1767.0449718798691</v>
      </c>
      <c r="BE94">
        <v>4</v>
      </c>
      <c r="BF94">
        <v>7.6964651247849417E-2</v>
      </c>
      <c r="BG94">
        <v>6.6040679999999998</v>
      </c>
      <c r="BH94">
        <v>7.9389519999999996</v>
      </c>
      <c r="BI94">
        <v>33.703336</v>
      </c>
      <c r="BJ94">
        <v>1679.8210721820001</v>
      </c>
      <c r="BK94">
        <v>4</v>
      </c>
      <c r="BL94">
        <v>8.0961003676030277E-2</v>
      </c>
      <c r="BM94">
        <v>7.83</v>
      </c>
      <c r="BN94">
        <v>33.209989999999998</v>
      </c>
      <c r="BO94">
        <v>6.46</v>
      </c>
      <c r="BP94">
        <v>0</v>
      </c>
      <c r="BQ94">
        <v>0</v>
      </c>
      <c r="BS94">
        <v>0</v>
      </c>
      <c r="BT94">
        <v>0</v>
      </c>
      <c r="BU94">
        <v>0</v>
      </c>
      <c r="BV94">
        <v>1766.0147999999999</v>
      </c>
      <c r="BW94">
        <v>7.7009547145358015E-2</v>
      </c>
      <c r="BX94">
        <v>17</v>
      </c>
      <c r="BY94">
        <v>3.8504773572679007E-2</v>
      </c>
      <c r="BZ94">
        <v>3.8482325623924708E-2</v>
      </c>
      <c r="CA94">
        <v>4.0480501838015139E-2</v>
      </c>
      <c r="CC94">
        <v>0.48264383878002193</v>
      </c>
      <c r="CD94">
        <v>0.50770488753139875</v>
      </c>
      <c r="CF94">
        <v>0.48292538008460401</v>
      </c>
    </row>
    <row r="95" spans="1:84" x14ac:dyDescent="0.3">
      <c r="A95" s="1">
        <v>447</v>
      </c>
      <c r="B95" t="s">
        <v>83</v>
      </c>
      <c r="C95" t="s">
        <v>84</v>
      </c>
      <c r="E95" t="s">
        <v>83</v>
      </c>
      <c r="F95">
        <v>3.3</v>
      </c>
      <c r="G95" t="s">
        <v>85</v>
      </c>
      <c r="H95" t="s">
        <v>86</v>
      </c>
      <c r="I95">
        <v>-1</v>
      </c>
      <c r="J95">
        <v>4</v>
      </c>
      <c r="K95">
        <v>6.6</v>
      </c>
      <c r="L95">
        <v>7.94</v>
      </c>
      <c r="M95">
        <v>33.700000000000003</v>
      </c>
      <c r="O95">
        <v>16.850000000000001</v>
      </c>
      <c r="Q95" t="s">
        <v>87</v>
      </c>
      <c r="R95">
        <v>1473</v>
      </c>
      <c r="T95" t="b">
        <v>0</v>
      </c>
      <c r="U95" t="s">
        <v>172</v>
      </c>
      <c r="V95" t="s">
        <v>173</v>
      </c>
      <c r="W95">
        <v>1</v>
      </c>
      <c r="X95">
        <v>11.2</v>
      </c>
      <c r="Y95">
        <v>1.51</v>
      </c>
      <c r="Z95">
        <v>0</v>
      </c>
      <c r="AC95" t="s">
        <v>90</v>
      </c>
      <c r="AD95">
        <v>450</v>
      </c>
      <c r="AF95" t="s">
        <v>91</v>
      </c>
      <c r="AH95">
        <v>2794</v>
      </c>
      <c r="AL95" t="b">
        <v>1</v>
      </c>
      <c r="AM95" t="b">
        <v>0</v>
      </c>
      <c r="AN95" t="b">
        <v>0</v>
      </c>
      <c r="AO95" t="b">
        <v>0</v>
      </c>
      <c r="AP95" t="s">
        <v>85</v>
      </c>
      <c r="AQ95" t="s">
        <v>86</v>
      </c>
      <c r="AS95">
        <v>7.9352295398169073</v>
      </c>
      <c r="AT95">
        <v>1.62962962962963</v>
      </c>
      <c r="AU95">
        <v>2.518518518518519</v>
      </c>
      <c r="AV95">
        <v>0.88888888888888884</v>
      </c>
      <c r="AW95">
        <v>0</v>
      </c>
      <c r="AX95">
        <v>0.32352941176470579</v>
      </c>
      <c r="AY95">
        <v>0.5</v>
      </c>
      <c r="AZ95">
        <v>0.1764705882352941</v>
      </c>
      <c r="BA95">
        <v>0</v>
      </c>
      <c r="BB95">
        <v>5.9587386867222234</v>
      </c>
      <c r="BC95">
        <v>34</v>
      </c>
      <c r="BD95">
        <v>1767.0449718798691</v>
      </c>
      <c r="BE95">
        <v>4</v>
      </c>
      <c r="BF95">
        <v>7.6964651247849417E-2</v>
      </c>
      <c r="BG95">
        <v>6.6040679999999998</v>
      </c>
      <c r="BH95">
        <v>7.9389519999999996</v>
      </c>
      <c r="BI95">
        <v>33.703336</v>
      </c>
      <c r="BJ95">
        <v>1679.8210721820001</v>
      </c>
      <c r="BK95">
        <v>4</v>
      </c>
      <c r="BL95">
        <v>8.0961003676030277E-2</v>
      </c>
      <c r="BM95">
        <v>7.83</v>
      </c>
      <c r="BN95">
        <v>33.209989999999998</v>
      </c>
      <c r="BO95">
        <v>6.46</v>
      </c>
      <c r="BP95">
        <v>0</v>
      </c>
      <c r="BQ95">
        <v>0</v>
      </c>
      <c r="BS95">
        <v>0</v>
      </c>
      <c r="BT95">
        <v>0</v>
      </c>
      <c r="BU95">
        <v>0</v>
      </c>
      <c r="BV95">
        <v>1766.0147999999999</v>
      </c>
      <c r="BW95">
        <v>7.7009547145358015E-2</v>
      </c>
      <c r="BX95">
        <v>17</v>
      </c>
      <c r="BY95">
        <v>3.8504773572679007E-2</v>
      </c>
      <c r="BZ95">
        <v>3.8482325623924708E-2</v>
      </c>
      <c r="CA95">
        <v>4.0480501838015139E-2</v>
      </c>
      <c r="CC95">
        <v>0.48264383878002193</v>
      </c>
      <c r="CD95">
        <v>0.50770488753139875</v>
      </c>
      <c r="CF95">
        <v>0.48292538008460401</v>
      </c>
    </row>
    <row r="96" spans="1:84" x14ac:dyDescent="0.3">
      <c r="A96" s="1">
        <v>448</v>
      </c>
      <c r="B96" t="s">
        <v>83</v>
      </c>
      <c r="C96" t="s">
        <v>84</v>
      </c>
      <c r="E96" t="s">
        <v>83</v>
      </c>
      <c r="F96">
        <v>3.3</v>
      </c>
      <c r="G96" t="s">
        <v>85</v>
      </c>
      <c r="H96" t="s">
        <v>86</v>
      </c>
      <c r="I96">
        <v>-1</v>
      </c>
      <c r="J96">
        <v>4</v>
      </c>
      <c r="K96">
        <v>6.6</v>
      </c>
      <c r="L96">
        <v>7.94</v>
      </c>
      <c r="M96">
        <v>33.700000000000003</v>
      </c>
      <c r="O96">
        <v>16.850000000000001</v>
      </c>
      <c r="Q96" t="s">
        <v>87</v>
      </c>
      <c r="R96">
        <v>1473</v>
      </c>
      <c r="T96" t="b">
        <v>0</v>
      </c>
      <c r="U96" t="s">
        <v>172</v>
      </c>
      <c r="V96" t="s">
        <v>173</v>
      </c>
      <c r="W96">
        <v>1</v>
      </c>
      <c r="X96">
        <v>8.5</v>
      </c>
      <c r="Y96">
        <v>1.51</v>
      </c>
      <c r="Z96">
        <v>0</v>
      </c>
      <c r="AC96" t="s">
        <v>90</v>
      </c>
      <c r="AD96">
        <v>450</v>
      </c>
      <c r="AF96" t="s">
        <v>91</v>
      </c>
      <c r="AH96">
        <v>3110</v>
      </c>
      <c r="AL96" t="b">
        <v>1</v>
      </c>
      <c r="AM96" t="b">
        <v>0</v>
      </c>
      <c r="AN96" t="b">
        <v>0</v>
      </c>
      <c r="AO96" t="b">
        <v>0</v>
      </c>
      <c r="AP96" t="s">
        <v>85</v>
      </c>
      <c r="AQ96" t="s">
        <v>86</v>
      </c>
      <c r="AS96">
        <v>8.0423780051732798</v>
      </c>
      <c r="AT96">
        <v>1.62962962962963</v>
      </c>
      <c r="AU96">
        <v>2.518518518518519</v>
      </c>
      <c r="AV96">
        <v>0.88888888888888884</v>
      </c>
      <c r="AW96">
        <v>0</v>
      </c>
      <c r="AX96">
        <v>0.32352941176470579</v>
      </c>
      <c r="AY96">
        <v>0.5</v>
      </c>
      <c r="AZ96">
        <v>0.1764705882352941</v>
      </c>
      <c r="BA96">
        <v>0</v>
      </c>
      <c r="BB96">
        <v>5.9587386867222234</v>
      </c>
      <c r="BC96">
        <v>34</v>
      </c>
      <c r="BD96">
        <v>1767.0449718798691</v>
      </c>
      <c r="BE96">
        <v>4</v>
      </c>
      <c r="BF96">
        <v>7.6964651247849417E-2</v>
      </c>
      <c r="BG96">
        <v>6.6040679999999998</v>
      </c>
      <c r="BH96">
        <v>7.9389519999999996</v>
      </c>
      <c r="BI96">
        <v>33.703336</v>
      </c>
      <c r="BJ96">
        <v>1679.8210721820001</v>
      </c>
      <c r="BK96">
        <v>4</v>
      </c>
      <c r="BL96">
        <v>8.0961003676030277E-2</v>
      </c>
      <c r="BM96">
        <v>7.83</v>
      </c>
      <c r="BN96">
        <v>33.209989999999998</v>
      </c>
      <c r="BO96">
        <v>6.46</v>
      </c>
      <c r="BP96">
        <v>0</v>
      </c>
      <c r="BQ96">
        <v>0</v>
      </c>
      <c r="BS96">
        <v>0</v>
      </c>
      <c r="BT96">
        <v>0</v>
      </c>
      <c r="BU96">
        <v>0</v>
      </c>
      <c r="BV96">
        <v>1766.0147999999999</v>
      </c>
      <c r="BW96">
        <v>7.7009547145358015E-2</v>
      </c>
      <c r="BX96">
        <v>17</v>
      </c>
      <c r="BY96">
        <v>3.8504773572679007E-2</v>
      </c>
      <c r="BZ96">
        <v>3.8482325623924708E-2</v>
      </c>
      <c r="CA96">
        <v>4.0480501838015139E-2</v>
      </c>
      <c r="CC96">
        <v>0.48264383878002193</v>
      </c>
      <c r="CD96">
        <v>0.50770488753139875</v>
      </c>
      <c r="CF96">
        <v>0.48292538008460401</v>
      </c>
    </row>
    <row r="97" spans="1:84" x14ac:dyDescent="0.3">
      <c r="A97" s="1">
        <v>449</v>
      </c>
      <c r="B97" t="s">
        <v>83</v>
      </c>
      <c r="C97" t="s">
        <v>84</v>
      </c>
      <c r="E97" t="s">
        <v>83</v>
      </c>
      <c r="F97">
        <v>3.3</v>
      </c>
      <c r="G97" t="s">
        <v>85</v>
      </c>
      <c r="H97" t="s">
        <v>86</v>
      </c>
      <c r="I97">
        <v>-1</v>
      </c>
      <c r="J97">
        <v>4</v>
      </c>
      <c r="K97">
        <v>6.6</v>
      </c>
      <c r="L97">
        <v>7.94</v>
      </c>
      <c r="M97">
        <v>33.700000000000003</v>
      </c>
      <c r="O97">
        <v>16.850000000000001</v>
      </c>
      <c r="Q97" t="s">
        <v>87</v>
      </c>
      <c r="R97">
        <v>1473</v>
      </c>
      <c r="T97" t="b">
        <v>0</v>
      </c>
      <c r="U97" t="s">
        <v>172</v>
      </c>
      <c r="V97" t="s">
        <v>173</v>
      </c>
      <c r="W97">
        <v>1</v>
      </c>
      <c r="X97">
        <v>7.8</v>
      </c>
      <c r="Y97">
        <v>1.51</v>
      </c>
      <c r="Z97">
        <v>0</v>
      </c>
      <c r="AC97" t="s">
        <v>90</v>
      </c>
      <c r="AD97">
        <v>450</v>
      </c>
      <c r="AF97" t="s">
        <v>91</v>
      </c>
      <c r="AH97">
        <v>3520</v>
      </c>
      <c r="AL97" t="b">
        <v>1</v>
      </c>
      <c r="AM97" t="b">
        <v>0</v>
      </c>
      <c r="AN97" t="b">
        <v>0</v>
      </c>
      <c r="AO97" t="b">
        <v>0</v>
      </c>
      <c r="AP97" t="s">
        <v>85</v>
      </c>
      <c r="AQ97" t="s">
        <v>86</v>
      </c>
      <c r="AS97">
        <v>8.1662162685921427</v>
      </c>
      <c r="AT97">
        <v>1.62962962962963</v>
      </c>
      <c r="AU97">
        <v>2.518518518518519</v>
      </c>
      <c r="AV97">
        <v>0.88888888888888884</v>
      </c>
      <c r="AW97">
        <v>0</v>
      </c>
      <c r="AX97">
        <v>0.32352941176470579</v>
      </c>
      <c r="AY97">
        <v>0.5</v>
      </c>
      <c r="AZ97">
        <v>0.1764705882352941</v>
      </c>
      <c r="BA97">
        <v>0</v>
      </c>
      <c r="BB97">
        <v>5.9587386867222234</v>
      </c>
      <c r="BC97">
        <v>34</v>
      </c>
      <c r="BD97">
        <v>1767.0449718798691</v>
      </c>
      <c r="BE97">
        <v>4</v>
      </c>
      <c r="BF97">
        <v>7.6964651247849417E-2</v>
      </c>
      <c r="BG97">
        <v>6.6040679999999998</v>
      </c>
      <c r="BH97">
        <v>7.9389519999999996</v>
      </c>
      <c r="BI97">
        <v>33.703336</v>
      </c>
      <c r="BJ97">
        <v>1679.8210721820001</v>
      </c>
      <c r="BK97">
        <v>4</v>
      </c>
      <c r="BL97">
        <v>8.0961003676030277E-2</v>
      </c>
      <c r="BM97">
        <v>7.83</v>
      </c>
      <c r="BN97">
        <v>33.209989999999998</v>
      </c>
      <c r="BO97">
        <v>6.46</v>
      </c>
      <c r="BP97">
        <v>0</v>
      </c>
      <c r="BQ97">
        <v>0</v>
      </c>
      <c r="BS97">
        <v>0</v>
      </c>
      <c r="BT97">
        <v>0</v>
      </c>
      <c r="BU97">
        <v>0</v>
      </c>
      <c r="BV97">
        <v>1766.0147999999999</v>
      </c>
      <c r="BW97">
        <v>7.7009547145358015E-2</v>
      </c>
      <c r="BX97">
        <v>17</v>
      </c>
      <c r="BY97">
        <v>3.8504773572679007E-2</v>
      </c>
      <c r="BZ97">
        <v>3.8482325623924708E-2</v>
      </c>
      <c r="CA97">
        <v>4.0480501838015139E-2</v>
      </c>
      <c r="CC97">
        <v>0.48264383878002193</v>
      </c>
      <c r="CD97">
        <v>0.50770488753139875</v>
      </c>
      <c r="CF97">
        <v>0.48292538008460401</v>
      </c>
    </row>
    <row r="98" spans="1:84" x14ac:dyDescent="0.3">
      <c r="A98" s="1">
        <v>450</v>
      </c>
      <c r="B98" t="s">
        <v>83</v>
      </c>
      <c r="C98" t="s">
        <v>84</v>
      </c>
      <c r="E98" t="s">
        <v>83</v>
      </c>
      <c r="F98">
        <v>3.3</v>
      </c>
      <c r="G98" t="s">
        <v>85</v>
      </c>
      <c r="H98" t="s">
        <v>86</v>
      </c>
      <c r="I98">
        <v>-1</v>
      </c>
      <c r="J98">
        <v>4</v>
      </c>
      <c r="K98">
        <v>6.6</v>
      </c>
      <c r="L98">
        <v>7.94</v>
      </c>
      <c r="M98">
        <v>33.700000000000003</v>
      </c>
      <c r="O98">
        <v>16.850000000000001</v>
      </c>
      <c r="Q98" t="s">
        <v>87</v>
      </c>
      <c r="R98">
        <v>1473</v>
      </c>
      <c r="T98" t="b">
        <v>0</v>
      </c>
      <c r="U98" t="s">
        <v>172</v>
      </c>
      <c r="V98" t="s">
        <v>173</v>
      </c>
      <c r="W98">
        <v>1</v>
      </c>
      <c r="X98">
        <v>6.2</v>
      </c>
      <c r="Y98">
        <v>1.51</v>
      </c>
      <c r="Z98">
        <v>0</v>
      </c>
      <c r="AC98" t="s">
        <v>90</v>
      </c>
      <c r="AD98">
        <v>450</v>
      </c>
      <c r="AF98" t="s">
        <v>91</v>
      </c>
      <c r="AH98">
        <v>3674</v>
      </c>
      <c r="AL98" t="b">
        <v>1</v>
      </c>
      <c r="AM98" t="b">
        <v>0</v>
      </c>
      <c r="AN98" t="b">
        <v>0</v>
      </c>
      <c r="AO98" t="b">
        <v>0</v>
      </c>
      <c r="AP98" t="s">
        <v>85</v>
      </c>
      <c r="AQ98" t="s">
        <v>86</v>
      </c>
      <c r="AS98">
        <v>8.2090362657750706</v>
      </c>
      <c r="AT98">
        <v>1.62962962962963</v>
      </c>
      <c r="AU98">
        <v>2.518518518518519</v>
      </c>
      <c r="AV98">
        <v>0.88888888888888884</v>
      </c>
      <c r="AW98">
        <v>0</v>
      </c>
      <c r="AX98">
        <v>0.32352941176470579</v>
      </c>
      <c r="AY98">
        <v>0.5</v>
      </c>
      <c r="AZ98">
        <v>0.1764705882352941</v>
      </c>
      <c r="BA98">
        <v>0</v>
      </c>
      <c r="BB98">
        <v>5.9587386867222234</v>
      </c>
      <c r="BC98">
        <v>34</v>
      </c>
      <c r="BD98">
        <v>1767.0449718798691</v>
      </c>
      <c r="BE98">
        <v>4</v>
      </c>
      <c r="BF98">
        <v>7.6964651247849417E-2</v>
      </c>
      <c r="BG98">
        <v>6.6040679999999998</v>
      </c>
      <c r="BH98">
        <v>7.9389519999999996</v>
      </c>
      <c r="BI98">
        <v>33.703336</v>
      </c>
      <c r="BJ98">
        <v>1679.8210721820001</v>
      </c>
      <c r="BK98">
        <v>4</v>
      </c>
      <c r="BL98">
        <v>8.0961003676030277E-2</v>
      </c>
      <c r="BM98">
        <v>7.83</v>
      </c>
      <c r="BN98">
        <v>33.209989999999998</v>
      </c>
      <c r="BO98">
        <v>6.46</v>
      </c>
      <c r="BP98">
        <v>0</v>
      </c>
      <c r="BQ98">
        <v>0</v>
      </c>
      <c r="BS98">
        <v>0</v>
      </c>
      <c r="BT98">
        <v>0</v>
      </c>
      <c r="BU98">
        <v>0</v>
      </c>
      <c r="BV98">
        <v>1766.0147999999999</v>
      </c>
      <c r="BW98">
        <v>7.7009547145358015E-2</v>
      </c>
      <c r="BX98">
        <v>17</v>
      </c>
      <c r="BY98">
        <v>3.8504773572679007E-2</v>
      </c>
      <c r="BZ98">
        <v>3.8482325623924708E-2</v>
      </c>
      <c r="CA98">
        <v>4.0480501838015139E-2</v>
      </c>
      <c r="CC98">
        <v>0.48264383878002193</v>
      </c>
      <c r="CD98">
        <v>0.50770488753139875</v>
      </c>
      <c r="CF98">
        <v>0.48292538008460401</v>
      </c>
    </row>
    <row r="99" spans="1:84" x14ac:dyDescent="0.3">
      <c r="A99" s="1">
        <v>458</v>
      </c>
      <c r="B99" t="s">
        <v>106</v>
      </c>
      <c r="C99" t="s">
        <v>107</v>
      </c>
      <c r="E99" t="s">
        <v>106</v>
      </c>
      <c r="F99">
        <v>3.46</v>
      </c>
      <c r="G99" t="s">
        <v>108</v>
      </c>
      <c r="H99" t="s">
        <v>109</v>
      </c>
      <c r="I99">
        <v>-1</v>
      </c>
      <c r="J99">
        <v>4</v>
      </c>
      <c r="K99">
        <v>3.8490000000000002</v>
      </c>
      <c r="L99">
        <v>7.6680000000000001</v>
      </c>
      <c r="M99">
        <v>29.42</v>
      </c>
      <c r="N99" t="s">
        <v>837</v>
      </c>
      <c r="O99">
        <v>14.71</v>
      </c>
      <c r="Q99" t="s">
        <v>838</v>
      </c>
      <c r="R99">
        <v>1473</v>
      </c>
      <c r="S99">
        <v>10</v>
      </c>
      <c r="T99" t="b">
        <v>0</v>
      </c>
      <c r="U99" t="s">
        <v>125</v>
      </c>
      <c r="V99" t="s">
        <v>839</v>
      </c>
      <c r="W99">
        <v>1</v>
      </c>
      <c r="Y99">
        <v>0.5</v>
      </c>
      <c r="Z99">
        <v>20</v>
      </c>
      <c r="AC99" t="s">
        <v>165</v>
      </c>
      <c r="AD99">
        <v>500</v>
      </c>
      <c r="AE99">
        <v>400</v>
      </c>
      <c r="AF99" t="s">
        <v>91</v>
      </c>
      <c r="AH99">
        <v>6.7000000000000004E-2</v>
      </c>
      <c r="AL99" t="b">
        <v>1</v>
      </c>
      <c r="AM99" t="b">
        <v>1</v>
      </c>
      <c r="AN99" t="b">
        <v>0</v>
      </c>
      <c r="AO99" t="b">
        <v>0</v>
      </c>
      <c r="AP99" t="s">
        <v>108</v>
      </c>
      <c r="AQ99" t="s">
        <v>109</v>
      </c>
      <c r="AS99">
        <v>-2.7030626595911711</v>
      </c>
      <c r="AT99">
        <v>1.75</v>
      </c>
      <c r="AU99">
        <v>2.5</v>
      </c>
      <c r="AV99">
        <v>0.75</v>
      </c>
      <c r="AW99">
        <v>0</v>
      </c>
      <c r="AX99">
        <v>0.35</v>
      </c>
      <c r="AY99">
        <v>0.5</v>
      </c>
      <c r="AZ99">
        <v>0.15</v>
      </c>
      <c r="BA99">
        <v>0</v>
      </c>
      <c r="BB99">
        <v>5.9668120809374994</v>
      </c>
      <c r="BC99">
        <v>20</v>
      </c>
      <c r="BD99">
        <v>924.74694800021894</v>
      </c>
      <c r="BE99">
        <v>4</v>
      </c>
      <c r="BF99">
        <v>8.6510153045653584E-2</v>
      </c>
      <c r="BG99">
        <v>7.8084429999999996</v>
      </c>
      <c r="BH99">
        <v>7.8548809999999998</v>
      </c>
      <c r="BI99">
        <v>15.19056011</v>
      </c>
      <c r="BJ99">
        <v>883.22940750240002</v>
      </c>
      <c r="BK99">
        <v>4</v>
      </c>
      <c r="BL99">
        <v>9.0576694254581439E-2</v>
      </c>
      <c r="BM99">
        <v>3.8801999999999999</v>
      </c>
      <c r="BN99">
        <v>29.507999999999999</v>
      </c>
      <c r="BO99">
        <v>7.7140000000000004</v>
      </c>
      <c r="BP99">
        <v>0</v>
      </c>
      <c r="BQ99">
        <v>0</v>
      </c>
      <c r="BS99">
        <v>0</v>
      </c>
      <c r="BT99">
        <v>0</v>
      </c>
      <c r="BU99">
        <v>0</v>
      </c>
      <c r="BV99">
        <v>868.30576344000019</v>
      </c>
      <c r="BW99">
        <v>9.2133443503888468E-2</v>
      </c>
      <c r="BX99">
        <v>10</v>
      </c>
      <c r="BY99">
        <v>4.6066721751944227E-2</v>
      </c>
      <c r="BZ99">
        <v>4.3255076522826792E-2</v>
      </c>
      <c r="CA99">
        <v>4.5288347127290719E-2</v>
      </c>
      <c r="CC99">
        <v>0.50555206026575006</v>
      </c>
      <c r="CD99">
        <v>0.52931630311992839</v>
      </c>
      <c r="CF99">
        <v>0.5384137068650009</v>
      </c>
    </row>
    <row r="100" spans="1:84" x14ac:dyDescent="0.3">
      <c r="A100" s="1">
        <v>459</v>
      </c>
      <c r="B100" t="s">
        <v>140</v>
      </c>
      <c r="C100" t="s">
        <v>141</v>
      </c>
      <c r="E100" t="s">
        <v>106</v>
      </c>
      <c r="F100">
        <v>3.512</v>
      </c>
      <c r="G100" t="s">
        <v>108</v>
      </c>
      <c r="H100" t="s">
        <v>109</v>
      </c>
      <c r="I100">
        <v>-1</v>
      </c>
      <c r="J100">
        <v>4</v>
      </c>
      <c r="K100">
        <v>3.8490000000000002</v>
      </c>
      <c r="L100">
        <v>7.6680000000000001</v>
      </c>
      <c r="M100">
        <v>29.42</v>
      </c>
      <c r="N100" t="s">
        <v>837</v>
      </c>
      <c r="O100">
        <v>14.71</v>
      </c>
      <c r="Q100" t="s">
        <v>838</v>
      </c>
      <c r="R100">
        <v>1473</v>
      </c>
      <c r="S100">
        <v>10</v>
      </c>
      <c r="T100" t="b">
        <v>0</v>
      </c>
      <c r="U100" t="s">
        <v>125</v>
      </c>
      <c r="V100" t="s">
        <v>839</v>
      </c>
      <c r="W100">
        <v>1</v>
      </c>
      <c r="Y100">
        <v>0.5</v>
      </c>
      <c r="Z100">
        <v>20</v>
      </c>
      <c r="AC100" t="s">
        <v>165</v>
      </c>
      <c r="AD100">
        <v>500</v>
      </c>
      <c r="AE100">
        <v>400</v>
      </c>
      <c r="AF100" t="s">
        <v>91</v>
      </c>
      <c r="AH100">
        <v>0.183</v>
      </c>
      <c r="AI100" t="s">
        <v>136</v>
      </c>
      <c r="AJ100" t="s">
        <v>136</v>
      </c>
      <c r="AL100" t="b">
        <v>1</v>
      </c>
      <c r="AM100" t="b">
        <v>1</v>
      </c>
      <c r="AN100" t="b">
        <v>0</v>
      </c>
      <c r="AO100" t="b">
        <v>0</v>
      </c>
      <c r="AP100" t="s">
        <v>840</v>
      </c>
      <c r="AQ100" t="s">
        <v>841</v>
      </c>
      <c r="AS100">
        <v>-1.6982691261407159</v>
      </c>
      <c r="AT100">
        <v>1.75</v>
      </c>
      <c r="AU100">
        <v>2.5</v>
      </c>
      <c r="AV100">
        <v>0.75</v>
      </c>
      <c r="AW100">
        <v>0</v>
      </c>
      <c r="AX100">
        <v>0.35</v>
      </c>
      <c r="AY100">
        <v>0.5</v>
      </c>
      <c r="AZ100">
        <v>0.15</v>
      </c>
      <c r="BA100">
        <v>0</v>
      </c>
      <c r="BB100">
        <v>6.2640154224906874</v>
      </c>
      <c r="BC100">
        <v>20</v>
      </c>
      <c r="BD100">
        <v>924.74694800021894</v>
      </c>
      <c r="BE100">
        <v>4</v>
      </c>
      <c r="BF100">
        <v>8.6510153045653584E-2</v>
      </c>
      <c r="BG100">
        <v>7.8084429999999996</v>
      </c>
      <c r="BH100">
        <v>7.8548809999999998</v>
      </c>
      <c r="BI100">
        <v>15.19056011</v>
      </c>
      <c r="BJ100">
        <v>883.22940750240002</v>
      </c>
      <c r="BK100">
        <v>4</v>
      </c>
      <c r="BL100">
        <v>9.0576694254581439E-2</v>
      </c>
      <c r="BM100">
        <v>3.8801999999999999</v>
      </c>
      <c r="BN100">
        <v>29.507999999999999</v>
      </c>
      <c r="BO100">
        <v>7.7140000000000004</v>
      </c>
      <c r="BP100">
        <v>0</v>
      </c>
      <c r="BQ100">
        <v>0</v>
      </c>
      <c r="BS100">
        <v>0</v>
      </c>
      <c r="BT100">
        <v>0</v>
      </c>
      <c r="BU100">
        <v>0</v>
      </c>
      <c r="BV100">
        <v>868.30576344000019</v>
      </c>
      <c r="BW100">
        <v>9.2133443503888468E-2</v>
      </c>
      <c r="BX100">
        <v>10</v>
      </c>
      <c r="BY100">
        <v>4.6066721751944227E-2</v>
      </c>
      <c r="BZ100">
        <v>4.3255076522826792E-2</v>
      </c>
      <c r="CA100">
        <v>4.5288347127290719E-2</v>
      </c>
      <c r="CC100">
        <v>0.44192300596941569</v>
      </c>
      <c r="CD100">
        <v>0.46269626843260342</v>
      </c>
      <c r="CF100">
        <v>0.47064866804784089</v>
      </c>
    </row>
    <row r="101" spans="1:84" x14ac:dyDescent="0.3">
      <c r="A101" s="1">
        <v>460</v>
      </c>
      <c r="B101" t="s">
        <v>140</v>
      </c>
      <c r="C101" t="s">
        <v>141</v>
      </c>
      <c r="E101" t="s">
        <v>106</v>
      </c>
      <c r="F101">
        <v>3.512</v>
      </c>
      <c r="G101" t="s">
        <v>108</v>
      </c>
      <c r="H101" t="s">
        <v>109</v>
      </c>
      <c r="I101">
        <v>-1</v>
      </c>
      <c r="J101">
        <v>4</v>
      </c>
      <c r="K101">
        <v>3.8490000000000002</v>
      </c>
      <c r="L101">
        <v>7.6680000000000001</v>
      </c>
      <c r="M101">
        <v>29.42</v>
      </c>
      <c r="N101" t="s">
        <v>837</v>
      </c>
      <c r="O101">
        <v>14.71</v>
      </c>
      <c r="Q101" t="s">
        <v>838</v>
      </c>
      <c r="R101">
        <v>1473</v>
      </c>
      <c r="S101">
        <v>10</v>
      </c>
      <c r="T101" t="b">
        <v>0</v>
      </c>
      <c r="U101" t="s">
        <v>125</v>
      </c>
      <c r="V101" t="s">
        <v>839</v>
      </c>
      <c r="W101">
        <v>1</v>
      </c>
      <c r="X101">
        <v>112</v>
      </c>
      <c r="Y101">
        <v>0.5</v>
      </c>
      <c r="Z101">
        <v>20</v>
      </c>
      <c r="AC101" t="s">
        <v>165</v>
      </c>
      <c r="AD101">
        <v>500</v>
      </c>
      <c r="AE101">
        <v>400</v>
      </c>
      <c r="AF101" t="s">
        <v>91</v>
      </c>
      <c r="AH101">
        <v>0.4</v>
      </c>
      <c r="AI101" t="s">
        <v>136</v>
      </c>
      <c r="AJ101" t="s">
        <v>136</v>
      </c>
      <c r="AL101" t="b">
        <v>1</v>
      </c>
      <c r="AM101" t="b">
        <v>1</v>
      </c>
      <c r="AN101" t="b">
        <v>0</v>
      </c>
      <c r="AO101" t="b">
        <v>0</v>
      </c>
      <c r="AP101" t="s">
        <v>842</v>
      </c>
      <c r="AQ101" t="s">
        <v>843</v>
      </c>
      <c r="AS101">
        <v>-0.916290731874155</v>
      </c>
      <c r="AT101">
        <v>1.75</v>
      </c>
      <c r="AU101">
        <v>2.5</v>
      </c>
      <c r="AV101">
        <v>0.75</v>
      </c>
      <c r="AW101">
        <v>0</v>
      </c>
      <c r="AX101">
        <v>0.35</v>
      </c>
      <c r="AY101">
        <v>0.5</v>
      </c>
      <c r="AZ101">
        <v>0.15</v>
      </c>
      <c r="BA101">
        <v>0</v>
      </c>
      <c r="BB101">
        <v>6.2640154224906874</v>
      </c>
      <c r="BC101">
        <v>20</v>
      </c>
      <c r="BD101">
        <v>924.74694800021894</v>
      </c>
      <c r="BE101">
        <v>4</v>
      </c>
      <c r="BF101">
        <v>8.6510153045653584E-2</v>
      </c>
      <c r="BG101">
        <v>7.8084429999999996</v>
      </c>
      <c r="BH101">
        <v>7.8548809999999998</v>
      </c>
      <c r="BI101">
        <v>15.19056011</v>
      </c>
      <c r="BJ101">
        <v>883.22940750240002</v>
      </c>
      <c r="BK101">
        <v>4</v>
      </c>
      <c r="BL101">
        <v>9.0576694254581439E-2</v>
      </c>
      <c r="BM101">
        <v>3.8801999999999999</v>
      </c>
      <c r="BN101">
        <v>29.507999999999999</v>
      </c>
      <c r="BO101">
        <v>7.7140000000000004</v>
      </c>
      <c r="BP101">
        <v>0</v>
      </c>
      <c r="BQ101">
        <v>0</v>
      </c>
      <c r="BS101">
        <v>0</v>
      </c>
      <c r="BT101">
        <v>0</v>
      </c>
      <c r="BU101">
        <v>0</v>
      </c>
      <c r="BV101">
        <v>868.30576344000019</v>
      </c>
      <c r="BW101">
        <v>9.2133443503888468E-2</v>
      </c>
      <c r="BX101">
        <v>10</v>
      </c>
      <c r="BY101">
        <v>4.6066721751944227E-2</v>
      </c>
      <c r="BZ101">
        <v>4.3255076522826792E-2</v>
      </c>
      <c r="CA101">
        <v>4.5288347127290719E-2</v>
      </c>
      <c r="CC101">
        <v>0.44192300596941569</v>
      </c>
      <c r="CD101">
        <v>0.46269626843260342</v>
      </c>
      <c r="CF101">
        <v>0.47064866804784089</v>
      </c>
    </row>
    <row r="102" spans="1:84" x14ac:dyDescent="0.3">
      <c r="A102" s="1">
        <v>465</v>
      </c>
      <c r="B102" t="s">
        <v>140</v>
      </c>
      <c r="C102" t="s">
        <v>141</v>
      </c>
      <c r="E102" t="s">
        <v>106</v>
      </c>
      <c r="F102">
        <v>3.512</v>
      </c>
      <c r="G102" t="s">
        <v>108</v>
      </c>
      <c r="H102" t="s">
        <v>109</v>
      </c>
      <c r="I102">
        <v>-1</v>
      </c>
      <c r="Q102" t="s">
        <v>838</v>
      </c>
      <c r="R102">
        <v>1473</v>
      </c>
      <c r="S102">
        <v>10</v>
      </c>
      <c r="T102" t="b">
        <v>0</v>
      </c>
      <c r="U102" t="s">
        <v>125</v>
      </c>
      <c r="V102" t="s">
        <v>839</v>
      </c>
      <c r="W102">
        <v>1</v>
      </c>
      <c r="X102">
        <v>84</v>
      </c>
      <c r="Y102">
        <v>3.3300000000000003E-2</v>
      </c>
      <c r="Z102">
        <v>10</v>
      </c>
      <c r="AC102" t="s">
        <v>165</v>
      </c>
      <c r="AD102">
        <v>500</v>
      </c>
      <c r="AF102" t="s">
        <v>91</v>
      </c>
      <c r="AH102">
        <v>4984</v>
      </c>
      <c r="AI102" t="s">
        <v>136</v>
      </c>
      <c r="AJ102" t="s">
        <v>136</v>
      </c>
      <c r="AL102" t="b">
        <v>1</v>
      </c>
      <c r="AM102" t="b">
        <v>1</v>
      </c>
      <c r="AN102" t="b">
        <v>0</v>
      </c>
      <c r="AO102" t="b">
        <v>0</v>
      </c>
      <c r="AP102" t="s">
        <v>863</v>
      </c>
      <c r="AQ102" t="s">
        <v>864</v>
      </c>
      <c r="AS102">
        <v>8.5139880604672893</v>
      </c>
      <c r="AT102">
        <v>1.75</v>
      </c>
      <c r="AU102">
        <v>2.5</v>
      </c>
      <c r="AV102">
        <v>0.75</v>
      </c>
      <c r="AW102">
        <v>0</v>
      </c>
      <c r="AX102">
        <v>0.35</v>
      </c>
      <c r="AY102">
        <v>0.5</v>
      </c>
      <c r="AZ102">
        <v>0.15</v>
      </c>
      <c r="BA102">
        <v>0</v>
      </c>
      <c r="BB102">
        <v>6.2640154224906874</v>
      </c>
      <c r="BC102">
        <v>20</v>
      </c>
      <c r="BD102">
        <v>924.74694800021894</v>
      </c>
      <c r="BE102">
        <v>4</v>
      </c>
      <c r="BF102">
        <v>8.6510153045653584E-2</v>
      </c>
      <c r="BG102">
        <v>7.8084429999999996</v>
      </c>
      <c r="BH102">
        <v>7.8548809999999998</v>
      </c>
      <c r="BI102">
        <v>15.19056011</v>
      </c>
      <c r="BJ102">
        <v>883.22940750240002</v>
      </c>
      <c r="BK102">
        <v>4</v>
      </c>
      <c r="BL102">
        <v>9.0576694254581439E-2</v>
      </c>
      <c r="BM102">
        <v>3.8801999999999999</v>
      </c>
      <c r="BN102">
        <v>29.507999999999999</v>
      </c>
      <c r="BO102">
        <v>7.7140000000000004</v>
      </c>
      <c r="BP102">
        <v>0</v>
      </c>
      <c r="BQ102">
        <v>0</v>
      </c>
      <c r="BS102">
        <v>0</v>
      </c>
      <c r="BT102">
        <v>0</v>
      </c>
      <c r="BU102">
        <v>0</v>
      </c>
      <c r="BX102">
        <v>10</v>
      </c>
      <c r="BZ102">
        <v>4.3255076522826792E-2</v>
      </c>
      <c r="CA102">
        <v>4.5288347127290719E-2</v>
      </c>
      <c r="CC102">
        <v>0.44192300596941569</v>
      </c>
      <c r="CD102">
        <v>0.46269626843260342</v>
      </c>
    </row>
    <row r="103" spans="1:84" x14ac:dyDescent="0.3">
      <c r="A103" s="1">
        <v>473</v>
      </c>
      <c r="B103" t="s">
        <v>889</v>
      </c>
      <c r="C103" t="s">
        <v>890</v>
      </c>
      <c r="E103" t="s">
        <v>106</v>
      </c>
      <c r="F103">
        <v>2.8</v>
      </c>
      <c r="G103" t="s">
        <v>891</v>
      </c>
      <c r="H103" t="s">
        <v>892</v>
      </c>
      <c r="I103">
        <v>-1</v>
      </c>
      <c r="J103">
        <v>1</v>
      </c>
      <c r="K103">
        <v>3.97</v>
      </c>
      <c r="L103">
        <v>3.97</v>
      </c>
      <c r="M103">
        <v>15.56</v>
      </c>
      <c r="N103" t="s">
        <v>529</v>
      </c>
      <c r="O103">
        <v>15.56</v>
      </c>
      <c r="Q103" t="s">
        <v>87</v>
      </c>
      <c r="T103" t="b">
        <v>0</v>
      </c>
      <c r="U103" t="s">
        <v>125</v>
      </c>
      <c r="V103" t="s">
        <v>126</v>
      </c>
      <c r="W103">
        <v>1</v>
      </c>
      <c r="Y103">
        <v>0.5</v>
      </c>
      <c r="Z103">
        <v>1</v>
      </c>
      <c r="AC103" t="s">
        <v>90</v>
      </c>
      <c r="AD103">
        <v>125</v>
      </c>
      <c r="AE103">
        <v>220</v>
      </c>
      <c r="AF103" t="s">
        <v>91</v>
      </c>
      <c r="AH103">
        <v>270</v>
      </c>
      <c r="AL103" t="b">
        <v>1</v>
      </c>
      <c r="AM103" t="b">
        <v>1</v>
      </c>
      <c r="AN103" t="b">
        <v>0</v>
      </c>
      <c r="AO103" t="b">
        <v>0</v>
      </c>
      <c r="AP103" t="s">
        <v>891</v>
      </c>
      <c r="AQ103" t="s">
        <v>892</v>
      </c>
      <c r="AS103">
        <v>5.598421958998375</v>
      </c>
      <c r="AT103">
        <v>1.75</v>
      </c>
      <c r="AU103">
        <v>2.5</v>
      </c>
      <c r="AV103">
        <v>0.75</v>
      </c>
      <c r="AW103">
        <v>0</v>
      </c>
      <c r="AX103">
        <v>0.35</v>
      </c>
      <c r="AY103">
        <v>0.5</v>
      </c>
      <c r="AZ103">
        <v>0.15</v>
      </c>
      <c r="BA103">
        <v>0</v>
      </c>
      <c r="BB103">
        <v>5.9030792517321871</v>
      </c>
      <c r="BC103">
        <v>20</v>
      </c>
      <c r="BD103">
        <v>260.8671724870714</v>
      </c>
      <c r="BE103">
        <v>1</v>
      </c>
      <c r="BF103">
        <v>7.6667369869971663E-2</v>
      </c>
      <c r="BG103">
        <v>4.0290549999999996</v>
      </c>
      <c r="BH103">
        <v>4.0290549999999996</v>
      </c>
      <c r="BI103">
        <v>16.069894999999999</v>
      </c>
      <c r="BJ103">
        <v>246.35930430675199</v>
      </c>
      <c r="BK103">
        <v>1</v>
      </c>
      <c r="BL103">
        <v>8.1182239316186677E-2</v>
      </c>
      <c r="BM103">
        <v>3.9765999999999999</v>
      </c>
      <c r="BN103">
        <v>3.9765999999999999</v>
      </c>
      <c r="BO103">
        <v>15.5792</v>
      </c>
      <c r="BP103">
        <v>0</v>
      </c>
      <c r="BQ103">
        <v>0</v>
      </c>
      <c r="BS103">
        <v>0</v>
      </c>
      <c r="BT103">
        <v>0</v>
      </c>
      <c r="BU103">
        <v>0</v>
      </c>
      <c r="BV103">
        <v>245.23960400000001</v>
      </c>
      <c r="BW103">
        <v>8.1552896325831611E-2</v>
      </c>
      <c r="BX103">
        <v>10</v>
      </c>
      <c r="BY103">
        <v>4.0776448162915813E-2</v>
      </c>
      <c r="BZ103">
        <v>3.8333684934985832E-2</v>
      </c>
      <c r="CA103">
        <v>4.0591119658093339E-2</v>
      </c>
      <c r="CC103">
        <v>0.54551133687670883</v>
      </c>
      <c r="CD103">
        <v>0.57763598744977107</v>
      </c>
      <c r="CF103">
        <v>0.58027332327069536</v>
      </c>
    </row>
    <row r="104" spans="1:84" x14ac:dyDescent="0.3">
      <c r="A104" s="1">
        <v>475</v>
      </c>
      <c r="B104" t="s">
        <v>889</v>
      </c>
      <c r="C104" t="s">
        <v>890</v>
      </c>
      <c r="E104" t="s">
        <v>106</v>
      </c>
      <c r="F104">
        <v>2.8</v>
      </c>
      <c r="G104" t="s">
        <v>891</v>
      </c>
      <c r="H104" t="s">
        <v>892</v>
      </c>
      <c r="I104">
        <v>-1</v>
      </c>
      <c r="J104">
        <v>1</v>
      </c>
      <c r="K104">
        <v>3.97</v>
      </c>
      <c r="L104">
        <v>3.97</v>
      </c>
      <c r="M104">
        <v>15.56</v>
      </c>
      <c r="N104" t="s">
        <v>529</v>
      </c>
      <c r="O104">
        <v>15.56</v>
      </c>
      <c r="Q104" t="s">
        <v>87</v>
      </c>
      <c r="T104" t="b">
        <v>0</v>
      </c>
      <c r="U104" t="s">
        <v>125</v>
      </c>
      <c r="V104" t="s">
        <v>126</v>
      </c>
      <c r="W104">
        <v>1</v>
      </c>
      <c r="Y104">
        <v>0.5</v>
      </c>
      <c r="Z104">
        <v>1</v>
      </c>
      <c r="AC104" t="s">
        <v>893</v>
      </c>
      <c r="AD104">
        <v>100</v>
      </c>
      <c r="AE104">
        <v>425</v>
      </c>
      <c r="AF104" t="s">
        <v>91</v>
      </c>
      <c r="AH104">
        <v>0.8</v>
      </c>
      <c r="AL104" t="b">
        <v>1</v>
      </c>
      <c r="AM104" t="b">
        <v>1</v>
      </c>
      <c r="AN104" t="b">
        <v>0</v>
      </c>
      <c r="AO104" t="b">
        <v>0</v>
      </c>
      <c r="AP104" t="s">
        <v>891</v>
      </c>
      <c r="AQ104" t="s">
        <v>892</v>
      </c>
      <c r="AS104">
        <v>-0.22314355131420971</v>
      </c>
      <c r="AT104">
        <v>1.75</v>
      </c>
      <c r="AU104">
        <v>2.5</v>
      </c>
      <c r="AV104">
        <v>0.75</v>
      </c>
      <c r="AW104">
        <v>0</v>
      </c>
      <c r="AX104">
        <v>0.35</v>
      </c>
      <c r="AY104">
        <v>0.5</v>
      </c>
      <c r="AZ104">
        <v>0.15</v>
      </c>
      <c r="BA104">
        <v>0</v>
      </c>
      <c r="BB104">
        <v>5.9030792517321871</v>
      </c>
      <c r="BC104">
        <v>20</v>
      </c>
      <c r="BD104">
        <v>260.8671724870714</v>
      </c>
      <c r="BE104">
        <v>1</v>
      </c>
      <c r="BF104">
        <v>7.6667369869971663E-2</v>
      </c>
      <c r="BG104">
        <v>4.0290549999999996</v>
      </c>
      <c r="BH104">
        <v>4.0290549999999996</v>
      </c>
      <c r="BI104">
        <v>16.069894999999999</v>
      </c>
      <c r="BJ104">
        <v>246.35930430675199</v>
      </c>
      <c r="BK104">
        <v>1</v>
      </c>
      <c r="BL104">
        <v>8.1182239316186677E-2</v>
      </c>
      <c r="BM104">
        <v>3.9765999999999999</v>
      </c>
      <c r="BN104">
        <v>3.9765999999999999</v>
      </c>
      <c r="BO104">
        <v>15.5792</v>
      </c>
      <c r="BP104">
        <v>0</v>
      </c>
      <c r="BQ104">
        <v>0</v>
      </c>
      <c r="BS104">
        <v>0</v>
      </c>
      <c r="BT104">
        <v>0</v>
      </c>
      <c r="BU104">
        <v>0</v>
      </c>
      <c r="BV104">
        <v>245.23960400000001</v>
      </c>
      <c r="BW104">
        <v>8.1552896325831611E-2</v>
      </c>
      <c r="BX104">
        <v>10</v>
      </c>
      <c r="BY104">
        <v>4.0776448162915813E-2</v>
      </c>
      <c r="BZ104">
        <v>3.8333684934985832E-2</v>
      </c>
      <c r="CA104">
        <v>4.0591119658093339E-2</v>
      </c>
      <c r="CC104">
        <v>0.54551133687670883</v>
      </c>
      <c r="CD104">
        <v>0.57763598744977107</v>
      </c>
      <c r="CF104">
        <v>0.58027332327069536</v>
      </c>
    </row>
    <row r="105" spans="1:84" x14ac:dyDescent="0.3">
      <c r="A105" s="1">
        <v>535</v>
      </c>
      <c r="B105" t="s">
        <v>372</v>
      </c>
      <c r="C105" t="s">
        <v>944</v>
      </c>
      <c r="E105" t="s">
        <v>372</v>
      </c>
      <c r="F105">
        <v>3.45</v>
      </c>
      <c r="G105" t="s">
        <v>373</v>
      </c>
      <c r="H105">
        <v>-1</v>
      </c>
      <c r="I105">
        <v>-1</v>
      </c>
      <c r="J105">
        <v>2</v>
      </c>
      <c r="K105">
        <v>3.71</v>
      </c>
      <c r="L105">
        <v>3.71</v>
      </c>
      <c r="M105">
        <v>12.2</v>
      </c>
      <c r="N105" t="s">
        <v>529</v>
      </c>
      <c r="O105">
        <v>12.2</v>
      </c>
      <c r="Q105" t="s">
        <v>87</v>
      </c>
      <c r="R105">
        <v>1098</v>
      </c>
      <c r="S105">
        <v>12</v>
      </c>
      <c r="T105" t="b">
        <v>0</v>
      </c>
      <c r="U105" t="s">
        <v>125</v>
      </c>
      <c r="V105" t="s">
        <v>126</v>
      </c>
      <c r="W105">
        <v>1</v>
      </c>
      <c r="X105">
        <v>9.6999999999999993</v>
      </c>
      <c r="Y105">
        <v>0.5</v>
      </c>
      <c r="Z105">
        <v>1</v>
      </c>
      <c r="AC105" t="s">
        <v>90</v>
      </c>
      <c r="AD105">
        <v>125</v>
      </c>
      <c r="AE105">
        <v>220</v>
      </c>
      <c r="AF105" t="s">
        <v>91</v>
      </c>
      <c r="AG105">
        <v>288</v>
      </c>
      <c r="AH105">
        <v>560</v>
      </c>
      <c r="AI105" t="s">
        <v>136</v>
      </c>
      <c r="AL105" t="b">
        <v>1</v>
      </c>
      <c r="AM105" t="b">
        <v>0</v>
      </c>
      <c r="AN105" t="b">
        <v>0</v>
      </c>
      <c r="AO105" t="b">
        <v>0</v>
      </c>
      <c r="AP105" t="s">
        <v>998</v>
      </c>
      <c r="AQ105">
        <v>-1</v>
      </c>
      <c r="AS105">
        <v>6.3279367837291947</v>
      </c>
      <c r="AT105">
        <v>1.857142857142857</v>
      </c>
      <c r="AU105">
        <v>2.285714285714286</v>
      </c>
      <c r="AV105">
        <v>0.42857142857142849</v>
      </c>
      <c r="AW105">
        <v>0</v>
      </c>
      <c r="AX105">
        <v>0.40625000000000011</v>
      </c>
      <c r="AY105">
        <v>0.5</v>
      </c>
      <c r="AZ105">
        <v>9.375E-2</v>
      </c>
      <c r="BA105">
        <v>0</v>
      </c>
      <c r="BB105">
        <v>6.2648152075501429</v>
      </c>
      <c r="BC105">
        <v>8</v>
      </c>
      <c r="BD105">
        <v>203.79933701026059</v>
      </c>
      <c r="BE105">
        <v>2</v>
      </c>
      <c r="BF105">
        <v>7.8508596910668346E-2</v>
      </c>
      <c r="BG105">
        <v>3.8703880000000002</v>
      </c>
      <c r="BH105">
        <v>3.8703880000000002</v>
      </c>
      <c r="BI105">
        <v>13.604850000000001</v>
      </c>
      <c r="BJ105">
        <v>0</v>
      </c>
      <c r="BK105">
        <v>0</v>
      </c>
      <c r="BM105">
        <v>0</v>
      </c>
      <c r="BP105">
        <v>0</v>
      </c>
      <c r="BQ105">
        <v>0</v>
      </c>
      <c r="BS105">
        <v>0</v>
      </c>
      <c r="BT105">
        <v>0</v>
      </c>
      <c r="BU105">
        <v>0</v>
      </c>
      <c r="BV105">
        <v>167.92202</v>
      </c>
      <c r="BW105">
        <v>9.5282322115944076E-2</v>
      </c>
      <c r="BX105">
        <v>4</v>
      </c>
      <c r="BY105">
        <v>4.7641161057972038E-2</v>
      </c>
      <c r="BZ105">
        <v>3.9254298455334173E-2</v>
      </c>
      <c r="CC105">
        <v>0.41209139981608062</v>
      </c>
      <c r="CF105">
        <v>0.50013663526765251</v>
      </c>
    </row>
    <row r="106" spans="1:84" x14ac:dyDescent="0.3">
      <c r="A106" s="1">
        <v>536</v>
      </c>
      <c r="B106" t="s">
        <v>946</v>
      </c>
      <c r="C106" t="s">
        <v>947</v>
      </c>
      <c r="E106" t="s">
        <v>372</v>
      </c>
      <c r="F106">
        <v>3.58</v>
      </c>
      <c r="G106" t="s">
        <v>948</v>
      </c>
      <c r="H106">
        <v>-1</v>
      </c>
      <c r="I106">
        <v>-1</v>
      </c>
      <c r="J106">
        <v>4</v>
      </c>
      <c r="K106">
        <v>3.77</v>
      </c>
      <c r="L106">
        <v>3.77</v>
      </c>
      <c r="M106">
        <v>33.299999999999997</v>
      </c>
      <c r="N106" t="s">
        <v>529</v>
      </c>
      <c r="O106">
        <v>16.649999999999999</v>
      </c>
      <c r="Q106" t="s">
        <v>87</v>
      </c>
      <c r="R106">
        <v>1098</v>
      </c>
      <c r="S106">
        <v>12</v>
      </c>
      <c r="T106" t="b">
        <v>0</v>
      </c>
      <c r="U106" t="s">
        <v>125</v>
      </c>
      <c r="V106" t="s">
        <v>126</v>
      </c>
      <c r="W106">
        <v>1</v>
      </c>
      <c r="X106">
        <v>4</v>
      </c>
      <c r="Y106">
        <v>0.5</v>
      </c>
      <c r="Z106">
        <v>1</v>
      </c>
      <c r="AC106" t="s">
        <v>90</v>
      </c>
      <c r="AD106">
        <v>125</v>
      </c>
      <c r="AE106">
        <v>220</v>
      </c>
      <c r="AF106" t="s">
        <v>91</v>
      </c>
      <c r="AG106">
        <v>288</v>
      </c>
      <c r="AH106">
        <v>1920</v>
      </c>
      <c r="AL106" t="b">
        <v>1</v>
      </c>
      <c r="AM106" t="b">
        <v>0</v>
      </c>
      <c r="AN106" t="b">
        <v>0</v>
      </c>
      <c r="AO106" t="b">
        <v>0</v>
      </c>
      <c r="AP106" t="s">
        <v>948</v>
      </c>
      <c r="AQ106">
        <v>-1</v>
      </c>
      <c r="AS106">
        <v>7.5600804650218274</v>
      </c>
      <c r="AT106">
        <v>1.571428571428571</v>
      </c>
      <c r="AU106">
        <v>1.5</v>
      </c>
      <c r="AV106">
        <v>0.2142857142857143</v>
      </c>
      <c r="AW106">
        <v>0</v>
      </c>
      <c r="AX106">
        <v>0.47826086956521741</v>
      </c>
      <c r="AY106">
        <v>0.45652173913043481</v>
      </c>
      <c r="AZ106">
        <v>6.5217391304347824E-2</v>
      </c>
      <c r="BA106">
        <v>0</v>
      </c>
      <c r="BB106">
        <v>6.659182230900428</v>
      </c>
      <c r="BC106">
        <v>8</v>
      </c>
      <c r="BD106">
        <v>249.41538945455761</v>
      </c>
      <c r="BE106">
        <v>2</v>
      </c>
      <c r="BF106">
        <v>6.4150011091898274E-2</v>
      </c>
      <c r="BG106">
        <v>3.8703880000000002</v>
      </c>
      <c r="BH106">
        <v>3.8703880000000002</v>
      </c>
      <c r="BI106">
        <v>16.649999999999999</v>
      </c>
      <c r="BJ106">
        <v>0</v>
      </c>
      <c r="BK106">
        <v>0</v>
      </c>
      <c r="BM106">
        <v>0</v>
      </c>
      <c r="BP106">
        <v>0</v>
      </c>
      <c r="BQ106">
        <v>0</v>
      </c>
      <c r="BS106">
        <v>0</v>
      </c>
      <c r="BT106">
        <v>0</v>
      </c>
      <c r="BU106">
        <v>0</v>
      </c>
      <c r="BV106">
        <v>473.28956999999991</v>
      </c>
      <c r="BW106">
        <v>6.7611885045343392E-2</v>
      </c>
      <c r="BX106">
        <v>4</v>
      </c>
      <c r="BY106">
        <v>3.3805942522671703E-2</v>
      </c>
      <c r="BZ106">
        <v>3.2075005545949137E-2</v>
      </c>
      <c r="CC106">
        <v>0.41488478690173181</v>
      </c>
      <c r="CF106">
        <v>0.43727416475231679</v>
      </c>
    </row>
    <row r="107" spans="1:84" x14ac:dyDescent="0.3">
      <c r="A107" s="1">
        <v>537</v>
      </c>
      <c r="B107" t="s">
        <v>949</v>
      </c>
      <c r="C107" t="s">
        <v>950</v>
      </c>
      <c r="E107" t="s">
        <v>372</v>
      </c>
      <c r="F107">
        <v>3.48</v>
      </c>
      <c r="G107" t="s">
        <v>951</v>
      </c>
      <c r="H107">
        <v>-1</v>
      </c>
      <c r="I107">
        <v>-1</v>
      </c>
      <c r="J107">
        <v>4</v>
      </c>
      <c r="K107">
        <v>3.75</v>
      </c>
      <c r="L107">
        <v>3.75</v>
      </c>
      <c r="M107">
        <v>37.299999999999997</v>
      </c>
      <c r="N107" t="s">
        <v>529</v>
      </c>
      <c r="O107">
        <v>18.649999999999999</v>
      </c>
      <c r="Q107" t="s">
        <v>87</v>
      </c>
      <c r="R107">
        <v>1098</v>
      </c>
      <c r="S107">
        <v>12</v>
      </c>
      <c r="T107" t="b">
        <v>0</v>
      </c>
      <c r="U107" t="s">
        <v>125</v>
      </c>
      <c r="V107" t="s">
        <v>126</v>
      </c>
      <c r="W107">
        <v>1</v>
      </c>
      <c r="Y107">
        <v>0.5</v>
      </c>
      <c r="Z107">
        <v>1</v>
      </c>
      <c r="AC107" t="s">
        <v>90</v>
      </c>
      <c r="AD107">
        <v>125</v>
      </c>
      <c r="AE107">
        <v>220</v>
      </c>
      <c r="AF107" t="s">
        <v>91</v>
      </c>
      <c r="AG107">
        <v>288</v>
      </c>
      <c r="AH107">
        <v>3920</v>
      </c>
      <c r="AL107" t="b">
        <v>1</v>
      </c>
      <c r="AM107" t="b">
        <v>0</v>
      </c>
      <c r="AN107" t="b">
        <v>0</v>
      </c>
      <c r="AO107" t="b">
        <v>0</v>
      </c>
      <c r="AP107" t="s">
        <v>951</v>
      </c>
      <c r="AQ107">
        <v>-1</v>
      </c>
      <c r="AS107">
        <v>8.2738469327845081</v>
      </c>
      <c r="AT107">
        <v>1.529411764705882</v>
      </c>
      <c r="AU107">
        <v>1.3529411764705881</v>
      </c>
      <c r="AV107">
        <v>0.1764705882352941</v>
      </c>
      <c r="AW107">
        <v>0</v>
      </c>
      <c r="AX107">
        <v>0.5</v>
      </c>
      <c r="AY107">
        <v>0.44230769230769229</v>
      </c>
      <c r="AZ107">
        <v>5.7692307692307702E-2</v>
      </c>
      <c r="BA107">
        <v>0</v>
      </c>
      <c r="BB107">
        <v>6.696610960459294</v>
      </c>
      <c r="BC107">
        <v>8</v>
      </c>
      <c r="BD107">
        <v>279.37519599564558</v>
      </c>
      <c r="BE107">
        <v>2</v>
      </c>
      <c r="BF107">
        <v>5.7270653334053963E-2</v>
      </c>
      <c r="BG107">
        <v>3.8703880000000002</v>
      </c>
      <c r="BH107">
        <v>3.8703880000000002</v>
      </c>
      <c r="BI107">
        <v>18.649999999999999</v>
      </c>
      <c r="BJ107">
        <v>0</v>
      </c>
      <c r="BK107">
        <v>0</v>
      </c>
      <c r="BM107">
        <v>0</v>
      </c>
      <c r="BP107">
        <v>0</v>
      </c>
      <c r="BQ107">
        <v>0</v>
      </c>
      <c r="BS107">
        <v>0</v>
      </c>
      <c r="BT107">
        <v>0</v>
      </c>
      <c r="BU107">
        <v>0</v>
      </c>
      <c r="BV107">
        <v>524.53125</v>
      </c>
      <c r="BW107">
        <v>6.1006851355376833E-2</v>
      </c>
      <c r="BX107">
        <v>4</v>
      </c>
      <c r="BY107">
        <v>3.050342567768841E-2</v>
      </c>
      <c r="BZ107">
        <v>2.8635326667026981E-2</v>
      </c>
      <c r="CC107">
        <v>0.37120324532256599</v>
      </c>
      <c r="CF107">
        <v>0.39541964150357722</v>
      </c>
    </row>
    <row r="108" spans="1:84" x14ac:dyDescent="0.3">
      <c r="A108" s="1">
        <v>538</v>
      </c>
      <c r="B108" t="s">
        <v>952</v>
      </c>
      <c r="C108" t="s">
        <v>953</v>
      </c>
      <c r="E108" t="s">
        <v>372</v>
      </c>
      <c r="F108">
        <v>3.61</v>
      </c>
      <c r="G108" t="s">
        <v>954</v>
      </c>
      <c r="H108">
        <v>-1</v>
      </c>
      <c r="I108">
        <v>-1</v>
      </c>
      <c r="J108">
        <v>4</v>
      </c>
      <c r="K108">
        <v>3.76</v>
      </c>
      <c r="L108">
        <v>3.76</v>
      </c>
      <c r="M108">
        <v>47.8</v>
      </c>
      <c r="N108" t="s">
        <v>529</v>
      </c>
      <c r="O108">
        <v>23.9</v>
      </c>
      <c r="Q108" t="s">
        <v>87</v>
      </c>
      <c r="R108">
        <v>1098</v>
      </c>
      <c r="S108">
        <v>12</v>
      </c>
      <c r="T108" t="b">
        <v>0</v>
      </c>
      <c r="U108" t="s">
        <v>125</v>
      </c>
      <c r="V108" t="s">
        <v>126</v>
      </c>
      <c r="W108">
        <v>1</v>
      </c>
      <c r="X108">
        <v>2.6</v>
      </c>
      <c r="Y108">
        <v>0.5</v>
      </c>
      <c r="Z108">
        <v>1</v>
      </c>
      <c r="AC108" t="s">
        <v>90</v>
      </c>
      <c r="AD108">
        <v>125</v>
      </c>
      <c r="AE108">
        <v>220</v>
      </c>
      <c r="AF108" t="s">
        <v>91</v>
      </c>
      <c r="AG108">
        <v>288</v>
      </c>
      <c r="AH108">
        <v>2280</v>
      </c>
      <c r="AL108" t="b">
        <v>1</v>
      </c>
      <c r="AM108" t="b">
        <v>0</v>
      </c>
      <c r="AN108" t="b">
        <v>0</v>
      </c>
      <c r="AO108" t="b">
        <v>0</v>
      </c>
      <c r="AP108" t="s">
        <v>954</v>
      </c>
      <c r="AQ108">
        <v>-1</v>
      </c>
      <c r="AS108">
        <v>7.7319307219484861</v>
      </c>
      <c r="AT108">
        <v>1.4782608695652171</v>
      </c>
      <c r="AU108">
        <v>1.173913043478261</v>
      </c>
      <c r="AV108">
        <v>0.13043478260869559</v>
      </c>
      <c r="AW108">
        <v>0</v>
      </c>
      <c r="AX108">
        <v>0.53125</v>
      </c>
      <c r="AY108">
        <v>0.42187500000000011</v>
      </c>
      <c r="AZ108">
        <v>4.6875E-2</v>
      </c>
      <c r="BA108">
        <v>0</v>
      </c>
      <c r="BB108">
        <v>6.7421763703570434</v>
      </c>
      <c r="BC108">
        <v>8</v>
      </c>
      <c r="BD108">
        <v>358.01968816600157</v>
      </c>
      <c r="BE108">
        <v>2</v>
      </c>
      <c r="BF108">
        <v>4.4690279693728303E-2</v>
      </c>
      <c r="BG108">
        <v>3.8703880000000002</v>
      </c>
      <c r="BH108">
        <v>3.8703880000000002</v>
      </c>
      <c r="BI108">
        <v>23.9</v>
      </c>
      <c r="BJ108">
        <v>0</v>
      </c>
      <c r="BK108">
        <v>0</v>
      </c>
      <c r="BM108">
        <v>0</v>
      </c>
      <c r="BP108">
        <v>0</v>
      </c>
      <c r="BQ108">
        <v>0</v>
      </c>
      <c r="BS108">
        <v>0</v>
      </c>
      <c r="BT108">
        <v>0</v>
      </c>
      <c r="BU108">
        <v>0</v>
      </c>
      <c r="BV108">
        <v>675.77727999999991</v>
      </c>
      <c r="BW108">
        <v>4.7352879339181107E-2</v>
      </c>
      <c r="BX108">
        <v>4</v>
      </c>
      <c r="BY108">
        <v>2.367643966959055E-2</v>
      </c>
      <c r="BZ108">
        <v>2.2345139846864152E-2</v>
      </c>
      <c r="CC108">
        <v>0.29092712016610461</v>
      </c>
      <c r="CF108">
        <v>0.30826025059884121</v>
      </c>
    </row>
    <row r="109" spans="1:84" x14ac:dyDescent="0.3">
      <c r="A109" s="1">
        <v>539</v>
      </c>
      <c r="B109" t="s">
        <v>955</v>
      </c>
      <c r="C109" t="s">
        <v>956</v>
      </c>
      <c r="E109" t="s">
        <v>372</v>
      </c>
      <c r="F109">
        <v>3.47</v>
      </c>
      <c r="G109" t="s">
        <v>957</v>
      </c>
      <c r="H109">
        <v>-1</v>
      </c>
      <c r="I109">
        <v>-1</v>
      </c>
      <c r="J109">
        <v>4</v>
      </c>
      <c r="K109">
        <v>3.76</v>
      </c>
      <c r="L109">
        <v>3.76</v>
      </c>
      <c r="M109">
        <v>54.9</v>
      </c>
      <c r="N109" t="s">
        <v>529</v>
      </c>
      <c r="O109">
        <v>27.45</v>
      </c>
      <c r="Q109" t="s">
        <v>87</v>
      </c>
      <c r="R109">
        <v>1098</v>
      </c>
      <c r="S109">
        <v>12</v>
      </c>
      <c r="T109" t="b">
        <v>0</v>
      </c>
      <c r="U109" t="s">
        <v>125</v>
      </c>
      <c r="V109" t="s">
        <v>126</v>
      </c>
      <c r="W109">
        <v>1</v>
      </c>
      <c r="Y109">
        <v>0.5</v>
      </c>
      <c r="Z109">
        <v>1</v>
      </c>
      <c r="AC109" t="s">
        <v>90</v>
      </c>
      <c r="AD109">
        <v>125</v>
      </c>
      <c r="AE109">
        <v>220</v>
      </c>
      <c r="AF109" t="s">
        <v>91</v>
      </c>
      <c r="AG109">
        <v>288</v>
      </c>
      <c r="AH109">
        <v>3640</v>
      </c>
      <c r="AL109" t="b">
        <v>1</v>
      </c>
      <c r="AM109" t="b">
        <v>0</v>
      </c>
      <c r="AN109" t="b">
        <v>0</v>
      </c>
      <c r="AO109" t="b">
        <v>0</v>
      </c>
      <c r="AP109" t="s">
        <v>957</v>
      </c>
      <c r="AQ109">
        <v>-1</v>
      </c>
      <c r="AS109">
        <v>8.1997389606307856</v>
      </c>
      <c r="AT109">
        <v>1.448275862068966</v>
      </c>
      <c r="AU109">
        <v>1.068965517241379</v>
      </c>
      <c r="AV109">
        <v>0.10344827586206901</v>
      </c>
      <c r="AW109">
        <v>0</v>
      </c>
      <c r="AX109">
        <v>0.55263157894736847</v>
      </c>
      <c r="AY109">
        <v>0.40789473684210531</v>
      </c>
      <c r="AZ109">
        <v>3.9473684210526307E-2</v>
      </c>
      <c r="BA109">
        <v>0</v>
      </c>
      <c r="BB109">
        <v>6.7688871278833096</v>
      </c>
      <c r="BC109">
        <v>8</v>
      </c>
      <c r="BD109">
        <v>411.19834477643292</v>
      </c>
      <c r="BE109">
        <v>2</v>
      </c>
      <c r="BF109">
        <v>3.8910662465577638E-2</v>
      </c>
      <c r="BG109">
        <v>3.8703880000000002</v>
      </c>
      <c r="BH109">
        <v>3.8703880000000002</v>
      </c>
      <c r="BI109">
        <v>27.45</v>
      </c>
      <c r="BJ109">
        <v>0</v>
      </c>
      <c r="BK109">
        <v>0</v>
      </c>
      <c r="BM109">
        <v>0</v>
      </c>
      <c r="BP109">
        <v>0</v>
      </c>
      <c r="BQ109">
        <v>0</v>
      </c>
      <c r="BS109">
        <v>0</v>
      </c>
      <c r="BT109">
        <v>0</v>
      </c>
      <c r="BU109">
        <v>0</v>
      </c>
      <c r="BV109">
        <v>776.15423999999996</v>
      </c>
      <c r="BW109">
        <v>4.1228918623185E-2</v>
      </c>
      <c r="BX109">
        <v>4</v>
      </c>
      <c r="BY109">
        <v>2.06144593115925E-2</v>
      </c>
      <c r="BZ109">
        <v>1.9455331232788819E-2</v>
      </c>
      <c r="CC109">
        <v>0.25440349066207429</v>
      </c>
      <c r="CF109">
        <v>0.26956058183896969</v>
      </c>
    </row>
    <row r="110" spans="1:84" x14ac:dyDescent="0.3">
      <c r="A110" s="1">
        <v>540</v>
      </c>
      <c r="B110" t="s">
        <v>958</v>
      </c>
      <c r="C110" t="s">
        <v>959</v>
      </c>
      <c r="E110" t="s">
        <v>372</v>
      </c>
      <c r="F110">
        <v>3.47</v>
      </c>
      <c r="G110" t="s">
        <v>960</v>
      </c>
      <c r="H110">
        <v>-1</v>
      </c>
      <c r="I110">
        <v>-1</v>
      </c>
      <c r="J110">
        <v>4</v>
      </c>
      <c r="K110">
        <v>3.72</v>
      </c>
      <c r="L110">
        <v>3.72</v>
      </c>
      <c r="M110">
        <v>32.299999999999997</v>
      </c>
      <c r="N110" t="s">
        <v>529</v>
      </c>
      <c r="O110">
        <v>16.149999999999999</v>
      </c>
      <c r="Q110" t="s">
        <v>87</v>
      </c>
      <c r="R110">
        <v>1098</v>
      </c>
      <c r="S110">
        <v>12</v>
      </c>
      <c r="T110" t="b">
        <v>0</v>
      </c>
      <c r="U110" t="s">
        <v>125</v>
      </c>
      <c r="V110" t="s">
        <v>126</v>
      </c>
      <c r="W110">
        <v>1</v>
      </c>
      <c r="X110">
        <v>17</v>
      </c>
      <c r="Y110">
        <v>0.5</v>
      </c>
      <c r="Z110">
        <v>1</v>
      </c>
      <c r="AC110" t="s">
        <v>90</v>
      </c>
      <c r="AD110">
        <v>125</v>
      </c>
      <c r="AE110">
        <v>220</v>
      </c>
      <c r="AF110" t="s">
        <v>91</v>
      </c>
      <c r="AG110">
        <v>288</v>
      </c>
      <c r="AH110">
        <v>4000</v>
      </c>
      <c r="AL110" t="b">
        <v>1</v>
      </c>
      <c r="AM110" t="b">
        <v>0</v>
      </c>
      <c r="AN110" t="b">
        <v>0</v>
      </c>
      <c r="AO110" t="b">
        <v>0</v>
      </c>
      <c r="AP110" t="s">
        <v>960</v>
      </c>
      <c r="AQ110">
        <v>-1</v>
      </c>
      <c r="AS110">
        <v>8.2940496401020276</v>
      </c>
      <c r="AT110">
        <v>1.615384615384615</v>
      </c>
      <c r="AU110">
        <v>1.6923076923076921</v>
      </c>
      <c r="AV110">
        <v>0.23076923076923081</v>
      </c>
      <c r="AW110">
        <v>0</v>
      </c>
      <c r="AX110">
        <v>0.45652173913043481</v>
      </c>
      <c r="AY110">
        <v>0.47826086956521741</v>
      </c>
      <c r="AZ110">
        <v>6.5217391304347838E-2</v>
      </c>
      <c r="BA110">
        <v>0</v>
      </c>
      <c r="BB110">
        <v>6.6430581020965382</v>
      </c>
      <c r="BC110">
        <v>10</v>
      </c>
      <c r="BD110">
        <v>249.41538945455761</v>
      </c>
      <c r="BE110">
        <v>2</v>
      </c>
      <c r="BF110">
        <v>8.0187513864872856E-2</v>
      </c>
      <c r="BG110">
        <v>3.8703880000000002</v>
      </c>
      <c r="BH110">
        <v>3.8703880000000002</v>
      </c>
      <c r="BI110">
        <v>16.649999999999999</v>
      </c>
      <c r="BJ110">
        <v>0</v>
      </c>
      <c r="BK110">
        <v>0</v>
      </c>
      <c r="BM110">
        <v>0</v>
      </c>
      <c r="BP110">
        <v>0</v>
      </c>
      <c r="BQ110">
        <v>0</v>
      </c>
      <c r="BS110">
        <v>0</v>
      </c>
      <c r="BT110">
        <v>0</v>
      </c>
      <c r="BU110">
        <v>0</v>
      </c>
      <c r="BV110">
        <v>446.98032000000001</v>
      </c>
      <c r="BW110">
        <v>8.9489398548911497E-2</v>
      </c>
      <c r="BX110">
        <v>5</v>
      </c>
      <c r="BY110">
        <v>4.4744699274455749E-2</v>
      </c>
      <c r="BZ110">
        <v>4.0093756932436428E-2</v>
      </c>
      <c r="CC110">
        <v>0.4048215622699361</v>
      </c>
      <c r="CF110">
        <v>0.45178153531752158</v>
      </c>
    </row>
    <row r="111" spans="1:84" x14ac:dyDescent="0.3">
      <c r="A111" s="1">
        <v>541</v>
      </c>
      <c r="B111" t="s">
        <v>961</v>
      </c>
      <c r="C111" t="s">
        <v>962</v>
      </c>
      <c r="E111" t="s">
        <v>372</v>
      </c>
      <c r="F111">
        <v>3.47</v>
      </c>
      <c r="G111" t="s">
        <v>963</v>
      </c>
      <c r="H111">
        <v>-1</v>
      </c>
      <c r="I111">
        <v>-1</v>
      </c>
      <c r="J111">
        <v>4</v>
      </c>
      <c r="K111">
        <v>3.72</v>
      </c>
      <c r="L111">
        <v>3.72</v>
      </c>
      <c r="M111">
        <v>36.6</v>
      </c>
      <c r="N111" t="s">
        <v>529</v>
      </c>
      <c r="O111">
        <v>18.3</v>
      </c>
      <c r="Q111" t="s">
        <v>87</v>
      </c>
      <c r="R111">
        <v>1098</v>
      </c>
      <c r="S111">
        <v>12</v>
      </c>
      <c r="T111" t="b">
        <v>0</v>
      </c>
      <c r="U111" t="s">
        <v>125</v>
      </c>
      <c r="V111" t="s">
        <v>126</v>
      </c>
      <c r="W111">
        <v>1</v>
      </c>
      <c r="Y111">
        <v>0.5</v>
      </c>
      <c r="Z111">
        <v>1</v>
      </c>
      <c r="AC111" t="s">
        <v>90</v>
      </c>
      <c r="AD111">
        <v>125</v>
      </c>
      <c r="AE111">
        <v>220</v>
      </c>
      <c r="AF111" t="s">
        <v>91</v>
      </c>
      <c r="AG111">
        <v>288</v>
      </c>
      <c r="AH111">
        <v>1520</v>
      </c>
      <c r="AL111" t="b">
        <v>1</v>
      </c>
      <c r="AM111" t="b">
        <v>0</v>
      </c>
      <c r="AN111" t="b">
        <v>0</v>
      </c>
      <c r="AO111" t="b">
        <v>0</v>
      </c>
      <c r="AP111" t="s">
        <v>963</v>
      </c>
      <c r="AQ111">
        <v>-1</v>
      </c>
      <c r="AS111">
        <v>7.3264656138403224</v>
      </c>
      <c r="AT111">
        <v>1.5625</v>
      </c>
      <c r="AU111">
        <v>1.5</v>
      </c>
      <c r="AV111">
        <v>0.1875</v>
      </c>
      <c r="AW111">
        <v>0</v>
      </c>
      <c r="AX111">
        <v>0.48076923076923078</v>
      </c>
      <c r="AY111">
        <v>0.46153846153846162</v>
      </c>
      <c r="AZ111">
        <v>5.7692307692307702E-2</v>
      </c>
      <c r="BA111">
        <v>0</v>
      </c>
      <c r="BB111">
        <v>6.6858494014035621</v>
      </c>
      <c r="BC111">
        <v>10</v>
      </c>
      <c r="BD111">
        <v>279.37519599564558</v>
      </c>
      <c r="BE111">
        <v>2</v>
      </c>
      <c r="BF111">
        <v>7.1588316667567459E-2</v>
      </c>
      <c r="BG111">
        <v>3.8703880000000002</v>
      </c>
      <c r="BH111">
        <v>3.8703880000000002</v>
      </c>
      <c r="BI111">
        <v>18.649999999999999</v>
      </c>
      <c r="BJ111">
        <v>0</v>
      </c>
      <c r="BK111">
        <v>0</v>
      </c>
      <c r="BM111">
        <v>0</v>
      </c>
      <c r="BP111">
        <v>0</v>
      </c>
      <c r="BQ111">
        <v>0</v>
      </c>
      <c r="BS111">
        <v>0</v>
      </c>
      <c r="BT111">
        <v>0</v>
      </c>
      <c r="BU111">
        <v>0</v>
      </c>
      <c r="BV111">
        <v>506.4854400000001</v>
      </c>
      <c r="BW111">
        <v>7.8975616752181454E-2</v>
      </c>
      <c r="BX111">
        <v>5</v>
      </c>
      <c r="BY111">
        <v>3.9487808376090727E-2</v>
      </c>
      <c r="BZ111">
        <v>3.5794158333783729E-2</v>
      </c>
      <c r="CC111">
        <v>0.36221918687112381</v>
      </c>
      <c r="CF111">
        <v>0.39959709927891929</v>
      </c>
    </row>
    <row r="112" spans="1:84" x14ac:dyDescent="0.3">
      <c r="A112" s="1">
        <v>542</v>
      </c>
      <c r="B112" t="s">
        <v>964</v>
      </c>
      <c r="C112" t="s">
        <v>965</v>
      </c>
      <c r="E112" t="s">
        <v>372</v>
      </c>
      <c r="F112">
        <v>3.45</v>
      </c>
      <c r="G112" t="s">
        <v>966</v>
      </c>
      <c r="H112">
        <v>-1</v>
      </c>
      <c r="I112">
        <v>-1</v>
      </c>
      <c r="J112">
        <v>4</v>
      </c>
      <c r="K112">
        <v>3.73</v>
      </c>
      <c r="L112">
        <v>3.73</v>
      </c>
      <c r="M112">
        <v>45.6</v>
      </c>
      <c r="N112" t="s">
        <v>529</v>
      </c>
      <c r="O112">
        <v>22.8</v>
      </c>
      <c r="Q112" t="s">
        <v>87</v>
      </c>
      <c r="R112">
        <v>1098</v>
      </c>
      <c r="S112">
        <v>12</v>
      </c>
      <c r="T112" t="b">
        <v>0</v>
      </c>
      <c r="U112" t="s">
        <v>125</v>
      </c>
      <c r="V112" t="s">
        <v>126</v>
      </c>
      <c r="W112">
        <v>1</v>
      </c>
      <c r="X112">
        <v>1.6</v>
      </c>
      <c r="Y112">
        <v>0.5</v>
      </c>
      <c r="Z112">
        <v>1</v>
      </c>
      <c r="AC112" t="s">
        <v>90</v>
      </c>
      <c r="AD112">
        <v>125</v>
      </c>
      <c r="AE112">
        <v>220</v>
      </c>
      <c r="AF112" t="s">
        <v>91</v>
      </c>
      <c r="AG112">
        <v>288</v>
      </c>
      <c r="AH112">
        <v>2120</v>
      </c>
      <c r="AL112" t="b">
        <v>1</v>
      </c>
      <c r="AM112" t="b">
        <v>0</v>
      </c>
      <c r="AN112" t="b">
        <v>0</v>
      </c>
      <c r="AO112" t="b">
        <v>0</v>
      </c>
      <c r="AP112" t="s">
        <v>966</v>
      </c>
      <c r="AQ112">
        <v>-1</v>
      </c>
      <c r="AS112">
        <v>7.6591713676660582</v>
      </c>
      <c r="AT112">
        <v>1.5</v>
      </c>
      <c r="AU112">
        <v>1.2727272727272729</v>
      </c>
      <c r="AV112">
        <v>0.13636363636363641</v>
      </c>
      <c r="AW112">
        <v>0</v>
      </c>
      <c r="AX112">
        <v>0.515625</v>
      </c>
      <c r="AY112">
        <v>0.4375</v>
      </c>
      <c r="AZ112">
        <v>4.6874999999999993E-2</v>
      </c>
      <c r="BA112">
        <v>0</v>
      </c>
      <c r="BB112">
        <v>6.7364209369482273</v>
      </c>
      <c r="BC112">
        <v>10</v>
      </c>
      <c r="BD112">
        <v>358.01968816600157</v>
      </c>
      <c r="BE112">
        <v>2</v>
      </c>
      <c r="BF112">
        <v>5.5862849617160371E-2</v>
      </c>
      <c r="BG112">
        <v>3.8703880000000002</v>
      </c>
      <c r="BH112">
        <v>3.8703880000000002</v>
      </c>
      <c r="BI112">
        <v>23.9</v>
      </c>
      <c r="BJ112">
        <v>0</v>
      </c>
      <c r="BK112">
        <v>0</v>
      </c>
      <c r="BM112">
        <v>0</v>
      </c>
      <c r="BP112">
        <v>0</v>
      </c>
      <c r="BQ112">
        <v>0</v>
      </c>
      <c r="BS112">
        <v>0</v>
      </c>
      <c r="BT112">
        <v>0</v>
      </c>
      <c r="BU112">
        <v>0</v>
      </c>
      <c r="BV112">
        <v>634.42824000000007</v>
      </c>
      <c r="BW112">
        <v>6.3048895805773081E-2</v>
      </c>
      <c r="BX112">
        <v>5</v>
      </c>
      <c r="BY112">
        <v>3.152444790288654E-2</v>
      </c>
      <c r="BZ112">
        <v>2.7931424808580189E-2</v>
      </c>
      <c r="CC112">
        <v>0.28391654735776151</v>
      </c>
      <c r="CF112">
        <v>0.32043880565655031</v>
      </c>
    </row>
    <row r="113" spans="1:84" x14ac:dyDescent="0.3">
      <c r="A113" s="1">
        <v>543</v>
      </c>
      <c r="B113" t="s">
        <v>967</v>
      </c>
      <c r="C113" t="s">
        <v>968</v>
      </c>
      <c r="E113" t="s">
        <v>372</v>
      </c>
      <c r="F113">
        <v>3.46</v>
      </c>
      <c r="G113" t="s">
        <v>969</v>
      </c>
      <c r="H113">
        <v>-1</v>
      </c>
      <c r="I113">
        <v>-1</v>
      </c>
      <c r="J113">
        <v>4</v>
      </c>
      <c r="K113">
        <v>3.74</v>
      </c>
      <c r="L113">
        <v>3.74</v>
      </c>
      <c r="M113">
        <v>55.4</v>
      </c>
      <c r="N113" t="s">
        <v>529</v>
      </c>
      <c r="O113">
        <v>27.7</v>
      </c>
      <c r="Q113" t="s">
        <v>87</v>
      </c>
      <c r="R113">
        <v>1098</v>
      </c>
      <c r="S113">
        <v>12</v>
      </c>
      <c r="T113" t="b">
        <v>0</v>
      </c>
      <c r="U113" t="s">
        <v>125</v>
      </c>
      <c r="V113" t="s">
        <v>126</v>
      </c>
      <c r="W113">
        <v>1</v>
      </c>
      <c r="Y113">
        <v>0.5</v>
      </c>
      <c r="Z113">
        <v>1</v>
      </c>
      <c r="AC113" t="s">
        <v>90</v>
      </c>
      <c r="AD113">
        <v>125</v>
      </c>
      <c r="AE113">
        <v>220</v>
      </c>
      <c r="AF113" t="s">
        <v>91</v>
      </c>
      <c r="AG113">
        <v>288</v>
      </c>
      <c r="AH113">
        <v>1880</v>
      </c>
      <c r="AL113" t="b">
        <v>1</v>
      </c>
      <c r="AM113" t="b">
        <v>0</v>
      </c>
      <c r="AN113" t="b">
        <v>0</v>
      </c>
      <c r="AO113" t="b">
        <v>0</v>
      </c>
      <c r="AP113" t="s">
        <v>969</v>
      </c>
      <c r="AQ113">
        <v>-1</v>
      </c>
      <c r="AS113">
        <v>7.5390270558239951</v>
      </c>
      <c r="AT113">
        <v>1.464285714285714</v>
      </c>
      <c r="AU113">
        <v>1.142857142857143</v>
      </c>
      <c r="AV113">
        <v>0.1071428571428571</v>
      </c>
      <c r="AW113">
        <v>0</v>
      </c>
      <c r="AX113">
        <v>0.53947368421052622</v>
      </c>
      <c r="AY113">
        <v>0.42105263157894729</v>
      </c>
      <c r="AZ113">
        <v>3.9473684210526307E-2</v>
      </c>
      <c r="BA113">
        <v>0</v>
      </c>
      <c r="BB113">
        <v>6.7653189572594643</v>
      </c>
      <c r="BC113">
        <v>10</v>
      </c>
      <c r="BD113">
        <v>411.19834477643292</v>
      </c>
      <c r="BE113">
        <v>2</v>
      </c>
      <c r="BF113">
        <v>4.8638328081972049E-2</v>
      </c>
      <c r="BG113">
        <v>3.8703880000000002</v>
      </c>
      <c r="BH113">
        <v>3.8703880000000002</v>
      </c>
      <c r="BI113">
        <v>27.45</v>
      </c>
      <c r="BJ113">
        <v>0</v>
      </c>
      <c r="BK113">
        <v>0</v>
      </c>
      <c r="BM113">
        <v>0</v>
      </c>
      <c r="BP113">
        <v>0</v>
      </c>
      <c r="BQ113">
        <v>0</v>
      </c>
      <c r="BS113">
        <v>0</v>
      </c>
      <c r="BT113">
        <v>0</v>
      </c>
      <c r="BU113">
        <v>0</v>
      </c>
      <c r="BV113">
        <v>774.91304000000014</v>
      </c>
      <c r="BW113">
        <v>5.1618695176429079E-2</v>
      </c>
      <c r="BX113">
        <v>5</v>
      </c>
      <c r="BY113">
        <v>2.5809347588214539E-2</v>
      </c>
      <c r="BZ113">
        <v>2.4319164040986021E-2</v>
      </c>
      <c r="CC113">
        <v>0.24829956752475571</v>
      </c>
      <c r="CF113">
        <v>0.26351439685382932</v>
      </c>
    </row>
    <row r="114" spans="1:84" x14ac:dyDescent="0.3">
      <c r="A114" s="1">
        <v>544</v>
      </c>
      <c r="B114" t="s">
        <v>970</v>
      </c>
      <c r="C114" t="s">
        <v>971</v>
      </c>
      <c r="E114" t="s">
        <v>372</v>
      </c>
      <c r="F114">
        <v>3.48</v>
      </c>
      <c r="G114" t="s">
        <v>373</v>
      </c>
      <c r="H114">
        <v>-1</v>
      </c>
      <c r="I114" t="s">
        <v>754</v>
      </c>
      <c r="J114">
        <v>2</v>
      </c>
      <c r="K114">
        <v>3.68</v>
      </c>
      <c r="L114">
        <v>3.68</v>
      </c>
      <c r="M114">
        <v>12.1</v>
      </c>
      <c r="N114" t="s">
        <v>529</v>
      </c>
      <c r="O114">
        <v>12.1</v>
      </c>
      <c r="Q114" t="s">
        <v>87</v>
      </c>
      <c r="R114">
        <v>1098</v>
      </c>
      <c r="S114">
        <v>12</v>
      </c>
      <c r="T114" t="b">
        <v>0</v>
      </c>
      <c r="U114" t="s">
        <v>125</v>
      </c>
      <c r="V114" t="s">
        <v>126</v>
      </c>
      <c r="W114">
        <v>1</v>
      </c>
      <c r="X114">
        <v>8.5</v>
      </c>
      <c r="Y114">
        <v>0.5</v>
      </c>
      <c r="Z114">
        <v>1</v>
      </c>
      <c r="AC114" t="s">
        <v>90</v>
      </c>
      <c r="AD114">
        <v>125</v>
      </c>
      <c r="AE114">
        <v>220</v>
      </c>
      <c r="AF114" t="s">
        <v>91</v>
      </c>
      <c r="AG114">
        <v>288</v>
      </c>
      <c r="AH114">
        <v>248</v>
      </c>
      <c r="AI114" t="s">
        <v>972</v>
      </c>
      <c r="AL114" t="b">
        <v>1</v>
      </c>
      <c r="AM114" t="b">
        <v>0</v>
      </c>
      <c r="AN114" t="b">
        <v>0</v>
      </c>
      <c r="AO114" t="b">
        <v>0</v>
      </c>
      <c r="AP114" t="s">
        <v>999</v>
      </c>
      <c r="AQ114">
        <v>-1</v>
      </c>
      <c r="AR114" t="s">
        <v>754</v>
      </c>
      <c r="AS114">
        <v>5.5134287461649816</v>
      </c>
      <c r="AT114">
        <v>1.857142857142857</v>
      </c>
      <c r="AU114">
        <v>2.285714285714286</v>
      </c>
      <c r="AV114">
        <v>0.2857142857142857</v>
      </c>
      <c r="AW114">
        <v>0.5714285714285714</v>
      </c>
      <c r="AX114">
        <v>0.37142857142857139</v>
      </c>
      <c r="AY114">
        <v>0.45714285714285707</v>
      </c>
      <c r="AZ114">
        <v>5.7142857142857141E-2</v>
      </c>
      <c r="BA114">
        <v>0.1142857142857143</v>
      </c>
      <c r="BB114">
        <v>6.2282471432644284</v>
      </c>
      <c r="BC114">
        <v>8</v>
      </c>
      <c r="BD114">
        <v>203.79933701026059</v>
      </c>
      <c r="BE114">
        <v>2</v>
      </c>
      <c r="BF114">
        <v>7.8508596910668346E-2</v>
      </c>
      <c r="BG114">
        <v>3.8703880000000002</v>
      </c>
      <c r="BH114">
        <v>3.8703880000000002</v>
      </c>
      <c r="BI114">
        <v>13.604850000000001</v>
      </c>
      <c r="BJ114">
        <v>0</v>
      </c>
      <c r="BK114">
        <v>0</v>
      </c>
      <c r="BM114">
        <v>0</v>
      </c>
      <c r="BP114">
        <v>0</v>
      </c>
      <c r="BQ114">
        <v>0</v>
      </c>
      <c r="BS114">
        <v>0</v>
      </c>
      <c r="BT114">
        <v>0</v>
      </c>
      <c r="BU114">
        <v>0</v>
      </c>
      <c r="BV114">
        <v>163.86304000000001</v>
      </c>
      <c r="BW114">
        <v>9.7642519020762694E-2</v>
      </c>
      <c r="BX114">
        <v>4</v>
      </c>
      <c r="BY114">
        <v>4.8821259510381347E-2</v>
      </c>
      <c r="BZ114">
        <v>3.9254298455334173E-2</v>
      </c>
      <c r="CC114">
        <v>0.40413338857906378</v>
      </c>
      <c r="CF114">
        <v>0.50262778388661167</v>
      </c>
    </row>
    <row r="115" spans="1:84" x14ac:dyDescent="0.3">
      <c r="A115" s="1">
        <v>545</v>
      </c>
      <c r="B115" t="s">
        <v>974</v>
      </c>
      <c r="C115" t="s">
        <v>975</v>
      </c>
      <c r="E115" t="s">
        <v>372</v>
      </c>
      <c r="F115">
        <v>3.41</v>
      </c>
      <c r="G115" t="s">
        <v>948</v>
      </c>
      <c r="H115">
        <v>-1</v>
      </c>
      <c r="I115">
        <v>-1</v>
      </c>
      <c r="J115">
        <v>4</v>
      </c>
      <c r="K115">
        <v>3.74</v>
      </c>
      <c r="L115">
        <v>3.74</v>
      </c>
      <c r="M115">
        <v>33.1</v>
      </c>
      <c r="N115" t="s">
        <v>529</v>
      </c>
      <c r="O115">
        <v>16.55</v>
      </c>
      <c r="Q115" t="s">
        <v>87</v>
      </c>
      <c r="R115">
        <v>1098</v>
      </c>
      <c r="S115">
        <v>12</v>
      </c>
      <c r="T115" t="b">
        <v>0</v>
      </c>
      <c r="U115" t="s">
        <v>125</v>
      </c>
      <c r="V115" t="s">
        <v>126</v>
      </c>
      <c r="W115">
        <v>1</v>
      </c>
      <c r="X115">
        <v>5.6</v>
      </c>
      <c r="Y115">
        <v>0.5</v>
      </c>
      <c r="Z115">
        <v>1</v>
      </c>
      <c r="AC115" t="s">
        <v>90</v>
      </c>
      <c r="AD115">
        <v>125</v>
      </c>
      <c r="AE115">
        <v>220</v>
      </c>
      <c r="AF115" t="s">
        <v>91</v>
      </c>
      <c r="AG115">
        <v>288</v>
      </c>
      <c r="AH115">
        <v>640</v>
      </c>
      <c r="AI115" t="s">
        <v>550</v>
      </c>
      <c r="AL115" t="b">
        <v>1</v>
      </c>
      <c r="AM115" t="b">
        <v>0</v>
      </c>
      <c r="AN115" t="b">
        <v>0</v>
      </c>
      <c r="AO115" t="b">
        <v>0</v>
      </c>
      <c r="AP115" t="s">
        <v>1000</v>
      </c>
      <c r="AQ115">
        <v>-1</v>
      </c>
      <c r="AS115">
        <v>6.4614681763537174</v>
      </c>
      <c r="AT115">
        <v>1.571428571428571</v>
      </c>
      <c r="AU115">
        <v>1.5</v>
      </c>
      <c r="AV115">
        <v>0.14285714285714279</v>
      </c>
      <c r="AW115">
        <v>0.2857142857142857</v>
      </c>
      <c r="AX115">
        <v>0.44897959183673469</v>
      </c>
      <c r="AY115">
        <v>0.42857142857142849</v>
      </c>
      <c r="AZ115">
        <v>4.0816326530612242E-2</v>
      </c>
      <c r="BA115">
        <v>8.1632653061224483E-2</v>
      </c>
      <c r="BB115">
        <v>6.6408981987575713</v>
      </c>
      <c r="BC115">
        <v>8</v>
      </c>
      <c r="BD115">
        <v>249.41538945455761</v>
      </c>
      <c r="BE115">
        <v>2</v>
      </c>
      <c r="BF115">
        <v>6.4150011091898274E-2</v>
      </c>
      <c r="BG115">
        <v>3.8703880000000002</v>
      </c>
      <c r="BH115">
        <v>3.8703880000000002</v>
      </c>
      <c r="BI115">
        <v>16.649999999999999</v>
      </c>
      <c r="BJ115">
        <v>0</v>
      </c>
      <c r="BK115">
        <v>0</v>
      </c>
      <c r="BM115">
        <v>0</v>
      </c>
      <c r="BP115">
        <v>0</v>
      </c>
      <c r="BQ115">
        <v>0</v>
      </c>
      <c r="BS115">
        <v>0</v>
      </c>
      <c r="BT115">
        <v>0</v>
      </c>
      <c r="BU115">
        <v>0</v>
      </c>
      <c r="BV115">
        <v>462.9895600000001</v>
      </c>
      <c r="BW115">
        <v>6.9116029311762431E-2</v>
      </c>
      <c r="BX115">
        <v>4</v>
      </c>
      <c r="BY115">
        <v>3.4558014655881222E-2</v>
      </c>
      <c r="BZ115">
        <v>3.2075005545949137E-2</v>
      </c>
      <c r="CC115">
        <v>0.40838223139554991</v>
      </c>
      <c r="CF115">
        <v>0.43999615580896612</v>
      </c>
    </row>
    <row r="116" spans="1:84" x14ac:dyDescent="0.3">
      <c r="A116" s="1">
        <v>546</v>
      </c>
      <c r="B116" t="s">
        <v>977</v>
      </c>
      <c r="C116" t="s">
        <v>978</v>
      </c>
      <c r="E116" t="s">
        <v>372</v>
      </c>
      <c r="F116">
        <v>3.5</v>
      </c>
      <c r="G116" t="s">
        <v>951</v>
      </c>
      <c r="H116">
        <v>-1</v>
      </c>
      <c r="I116">
        <v>-1</v>
      </c>
      <c r="J116">
        <v>4</v>
      </c>
      <c r="K116">
        <v>3.74</v>
      </c>
      <c r="L116">
        <v>3.74</v>
      </c>
      <c r="M116">
        <v>37.6</v>
      </c>
      <c r="N116" t="s">
        <v>529</v>
      </c>
      <c r="O116">
        <v>18.8</v>
      </c>
      <c r="Q116" t="s">
        <v>87</v>
      </c>
      <c r="R116">
        <v>1098</v>
      </c>
      <c r="S116">
        <v>12</v>
      </c>
      <c r="T116" t="b">
        <v>0</v>
      </c>
      <c r="U116" t="s">
        <v>125</v>
      </c>
      <c r="V116" t="s">
        <v>126</v>
      </c>
      <c r="W116">
        <v>1</v>
      </c>
      <c r="Y116">
        <v>0.5</v>
      </c>
      <c r="Z116">
        <v>1</v>
      </c>
      <c r="AC116" t="s">
        <v>90</v>
      </c>
      <c r="AD116">
        <v>125</v>
      </c>
      <c r="AE116">
        <v>220</v>
      </c>
      <c r="AF116" t="s">
        <v>91</v>
      </c>
      <c r="AG116">
        <v>288</v>
      </c>
      <c r="AH116">
        <v>440</v>
      </c>
      <c r="AI116" t="s">
        <v>550</v>
      </c>
      <c r="AL116" t="b">
        <v>1</v>
      </c>
      <c r="AM116" t="b">
        <v>0</v>
      </c>
      <c r="AN116" t="b">
        <v>0</v>
      </c>
      <c r="AO116" t="b">
        <v>0</v>
      </c>
      <c r="AP116" t="s">
        <v>1001</v>
      </c>
      <c r="AQ116">
        <v>-1</v>
      </c>
      <c r="AS116">
        <v>6.0867747269123056</v>
      </c>
      <c r="AT116">
        <v>1.529411764705882</v>
      </c>
      <c r="AU116">
        <v>1.3529411764705881</v>
      </c>
      <c r="AV116">
        <v>0.1176470588235294</v>
      </c>
      <c r="AW116">
        <v>0.23529411764705879</v>
      </c>
      <c r="AX116">
        <v>0.47272727272727272</v>
      </c>
      <c r="AY116">
        <v>0.41818181818181821</v>
      </c>
      <c r="AZ116">
        <v>3.6363636363636362E-2</v>
      </c>
      <c r="BA116">
        <v>7.2727272727272724E-2</v>
      </c>
      <c r="BB116">
        <v>6.6815535222240001</v>
      </c>
      <c r="BC116">
        <v>8</v>
      </c>
      <c r="BD116">
        <v>279.37519599564558</v>
      </c>
      <c r="BE116">
        <v>2</v>
      </c>
      <c r="BF116">
        <v>5.7270653334053963E-2</v>
      </c>
      <c r="BG116">
        <v>3.8703880000000002</v>
      </c>
      <c r="BH116">
        <v>3.8703880000000002</v>
      </c>
      <c r="BI116">
        <v>18.649999999999999</v>
      </c>
      <c r="BJ116">
        <v>0</v>
      </c>
      <c r="BK116">
        <v>0</v>
      </c>
      <c r="BM116">
        <v>0</v>
      </c>
      <c r="BP116">
        <v>0</v>
      </c>
      <c r="BQ116">
        <v>0</v>
      </c>
      <c r="BS116">
        <v>0</v>
      </c>
      <c r="BT116">
        <v>0</v>
      </c>
      <c r="BU116">
        <v>0</v>
      </c>
      <c r="BV116">
        <v>525.93376000000012</v>
      </c>
      <c r="BW116">
        <v>6.0844164101578099E-2</v>
      </c>
      <c r="BX116">
        <v>4</v>
      </c>
      <c r="BY116">
        <v>3.042208205078905E-2</v>
      </c>
      <c r="BZ116">
        <v>2.8635326667026981E-2</v>
      </c>
      <c r="CC116">
        <v>0.36539801480364231</v>
      </c>
      <c r="CF116">
        <v>0.38819771524911167</v>
      </c>
    </row>
    <row r="117" spans="1:84" x14ac:dyDescent="0.3">
      <c r="A117" s="1">
        <v>547</v>
      </c>
      <c r="B117" t="s">
        <v>980</v>
      </c>
      <c r="C117" t="s">
        <v>981</v>
      </c>
      <c r="E117" t="s">
        <v>372</v>
      </c>
      <c r="F117">
        <v>3.5</v>
      </c>
      <c r="G117" t="s">
        <v>954</v>
      </c>
      <c r="H117">
        <v>-1</v>
      </c>
      <c r="I117">
        <v>-1</v>
      </c>
      <c r="J117">
        <v>4</v>
      </c>
      <c r="K117">
        <v>3.74</v>
      </c>
      <c r="L117">
        <v>3.74</v>
      </c>
      <c r="M117">
        <v>47.7</v>
      </c>
      <c r="N117" t="s">
        <v>529</v>
      </c>
      <c r="O117">
        <v>23.85</v>
      </c>
      <c r="Q117" t="s">
        <v>87</v>
      </c>
      <c r="R117">
        <v>1098</v>
      </c>
      <c r="S117">
        <v>12</v>
      </c>
      <c r="T117" t="b">
        <v>0</v>
      </c>
      <c r="U117" t="s">
        <v>125</v>
      </c>
      <c r="V117" t="s">
        <v>126</v>
      </c>
      <c r="W117">
        <v>1</v>
      </c>
      <c r="X117">
        <v>5.6</v>
      </c>
      <c r="Y117">
        <v>0.5</v>
      </c>
      <c r="Z117">
        <v>1</v>
      </c>
      <c r="AC117" t="s">
        <v>90</v>
      </c>
      <c r="AD117">
        <v>125</v>
      </c>
      <c r="AE117">
        <v>220</v>
      </c>
      <c r="AF117" t="s">
        <v>91</v>
      </c>
      <c r="AG117">
        <v>288</v>
      </c>
      <c r="AH117">
        <v>480</v>
      </c>
      <c r="AI117" t="s">
        <v>550</v>
      </c>
      <c r="AL117" t="b">
        <v>1</v>
      </c>
      <c r="AM117" t="b">
        <v>0</v>
      </c>
      <c r="AN117" t="b">
        <v>0</v>
      </c>
      <c r="AO117" t="b">
        <v>0</v>
      </c>
      <c r="AP117" t="s">
        <v>1002</v>
      </c>
      <c r="AQ117">
        <v>-1</v>
      </c>
      <c r="AS117">
        <v>6.1737861039019366</v>
      </c>
      <c r="AT117">
        <v>1.4782608695652171</v>
      </c>
      <c r="AU117">
        <v>1.173913043478261</v>
      </c>
      <c r="AV117">
        <v>8.6956521739130432E-2</v>
      </c>
      <c r="AW117">
        <v>0.17391304347826089</v>
      </c>
      <c r="AX117">
        <v>0.50746268656716409</v>
      </c>
      <c r="AY117">
        <v>0.40298507462686572</v>
      </c>
      <c r="AZ117">
        <v>2.9850746268656719E-2</v>
      </c>
      <c r="BA117">
        <v>5.9701492537313432E-2</v>
      </c>
      <c r="BB117">
        <v>6.731046959487478</v>
      </c>
      <c r="BC117">
        <v>8</v>
      </c>
      <c r="BD117">
        <v>358.01968816600157</v>
      </c>
      <c r="BE117">
        <v>2</v>
      </c>
      <c r="BF117">
        <v>4.4690279693728303E-2</v>
      </c>
      <c r="BG117">
        <v>3.8703880000000002</v>
      </c>
      <c r="BH117">
        <v>3.8703880000000002</v>
      </c>
      <c r="BI117">
        <v>23.9</v>
      </c>
      <c r="BJ117">
        <v>0</v>
      </c>
      <c r="BK117">
        <v>0</v>
      </c>
      <c r="BM117">
        <v>0</v>
      </c>
      <c r="BP117">
        <v>0</v>
      </c>
      <c r="BQ117">
        <v>0</v>
      </c>
      <c r="BS117">
        <v>0</v>
      </c>
      <c r="BT117">
        <v>0</v>
      </c>
      <c r="BU117">
        <v>0</v>
      </c>
      <c r="BV117">
        <v>667.20852000000014</v>
      </c>
      <c r="BW117">
        <v>4.796101824359196E-2</v>
      </c>
      <c r="BX117">
        <v>4</v>
      </c>
      <c r="BY117">
        <v>2.398050912179598E-2</v>
      </c>
      <c r="BZ117">
        <v>2.2345139846864152E-2</v>
      </c>
      <c r="CC117">
        <v>0.28639709718794848</v>
      </c>
      <c r="CF117">
        <v>0.30735758418335962</v>
      </c>
    </row>
    <row r="118" spans="1:84" x14ac:dyDescent="0.3">
      <c r="A118" s="1">
        <v>548</v>
      </c>
      <c r="B118" t="s">
        <v>983</v>
      </c>
      <c r="C118" t="s">
        <v>984</v>
      </c>
      <c r="E118" t="s">
        <v>372</v>
      </c>
      <c r="F118">
        <v>3.42</v>
      </c>
      <c r="G118" t="s">
        <v>957</v>
      </c>
      <c r="H118">
        <v>-1</v>
      </c>
      <c r="I118">
        <v>-1</v>
      </c>
      <c r="J118">
        <v>4</v>
      </c>
      <c r="K118">
        <v>3.72</v>
      </c>
      <c r="L118">
        <v>3.72</v>
      </c>
      <c r="M118">
        <v>54</v>
      </c>
      <c r="N118" t="s">
        <v>529</v>
      </c>
      <c r="O118">
        <v>27</v>
      </c>
      <c r="Q118" t="s">
        <v>87</v>
      </c>
      <c r="R118">
        <v>1098</v>
      </c>
      <c r="S118">
        <v>12</v>
      </c>
      <c r="T118" t="b">
        <v>0</v>
      </c>
      <c r="U118" t="s">
        <v>125</v>
      </c>
      <c r="V118" t="s">
        <v>126</v>
      </c>
      <c r="W118">
        <v>1</v>
      </c>
      <c r="Y118">
        <v>0.5</v>
      </c>
      <c r="Z118">
        <v>1</v>
      </c>
      <c r="AC118" t="s">
        <v>90</v>
      </c>
      <c r="AD118">
        <v>125</v>
      </c>
      <c r="AE118">
        <v>220</v>
      </c>
      <c r="AF118" t="s">
        <v>91</v>
      </c>
      <c r="AG118">
        <v>288</v>
      </c>
      <c r="AH118">
        <v>880</v>
      </c>
      <c r="AI118" t="s">
        <v>550</v>
      </c>
      <c r="AL118" t="b">
        <v>1</v>
      </c>
      <c r="AM118" t="b">
        <v>0</v>
      </c>
      <c r="AN118" t="b">
        <v>0</v>
      </c>
      <c r="AO118" t="b">
        <v>0</v>
      </c>
      <c r="AP118" t="s">
        <v>1003</v>
      </c>
      <c r="AQ118">
        <v>-1</v>
      </c>
      <c r="AS118">
        <v>6.7799219074722519</v>
      </c>
      <c r="AT118">
        <v>1.448275862068966</v>
      </c>
      <c r="AU118">
        <v>1.068965517241379</v>
      </c>
      <c r="AV118">
        <v>6.8965517241379309E-2</v>
      </c>
      <c r="AW118">
        <v>0.13793103448275859</v>
      </c>
      <c r="AX118">
        <v>0.53164556962025322</v>
      </c>
      <c r="AY118">
        <v>0.39240506329113922</v>
      </c>
      <c r="AZ118">
        <v>2.5316455696202531E-2</v>
      </c>
      <c r="BA118">
        <v>5.0632911392405063E-2</v>
      </c>
      <c r="BB118">
        <v>6.7600603537453789</v>
      </c>
      <c r="BC118">
        <v>8</v>
      </c>
      <c r="BD118">
        <v>411.19834477643292</v>
      </c>
      <c r="BE118">
        <v>2</v>
      </c>
      <c r="BF118">
        <v>3.8910662465577638E-2</v>
      </c>
      <c r="BG118">
        <v>3.8703880000000002</v>
      </c>
      <c r="BH118">
        <v>3.8703880000000002</v>
      </c>
      <c r="BI118">
        <v>27.45</v>
      </c>
      <c r="BJ118">
        <v>0</v>
      </c>
      <c r="BK118">
        <v>0</v>
      </c>
      <c r="BM118">
        <v>0</v>
      </c>
      <c r="BP118">
        <v>0</v>
      </c>
      <c r="BQ118">
        <v>0</v>
      </c>
      <c r="BS118">
        <v>0</v>
      </c>
      <c r="BT118">
        <v>0</v>
      </c>
      <c r="BU118">
        <v>0</v>
      </c>
      <c r="BV118">
        <v>747.2736000000001</v>
      </c>
      <c r="BW118">
        <v>4.282233441673839E-2</v>
      </c>
      <c r="BX118">
        <v>4</v>
      </c>
      <c r="BY118">
        <v>2.1411167208369199E-2</v>
      </c>
      <c r="BZ118">
        <v>1.9455331232788819E-2</v>
      </c>
      <c r="CC118">
        <v>0.25045931765012802</v>
      </c>
      <c r="CF118">
        <v>0.27563788377260329</v>
      </c>
    </row>
    <row r="119" spans="1:84" x14ac:dyDescent="0.3">
      <c r="A119" s="1">
        <v>549</v>
      </c>
      <c r="B119" t="s">
        <v>986</v>
      </c>
      <c r="C119" t="s">
        <v>987</v>
      </c>
      <c r="E119" t="s">
        <v>372</v>
      </c>
      <c r="F119">
        <v>3.42</v>
      </c>
      <c r="G119" t="s">
        <v>960</v>
      </c>
      <c r="H119">
        <v>-1</v>
      </c>
      <c r="I119">
        <v>-1</v>
      </c>
      <c r="J119">
        <v>4</v>
      </c>
      <c r="K119">
        <v>3.71</v>
      </c>
      <c r="L119">
        <v>3.71</v>
      </c>
      <c r="M119">
        <v>32</v>
      </c>
      <c r="N119" t="s">
        <v>529</v>
      </c>
      <c r="O119">
        <v>16</v>
      </c>
      <c r="Q119" t="s">
        <v>87</v>
      </c>
      <c r="R119">
        <v>1098</v>
      </c>
      <c r="S119">
        <v>12</v>
      </c>
      <c r="T119" t="b">
        <v>0</v>
      </c>
      <c r="U119" t="s">
        <v>125</v>
      </c>
      <c r="V119" t="s">
        <v>126</v>
      </c>
      <c r="W119">
        <v>1</v>
      </c>
      <c r="X119">
        <v>5</v>
      </c>
      <c r="Y119">
        <v>0.5</v>
      </c>
      <c r="Z119">
        <v>1</v>
      </c>
      <c r="AC119" t="s">
        <v>90</v>
      </c>
      <c r="AD119">
        <v>125</v>
      </c>
      <c r="AE119">
        <v>220</v>
      </c>
      <c r="AF119" t="s">
        <v>91</v>
      </c>
      <c r="AG119">
        <v>288</v>
      </c>
      <c r="AH119">
        <v>1600</v>
      </c>
      <c r="AI119" t="s">
        <v>550</v>
      </c>
      <c r="AL119" t="b">
        <v>1</v>
      </c>
      <c r="AM119" t="b">
        <v>0</v>
      </c>
      <c r="AN119" t="b">
        <v>0</v>
      </c>
      <c r="AO119" t="b">
        <v>0</v>
      </c>
      <c r="AP119" t="s">
        <v>1004</v>
      </c>
      <c r="AQ119">
        <v>-1</v>
      </c>
      <c r="AS119">
        <v>7.3777589082278734</v>
      </c>
      <c r="AT119">
        <v>1.615384615384615</v>
      </c>
      <c r="AU119">
        <v>1.6923076923076921</v>
      </c>
      <c r="AV119">
        <v>0.15384615384615391</v>
      </c>
      <c r="AW119">
        <v>0.30769230769230771</v>
      </c>
      <c r="AX119">
        <v>0.4285714285714286</v>
      </c>
      <c r="AY119">
        <v>0.44897959183673469</v>
      </c>
      <c r="AZ119">
        <v>4.0816326530612249E-2</v>
      </c>
      <c r="BA119">
        <v>8.1632653061224497E-2</v>
      </c>
      <c r="BB119">
        <v>6.6233676059426916</v>
      </c>
      <c r="BC119">
        <v>10</v>
      </c>
      <c r="BD119">
        <v>249.41538945455761</v>
      </c>
      <c r="BE119">
        <v>2</v>
      </c>
      <c r="BF119">
        <v>8.0187513864872856E-2</v>
      </c>
      <c r="BG119">
        <v>3.8703880000000002</v>
      </c>
      <c r="BH119">
        <v>3.8703880000000002</v>
      </c>
      <c r="BI119">
        <v>16.649999999999999</v>
      </c>
      <c r="BJ119">
        <v>0</v>
      </c>
      <c r="BK119">
        <v>0</v>
      </c>
      <c r="BM119">
        <v>0</v>
      </c>
      <c r="BP119">
        <v>0</v>
      </c>
      <c r="BQ119">
        <v>0</v>
      </c>
      <c r="BS119">
        <v>0</v>
      </c>
      <c r="BT119">
        <v>0</v>
      </c>
      <c r="BU119">
        <v>0</v>
      </c>
      <c r="BV119">
        <v>440.45119999999997</v>
      </c>
      <c r="BW119">
        <v>9.0815963266759184E-2</v>
      </c>
      <c r="BX119">
        <v>5</v>
      </c>
      <c r="BY119">
        <v>4.5407981633379592E-2</v>
      </c>
      <c r="BZ119">
        <v>4.0093756932436428E-2</v>
      </c>
      <c r="CC119">
        <v>0.39831900676375431</v>
      </c>
      <c r="CF119">
        <v>0.45111417654956709</v>
      </c>
    </row>
    <row r="120" spans="1:84" x14ac:dyDescent="0.3">
      <c r="A120" s="1">
        <v>550</v>
      </c>
      <c r="B120" t="s">
        <v>989</v>
      </c>
      <c r="C120" t="s">
        <v>990</v>
      </c>
      <c r="E120" t="s">
        <v>372</v>
      </c>
      <c r="F120">
        <v>3.39</v>
      </c>
      <c r="G120" t="s">
        <v>963</v>
      </c>
      <c r="H120">
        <v>-1</v>
      </c>
      <c r="I120">
        <v>-1</v>
      </c>
      <c r="J120">
        <v>4</v>
      </c>
      <c r="K120">
        <v>3.7</v>
      </c>
      <c r="L120">
        <v>3.7</v>
      </c>
      <c r="M120">
        <v>36.4</v>
      </c>
      <c r="N120" t="s">
        <v>529</v>
      </c>
      <c r="O120">
        <v>18.2</v>
      </c>
      <c r="Q120" t="s">
        <v>87</v>
      </c>
      <c r="R120">
        <v>1098</v>
      </c>
      <c r="S120">
        <v>12</v>
      </c>
      <c r="T120" t="b">
        <v>0</v>
      </c>
      <c r="U120" t="s">
        <v>125</v>
      </c>
      <c r="V120" t="s">
        <v>126</v>
      </c>
      <c r="W120">
        <v>1</v>
      </c>
      <c r="Y120">
        <v>0.5</v>
      </c>
      <c r="Z120">
        <v>1</v>
      </c>
      <c r="AC120" t="s">
        <v>90</v>
      </c>
      <c r="AD120">
        <v>125</v>
      </c>
      <c r="AE120">
        <v>220</v>
      </c>
      <c r="AF120" t="s">
        <v>91</v>
      </c>
      <c r="AG120">
        <v>288</v>
      </c>
      <c r="AH120">
        <v>640</v>
      </c>
      <c r="AI120" t="s">
        <v>550</v>
      </c>
      <c r="AL120" t="b">
        <v>1</v>
      </c>
      <c r="AM120" t="b">
        <v>0</v>
      </c>
      <c r="AN120" t="b">
        <v>0</v>
      </c>
      <c r="AO120" t="b">
        <v>0</v>
      </c>
      <c r="AP120" t="s">
        <v>1005</v>
      </c>
      <c r="AQ120">
        <v>-1</v>
      </c>
      <c r="AS120">
        <v>6.4614681763537174</v>
      </c>
      <c r="AT120">
        <v>1.5625</v>
      </c>
      <c r="AU120">
        <v>1.5</v>
      </c>
      <c r="AV120">
        <v>0.125</v>
      </c>
      <c r="AW120">
        <v>0.25</v>
      </c>
      <c r="AX120">
        <v>0.45454545454545447</v>
      </c>
      <c r="AY120">
        <v>0.43636363636363629</v>
      </c>
      <c r="AZ120">
        <v>3.6363636363636362E-2</v>
      </c>
      <c r="BA120">
        <v>7.2727272727272724E-2</v>
      </c>
      <c r="BB120">
        <v>6.6698508732785617</v>
      </c>
      <c r="BC120">
        <v>10</v>
      </c>
      <c r="BD120">
        <v>279.37519599564558</v>
      </c>
      <c r="BE120">
        <v>2</v>
      </c>
      <c r="BF120">
        <v>7.1588316667567459E-2</v>
      </c>
      <c r="BG120">
        <v>3.8703880000000002</v>
      </c>
      <c r="BH120">
        <v>3.8703880000000002</v>
      </c>
      <c r="BI120">
        <v>18.649999999999999</v>
      </c>
      <c r="BJ120">
        <v>0</v>
      </c>
      <c r="BK120">
        <v>0</v>
      </c>
      <c r="BM120">
        <v>0</v>
      </c>
      <c r="BP120">
        <v>0</v>
      </c>
      <c r="BQ120">
        <v>0</v>
      </c>
      <c r="BS120">
        <v>0</v>
      </c>
      <c r="BT120">
        <v>0</v>
      </c>
      <c r="BU120">
        <v>0</v>
      </c>
      <c r="BV120">
        <v>498.31599999999997</v>
      </c>
      <c r="BW120">
        <v>8.0270350540620802E-2</v>
      </c>
      <c r="BX120">
        <v>5</v>
      </c>
      <c r="BY120">
        <v>4.0135175270310401E-2</v>
      </c>
      <c r="BZ120">
        <v>3.5794158333783729E-2</v>
      </c>
      <c r="CC120">
        <v>0.35641395635220002</v>
      </c>
      <c r="CF120">
        <v>0.39963885932412108</v>
      </c>
    </row>
    <row r="121" spans="1:84" x14ac:dyDescent="0.3">
      <c r="A121" s="1">
        <v>551</v>
      </c>
      <c r="B121" t="s">
        <v>992</v>
      </c>
      <c r="C121" t="s">
        <v>993</v>
      </c>
      <c r="E121" t="s">
        <v>372</v>
      </c>
      <c r="F121">
        <v>3.45</v>
      </c>
      <c r="G121" t="s">
        <v>966</v>
      </c>
      <c r="H121">
        <v>-1</v>
      </c>
      <c r="I121">
        <v>-1</v>
      </c>
      <c r="J121">
        <v>4</v>
      </c>
      <c r="K121">
        <v>3.71</v>
      </c>
      <c r="L121">
        <v>3.71</v>
      </c>
      <c r="M121">
        <v>44.5</v>
      </c>
      <c r="N121" t="s">
        <v>529</v>
      </c>
      <c r="O121">
        <v>22.25</v>
      </c>
      <c r="Q121" t="s">
        <v>87</v>
      </c>
      <c r="R121">
        <v>1098</v>
      </c>
      <c r="S121">
        <v>12</v>
      </c>
      <c r="T121" t="b">
        <v>0</v>
      </c>
      <c r="U121" t="s">
        <v>125</v>
      </c>
      <c r="V121" t="s">
        <v>126</v>
      </c>
      <c r="W121">
        <v>1</v>
      </c>
      <c r="X121">
        <v>4</v>
      </c>
      <c r="Y121">
        <v>0.5</v>
      </c>
      <c r="Z121">
        <v>1</v>
      </c>
      <c r="AC121" t="s">
        <v>90</v>
      </c>
      <c r="AD121">
        <v>125</v>
      </c>
      <c r="AE121">
        <v>220</v>
      </c>
      <c r="AF121" t="s">
        <v>91</v>
      </c>
      <c r="AG121">
        <v>288</v>
      </c>
      <c r="AH121">
        <v>1080</v>
      </c>
      <c r="AI121" t="s">
        <v>550</v>
      </c>
      <c r="AL121" t="b">
        <v>1</v>
      </c>
      <c r="AM121" t="b">
        <v>0</v>
      </c>
      <c r="AN121" t="b">
        <v>0</v>
      </c>
      <c r="AO121" t="b">
        <v>0</v>
      </c>
      <c r="AP121" t="s">
        <v>1006</v>
      </c>
      <c r="AQ121">
        <v>-1</v>
      </c>
      <c r="AS121">
        <v>6.9847163201182658</v>
      </c>
      <c r="AT121">
        <v>1.5</v>
      </c>
      <c r="AU121">
        <v>1.2727272727272729</v>
      </c>
      <c r="AV121">
        <v>9.0909090909090912E-2</v>
      </c>
      <c r="AW121">
        <v>0.1818181818181818</v>
      </c>
      <c r="AX121">
        <v>0.49253731343283591</v>
      </c>
      <c r="AY121">
        <v>0.41791044776119401</v>
      </c>
      <c r="AZ121">
        <v>2.9850746268656719E-2</v>
      </c>
      <c r="BA121">
        <v>5.9701492537313439E-2</v>
      </c>
      <c r="BB121">
        <v>6.7247856437664089</v>
      </c>
      <c r="BC121">
        <v>10</v>
      </c>
      <c r="BD121">
        <v>358.01968816600157</v>
      </c>
      <c r="BE121">
        <v>2</v>
      </c>
      <c r="BF121">
        <v>5.5862849617160371E-2</v>
      </c>
      <c r="BG121">
        <v>3.8703880000000002</v>
      </c>
      <c r="BH121">
        <v>3.8703880000000002</v>
      </c>
      <c r="BI121">
        <v>23.9</v>
      </c>
      <c r="BJ121">
        <v>0</v>
      </c>
      <c r="BK121">
        <v>0</v>
      </c>
      <c r="BM121">
        <v>0</v>
      </c>
      <c r="BP121">
        <v>0</v>
      </c>
      <c r="BQ121">
        <v>0</v>
      </c>
      <c r="BS121">
        <v>0</v>
      </c>
      <c r="BT121">
        <v>0</v>
      </c>
      <c r="BU121">
        <v>0</v>
      </c>
      <c r="BV121">
        <v>612.50244999999995</v>
      </c>
      <c r="BW121">
        <v>6.5305861225534695E-2</v>
      </c>
      <c r="BX121">
        <v>5</v>
      </c>
      <c r="BY121">
        <v>3.2652930612767347E-2</v>
      </c>
      <c r="BZ121">
        <v>2.7931424808580189E-2</v>
      </c>
      <c r="CC121">
        <v>0.27938652437960559</v>
      </c>
      <c r="CF121">
        <v>0.32661379994861872</v>
      </c>
    </row>
    <row r="122" spans="1:84" x14ac:dyDescent="0.3">
      <c r="A122" s="1">
        <v>552</v>
      </c>
      <c r="B122" t="s">
        <v>995</v>
      </c>
      <c r="C122" t="s">
        <v>996</v>
      </c>
      <c r="E122" t="s">
        <v>372</v>
      </c>
      <c r="F122">
        <v>3.41</v>
      </c>
      <c r="G122" t="s">
        <v>969</v>
      </c>
      <c r="H122">
        <v>-1</v>
      </c>
      <c r="I122">
        <v>-1</v>
      </c>
      <c r="J122">
        <v>4</v>
      </c>
      <c r="K122">
        <v>3.71</v>
      </c>
      <c r="L122">
        <v>3.71</v>
      </c>
      <c r="M122">
        <v>54.9</v>
      </c>
      <c r="N122" t="s">
        <v>529</v>
      </c>
      <c r="O122">
        <v>27.45</v>
      </c>
      <c r="Q122" t="s">
        <v>87</v>
      </c>
      <c r="R122">
        <v>1098</v>
      </c>
      <c r="S122">
        <v>12</v>
      </c>
      <c r="T122" t="b">
        <v>0</v>
      </c>
      <c r="U122" t="s">
        <v>125</v>
      </c>
      <c r="V122" t="s">
        <v>126</v>
      </c>
      <c r="W122">
        <v>1</v>
      </c>
      <c r="Y122">
        <v>0.5</v>
      </c>
      <c r="Z122">
        <v>1</v>
      </c>
      <c r="AC122" t="s">
        <v>90</v>
      </c>
      <c r="AD122">
        <v>125</v>
      </c>
      <c r="AE122">
        <v>220</v>
      </c>
      <c r="AF122" t="s">
        <v>91</v>
      </c>
      <c r="AG122">
        <v>288</v>
      </c>
      <c r="AH122">
        <v>840</v>
      </c>
      <c r="AI122" t="s">
        <v>550</v>
      </c>
      <c r="AL122" t="b">
        <v>1</v>
      </c>
      <c r="AM122" t="b">
        <v>0</v>
      </c>
      <c r="AN122" t="b">
        <v>0</v>
      </c>
      <c r="AO122" t="b">
        <v>0</v>
      </c>
      <c r="AP122" t="s">
        <v>1007</v>
      </c>
      <c r="AQ122">
        <v>-1</v>
      </c>
      <c r="AS122">
        <v>6.7334018918373593</v>
      </c>
      <c r="AT122">
        <v>1.464285714285714</v>
      </c>
      <c r="AU122">
        <v>1.142857142857143</v>
      </c>
      <c r="AV122">
        <v>7.1428571428571425E-2</v>
      </c>
      <c r="AW122">
        <v>0.14285714285714279</v>
      </c>
      <c r="AX122">
        <v>0.51898734177215178</v>
      </c>
      <c r="AY122">
        <v>0.40506329113924039</v>
      </c>
      <c r="AZ122">
        <v>2.5316455696202531E-2</v>
      </c>
      <c r="BA122">
        <v>5.0632911392405063E-2</v>
      </c>
      <c r="BB122">
        <v>6.7561769411880359</v>
      </c>
      <c r="BC122">
        <v>10</v>
      </c>
      <c r="BD122">
        <v>411.19834477643292</v>
      </c>
      <c r="BE122">
        <v>2</v>
      </c>
      <c r="BF122">
        <v>4.8638328081972049E-2</v>
      </c>
      <c r="BG122">
        <v>3.8703880000000002</v>
      </c>
      <c r="BH122">
        <v>3.8703880000000002</v>
      </c>
      <c r="BI122">
        <v>27.45</v>
      </c>
      <c r="BJ122">
        <v>0</v>
      </c>
      <c r="BK122">
        <v>0</v>
      </c>
      <c r="BM122">
        <v>0</v>
      </c>
      <c r="BP122">
        <v>0</v>
      </c>
      <c r="BQ122">
        <v>0</v>
      </c>
      <c r="BS122">
        <v>0</v>
      </c>
      <c r="BT122">
        <v>0</v>
      </c>
      <c r="BU122">
        <v>0</v>
      </c>
      <c r="BV122">
        <v>755.64908999999989</v>
      </c>
      <c r="BW122">
        <v>5.2934623397746697E-2</v>
      </c>
      <c r="BX122">
        <v>5</v>
      </c>
      <c r="BY122">
        <v>2.6467311698873348E-2</v>
      </c>
      <c r="BZ122">
        <v>2.4319164040986021E-2</v>
      </c>
      <c r="CC122">
        <v>0.2443553945128093</v>
      </c>
      <c r="CF122">
        <v>0.26593966720944362</v>
      </c>
    </row>
    <row r="123" spans="1:84" x14ac:dyDescent="0.3">
      <c r="A123" s="1">
        <v>557</v>
      </c>
      <c r="B123" t="s">
        <v>151</v>
      </c>
      <c r="C123" t="s">
        <v>152</v>
      </c>
      <c r="E123" t="s">
        <v>106</v>
      </c>
      <c r="F123">
        <v>3.26</v>
      </c>
      <c r="G123" t="s">
        <v>142</v>
      </c>
      <c r="H123">
        <v>1522043</v>
      </c>
      <c r="I123">
        <v>-1</v>
      </c>
      <c r="J123">
        <v>1</v>
      </c>
      <c r="K123">
        <v>3.89</v>
      </c>
      <c r="L123">
        <v>3.89</v>
      </c>
      <c r="M123">
        <v>16.399999999999999</v>
      </c>
      <c r="O123">
        <v>16.399999999999999</v>
      </c>
      <c r="Q123" t="s">
        <v>87</v>
      </c>
      <c r="R123">
        <v>1573</v>
      </c>
      <c r="S123">
        <v>10</v>
      </c>
      <c r="T123" t="b">
        <v>0</v>
      </c>
      <c r="U123" t="s">
        <v>125</v>
      </c>
      <c r="V123" t="s">
        <v>126</v>
      </c>
      <c r="W123">
        <v>1</v>
      </c>
      <c r="X123">
        <v>3.1</v>
      </c>
      <c r="Y123">
        <v>0.5</v>
      </c>
      <c r="Z123">
        <v>1</v>
      </c>
      <c r="AC123" t="s">
        <v>90</v>
      </c>
      <c r="AD123">
        <v>125</v>
      </c>
      <c r="AE123">
        <v>220</v>
      </c>
      <c r="AF123" t="s">
        <v>91</v>
      </c>
      <c r="AG123">
        <v>288</v>
      </c>
      <c r="AH123">
        <v>15200</v>
      </c>
      <c r="AI123" t="s">
        <v>153</v>
      </c>
      <c r="AJ123" t="s">
        <v>153</v>
      </c>
      <c r="AL123" t="b">
        <v>1</v>
      </c>
      <c r="AM123" t="b">
        <v>1</v>
      </c>
      <c r="AN123" t="b">
        <v>0</v>
      </c>
      <c r="AO123" t="b">
        <v>0</v>
      </c>
      <c r="AP123" t="s">
        <v>1016</v>
      </c>
      <c r="AQ123" t="s">
        <v>1017</v>
      </c>
      <c r="AS123">
        <v>9.6290507068343683</v>
      </c>
      <c r="AT123">
        <v>1.75</v>
      </c>
      <c r="AU123">
        <v>2.5</v>
      </c>
      <c r="AV123">
        <v>0.75</v>
      </c>
      <c r="AW123">
        <v>0</v>
      </c>
      <c r="AX123">
        <v>0.35</v>
      </c>
      <c r="AY123">
        <v>0.5</v>
      </c>
      <c r="AZ123">
        <v>0.15</v>
      </c>
      <c r="BA123">
        <v>0</v>
      </c>
      <c r="BB123">
        <v>6.2395921087406876</v>
      </c>
      <c r="BC123">
        <v>20</v>
      </c>
      <c r="BD123">
        <v>242.1279024923125</v>
      </c>
      <c r="BE123">
        <v>1</v>
      </c>
      <c r="BF123">
        <v>8.2600971611006269E-2</v>
      </c>
      <c r="BG123">
        <v>3.950634</v>
      </c>
      <c r="BH123">
        <v>3.950634</v>
      </c>
      <c r="BI123">
        <v>15.513552000000001</v>
      </c>
      <c r="BJ123">
        <v>227.970829547178</v>
      </c>
      <c r="BK123">
        <v>1</v>
      </c>
      <c r="BL123">
        <v>8.7730522539775438E-2</v>
      </c>
      <c r="BM123">
        <v>3.8658999999999999</v>
      </c>
      <c r="BN123">
        <v>3.8658999999999999</v>
      </c>
      <c r="BO123">
        <v>15.2538</v>
      </c>
      <c r="BP123">
        <v>0</v>
      </c>
      <c r="BQ123">
        <v>0</v>
      </c>
      <c r="BS123">
        <v>0</v>
      </c>
      <c r="BT123">
        <v>0</v>
      </c>
      <c r="BU123">
        <v>0</v>
      </c>
      <c r="BV123">
        <v>248.16643999999999</v>
      </c>
      <c r="BW123">
        <v>8.0591074280631989E-2</v>
      </c>
      <c r="BX123">
        <v>10</v>
      </c>
      <c r="BY123">
        <v>4.0295537140315987E-2</v>
      </c>
      <c r="BZ123">
        <v>4.1300485805503127E-2</v>
      </c>
      <c r="CA123">
        <v>4.3865261269887719E-2</v>
      </c>
      <c r="CC123">
        <v>0.45027090848362911</v>
      </c>
      <c r="CD123">
        <v>0.47823289866077828</v>
      </c>
      <c r="CF123">
        <v>0.43931464151417537</v>
      </c>
    </row>
    <row r="124" spans="1:84" x14ac:dyDescent="0.3">
      <c r="A124" s="1">
        <v>558</v>
      </c>
      <c r="B124" t="s">
        <v>140</v>
      </c>
      <c r="C124" t="s">
        <v>141</v>
      </c>
      <c r="E124" t="s">
        <v>106</v>
      </c>
      <c r="F124">
        <v>3.5</v>
      </c>
      <c r="G124" t="s">
        <v>142</v>
      </c>
      <c r="H124">
        <v>1522043</v>
      </c>
      <c r="I124">
        <v>-1</v>
      </c>
      <c r="J124">
        <v>1</v>
      </c>
      <c r="K124">
        <v>3.82</v>
      </c>
      <c r="L124">
        <v>3.82</v>
      </c>
      <c r="M124">
        <v>16</v>
      </c>
      <c r="O124">
        <v>16</v>
      </c>
      <c r="Q124" t="s">
        <v>87</v>
      </c>
      <c r="R124">
        <v>1373</v>
      </c>
      <c r="S124">
        <v>24</v>
      </c>
      <c r="T124" t="b">
        <v>0</v>
      </c>
      <c r="U124" t="s">
        <v>125</v>
      </c>
      <c r="V124" t="s">
        <v>126</v>
      </c>
      <c r="W124">
        <v>1</v>
      </c>
      <c r="X124">
        <v>7.6</v>
      </c>
      <c r="Y124">
        <v>0.5</v>
      </c>
      <c r="Z124">
        <v>1</v>
      </c>
      <c r="AC124" t="s">
        <v>90</v>
      </c>
      <c r="AD124">
        <v>125</v>
      </c>
      <c r="AE124">
        <v>220</v>
      </c>
      <c r="AF124" t="s">
        <v>91</v>
      </c>
      <c r="AG124">
        <v>288</v>
      </c>
      <c r="AH124">
        <v>23600</v>
      </c>
      <c r="AI124" t="s">
        <v>144</v>
      </c>
      <c r="AJ124" t="s">
        <v>144</v>
      </c>
      <c r="AL124" t="b">
        <v>1</v>
      </c>
      <c r="AM124" t="b">
        <v>1</v>
      </c>
      <c r="AN124" t="b">
        <v>0</v>
      </c>
      <c r="AO124" t="b">
        <v>0</v>
      </c>
      <c r="AP124" t="s">
        <v>1018</v>
      </c>
      <c r="AQ124" t="s">
        <v>1019</v>
      </c>
      <c r="AS124">
        <v>10.0690019910137</v>
      </c>
      <c r="AT124">
        <v>1.75</v>
      </c>
      <c r="AU124">
        <v>2.5</v>
      </c>
      <c r="AV124">
        <v>0.75</v>
      </c>
      <c r="AW124">
        <v>0</v>
      </c>
      <c r="AX124">
        <v>0.35</v>
      </c>
      <c r="AY124">
        <v>0.5</v>
      </c>
      <c r="AZ124">
        <v>0.15</v>
      </c>
      <c r="BA124">
        <v>0</v>
      </c>
      <c r="BB124">
        <v>6.2640154224906874</v>
      </c>
      <c r="BC124">
        <v>20</v>
      </c>
      <c r="BD124">
        <v>242.1279024923125</v>
      </c>
      <c r="BE124">
        <v>1</v>
      </c>
      <c r="BF124">
        <v>8.2600971611006269E-2</v>
      </c>
      <c r="BG124">
        <v>3.950634</v>
      </c>
      <c r="BH124">
        <v>3.950634</v>
      </c>
      <c r="BI124">
        <v>15.513552000000001</v>
      </c>
      <c r="BJ124">
        <v>227.970829547178</v>
      </c>
      <c r="BK124">
        <v>1</v>
      </c>
      <c r="BL124">
        <v>8.7730522539775438E-2</v>
      </c>
      <c r="BM124">
        <v>3.8658999999999999</v>
      </c>
      <c r="BN124">
        <v>3.8658999999999999</v>
      </c>
      <c r="BO124">
        <v>15.2538</v>
      </c>
      <c r="BP124">
        <v>0</v>
      </c>
      <c r="BQ124">
        <v>0</v>
      </c>
      <c r="BS124">
        <v>0</v>
      </c>
      <c r="BT124">
        <v>0</v>
      </c>
      <c r="BU124">
        <v>0</v>
      </c>
      <c r="BV124">
        <v>233.47839999999999</v>
      </c>
      <c r="BW124">
        <v>8.5661029028809524E-2</v>
      </c>
      <c r="BX124">
        <v>10</v>
      </c>
      <c r="BY124">
        <v>4.2830514514404762E-2</v>
      </c>
      <c r="BZ124">
        <v>4.1300485805503127E-2</v>
      </c>
      <c r="CA124">
        <v>4.3865261269887719E-2</v>
      </c>
      <c r="CC124">
        <v>0.42195359024583579</v>
      </c>
      <c r="CD124">
        <v>0.44815706447294301</v>
      </c>
      <c r="CF124">
        <v>0.43758539443188288</v>
      </c>
    </row>
    <row r="125" spans="1:84" x14ac:dyDescent="0.3">
      <c r="A125" s="1">
        <v>559</v>
      </c>
      <c r="B125" t="s">
        <v>151</v>
      </c>
      <c r="C125" t="s">
        <v>152</v>
      </c>
      <c r="E125" t="s">
        <v>106</v>
      </c>
      <c r="F125">
        <v>3.26</v>
      </c>
      <c r="G125" t="s">
        <v>142</v>
      </c>
      <c r="H125">
        <v>1522043</v>
      </c>
      <c r="I125">
        <v>-1</v>
      </c>
      <c r="J125">
        <v>1</v>
      </c>
      <c r="K125">
        <v>3.89</v>
      </c>
      <c r="L125">
        <v>3.89</v>
      </c>
      <c r="M125">
        <v>16.399999999999999</v>
      </c>
      <c r="O125">
        <v>16.399999999999999</v>
      </c>
      <c r="Q125" t="s">
        <v>87</v>
      </c>
      <c r="R125">
        <v>1573</v>
      </c>
      <c r="S125">
        <v>10</v>
      </c>
      <c r="T125" t="b">
        <v>0</v>
      </c>
      <c r="U125" t="s">
        <v>125</v>
      </c>
      <c r="V125" t="s">
        <v>126</v>
      </c>
      <c r="W125">
        <v>1</v>
      </c>
      <c r="X125">
        <v>103</v>
      </c>
      <c r="Y125">
        <v>0.5</v>
      </c>
      <c r="Z125">
        <v>1</v>
      </c>
      <c r="AC125" t="s">
        <v>90</v>
      </c>
      <c r="AD125">
        <v>125</v>
      </c>
      <c r="AE125">
        <v>220</v>
      </c>
      <c r="AF125" t="s">
        <v>91</v>
      </c>
      <c r="AG125">
        <v>288</v>
      </c>
      <c r="AH125">
        <v>36000</v>
      </c>
      <c r="AI125" t="s">
        <v>153</v>
      </c>
      <c r="AJ125" t="s">
        <v>153</v>
      </c>
      <c r="AL125" t="b">
        <v>1</v>
      </c>
      <c r="AM125" t="b">
        <v>1</v>
      </c>
      <c r="AN125" t="b">
        <v>0</v>
      </c>
      <c r="AO125" t="b">
        <v>0</v>
      </c>
      <c r="AP125" t="s">
        <v>1020</v>
      </c>
      <c r="AQ125" t="s">
        <v>1021</v>
      </c>
      <c r="AS125">
        <v>10.491274217438249</v>
      </c>
      <c r="AT125">
        <v>1.75</v>
      </c>
      <c r="AU125">
        <v>2.5</v>
      </c>
      <c r="AV125">
        <v>0.75</v>
      </c>
      <c r="AW125">
        <v>0</v>
      </c>
      <c r="AX125">
        <v>0.35</v>
      </c>
      <c r="AY125">
        <v>0.5</v>
      </c>
      <c r="AZ125">
        <v>0.15</v>
      </c>
      <c r="BA125">
        <v>0</v>
      </c>
      <c r="BB125">
        <v>6.2395921087406876</v>
      </c>
      <c r="BC125">
        <v>20</v>
      </c>
      <c r="BD125">
        <v>242.1279024923125</v>
      </c>
      <c r="BE125">
        <v>1</v>
      </c>
      <c r="BF125">
        <v>8.2600971611006269E-2</v>
      </c>
      <c r="BG125">
        <v>3.950634</v>
      </c>
      <c r="BH125">
        <v>3.950634</v>
      </c>
      <c r="BI125">
        <v>15.513552000000001</v>
      </c>
      <c r="BJ125">
        <v>227.970829547178</v>
      </c>
      <c r="BK125">
        <v>1</v>
      </c>
      <c r="BL125">
        <v>8.7730522539775438E-2</v>
      </c>
      <c r="BM125">
        <v>3.8658999999999999</v>
      </c>
      <c r="BN125">
        <v>3.8658999999999999</v>
      </c>
      <c r="BO125">
        <v>15.2538</v>
      </c>
      <c r="BP125">
        <v>0</v>
      </c>
      <c r="BQ125">
        <v>0</v>
      </c>
      <c r="BS125">
        <v>0</v>
      </c>
      <c r="BT125">
        <v>0</v>
      </c>
      <c r="BU125">
        <v>0</v>
      </c>
      <c r="BV125">
        <v>248.16643999999999</v>
      </c>
      <c r="BW125">
        <v>8.0591074280631989E-2</v>
      </c>
      <c r="BX125">
        <v>10</v>
      </c>
      <c r="BY125">
        <v>4.0295537140315987E-2</v>
      </c>
      <c r="BZ125">
        <v>4.1300485805503127E-2</v>
      </c>
      <c r="CA125">
        <v>4.3865261269887719E-2</v>
      </c>
      <c r="CC125">
        <v>0.45027090848362911</v>
      </c>
      <c r="CD125">
        <v>0.47823289866077828</v>
      </c>
      <c r="CF125">
        <v>0.43931464151417537</v>
      </c>
    </row>
    <row r="126" spans="1:84" x14ac:dyDescent="0.3">
      <c r="A126" s="1">
        <v>560</v>
      </c>
      <c r="B126" t="s">
        <v>140</v>
      </c>
      <c r="C126" t="s">
        <v>141</v>
      </c>
      <c r="E126" t="s">
        <v>106</v>
      </c>
      <c r="F126">
        <v>3.38</v>
      </c>
      <c r="G126" t="s">
        <v>142</v>
      </c>
      <c r="H126">
        <v>1522043</v>
      </c>
      <c r="I126">
        <v>-1</v>
      </c>
      <c r="J126">
        <v>1</v>
      </c>
      <c r="K126">
        <v>3.82</v>
      </c>
      <c r="L126">
        <v>3.82</v>
      </c>
      <c r="M126">
        <v>16</v>
      </c>
      <c r="O126">
        <v>16</v>
      </c>
      <c r="Q126" t="s">
        <v>87</v>
      </c>
      <c r="R126">
        <v>1373</v>
      </c>
      <c r="S126">
        <v>24</v>
      </c>
      <c r="T126" t="b">
        <v>0</v>
      </c>
      <c r="U126" t="s">
        <v>125</v>
      </c>
      <c r="V126" t="s">
        <v>126</v>
      </c>
      <c r="W126">
        <v>1</v>
      </c>
      <c r="X126">
        <v>76.3</v>
      </c>
      <c r="Y126">
        <v>0.5</v>
      </c>
      <c r="Z126">
        <v>1</v>
      </c>
      <c r="AC126" t="s">
        <v>90</v>
      </c>
      <c r="AD126">
        <v>125</v>
      </c>
      <c r="AE126">
        <v>220</v>
      </c>
      <c r="AF126" t="s">
        <v>91</v>
      </c>
      <c r="AG126">
        <v>288</v>
      </c>
      <c r="AH126">
        <v>37600</v>
      </c>
      <c r="AI126" t="s">
        <v>144</v>
      </c>
      <c r="AJ126" t="s">
        <v>144</v>
      </c>
      <c r="AL126" t="b">
        <v>1</v>
      </c>
      <c r="AM126" t="b">
        <v>1</v>
      </c>
      <c r="AN126" t="b">
        <v>0</v>
      </c>
      <c r="AO126" t="b">
        <v>0</v>
      </c>
      <c r="AP126" t="s">
        <v>1022</v>
      </c>
      <c r="AQ126" t="s">
        <v>1023</v>
      </c>
      <c r="AS126">
        <v>10.534759329377991</v>
      </c>
      <c r="AT126">
        <v>1.75</v>
      </c>
      <c r="AU126">
        <v>2.5</v>
      </c>
      <c r="AV126">
        <v>0.75</v>
      </c>
      <c r="AW126">
        <v>0</v>
      </c>
      <c r="AX126">
        <v>0.35</v>
      </c>
      <c r="AY126">
        <v>0.5</v>
      </c>
      <c r="AZ126">
        <v>0.15</v>
      </c>
      <c r="BA126">
        <v>0</v>
      </c>
      <c r="BB126">
        <v>6.2640154224906874</v>
      </c>
      <c r="BC126">
        <v>20</v>
      </c>
      <c r="BD126">
        <v>242.1279024923125</v>
      </c>
      <c r="BE126">
        <v>1</v>
      </c>
      <c r="BF126">
        <v>8.2600971611006269E-2</v>
      </c>
      <c r="BG126">
        <v>3.950634</v>
      </c>
      <c r="BH126">
        <v>3.950634</v>
      </c>
      <c r="BI126">
        <v>15.513552000000001</v>
      </c>
      <c r="BJ126">
        <v>227.970829547178</v>
      </c>
      <c r="BK126">
        <v>1</v>
      </c>
      <c r="BL126">
        <v>8.7730522539775438E-2</v>
      </c>
      <c r="BM126">
        <v>3.8658999999999999</v>
      </c>
      <c r="BN126">
        <v>3.8658999999999999</v>
      </c>
      <c r="BO126">
        <v>15.2538</v>
      </c>
      <c r="BP126">
        <v>0</v>
      </c>
      <c r="BQ126">
        <v>0</v>
      </c>
      <c r="BS126">
        <v>0</v>
      </c>
      <c r="BT126">
        <v>0</v>
      </c>
      <c r="BU126">
        <v>0</v>
      </c>
      <c r="BV126">
        <v>233.47839999999999</v>
      </c>
      <c r="BW126">
        <v>8.5661029028809524E-2</v>
      </c>
      <c r="BX126">
        <v>10</v>
      </c>
      <c r="BY126">
        <v>4.2830514514404762E-2</v>
      </c>
      <c r="BZ126">
        <v>4.1300485805503127E-2</v>
      </c>
      <c r="CA126">
        <v>4.3865261269887719E-2</v>
      </c>
      <c r="CC126">
        <v>0.42195359024583579</v>
      </c>
      <c r="CD126">
        <v>0.44815706447294301</v>
      </c>
      <c r="CF126">
        <v>0.43758539443188288</v>
      </c>
    </row>
    <row r="127" spans="1:84" x14ac:dyDescent="0.3">
      <c r="A127" s="1">
        <v>565</v>
      </c>
      <c r="B127" t="s">
        <v>151</v>
      </c>
      <c r="C127" t="s">
        <v>152</v>
      </c>
      <c r="E127" t="s">
        <v>106</v>
      </c>
      <c r="F127">
        <v>3.26</v>
      </c>
      <c r="G127" t="s">
        <v>142</v>
      </c>
      <c r="H127">
        <v>1522043</v>
      </c>
      <c r="I127">
        <v>-1</v>
      </c>
      <c r="J127">
        <v>1</v>
      </c>
      <c r="K127">
        <v>3.89</v>
      </c>
      <c r="L127">
        <v>3.89</v>
      </c>
      <c r="M127">
        <v>16.399999999999999</v>
      </c>
      <c r="O127">
        <v>16.399999999999999</v>
      </c>
      <c r="Q127" t="s">
        <v>87</v>
      </c>
      <c r="R127">
        <v>1573</v>
      </c>
      <c r="S127">
        <v>10</v>
      </c>
      <c r="T127" t="b">
        <v>0</v>
      </c>
      <c r="U127" t="s">
        <v>125</v>
      </c>
      <c r="V127" t="s">
        <v>126</v>
      </c>
      <c r="W127">
        <v>1</v>
      </c>
      <c r="X127">
        <v>3.1</v>
      </c>
      <c r="Y127">
        <v>0.5</v>
      </c>
      <c r="Z127">
        <v>0</v>
      </c>
      <c r="AC127" t="s">
        <v>90</v>
      </c>
      <c r="AD127">
        <v>125</v>
      </c>
      <c r="AE127">
        <v>220</v>
      </c>
      <c r="AF127" t="s">
        <v>91</v>
      </c>
      <c r="AG127">
        <v>288</v>
      </c>
      <c r="AH127">
        <v>72</v>
      </c>
      <c r="AI127" t="s">
        <v>153</v>
      </c>
      <c r="AJ127" t="s">
        <v>153</v>
      </c>
      <c r="AL127" t="b">
        <v>1</v>
      </c>
      <c r="AM127" t="b">
        <v>1</v>
      </c>
      <c r="AN127" t="b">
        <v>0</v>
      </c>
      <c r="AO127" t="b">
        <v>0</v>
      </c>
      <c r="AP127" t="s">
        <v>1032</v>
      </c>
      <c r="AQ127" t="s">
        <v>1033</v>
      </c>
      <c r="AS127">
        <v>4.2766661190160553</v>
      </c>
      <c r="AT127">
        <v>1.75</v>
      </c>
      <c r="AU127">
        <v>2.5</v>
      </c>
      <c r="AV127">
        <v>0.75</v>
      </c>
      <c r="AW127">
        <v>0</v>
      </c>
      <c r="AX127">
        <v>0.35</v>
      </c>
      <c r="AY127">
        <v>0.5</v>
      </c>
      <c r="AZ127">
        <v>0.15</v>
      </c>
      <c r="BA127">
        <v>0</v>
      </c>
      <c r="BB127">
        <v>6.2395921087406876</v>
      </c>
      <c r="BC127">
        <v>20</v>
      </c>
      <c r="BD127">
        <v>242.1279024923125</v>
      </c>
      <c r="BE127">
        <v>1</v>
      </c>
      <c r="BF127">
        <v>8.2600971611006269E-2</v>
      </c>
      <c r="BG127">
        <v>3.950634</v>
      </c>
      <c r="BH127">
        <v>3.950634</v>
      </c>
      <c r="BI127">
        <v>15.513552000000001</v>
      </c>
      <c r="BJ127">
        <v>227.970829547178</v>
      </c>
      <c r="BK127">
        <v>1</v>
      </c>
      <c r="BL127">
        <v>8.7730522539775438E-2</v>
      </c>
      <c r="BM127">
        <v>3.8658999999999999</v>
      </c>
      <c r="BN127">
        <v>3.8658999999999999</v>
      </c>
      <c r="BO127">
        <v>15.2538</v>
      </c>
      <c r="BP127">
        <v>0</v>
      </c>
      <c r="BQ127">
        <v>0</v>
      </c>
      <c r="BS127">
        <v>0</v>
      </c>
      <c r="BT127">
        <v>0</v>
      </c>
      <c r="BU127">
        <v>0</v>
      </c>
      <c r="BV127">
        <v>248.16643999999999</v>
      </c>
      <c r="BW127">
        <v>8.0591074280631989E-2</v>
      </c>
      <c r="BX127">
        <v>10</v>
      </c>
      <c r="BY127">
        <v>4.0295537140315987E-2</v>
      </c>
      <c r="BZ127">
        <v>4.1300485805503127E-2</v>
      </c>
      <c r="CA127">
        <v>4.3865261269887719E-2</v>
      </c>
      <c r="CC127">
        <v>0.45027090848362911</v>
      </c>
      <c r="CD127">
        <v>0.47823289866077828</v>
      </c>
      <c r="CF127">
        <v>0.43931464151417537</v>
      </c>
    </row>
    <row r="128" spans="1:84" x14ac:dyDescent="0.3">
      <c r="A128" s="1">
        <v>566</v>
      </c>
      <c r="B128" t="s">
        <v>140</v>
      </c>
      <c r="C128" t="s">
        <v>141</v>
      </c>
      <c r="E128" t="s">
        <v>106</v>
      </c>
      <c r="F128">
        <v>3.5</v>
      </c>
      <c r="G128" t="s">
        <v>142</v>
      </c>
      <c r="H128">
        <v>1522043</v>
      </c>
      <c r="I128">
        <v>-1</v>
      </c>
      <c r="J128">
        <v>1</v>
      </c>
      <c r="K128">
        <v>3.82</v>
      </c>
      <c r="L128">
        <v>3.82</v>
      </c>
      <c r="M128">
        <v>16</v>
      </c>
      <c r="O128">
        <v>16</v>
      </c>
      <c r="Q128" t="s">
        <v>87</v>
      </c>
      <c r="R128">
        <v>1373</v>
      </c>
      <c r="S128">
        <v>24</v>
      </c>
      <c r="T128" t="b">
        <v>0</v>
      </c>
      <c r="U128" t="s">
        <v>125</v>
      </c>
      <c r="V128" t="s">
        <v>126</v>
      </c>
      <c r="W128">
        <v>1</v>
      </c>
      <c r="X128">
        <v>7.6</v>
      </c>
      <c r="Y128">
        <v>0.5</v>
      </c>
      <c r="Z128">
        <v>0</v>
      </c>
      <c r="AC128" t="s">
        <v>90</v>
      </c>
      <c r="AD128">
        <v>125</v>
      </c>
      <c r="AE128">
        <v>220</v>
      </c>
      <c r="AF128" t="s">
        <v>91</v>
      </c>
      <c r="AG128">
        <v>288</v>
      </c>
      <c r="AH128">
        <v>440</v>
      </c>
      <c r="AI128" t="s">
        <v>144</v>
      </c>
      <c r="AJ128" t="s">
        <v>144</v>
      </c>
      <c r="AL128" t="b">
        <v>1</v>
      </c>
      <c r="AM128" t="b">
        <v>1</v>
      </c>
      <c r="AN128" t="b">
        <v>0</v>
      </c>
      <c r="AO128" t="b">
        <v>0</v>
      </c>
      <c r="AP128" t="s">
        <v>1034</v>
      </c>
      <c r="AQ128" t="s">
        <v>1035</v>
      </c>
      <c r="AS128">
        <v>6.0867747269123056</v>
      </c>
      <c r="AT128">
        <v>1.75</v>
      </c>
      <c r="AU128">
        <v>2.5</v>
      </c>
      <c r="AV128">
        <v>0.75</v>
      </c>
      <c r="AW128">
        <v>0</v>
      </c>
      <c r="AX128">
        <v>0.35</v>
      </c>
      <c r="AY128">
        <v>0.5</v>
      </c>
      <c r="AZ128">
        <v>0.15</v>
      </c>
      <c r="BA128">
        <v>0</v>
      </c>
      <c r="BB128">
        <v>6.2640154224906874</v>
      </c>
      <c r="BC128">
        <v>20</v>
      </c>
      <c r="BD128">
        <v>242.1279024923125</v>
      </c>
      <c r="BE128">
        <v>1</v>
      </c>
      <c r="BF128">
        <v>8.2600971611006269E-2</v>
      </c>
      <c r="BG128">
        <v>3.950634</v>
      </c>
      <c r="BH128">
        <v>3.950634</v>
      </c>
      <c r="BI128">
        <v>15.513552000000001</v>
      </c>
      <c r="BJ128">
        <v>227.970829547178</v>
      </c>
      <c r="BK128">
        <v>1</v>
      </c>
      <c r="BL128">
        <v>8.7730522539775438E-2</v>
      </c>
      <c r="BM128">
        <v>3.8658999999999999</v>
      </c>
      <c r="BN128">
        <v>3.8658999999999999</v>
      </c>
      <c r="BO128">
        <v>15.2538</v>
      </c>
      <c r="BP128">
        <v>0</v>
      </c>
      <c r="BQ128">
        <v>0</v>
      </c>
      <c r="BS128">
        <v>0</v>
      </c>
      <c r="BT128">
        <v>0</v>
      </c>
      <c r="BU128">
        <v>0</v>
      </c>
      <c r="BV128">
        <v>233.47839999999999</v>
      </c>
      <c r="BW128">
        <v>8.5661029028809524E-2</v>
      </c>
      <c r="BX128">
        <v>10</v>
      </c>
      <c r="BY128">
        <v>4.2830514514404762E-2</v>
      </c>
      <c r="BZ128">
        <v>4.1300485805503127E-2</v>
      </c>
      <c r="CA128">
        <v>4.3865261269887719E-2</v>
      </c>
      <c r="CC128">
        <v>0.42195359024583579</v>
      </c>
      <c r="CD128">
        <v>0.44815706447294301</v>
      </c>
      <c r="CF128">
        <v>0.43758539443188288</v>
      </c>
    </row>
    <row r="129" spans="1:84" x14ac:dyDescent="0.3">
      <c r="A129" s="1">
        <v>567</v>
      </c>
      <c r="B129" t="s">
        <v>151</v>
      </c>
      <c r="C129" t="s">
        <v>152</v>
      </c>
      <c r="E129" t="s">
        <v>106</v>
      </c>
      <c r="F129">
        <v>3.26</v>
      </c>
      <c r="G129" t="s">
        <v>142</v>
      </c>
      <c r="H129">
        <v>1522043</v>
      </c>
      <c r="I129">
        <v>-1</v>
      </c>
      <c r="J129">
        <v>1</v>
      </c>
      <c r="K129">
        <v>3.89</v>
      </c>
      <c r="L129">
        <v>3.89</v>
      </c>
      <c r="M129">
        <v>16.399999999999999</v>
      </c>
      <c r="O129">
        <v>16.399999999999999</v>
      </c>
      <c r="Q129" t="s">
        <v>87</v>
      </c>
      <c r="R129">
        <v>1573</v>
      </c>
      <c r="S129">
        <v>10</v>
      </c>
      <c r="T129" t="b">
        <v>0</v>
      </c>
      <c r="U129" t="s">
        <v>125</v>
      </c>
      <c r="V129" t="s">
        <v>126</v>
      </c>
      <c r="W129">
        <v>1</v>
      </c>
      <c r="X129">
        <v>103</v>
      </c>
      <c r="Y129">
        <v>0.5</v>
      </c>
      <c r="Z129">
        <v>0</v>
      </c>
      <c r="AC129" t="s">
        <v>90</v>
      </c>
      <c r="AD129">
        <v>125</v>
      </c>
      <c r="AE129">
        <v>220</v>
      </c>
      <c r="AF129" t="s">
        <v>91</v>
      </c>
      <c r="AG129">
        <v>288</v>
      </c>
      <c r="AH129">
        <v>2000</v>
      </c>
      <c r="AI129" t="s">
        <v>153</v>
      </c>
      <c r="AJ129" t="s">
        <v>153</v>
      </c>
      <c r="AL129" t="b">
        <v>1</v>
      </c>
      <c r="AM129" t="b">
        <v>1</v>
      </c>
      <c r="AN129" t="b">
        <v>0</v>
      </c>
      <c r="AO129" t="b">
        <v>0</v>
      </c>
      <c r="AP129" t="s">
        <v>1036</v>
      </c>
      <c r="AQ129" t="s">
        <v>1037</v>
      </c>
      <c r="AS129">
        <v>7.6009024595420822</v>
      </c>
      <c r="AT129">
        <v>1.75</v>
      </c>
      <c r="AU129">
        <v>2.5</v>
      </c>
      <c r="AV129">
        <v>0.75</v>
      </c>
      <c r="AW129">
        <v>0</v>
      </c>
      <c r="AX129">
        <v>0.35</v>
      </c>
      <c r="AY129">
        <v>0.5</v>
      </c>
      <c r="AZ129">
        <v>0.15</v>
      </c>
      <c r="BA129">
        <v>0</v>
      </c>
      <c r="BB129">
        <v>6.2395921087406876</v>
      </c>
      <c r="BC129">
        <v>20</v>
      </c>
      <c r="BD129">
        <v>242.1279024923125</v>
      </c>
      <c r="BE129">
        <v>1</v>
      </c>
      <c r="BF129">
        <v>8.2600971611006269E-2</v>
      </c>
      <c r="BG129">
        <v>3.950634</v>
      </c>
      <c r="BH129">
        <v>3.950634</v>
      </c>
      <c r="BI129">
        <v>15.513552000000001</v>
      </c>
      <c r="BJ129">
        <v>227.970829547178</v>
      </c>
      <c r="BK129">
        <v>1</v>
      </c>
      <c r="BL129">
        <v>8.7730522539775438E-2</v>
      </c>
      <c r="BM129">
        <v>3.8658999999999999</v>
      </c>
      <c r="BN129">
        <v>3.8658999999999999</v>
      </c>
      <c r="BO129">
        <v>15.2538</v>
      </c>
      <c r="BP129">
        <v>0</v>
      </c>
      <c r="BQ129">
        <v>0</v>
      </c>
      <c r="BS129">
        <v>0</v>
      </c>
      <c r="BT129">
        <v>0</v>
      </c>
      <c r="BU129">
        <v>0</v>
      </c>
      <c r="BV129">
        <v>248.16643999999999</v>
      </c>
      <c r="BW129">
        <v>8.0591074280631989E-2</v>
      </c>
      <c r="BX129">
        <v>10</v>
      </c>
      <c r="BY129">
        <v>4.0295537140315987E-2</v>
      </c>
      <c r="BZ129">
        <v>4.1300485805503127E-2</v>
      </c>
      <c r="CA129">
        <v>4.3865261269887719E-2</v>
      </c>
      <c r="CC129">
        <v>0.45027090848362911</v>
      </c>
      <c r="CD129">
        <v>0.47823289866077828</v>
      </c>
      <c r="CF129">
        <v>0.43931464151417537</v>
      </c>
    </row>
    <row r="130" spans="1:84" x14ac:dyDescent="0.3">
      <c r="A130" s="1">
        <v>568</v>
      </c>
      <c r="B130" t="s">
        <v>140</v>
      </c>
      <c r="C130" t="s">
        <v>141</v>
      </c>
      <c r="E130" t="s">
        <v>106</v>
      </c>
      <c r="F130">
        <v>3.38</v>
      </c>
      <c r="G130" t="s">
        <v>142</v>
      </c>
      <c r="H130">
        <v>1522043</v>
      </c>
      <c r="I130">
        <v>-1</v>
      </c>
      <c r="J130">
        <v>1</v>
      </c>
      <c r="K130">
        <v>3.82</v>
      </c>
      <c r="L130">
        <v>3.82</v>
      </c>
      <c r="M130">
        <v>16</v>
      </c>
      <c r="O130">
        <v>16</v>
      </c>
      <c r="Q130" t="s">
        <v>87</v>
      </c>
      <c r="R130">
        <v>1373</v>
      </c>
      <c r="S130">
        <v>24</v>
      </c>
      <c r="T130" t="b">
        <v>0</v>
      </c>
      <c r="U130" t="s">
        <v>125</v>
      </c>
      <c r="V130" t="s">
        <v>126</v>
      </c>
      <c r="W130">
        <v>1</v>
      </c>
      <c r="X130">
        <v>76.3</v>
      </c>
      <c r="Y130">
        <v>0.5</v>
      </c>
      <c r="Z130">
        <v>0</v>
      </c>
      <c r="AC130" t="s">
        <v>90</v>
      </c>
      <c r="AD130">
        <v>125</v>
      </c>
      <c r="AE130">
        <v>220</v>
      </c>
      <c r="AF130" t="s">
        <v>91</v>
      </c>
      <c r="AG130">
        <v>288</v>
      </c>
      <c r="AH130">
        <v>4000</v>
      </c>
      <c r="AI130" t="s">
        <v>144</v>
      </c>
      <c r="AJ130" t="s">
        <v>144</v>
      </c>
      <c r="AL130" t="b">
        <v>1</v>
      </c>
      <c r="AM130" t="b">
        <v>1</v>
      </c>
      <c r="AN130" t="b">
        <v>0</v>
      </c>
      <c r="AO130" t="b">
        <v>0</v>
      </c>
      <c r="AP130" t="s">
        <v>1038</v>
      </c>
      <c r="AQ130" t="s">
        <v>1039</v>
      </c>
      <c r="AS130">
        <v>8.2940496401020276</v>
      </c>
      <c r="AT130">
        <v>1.75</v>
      </c>
      <c r="AU130">
        <v>2.5</v>
      </c>
      <c r="AV130">
        <v>0.75</v>
      </c>
      <c r="AW130">
        <v>0</v>
      </c>
      <c r="AX130">
        <v>0.35</v>
      </c>
      <c r="AY130">
        <v>0.5</v>
      </c>
      <c r="AZ130">
        <v>0.15</v>
      </c>
      <c r="BA130">
        <v>0</v>
      </c>
      <c r="BB130">
        <v>6.2640154224906874</v>
      </c>
      <c r="BC130">
        <v>20</v>
      </c>
      <c r="BD130">
        <v>242.1279024923125</v>
      </c>
      <c r="BE130">
        <v>1</v>
      </c>
      <c r="BF130">
        <v>8.2600971611006269E-2</v>
      </c>
      <c r="BG130">
        <v>3.950634</v>
      </c>
      <c r="BH130">
        <v>3.950634</v>
      </c>
      <c r="BI130">
        <v>15.513552000000001</v>
      </c>
      <c r="BJ130">
        <v>227.970829547178</v>
      </c>
      <c r="BK130">
        <v>1</v>
      </c>
      <c r="BL130">
        <v>8.7730522539775438E-2</v>
      </c>
      <c r="BM130">
        <v>3.8658999999999999</v>
      </c>
      <c r="BN130">
        <v>3.8658999999999999</v>
      </c>
      <c r="BO130">
        <v>15.2538</v>
      </c>
      <c r="BP130">
        <v>0</v>
      </c>
      <c r="BQ130">
        <v>0</v>
      </c>
      <c r="BS130">
        <v>0</v>
      </c>
      <c r="BT130">
        <v>0</v>
      </c>
      <c r="BU130">
        <v>0</v>
      </c>
      <c r="BV130">
        <v>233.47839999999999</v>
      </c>
      <c r="BW130">
        <v>8.5661029028809524E-2</v>
      </c>
      <c r="BX130">
        <v>10</v>
      </c>
      <c r="BY130">
        <v>4.2830514514404762E-2</v>
      </c>
      <c r="BZ130">
        <v>4.1300485805503127E-2</v>
      </c>
      <c r="CA130">
        <v>4.3865261269887719E-2</v>
      </c>
      <c r="CC130">
        <v>0.42195359024583579</v>
      </c>
      <c r="CD130">
        <v>0.44815706447294301</v>
      </c>
      <c r="CF130">
        <v>0.43758539443188288</v>
      </c>
    </row>
    <row r="131" spans="1:84" x14ac:dyDescent="0.3">
      <c r="A131" s="1">
        <v>571</v>
      </c>
      <c r="B131" t="s">
        <v>106</v>
      </c>
      <c r="C131" t="s">
        <v>107</v>
      </c>
      <c r="E131" t="s">
        <v>106</v>
      </c>
      <c r="F131">
        <v>3.54</v>
      </c>
      <c r="G131" t="s">
        <v>108</v>
      </c>
      <c r="H131" t="s">
        <v>109</v>
      </c>
      <c r="I131">
        <v>-1</v>
      </c>
      <c r="J131">
        <v>2</v>
      </c>
      <c r="K131">
        <v>3.86</v>
      </c>
      <c r="L131">
        <v>3.86</v>
      </c>
      <c r="M131">
        <v>29.4</v>
      </c>
      <c r="O131">
        <v>14.7</v>
      </c>
      <c r="Q131" t="s">
        <v>87</v>
      </c>
      <c r="R131">
        <v>1373</v>
      </c>
      <c r="S131">
        <v>24</v>
      </c>
      <c r="T131" t="b">
        <v>0</v>
      </c>
      <c r="U131" t="s">
        <v>125</v>
      </c>
      <c r="V131" t="s">
        <v>126</v>
      </c>
      <c r="W131">
        <v>1</v>
      </c>
      <c r="X131">
        <v>3.8</v>
      </c>
      <c r="Y131">
        <v>0.5</v>
      </c>
      <c r="Z131">
        <v>0</v>
      </c>
      <c r="AC131" t="s">
        <v>90</v>
      </c>
      <c r="AD131">
        <v>125</v>
      </c>
      <c r="AE131">
        <v>220</v>
      </c>
      <c r="AF131" t="s">
        <v>91</v>
      </c>
      <c r="AG131">
        <v>288</v>
      </c>
      <c r="AH131">
        <v>312</v>
      </c>
      <c r="AL131" t="b">
        <v>1</v>
      </c>
      <c r="AM131" t="b">
        <v>1</v>
      </c>
      <c r="AN131" t="b">
        <v>0</v>
      </c>
      <c r="AO131" t="b">
        <v>0</v>
      </c>
      <c r="AP131" t="s">
        <v>108</v>
      </c>
      <c r="AQ131" t="s">
        <v>109</v>
      </c>
      <c r="AS131">
        <v>5.7430031878094816</v>
      </c>
      <c r="AT131">
        <v>1.75</v>
      </c>
      <c r="AU131">
        <v>2.5</v>
      </c>
      <c r="AV131">
        <v>0.75</v>
      </c>
      <c r="AW131">
        <v>0</v>
      </c>
      <c r="AX131">
        <v>0.35</v>
      </c>
      <c r="AY131">
        <v>0.5</v>
      </c>
      <c r="AZ131">
        <v>0.15</v>
      </c>
      <c r="BA131">
        <v>0</v>
      </c>
      <c r="BB131">
        <v>5.9668120809374994</v>
      </c>
      <c r="BC131">
        <v>20</v>
      </c>
      <c r="BD131">
        <v>924.74694800021894</v>
      </c>
      <c r="BE131">
        <v>4</v>
      </c>
      <c r="BF131">
        <v>8.6510153045653584E-2</v>
      </c>
      <c r="BG131">
        <v>7.8084429999999996</v>
      </c>
      <c r="BH131">
        <v>7.8548809999999998</v>
      </c>
      <c r="BI131">
        <v>15.19056011</v>
      </c>
      <c r="BJ131">
        <v>883.22940750240002</v>
      </c>
      <c r="BK131">
        <v>4</v>
      </c>
      <c r="BL131">
        <v>9.0576694254581439E-2</v>
      </c>
      <c r="BM131">
        <v>3.8801999999999999</v>
      </c>
      <c r="BN131">
        <v>29.507999999999999</v>
      </c>
      <c r="BO131">
        <v>7.7140000000000004</v>
      </c>
      <c r="BP131">
        <v>0</v>
      </c>
      <c r="BQ131">
        <v>0</v>
      </c>
      <c r="BS131">
        <v>0</v>
      </c>
      <c r="BT131">
        <v>0</v>
      </c>
      <c r="BU131">
        <v>0</v>
      </c>
      <c r="BV131">
        <v>438.04824000000002</v>
      </c>
      <c r="BW131">
        <v>9.1314143848631832E-2</v>
      </c>
      <c r="BX131">
        <v>10</v>
      </c>
      <c r="BY131">
        <v>4.5657071924315923E-2</v>
      </c>
      <c r="BZ131">
        <v>4.3255076522826792E-2</v>
      </c>
      <c r="CA131">
        <v>4.5288347127290719E-2</v>
      </c>
      <c r="CC131">
        <v>0.50555206026575006</v>
      </c>
      <c r="CD131">
        <v>0.52931630311992839</v>
      </c>
      <c r="CF131">
        <v>0.53362584539316393</v>
      </c>
    </row>
    <row r="132" spans="1:84" x14ac:dyDescent="0.3">
      <c r="A132" s="1">
        <v>572</v>
      </c>
      <c r="B132" t="s">
        <v>140</v>
      </c>
      <c r="C132" t="s">
        <v>141</v>
      </c>
      <c r="E132" t="s">
        <v>106</v>
      </c>
      <c r="F132">
        <v>3.5</v>
      </c>
      <c r="G132" t="s">
        <v>142</v>
      </c>
      <c r="H132">
        <v>1522043</v>
      </c>
      <c r="I132">
        <v>-1</v>
      </c>
      <c r="J132">
        <v>1</v>
      </c>
      <c r="K132">
        <v>3.82</v>
      </c>
      <c r="L132">
        <v>3.82</v>
      </c>
      <c r="M132">
        <v>16</v>
      </c>
      <c r="O132">
        <v>16</v>
      </c>
      <c r="Q132" t="s">
        <v>87</v>
      </c>
      <c r="R132">
        <v>1373</v>
      </c>
      <c r="S132">
        <v>24</v>
      </c>
      <c r="T132" t="b">
        <v>0</v>
      </c>
      <c r="U132" t="s">
        <v>125</v>
      </c>
      <c r="V132" t="s">
        <v>126</v>
      </c>
      <c r="W132">
        <v>1</v>
      </c>
      <c r="X132">
        <v>5.6</v>
      </c>
      <c r="Y132">
        <v>0.5</v>
      </c>
      <c r="Z132">
        <v>0</v>
      </c>
      <c r="AC132" t="s">
        <v>90</v>
      </c>
      <c r="AD132">
        <v>125</v>
      </c>
      <c r="AE132">
        <v>220</v>
      </c>
      <c r="AF132" t="s">
        <v>91</v>
      </c>
      <c r="AG132">
        <v>288</v>
      </c>
      <c r="AH132">
        <v>23440</v>
      </c>
      <c r="AI132" t="s">
        <v>144</v>
      </c>
      <c r="AJ132" t="s">
        <v>144</v>
      </c>
      <c r="AL132" t="b">
        <v>1</v>
      </c>
      <c r="AM132" t="b">
        <v>1</v>
      </c>
      <c r="AN132" t="b">
        <v>0</v>
      </c>
      <c r="AO132" t="b">
        <v>0</v>
      </c>
      <c r="AP132" t="s">
        <v>1042</v>
      </c>
      <c r="AQ132" t="s">
        <v>1043</v>
      </c>
      <c r="AS132">
        <v>10.06219924369095</v>
      </c>
      <c r="AT132">
        <v>1.75</v>
      </c>
      <c r="AU132">
        <v>2.5</v>
      </c>
      <c r="AV132">
        <v>0.75</v>
      </c>
      <c r="AW132">
        <v>0</v>
      </c>
      <c r="AX132">
        <v>0.35</v>
      </c>
      <c r="AY132">
        <v>0.5</v>
      </c>
      <c r="AZ132">
        <v>0.15</v>
      </c>
      <c r="BA132">
        <v>0</v>
      </c>
      <c r="BB132">
        <v>6.2640154224906874</v>
      </c>
      <c r="BC132">
        <v>20</v>
      </c>
      <c r="BD132">
        <v>242.1279024923125</v>
      </c>
      <c r="BE132">
        <v>1</v>
      </c>
      <c r="BF132">
        <v>8.2600971611006269E-2</v>
      </c>
      <c r="BG132">
        <v>3.950634</v>
      </c>
      <c r="BH132">
        <v>3.950634</v>
      </c>
      <c r="BI132">
        <v>15.513552000000001</v>
      </c>
      <c r="BJ132">
        <v>227.970829547178</v>
      </c>
      <c r="BK132">
        <v>1</v>
      </c>
      <c r="BL132">
        <v>8.7730522539775438E-2</v>
      </c>
      <c r="BM132">
        <v>3.8658999999999999</v>
      </c>
      <c r="BN132">
        <v>3.8658999999999999</v>
      </c>
      <c r="BO132">
        <v>15.2538</v>
      </c>
      <c r="BP132">
        <v>0</v>
      </c>
      <c r="BQ132">
        <v>0</v>
      </c>
      <c r="BS132">
        <v>0</v>
      </c>
      <c r="BT132">
        <v>0</v>
      </c>
      <c r="BU132">
        <v>0</v>
      </c>
      <c r="BV132">
        <v>233.47839999999999</v>
      </c>
      <c r="BW132">
        <v>8.5661029028809524E-2</v>
      </c>
      <c r="BX132">
        <v>10</v>
      </c>
      <c r="BY132">
        <v>4.2830514514404762E-2</v>
      </c>
      <c r="BZ132">
        <v>4.1300485805503127E-2</v>
      </c>
      <c r="CA132">
        <v>4.3865261269887719E-2</v>
      </c>
      <c r="CC132">
        <v>0.42195359024583579</v>
      </c>
      <c r="CD132">
        <v>0.44815706447294301</v>
      </c>
      <c r="CF132">
        <v>0.43758539443188288</v>
      </c>
    </row>
    <row r="133" spans="1:84" x14ac:dyDescent="0.3">
      <c r="A133" s="1">
        <v>609</v>
      </c>
      <c r="B133" t="s">
        <v>1054</v>
      </c>
      <c r="C133" t="s">
        <v>1055</v>
      </c>
      <c r="E133" t="s">
        <v>404</v>
      </c>
      <c r="F133">
        <v>3.44</v>
      </c>
      <c r="G133" t="s">
        <v>405</v>
      </c>
      <c r="H133">
        <v>-1</v>
      </c>
      <c r="I133">
        <v>-1</v>
      </c>
      <c r="J133">
        <v>2</v>
      </c>
      <c r="K133">
        <v>3.79</v>
      </c>
      <c r="L133">
        <v>3.79</v>
      </c>
      <c r="M133">
        <v>27.2</v>
      </c>
      <c r="N133" t="s">
        <v>529</v>
      </c>
      <c r="O133">
        <v>13.6</v>
      </c>
      <c r="Q133" t="s">
        <v>87</v>
      </c>
      <c r="R133">
        <v>1373</v>
      </c>
      <c r="S133">
        <v>12</v>
      </c>
      <c r="T133" t="b">
        <v>0</v>
      </c>
      <c r="U133" t="s">
        <v>125</v>
      </c>
      <c r="V133" t="s">
        <v>126</v>
      </c>
      <c r="W133">
        <v>1</v>
      </c>
      <c r="X133">
        <v>3.24</v>
      </c>
      <c r="Y133">
        <v>0.5</v>
      </c>
      <c r="Z133">
        <v>1</v>
      </c>
      <c r="AC133" t="s">
        <v>90</v>
      </c>
      <c r="AD133">
        <v>125</v>
      </c>
      <c r="AE133">
        <v>220</v>
      </c>
      <c r="AF133" t="s">
        <v>91</v>
      </c>
      <c r="AG133">
        <v>288</v>
      </c>
      <c r="AH133">
        <v>3404</v>
      </c>
      <c r="AI133" t="s">
        <v>136</v>
      </c>
      <c r="AL133" t="b">
        <v>1</v>
      </c>
      <c r="AM133" t="b">
        <v>0</v>
      </c>
      <c r="AN133" t="b">
        <v>0</v>
      </c>
      <c r="AO133" t="b">
        <v>0</v>
      </c>
      <c r="AP133" t="s">
        <v>1136</v>
      </c>
      <c r="AQ133">
        <v>-1</v>
      </c>
      <c r="AS133">
        <v>8.1327064896932644</v>
      </c>
      <c r="AT133">
        <v>1.882352941176471</v>
      </c>
      <c r="AU133">
        <v>2.3529411764705879</v>
      </c>
      <c r="AV133">
        <v>0.47058823529411759</v>
      </c>
      <c r="AW133">
        <v>0</v>
      </c>
      <c r="AX133">
        <v>0.4</v>
      </c>
      <c r="AY133">
        <v>0.5</v>
      </c>
      <c r="AZ133">
        <v>9.9999999999999992E-2</v>
      </c>
      <c r="BA133">
        <v>0</v>
      </c>
      <c r="BB133">
        <v>6.249318434394235</v>
      </c>
      <c r="BC133">
        <v>20</v>
      </c>
      <c r="BD133">
        <v>229.90248606119221</v>
      </c>
      <c r="BE133">
        <v>1</v>
      </c>
      <c r="BF133">
        <v>8.6993404650164072E-2</v>
      </c>
      <c r="BG133">
        <v>15.28115725</v>
      </c>
      <c r="BH133">
        <v>15.28115725</v>
      </c>
      <c r="BI133">
        <v>15.28115725</v>
      </c>
      <c r="BJ133">
        <v>0</v>
      </c>
      <c r="BK133">
        <v>0</v>
      </c>
      <c r="BM133">
        <v>0</v>
      </c>
      <c r="BP133">
        <v>0</v>
      </c>
      <c r="BQ133">
        <v>0</v>
      </c>
      <c r="BS133">
        <v>0</v>
      </c>
      <c r="BT133">
        <v>0</v>
      </c>
      <c r="BU133">
        <v>0</v>
      </c>
      <c r="BV133">
        <v>390.70352000000003</v>
      </c>
      <c r="BW133">
        <v>0.10237942058981191</v>
      </c>
      <c r="BX133">
        <v>10</v>
      </c>
      <c r="BY133">
        <v>5.1189710294905967E-2</v>
      </c>
      <c r="BZ133">
        <v>4.3496702325082043E-2</v>
      </c>
      <c r="CC133">
        <v>0.44572942494581569</v>
      </c>
      <c r="CF133">
        <v>0.52456298784136168</v>
      </c>
    </row>
    <row r="134" spans="1:84" x14ac:dyDescent="0.3">
      <c r="A134" s="1">
        <v>610</v>
      </c>
      <c r="B134" t="s">
        <v>1070</v>
      </c>
      <c r="C134" t="s">
        <v>1071</v>
      </c>
      <c r="E134" t="s">
        <v>404</v>
      </c>
      <c r="F134">
        <v>3.34</v>
      </c>
      <c r="G134" t="s">
        <v>1072</v>
      </c>
      <c r="H134">
        <v>-1</v>
      </c>
      <c r="I134">
        <v>-1</v>
      </c>
      <c r="J134">
        <v>2</v>
      </c>
      <c r="K134">
        <v>3.83</v>
      </c>
      <c r="L134">
        <v>3.83</v>
      </c>
      <c r="M134">
        <v>36.700000000000003</v>
      </c>
      <c r="N134" t="s">
        <v>529</v>
      </c>
      <c r="O134">
        <v>18.350000000000001</v>
      </c>
      <c r="Q134" t="s">
        <v>87</v>
      </c>
      <c r="R134">
        <v>1373</v>
      </c>
      <c r="S134">
        <v>12</v>
      </c>
      <c r="T134" t="b">
        <v>0</v>
      </c>
      <c r="U134" t="s">
        <v>125</v>
      </c>
      <c r="V134" t="s">
        <v>126</v>
      </c>
      <c r="W134">
        <v>1</v>
      </c>
      <c r="X134">
        <v>3.88</v>
      </c>
      <c r="Y134">
        <v>0.5</v>
      </c>
      <c r="Z134">
        <v>1</v>
      </c>
      <c r="AC134" t="s">
        <v>90</v>
      </c>
      <c r="AD134">
        <v>125</v>
      </c>
      <c r="AE134">
        <v>220</v>
      </c>
      <c r="AF134" t="s">
        <v>91</v>
      </c>
      <c r="AG134">
        <v>288</v>
      </c>
      <c r="AH134">
        <v>65880</v>
      </c>
      <c r="AI134" t="s">
        <v>136</v>
      </c>
      <c r="AL134" t="b">
        <v>1</v>
      </c>
      <c r="AM134" t="b">
        <v>0</v>
      </c>
      <c r="AN134" t="b">
        <v>0</v>
      </c>
      <c r="AO134" t="b">
        <v>0</v>
      </c>
      <c r="AP134" t="s">
        <v>1137</v>
      </c>
      <c r="AQ134">
        <v>-1</v>
      </c>
      <c r="AS134">
        <v>11.095590184291581</v>
      </c>
      <c r="AT134">
        <v>1.612903225806452</v>
      </c>
      <c r="AU134">
        <v>1.612903225806452</v>
      </c>
      <c r="AV134">
        <v>0.25806451612903231</v>
      </c>
      <c r="AW134">
        <v>0</v>
      </c>
      <c r="AX134">
        <v>0.46296296296296291</v>
      </c>
      <c r="AY134">
        <v>0.46296296296296291</v>
      </c>
      <c r="AZ134">
        <v>7.407407407407407E-2</v>
      </c>
      <c r="BA134">
        <v>0</v>
      </c>
      <c r="BB134">
        <v>6.6125194498132904</v>
      </c>
      <c r="BC134">
        <v>20</v>
      </c>
      <c r="BD134">
        <v>442.10225086560899</v>
      </c>
      <c r="BE134">
        <v>2</v>
      </c>
      <c r="BF134">
        <v>9.0476806941567164E-2</v>
      </c>
      <c r="BG134">
        <v>3.8530000000000002</v>
      </c>
      <c r="BH134">
        <v>3.8530000000000002</v>
      </c>
      <c r="BI134">
        <v>29.780000999999999</v>
      </c>
      <c r="BJ134">
        <v>0</v>
      </c>
      <c r="BK134">
        <v>0</v>
      </c>
      <c r="BM134">
        <v>0</v>
      </c>
      <c r="BP134">
        <v>0</v>
      </c>
      <c r="BQ134">
        <v>0</v>
      </c>
      <c r="BS134">
        <v>0</v>
      </c>
      <c r="BT134">
        <v>0</v>
      </c>
      <c r="BU134">
        <v>0</v>
      </c>
      <c r="BV134">
        <v>538.34863000000007</v>
      </c>
      <c r="BW134">
        <v>7.4301294311829108E-2</v>
      </c>
      <c r="BX134">
        <v>10</v>
      </c>
      <c r="BY134">
        <v>3.7150647155914547E-2</v>
      </c>
      <c r="BZ134">
        <v>4.5238403470783582E-2</v>
      </c>
      <c r="CC134">
        <v>0.55176828120906396</v>
      </c>
      <c r="CF134">
        <v>0.45312272658476987</v>
      </c>
    </row>
    <row r="135" spans="1:84" x14ac:dyDescent="0.3">
      <c r="A135" s="1">
        <v>611</v>
      </c>
      <c r="B135" t="s">
        <v>1074</v>
      </c>
      <c r="C135" t="s">
        <v>1075</v>
      </c>
      <c r="E135" t="s">
        <v>404</v>
      </c>
      <c r="F135">
        <v>3.39</v>
      </c>
      <c r="G135" t="s">
        <v>1076</v>
      </c>
      <c r="H135">
        <v>-1</v>
      </c>
      <c r="I135">
        <v>-1</v>
      </c>
      <c r="J135">
        <v>1</v>
      </c>
      <c r="K135">
        <v>3.82</v>
      </c>
      <c r="L135">
        <v>3.82</v>
      </c>
      <c r="M135">
        <v>20.2</v>
      </c>
      <c r="N135" t="s">
        <v>529</v>
      </c>
      <c r="O135">
        <v>20.2</v>
      </c>
      <c r="Q135" t="s">
        <v>87</v>
      </c>
      <c r="R135">
        <v>1373</v>
      </c>
      <c r="S135">
        <v>12</v>
      </c>
      <c r="T135" t="b">
        <v>0</v>
      </c>
      <c r="U135" t="s">
        <v>125</v>
      </c>
      <c r="V135" t="s">
        <v>126</v>
      </c>
      <c r="W135">
        <v>1</v>
      </c>
      <c r="Y135">
        <v>0.5</v>
      </c>
      <c r="Z135">
        <v>1</v>
      </c>
      <c r="AC135" t="s">
        <v>90</v>
      </c>
      <c r="AD135">
        <v>125</v>
      </c>
      <c r="AE135">
        <v>220</v>
      </c>
      <c r="AF135" t="s">
        <v>91</v>
      </c>
      <c r="AG135">
        <v>288</v>
      </c>
      <c r="AH135">
        <v>95400</v>
      </c>
      <c r="AI135" t="s">
        <v>136</v>
      </c>
      <c r="AL135" t="b">
        <v>1</v>
      </c>
      <c r="AM135" t="b">
        <v>0</v>
      </c>
      <c r="AN135" t="b">
        <v>0</v>
      </c>
      <c r="AO135" t="b">
        <v>0</v>
      </c>
      <c r="AP135" t="s">
        <v>1138</v>
      </c>
      <c r="AQ135">
        <v>-1</v>
      </c>
      <c r="AS135">
        <v>11.46583385743638</v>
      </c>
      <c r="AT135">
        <v>1.567567567567568</v>
      </c>
      <c r="AU135">
        <v>1.459459459459459</v>
      </c>
      <c r="AV135">
        <v>0.2162162162162162</v>
      </c>
      <c r="AW135">
        <v>0</v>
      </c>
      <c r="AX135">
        <v>0.48333333333333328</v>
      </c>
      <c r="AY135">
        <v>0.45</v>
      </c>
      <c r="AZ135">
        <v>6.6666666666666666E-2</v>
      </c>
      <c r="BA135">
        <v>0</v>
      </c>
      <c r="BB135">
        <v>6.6544803549896221</v>
      </c>
      <c r="BC135">
        <v>20</v>
      </c>
      <c r="BD135">
        <v>599.76260360000003</v>
      </c>
      <c r="BE135">
        <v>2</v>
      </c>
      <c r="BF135">
        <v>6.6693054485066267E-2</v>
      </c>
      <c r="BG135">
        <v>3.8530000000000002</v>
      </c>
      <c r="BH135">
        <v>3.8530000000000002</v>
      </c>
      <c r="BI135">
        <v>40.4</v>
      </c>
      <c r="BJ135">
        <v>0</v>
      </c>
      <c r="BK135">
        <v>0</v>
      </c>
      <c r="BM135">
        <v>0</v>
      </c>
      <c r="BP135">
        <v>0</v>
      </c>
      <c r="BQ135">
        <v>0</v>
      </c>
      <c r="BS135">
        <v>0</v>
      </c>
      <c r="BT135">
        <v>0</v>
      </c>
      <c r="BU135">
        <v>0</v>
      </c>
      <c r="BV135">
        <v>294.76648</v>
      </c>
      <c r="BW135">
        <v>6.7850320022819419E-2</v>
      </c>
      <c r="BX135">
        <v>10</v>
      </c>
      <c r="BY135">
        <v>3.3925160011409709E-2</v>
      </c>
      <c r="BZ135">
        <v>3.3346527242533133E-2</v>
      </c>
      <c r="CC135">
        <v>0.40747898424566847</v>
      </c>
      <c r="CF135">
        <v>0.41454960635867683</v>
      </c>
    </row>
    <row r="136" spans="1:84" x14ac:dyDescent="0.3">
      <c r="A136" s="1">
        <v>612</v>
      </c>
      <c r="B136" t="s">
        <v>1078</v>
      </c>
      <c r="C136" t="s">
        <v>1079</v>
      </c>
      <c r="E136" t="s">
        <v>404</v>
      </c>
      <c r="F136">
        <v>3.42</v>
      </c>
      <c r="G136" t="s">
        <v>1080</v>
      </c>
      <c r="H136">
        <v>-1</v>
      </c>
      <c r="I136">
        <v>-1</v>
      </c>
      <c r="J136">
        <v>1</v>
      </c>
      <c r="K136">
        <v>3.81</v>
      </c>
      <c r="L136">
        <v>3.81</v>
      </c>
      <c r="M136">
        <v>24.7</v>
      </c>
      <c r="N136" t="s">
        <v>529</v>
      </c>
      <c r="O136">
        <v>24.7</v>
      </c>
      <c r="Q136" t="s">
        <v>87</v>
      </c>
      <c r="R136">
        <v>1373</v>
      </c>
      <c r="S136">
        <v>12</v>
      </c>
      <c r="T136" t="b">
        <v>0</v>
      </c>
      <c r="U136" t="s">
        <v>125</v>
      </c>
      <c r="V136" t="s">
        <v>126</v>
      </c>
      <c r="W136">
        <v>1</v>
      </c>
      <c r="X136">
        <v>4.09</v>
      </c>
      <c r="Y136">
        <v>0.5</v>
      </c>
      <c r="Z136">
        <v>1</v>
      </c>
      <c r="AC136" t="s">
        <v>90</v>
      </c>
      <c r="AD136">
        <v>125</v>
      </c>
      <c r="AE136">
        <v>220</v>
      </c>
      <c r="AF136" t="s">
        <v>91</v>
      </c>
      <c r="AG136">
        <v>288</v>
      </c>
      <c r="AH136">
        <v>87240</v>
      </c>
      <c r="AI136" t="s">
        <v>136</v>
      </c>
      <c r="AL136" t="b">
        <v>1</v>
      </c>
      <c r="AM136" t="b">
        <v>0</v>
      </c>
      <c r="AN136" t="b">
        <v>0</v>
      </c>
      <c r="AO136" t="b">
        <v>0</v>
      </c>
      <c r="AP136" t="s">
        <v>1139</v>
      </c>
      <c r="AQ136">
        <v>-1</v>
      </c>
      <c r="AS136">
        <v>11.376418220315569</v>
      </c>
      <c r="AT136">
        <v>1.510204081632653</v>
      </c>
      <c r="AU136">
        <v>1.2653061224489801</v>
      </c>
      <c r="AV136">
        <v>0.16326530612244899</v>
      </c>
      <c r="AW136">
        <v>0</v>
      </c>
      <c r="AX136">
        <v>0.51388888888888884</v>
      </c>
      <c r="AY136">
        <v>0.43055555555555558</v>
      </c>
      <c r="AZ136">
        <v>5.5555555555555552E-2</v>
      </c>
      <c r="BA136">
        <v>0</v>
      </c>
      <c r="BB136">
        <v>6.7075737452127342</v>
      </c>
      <c r="BC136">
        <v>20</v>
      </c>
      <c r="BD136">
        <v>733.37308460000008</v>
      </c>
      <c r="BE136">
        <v>2</v>
      </c>
      <c r="BF136">
        <v>5.4542497999932729E-2</v>
      </c>
      <c r="BG136">
        <v>3.8530000000000002</v>
      </c>
      <c r="BH136">
        <v>3.8530000000000002</v>
      </c>
      <c r="BI136">
        <v>49.4</v>
      </c>
      <c r="BJ136">
        <v>0</v>
      </c>
      <c r="BK136">
        <v>0</v>
      </c>
      <c r="BM136">
        <v>0</v>
      </c>
      <c r="BP136">
        <v>0</v>
      </c>
      <c r="BQ136">
        <v>0</v>
      </c>
      <c r="BS136">
        <v>0</v>
      </c>
      <c r="BT136">
        <v>0</v>
      </c>
      <c r="BU136">
        <v>0</v>
      </c>
      <c r="BV136">
        <v>358.54766999999998</v>
      </c>
      <c r="BW136">
        <v>5.5780588394285201E-2</v>
      </c>
      <c r="BX136">
        <v>10</v>
      </c>
      <c r="BY136">
        <v>2.78902941971426E-2</v>
      </c>
      <c r="BZ136">
        <v>2.7271248999966361E-2</v>
      </c>
      <c r="CC136">
        <v>0.33447637567260352</v>
      </c>
      <c r="CF136">
        <v>0.34206884032023638</v>
      </c>
    </row>
    <row r="137" spans="1:84" x14ac:dyDescent="0.3">
      <c r="A137" s="1">
        <v>613</v>
      </c>
      <c r="B137" t="s">
        <v>1082</v>
      </c>
      <c r="C137" t="s">
        <v>1083</v>
      </c>
      <c r="E137" t="s">
        <v>404</v>
      </c>
      <c r="F137">
        <v>3.41</v>
      </c>
      <c r="G137" t="s">
        <v>1084</v>
      </c>
      <c r="H137">
        <v>-1</v>
      </c>
      <c r="I137">
        <v>-1</v>
      </c>
      <c r="J137">
        <v>1</v>
      </c>
      <c r="K137">
        <v>3.87</v>
      </c>
      <c r="L137">
        <v>3.87</v>
      </c>
      <c r="M137">
        <v>29.4</v>
      </c>
      <c r="N137" t="s">
        <v>529</v>
      </c>
      <c r="O137">
        <v>29.4</v>
      </c>
      <c r="Q137" t="s">
        <v>87</v>
      </c>
      <c r="R137">
        <v>1373</v>
      </c>
      <c r="S137">
        <v>12</v>
      </c>
      <c r="T137" t="b">
        <v>0</v>
      </c>
      <c r="U137" t="s">
        <v>125</v>
      </c>
      <c r="V137" t="s">
        <v>126</v>
      </c>
      <c r="W137">
        <v>1</v>
      </c>
      <c r="Y137">
        <v>0.5</v>
      </c>
      <c r="Z137">
        <v>1</v>
      </c>
      <c r="AC137" t="s">
        <v>90</v>
      </c>
      <c r="AD137">
        <v>125</v>
      </c>
      <c r="AE137">
        <v>220</v>
      </c>
      <c r="AF137" t="s">
        <v>91</v>
      </c>
      <c r="AG137">
        <v>288</v>
      </c>
      <c r="AH137">
        <v>66200</v>
      </c>
      <c r="AI137" t="s">
        <v>136</v>
      </c>
      <c r="AL137" t="b">
        <v>1</v>
      </c>
      <c r="AM137" t="b">
        <v>0</v>
      </c>
      <c r="AN137" t="b">
        <v>0</v>
      </c>
      <c r="AO137" t="b">
        <v>0</v>
      </c>
      <c r="AP137" t="s">
        <v>1140</v>
      </c>
      <c r="AQ137">
        <v>-1</v>
      </c>
      <c r="AS137">
        <v>11.1004357419251</v>
      </c>
      <c r="AT137">
        <v>1.4754098360655741</v>
      </c>
      <c r="AU137">
        <v>1.1475409836065571</v>
      </c>
      <c r="AV137">
        <v>0.13114754098360659</v>
      </c>
      <c r="AW137">
        <v>0</v>
      </c>
      <c r="AX137">
        <v>0.53571428571428581</v>
      </c>
      <c r="AY137">
        <v>0.41666666666666657</v>
      </c>
      <c r="AZ137">
        <v>4.7619047619047623E-2</v>
      </c>
      <c r="BA137">
        <v>0</v>
      </c>
      <c r="BB137">
        <v>6.7397779327251151</v>
      </c>
      <c r="BC137">
        <v>20</v>
      </c>
      <c r="BD137">
        <v>872.92180919999998</v>
      </c>
      <c r="BE137">
        <v>2</v>
      </c>
      <c r="BF137">
        <v>4.5823119067970701E-2</v>
      </c>
      <c r="BG137">
        <v>3.8530000000000002</v>
      </c>
      <c r="BH137">
        <v>3.8530000000000002</v>
      </c>
      <c r="BI137">
        <v>58.8</v>
      </c>
      <c r="BJ137">
        <v>0</v>
      </c>
      <c r="BK137">
        <v>0</v>
      </c>
      <c r="BM137">
        <v>0</v>
      </c>
      <c r="BP137">
        <v>0</v>
      </c>
      <c r="BQ137">
        <v>0</v>
      </c>
      <c r="BS137">
        <v>0</v>
      </c>
      <c r="BT137">
        <v>0</v>
      </c>
      <c r="BU137">
        <v>0</v>
      </c>
      <c r="BV137">
        <v>440.32085999999998</v>
      </c>
      <c r="BW137">
        <v>4.5421422914190351E-2</v>
      </c>
      <c r="BX137">
        <v>10</v>
      </c>
      <c r="BY137">
        <v>2.2710711457095179E-2</v>
      </c>
      <c r="BZ137">
        <v>2.291155953398535E-2</v>
      </c>
      <c r="CC137">
        <v>0.28204277130830302</v>
      </c>
      <c r="CF137">
        <v>0.2795703185652228</v>
      </c>
    </row>
    <row r="138" spans="1:84" x14ac:dyDescent="0.3">
      <c r="A138" s="1">
        <v>614</v>
      </c>
      <c r="B138" t="s">
        <v>1086</v>
      </c>
      <c r="C138" t="s">
        <v>1087</v>
      </c>
      <c r="E138" t="s">
        <v>404</v>
      </c>
      <c r="F138">
        <v>3.4</v>
      </c>
      <c r="G138" t="s">
        <v>1088</v>
      </c>
      <c r="H138">
        <v>-1</v>
      </c>
      <c r="I138">
        <v>-1</v>
      </c>
      <c r="J138">
        <v>1</v>
      </c>
      <c r="K138">
        <v>3.85</v>
      </c>
      <c r="L138">
        <v>3.85</v>
      </c>
      <c r="M138">
        <v>34.200000000000003</v>
      </c>
      <c r="N138" t="s">
        <v>529</v>
      </c>
      <c r="O138">
        <v>34.200000000000003</v>
      </c>
      <c r="Q138" t="s">
        <v>87</v>
      </c>
      <c r="R138">
        <v>1373</v>
      </c>
      <c r="S138">
        <v>12</v>
      </c>
      <c r="T138" t="b">
        <v>0</v>
      </c>
      <c r="U138" t="s">
        <v>125</v>
      </c>
      <c r="V138" t="s">
        <v>126</v>
      </c>
      <c r="W138">
        <v>1</v>
      </c>
      <c r="X138">
        <v>4.38</v>
      </c>
      <c r="Y138">
        <v>0.5</v>
      </c>
      <c r="Z138">
        <v>1</v>
      </c>
      <c r="AC138" t="s">
        <v>90</v>
      </c>
      <c r="AD138">
        <v>125</v>
      </c>
      <c r="AE138">
        <v>220</v>
      </c>
      <c r="AF138" t="s">
        <v>91</v>
      </c>
      <c r="AG138">
        <v>288</v>
      </c>
      <c r="AH138">
        <v>73440</v>
      </c>
      <c r="AI138" t="s">
        <v>136</v>
      </c>
      <c r="AL138" t="b">
        <v>1</v>
      </c>
      <c r="AM138" t="b">
        <v>0</v>
      </c>
      <c r="AN138" t="b">
        <v>0</v>
      </c>
      <c r="AO138" t="b">
        <v>0</v>
      </c>
      <c r="AP138" t="s">
        <v>1141</v>
      </c>
      <c r="AQ138">
        <v>-1</v>
      </c>
      <c r="AS138">
        <v>11.204224025294369</v>
      </c>
      <c r="AT138">
        <v>1.452054794520548</v>
      </c>
      <c r="AU138">
        <v>1.068493150684932</v>
      </c>
      <c r="AV138">
        <v>0.1095890410958904</v>
      </c>
      <c r="AW138">
        <v>0</v>
      </c>
      <c r="AX138">
        <v>0.55208333333333337</v>
      </c>
      <c r="AY138">
        <v>0.40625000000000011</v>
      </c>
      <c r="AZ138">
        <v>4.1666666666666657E-2</v>
      </c>
      <c r="BA138">
        <v>0</v>
      </c>
      <c r="BB138">
        <v>6.7613944421512322</v>
      </c>
      <c r="BC138">
        <v>20</v>
      </c>
      <c r="BD138">
        <v>1015.4396556</v>
      </c>
      <c r="BE138">
        <v>2</v>
      </c>
      <c r="BF138">
        <v>3.9391804111062523E-2</v>
      </c>
      <c r="BG138">
        <v>3.8530000000000002</v>
      </c>
      <c r="BH138">
        <v>3.8530000000000002</v>
      </c>
      <c r="BI138">
        <v>68.400000000000006</v>
      </c>
      <c r="BJ138">
        <v>0</v>
      </c>
      <c r="BK138">
        <v>0</v>
      </c>
      <c r="BM138">
        <v>0</v>
      </c>
      <c r="BP138">
        <v>0</v>
      </c>
      <c r="BQ138">
        <v>0</v>
      </c>
      <c r="BS138">
        <v>0</v>
      </c>
      <c r="BT138">
        <v>0</v>
      </c>
      <c r="BU138">
        <v>0</v>
      </c>
      <c r="BV138">
        <v>506.92950000000008</v>
      </c>
      <c r="BW138">
        <v>3.9453217853764669E-2</v>
      </c>
      <c r="BX138">
        <v>10</v>
      </c>
      <c r="BY138">
        <v>1.9726608926882331E-2</v>
      </c>
      <c r="BZ138">
        <v>1.9695902055531261E-2</v>
      </c>
      <c r="CC138">
        <v>0.2433493705793833</v>
      </c>
      <c r="CF138">
        <v>0.2437287641098079</v>
      </c>
    </row>
    <row r="139" spans="1:84" x14ac:dyDescent="0.3">
      <c r="A139" s="1">
        <v>615</v>
      </c>
      <c r="B139" t="s">
        <v>1090</v>
      </c>
      <c r="C139" t="s">
        <v>1091</v>
      </c>
      <c r="E139" t="s">
        <v>404</v>
      </c>
      <c r="F139">
        <v>3.33</v>
      </c>
      <c r="G139" t="s">
        <v>1092</v>
      </c>
      <c r="H139">
        <v>-1</v>
      </c>
      <c r="I139">
        <v>-1</v>
      </c>
      <c r="J139">
        <v>2</v>
      </c>
      <c r="K139">
        <v>3.81</v>
      </c>
      <c r="L139">
        <v>3.81</v>
      </c>
      <c r="M139">
        <v>35.1</v>
      </c>
      <c r="N139" t="s">
        <v>529</v>
      </c>
      <c r="O139">
        <v>17.55</v>
      </c>
      <c r="Q139" t="s">
        <v>87</v>
      </c>
      <c r="R139">
        <v>1373</v>
      </c>
      <c r="S139">
        <v>12</v>
      </c>
      <c r="T139" t="b">
        <v>0</v>
      </c>
      <c r="U139" t="s">
        <v>125</v>
      </c>
      <c r="V139" t="s">
        <v>126</v>
      </c>
      <c r="W139">
        <v>1</v>
      </c>
      <c r="X139">
        <v>5.73</v>
      </c>
      <c r="Y139">
        <v>0.5</v>
      </c>
      <c r="Z139">
        <v>1</v>
      </c>
      <c r="AC139" t="s">
        <v>90</v>
      </c>
      <c r="AD139">
        <v>125</v>
      </c>
      <c r="AE139">
        <v>220</v>
      </c>
      <c r="AF139" t="s">
        <v>91</v>
      </c>
      <c r="AG139">
        <v>288</v>
      </c>
      <c r="AH139">
        <v>47920</v>
      </c>
      <c r="AI139" t="s">
        <v>136</v>
      </c>
      <c r="AL139" t="b">
        <v>1</v>
      </c>
      <c r="AM139" t="b">
        <v>0</v>
      </c>
      <c r="AN139" t="b">
        <v>0</v>
      </c>
      <c r="AO139" t="b">
        <v>0</v>
      </c>
      <c r="AP139" t="s">
        <v>1142</v>
      </c>
      <c r="AQ139">
        <v>-1</v>
      </c>
      <c r="AS139">
        <v>10.77728823278933</v>
      </c>
      <c r="AT139">
        <v>1.655172413793103</v>
      </c>
      <c r="AU139">
        <v>1.7931034482758621</v>
      </c>
      <c r="AV139">
        <v>0.27586206896551718</v>
      </c>
      <c r="AW139">
        <v>0</v>
      </c>
      <c r="AX139">
        <v>0.44444444444444448</v>
      </c>
      <c r="AY139">
        <v>0.48148148148148151</v>
      </c>
      <c r="AZ139">
        <v>7.407407407407407E-2</v>
      </c>
      <c r="BA139">
        <v>0</v>
      </c>
      <c r="BB139">
        <v>6.5948452115003446</v>
      </c>
      <c r="BC139">
        <v>24</v>
      </c>
      <c r="BD139">
        <v>442.10225086560899</v>
      </c>
      <c r="BE139">
        <v>2</v>
      </c>
      <c r="BF139">
        <v>0.10857216832988061</v>
      </c>
      <c r="BG139">
        <v>3.8530000000000002</v>
      </c>
      <c r="BH139">
        <v>3.8530000000000002</v>
      </c>
      <c r="BI139">
        <v>29.780000999999999</v>
      </c>
      <c r="BJ139">
        <v>0</v>
      </c>
      <c r="BK139">
        <v>0</v>
      </c>
      <c r="BM139">
        <v>0</v>
      </c>
      <c r="BP139">
        <v>0</v>
      </c>
      <c r="BQ139">
        <v>0</v>
      </c>
      <c r="BS139">
        <v>0</v>
      </c>
      <c r="BT139">
        <v>0</v>
      </c>
      <c r="BU139">
        <v>0</v>
      </c>
      <c r="BV139">
        <v>509.51510999999999</v>
      </c>
      <c r="BW139">
        <v>9.4207215954792783E-2</v>
      </c>
      <c r="BX139">
        <v>12</v>
      </c>
      <c r="BY139">
        <v>4.7103607977396392E-2</v>
      </c>
      <c r="BZ139">
        <v>5.4286084164940303E-2</v>
      </c>
      <c r="CC139">
        <v>0.5404137898632555</v>
      </c>
      <c r="CF139">
        <v>0.46891279219836968</v>
      </c>
    </row>
    <row r="140" spans="1:84" x14ac:dyDescent="0.3">
      <c r="A140" s="1">
        <v>616</v>
      </c>
      <c r="B140" t="s">
        <v>1094</v>
      </c>
      <c r="C140" t="s">
        <v>1095</v>
      </c>
      <c r="E140" t="s">
        <v>404</v>
      </c>
      <c r="F140">
        <v>3.41</v>
      </c>
      <c r="G140" t="s">
        <v>1096</v>
      </c>
      <c r="H140">
        <v>-1</v>
      </c>
      <c r="I140">
        <v>-1</v>
      </c>
      <c r="J140">
        <v>2</v>
      </c>
      <c r="K140">
        <v>3.83</v>
      </c>
      <c r="L140">
        <v>3.83</v>
      </c>
      <c r="M140">
        <v>39.5</v>
      </c>
      <c r="N140" t="s">
        <v>529</v>
      </c>
      <c r="O140">
        <v>19.75</v>
      </c>
      <c r="Q140" t="s">
        <v>87</v>
      </c>
      <c r="R140">
        <v>1373</v>
      </c>
      <c r="S140">
        <v>12</v>
      </c>
      <c r="T140" t="b">
        <v>0</v>
      </c>
      <c r="U140" t="s">
        <v>125</v>
      </c>
      <c r="V140" t="s">
        <v>126</v>
      </c>
      <c r="W140">
        <v>1</v>
      </c>
      <c r="Y140">
        <v>0.5</v>
      </c>
      <c r="Z140">
        <v>1</v>
      </c>
      <c r="AC140" t="s">
        <v>90</v>
      </c>
      <c r="AD140">
        <v>125</v>
      </c>
      <c r="AE140">
        <v>220</v>
      </c>
      <c r="AF140" t="s">
        <v>91</v>
      </c>
      <c r="AG140">
        <v>288</v>
      </c>
      <c r="AH140">
        <v>119880</v>
      </c>
      <c r="AI140" t="s">
        <v>136</v>
      </c>
      <c r="AL140" t="b">
        <v>1</v>
      </c>
      <c r="AM140" t="b">
        <v>0</v>
      </c>
      <c r="AN140" t="b">
        <v>0</v>
      </c>
      <c r="AO140" t="b">
        <v>0</v>
      </c>
      <c r="AP140" t="s">
        <v>1143</v>
      </c>
      <c r="AQ140">
        <v>-1</v>
      </c>
      <c r="AS140">
        <v>11.6942465214306</v>
      </c>
      <c r="AT140">
        <v>1.6</v>
      </c>
      <c r="AU140">
        <v>1.6</v>
      </c>
      <c r="AV140">
        <v>0.22857142857142859</v>
      </c>
      <c r="AW140">
        <v>0</v>
      </c>
      <c r="AX140">
        <v>0.46666666666666667</v>
      </c>
      <c r="AY140">
        <v>0.46666666666666667</v>
      </c>
      <c r="AZ140">
        <v>6.6666666666666666E-2</v>
      </c>
      <c r="BA140">
        <v>0</v>
      </c>
      <c r="BB140">
        <v>6.6422337521118289</v>
      </c>
      <c r="BC140">
        <v>24</v>
      </c>
      <c r="BD140">
        <v>599.76260360000003</v>
      </c>
      <c r="BE140">
        <v>2</v>
      </c>
      <c r="BF140">
        <v>8.0031665382079509E-2</v>
      </c>
      <c r="BG140">
        <v>3.8530000000000002</v>
      </c>
      <c r="BH140">
        <v>3.8530000000000002</v>
      </c>
      <c r="BI140">
        <v>40.4</v>
      </c>
      <c r="BJ140">
        <v>0</v>
      </c>
      <c r="BK140">
        <v>0</v>
      </c>
      <c r="BM140">
        <v>0</v>
      </c>
      <c r="BP140">
        <v>0</v>
      </c>
      <c r="BQ140">
        <v>0</v>
      </c>
      <c r="BS140">
        <v>0</v>
      </c>
      <c r="BT140">
        <v>0</v>
      </c>
      <c r="BU140">
        <v>0</v>
      </c>
      <c r="BV140">
        <v>579.42155000000002</v>
      </c>
      <c r="BW140">
        <v>8.2841240544125422E-2</v>
      </c>
      <c r="BX140">
        <v>12</v>
      </c>
      <c r="BY140">
        <v>4.1420620272062711E-2</v>
      </c>
      <c r="BZ140">
        <v>4.0015832691039747E-2</v>
      </c>
      <c r="CC140">
        <v>0.3991092623735728</v>
      </c>
      <c r="CF140">
        <v>0.41312030994023191</v>
      </c>
    </row>
    <row r="141" spans="1:84" x14ac:dyDescent="0.3">
      <c r="A141" s="1">
        <v>617</v>
      </c>
      <c r="B141" t="s">
        <v>1098</v>
      </c>
      <c r="C141" t="s">
        <v>1099</v>
      </c>
      <c r="E141" t="s">
        <v>404</v>
      </c>
      <c r="F141">
        <v>3.4</v>
      </c>
      <c r="G141" t="s">
        <v>1100</v>
      </c>
      <c r="H141">
        <v>-1</v>
      </c>
      <c r="I141">
        <v>-1</v>
      </c>
      <c r="J141">
        <v>2</v>
      </c>
      <c r="K141">
        <v>3.82</v>
      </c>
      <c r="L141">
        <v>3.82</v>
      </c>
      <c r="M141">
        <v>48.5</v>
      </c>
      <c r="N141" t="s">
        <v>529</v>
      </c>
      <c r="O141">
        <v>24.25</v>
      </c>
      <c r="Q141" t="s">
        <v>87</v>
      </c>
      <c r="R141">
        <v>1373</v>
      </c>
      <c r="S141">
        <v>12</v>
      </c>
      <c r="T141" t="b">
        <v>0</v>
      </c>
      <c r="U141" t="s">
        <v>125</v>
      </c>
      <c r="V141" t="s">
        <v>126</v>
      </c>
      <c r="W141">
        <v>1</v>
      </c>
      <c r="X141">
        <v>4.1900000000000004</v>
      </c>
      <c r="Y141">
        <v>0.5</v>
      </c>
      <c r="Z141">
        <v>1</v>
      </c>
      <c r="AC141" t="s">
        <v>90</v>
      </c>
      <c r="AD141">
        <v>125</v>
      </c>
      <c r="AE141">
        <v>220</v>
      </c>
      <c r="AF141" t="s">
        <v>91</v>
      </c>
      <c r="AG141">
        <v>288</v>
      </c>
      <c r="AH141">
        <v>110040</v>
      </c>
      <c r="AI141" t="s">
        <v>136</v>
      </c>
      <c r="AL141" t="b">
        <v>1</v>
      </c>
      <c r="AM141" t="b">
        <v>0</v>
      </c>
      <c r="AN141" t="b">
        <v>0</v>
      </c>
      <c r="AO141" t="b">
        <v>0</v>
      </c>
      <c r="AP141" t="s">
        <v>1144</v>
      </c>
      <c r="AQ141">
        <v>-1</v>
      </c>
      <c r="AS141">
        <v>11.60859921503851</v>
      </c>
      <c r="AT141">
        <v>1.531914893617021</v>
      </c>
      <c r="AU141">
        <v>1.361702127659574</v>
      </c>
      <c r="AV141">
        <v>0.1702127659574468</v>
      </c>
      <c r="AW141">
        <v>0</v>
      </c>
      <c r="AX141">
        <v>0.5</v>
      </c>
      <c r="AY141">
        <v>0.44444444444444442</v>
      </c>
      <c r="AZ141">
        <v>5.5555555555555552E-2</v>
      </c>
      <c r="BA141">
        <v>0</v>
      </c>
      <c r="BB141">
        <v>6.7007132277600423</v>
      </c>
      <c r="BC141">
        <v>24</v>
      </c>
      <c r="BD141">
        <v>733.37308460000008</v>
      </c>
      <c r="BE141">
        <v>2</v>
      </c>
      <c r="BF141">
        <v>6.5450997599919278E-2</v>
      </c>
      <c r="BG141">
        <v>3.8530000000000002</v>
      </c>
      <c r="BH141">
        <v>3.8530000000000002</v>
      </c>
      <c r="BI141">
        <v>49.4</v>
      </c>
      <c r="BJ141">
        <v>0</v>
      </c>
      <c r="BK141">
        <v>0</v>
      </c>
      <c r="BM141">
        <v>0</v>
      </c>
      <c r="BP141">
        <v>0</v>
      </c>
      <c r="BQ141">
        <v>0</v>
      </c>
      <c r="BS141">
        <v>0</v>
      </c>
      <c r="BT141">
        <v>0</v>
      </c>
      <c r="BU141">
        <v>0</v>
      </c>
      <c r="BV141">
        <v>707.73140000000001</v>
      </c>
      <c r="BW141">
        <v>6.7822340509407941E-2</v>
      </c>
      <c r="BX141">
        <v>12</v>
      </c>
      <c r="BY141">
        <v>3.3911170254703971E-2</v>
      </c>
      <c r="BZ141">
        <v>3.2725498799959639E-2</v>
      </c>
      <c r="CC141">
        <v>0.32763150191485713</v>
      </c>
      <c r="CF141">
        <v>0.33950185786787129</v>
      </c>
    </row>
    <row r="142" spans="1:84" x14ac:dyDescent="0.3">
      <c r="A142" s="1">
        <v>618</v>
      </c>
      <c r="B142" t="s">
        <v>1102</v>
      </c>
      <c r="C142" t="s">
        <v>1103</v>
      </c>
      <c r="E142" t="s">
        <v>404</v>
      </c>
      <c r="F142">
        <v>3.4</v>
      </c>
      <c r="G142" t="s">
        <v>1104</v>
      </c>
      <c r="H142">
        <v>-1</v>
      </c>
      <c r="I142">
        <v>-1</v>
      </c>
      <c r="J142">
        <v>1</v>
      </c>
      <c r="K142">
        <v>3.82</v>
      </c>
      <c r="L142">
        <v>3.82</v>
      </c>
      <c r="M142">
        <v>29.2</v>
      </c>
      <c r="N142" t="s">
        <v>529</v>
      </c>
      <c r="O142">
        <v>29.2</v>
      </c>
      <c r="Q142" t="s">
        <v>87</v>
      </c>
      <c r="R142">
        <v>1373</v>
      </c>
      <c r="S142">
        <v>12</v>
      </c>
      <c r="T142" t="b">
        <v>0</v>
      </c>
      <c r="U142" t="s">
        <v>125</v>
      </c>
      <c r="V142" t="s">
        <v>126</v>
      </c>
      <c r="W142">
        <v>1</v>
      </c>
      <c r="Y142">
        <v>0.5</v>
      </c>
      <c r="Z142">
        <v>1</v>
      </c>
      <c r="AC142" t="s">
        <v>90</v>
      </c>
      <c r="AD142">
        <v>125</v>
      </c>
      <c r="AE142">
        <v>220</v>
      </c>
      <c r="AF142" t="s">
        <v>91</v>
      </c>
      <c r="AG142">
        <v>288</v>
      </c>
      <c r="AH142">
        <v>114040</v>
      </c>
      <c r="AI142" t="s">
        <v>136</v>
      </c>
      <c r="AL142" t="b">
        <v>1</v>
      </c>
      <c r="AM142" t="b">
        <v>0</v>
      </c>
      <c r="AN142" t="b">
        <v>0</v>
      </c>
      <c r="AO142" t="b">
        <v>0</v>
      </c>
      <c r="AP142" t="s">
        <v>1145</v>
      </c>
      <c r="AQ142">
        <v>-1</v>
      </c>
      <c r="AS142">
        <v>11.64430454302661</v>
      </c>
      <c r="AT142">
        <v>1.491525423728814</v>
      </c>
      <c r="AU142">
        <v>1.220338983050848</v>
      </c>
      <c r="AV142">
        <v>0.13559322033898311</v>
      </c>
      <c r="AW142">
        <v>0</v>
      </c>
      <c r="AX142">
        <v>0.52380952380952384</v>
      </c>
      <c r="AY142">
        <v>0.4285714285714286</v>
      </c>
      <c r="AZ142">
        <v>4.7619047619047623E-2</v>
      </c>
      <c r="BA142">
        <v>0</v>
      </c>
      <c r="BB142">
        <v>6.7354044421276269</v>
      </c>
      <c r="BC142">
        <v>24</v>
      </c>
      <c r="BD142">
        <v>872.92180919999998</v>
      </c>
      <c r="BE142">
        <v>2</v>
      </c>
      <c r="BF142">
        <v>5.4987742881564841E-2</v>
      </c>
      <c r="BG142">
        <v>3.8530000000000002</v>
      </c>
      <c r="BH142">
        <v>3.8530000000000002</v>
      </c>
      <c r="BI142">
        <v>58.8</v>
      </c>
      <c r="BJ142">
        <v>0</v>
      </c>
      <c r="BK142">
        <v>0</v>
      </c>
      <c r="BM142">
        <v>0</v>
      </c>
      <c r="BP142">
        <v>0</v>
      </c>
      <c r="BQ142">
        <v>0</v>
      </c>
      <c r="BS142">
        <v>0</v>
      </c>
      <c r="BT142">
        <v>0</v>
      </c>
      <c r="BU142">
        <v>0</v>
      </c>
      <c r="BV142">
        <v>426.09807999999998</v>
      </c>
      <c r="BW142">
        <v>5.6325060183326808E-2</v>
      </c>
      <c r="BX142">
        <v>12</v>
      </c>
      <c r="BY142">
        <v>2.8162530091663401E-2</v>
      </c>
      <c r="BZ142">
        <v>2.7493871440782421E-2</v>
      </c>
      <c r="CC142">
        <v>0.27629214607645491</v>
      </c>
      <c r="CF142">
        <v>0.28301164842236531</v>
      </c>
    </row>
    <row r="143" spans="1:84" x14ac:dyDescent="0.3">
      <c r="A143" s="1">
        <v>619</v>
      </c>
      <c r="B143" t="s">
        <v>1106</v>
      </c>
      <c r="C143" t="s">
        <v>1107</v>
      </c>
      <c r="E143" t="s">
        <v>404</v>
      </c>
      <c r="F143">
        <v>3.47</v>
      </c>
      <c r="G143" t="s">
        <v>405</v>
      </c>
      <c r="H143">
        <v>-1</v>
      </c>
      <c r="I143">
        <v>-1</v>
      </c>
      <c r="J143">
        <v>2</v>
      </c>
      <c r="K143">
        <v>3.78</v>
      </c>
      <c r="L143">
        <v>3.78</v>
      </c>
      <c r="M143">
        <v>27.2</v>
      </c>
      <c r="N143" t="s">
        <v>529</v>
      </c>
      <c r="O143">
        <v>13.6</v>
      </c>
      <c r="Q143" t="s">
        <v>87</v>
      </c>
      <c r="R143">
        <v>1373</v>
      </c>
      <c r="S143">
        <v>12</v>
      </c>
      <c r="T143" t="b">
        <v>0</v>
      </c>
      <c r="U143" t="s">
        <v>125</v>
      </c>
      <c r="V143" t="s">
        <v>126</v>
      </c>
      <c r="W143">
        <v>1</v>
      </c>
      <c r="X143">
        <v>3.08</v>
      </c>
      <c r="Y143">
        <v>0.5</v>
      </c>
      <c r="Z143">
        <v>1</v>
      </c>
      <c r="AC143" t="s">
        <v>90</v>
      </c>
      <c r="AD143">
        <v>125</v>
      </c>
      <c r="AE143">
        <v>220</v>
      </c>
      <c r="AF143" t="s">
        <v>91</v>
      </c>
      <c r="AG143">
        <v>288</v>
      </c>
      <c r="AH143">
        <v>2760</v>
      </c>
      <c r="AI143" t="s">
        <v>972</v>
      </c>
      <c r="AL143" t="b">
        <v>1</v>
      </c>
      <c r="AM143" t="b">
        <v>0</v>
      </c>
      <c r="AN143" t="b">
        <v>0</v>
      </c>
      <c r="AO143" t="b">
        <v>0</v>
      </c>
      <c r="AP143" t="s">
        <v>1146</v>
      </c>
      <c r="AQ143">
        <v>-1</v>
      </c>
      <c r="AS143">
        <v>7.9229859587111946</v>
      </c>
      <c r="AT143">
        <v>1.882352941176471</v>
      </c>
      <c r="AU143">
        <v>2.3529411764705879</v>
      </c>
      <c r="AV143">
        <v>0.35294117647058831</v>
      </c>
      <c r="AW143">
        <v>0.47058823529411759</v>
      </c>
      <c r="AX143">
        <v>0.37209302325581389</v>
      </c>
      <c r="AY143">
        <v>0.46511627906976749</v>
      </c>
      <c r="AZ143">
        <v>6.9767441860465129E-2</v>
      </c>
      <c r="BA143">
        <v>9.3023255813953487E-2</v>
      </c>
      <c r="BB143">
        <v>6.2192035579236471</v>
      </c>
      <c r="BC143">
        <v>20</v>
      </c>
      <c r="BD143">
        <v>229.90248606119221</v>
      </c>
      <c r="BE143">
        <v>1</v>
      </c>
      <c r="BF143">
        <v>8.6993404650164072E-2</v>
      </c>
      <c r="BG143">
        <v>15.28115725</v>
      </c>
      <c r="BH143">
        <v>15.28115725</v>
      </c>
      <c r="BI143">
        <v>15.28115725</v>
      </c>
      <c r="BJ143">
        <v>0</v>
      </c>
      <c r="BK143">
        <v>0</v>
      </c>
      <c r="BM143">
        <v>0</v>
      </c>
      <c r="BP143">
        <v>0</v>
      </c>
      <c r="BQ143">
        <v>0</v>
      </c>
      <c r="BS143">
        <v>0</v>
      </c>
      <c r="BT143">
        <v>0</v>
      </c>
      <c r="BU143">
        <v>0</v>
      </c>
      <c r="BV143">
        <v>388.64447999999999</v>
      </c>
      <c r="BW143">
        <v>0.1029218271670808</v>
      </c>
      <c r="BX143">
        <v>10</v>
      </c>
      <c r="BY143">
        <v>5.1460913583540407E-2</v>
      </c>
      <c r="BZ143">
        <v>4.3496702325082043E-2</v>
      </c>
      <c r="CC143">
        <v>0.43867496702406639</v>
      </c>
      <c r="CF143">
        <v>0.51899600113525035</v>
      </c>
    </row>
    <row r="144" spans="1:84" x14ac:dyDescent="0.3">
      <c r="A144" s="1">
        <v>620</v>
      </c>
      <c r="B144" t="s">
        <v>1109</v>
      </c>
      <c r="C144" t="s">
        <v>1110</v>
      </c>
      <c r="E144" t="s">
        <v>404</v>
      </c>
      <c r="F144">
        <v>3.4</v>
      </c>
      <c r="G144" t="s">
        <v>1072</v>
      </c>
      <c r="H144">
        <v>-1</v>
      </c>
      <c r="I144">
        <v>-1</v>
      </c>
      <c r="J144">
        <v>2</v>
      </c>
      <c r="K144">
        <v>3.81</v>
      </c>
      <c r="L144">
        <v>3.81</v>
      </c>
      <c r="M144">
        <v>35.4</v>
      </c>
      <c r="N144" t="s">
        <v>529</v>
      </c>
      <c r="O144">
        <v>17.7</v>
      </c>
      <c r="Q144" t="s">
        <v>87</v>
      </c>
      <c r="R144">
        <v>1373</v>
      </c>
      <c r="S144">
        <v>12</v>
      </c>
      <c r="T144" t="b">
        <v>0</v>
      </c>
      <c r="U144" t="s">
        <v>125</v>
      </c>
      <c r="V144" t="s">
        <v>126</v>
      </c>
      <c r="W144">
        <v>1</v>
      </c>
      <c r="X144">
        <v>3.72</v>
      </c>
      <c r="Y144">
        <v>0.5</v>
      </c>
      <c r="Z144">
        <v>1</v>
      </c>
      <c r="AC144" t="s">
        <v>90</v>
      </c>
      <c r="AD144">
        <v>125</v>
      </c>
      <c r="AE144">
        <v>220</v>
      </c>
      <c r="AF144" t="s">
        <v>91</v>
      </c>
      <c r="AG144">
        <v>288</v>
      </c>
      <c r="AH144">
        <v>59040</v>
      </c>
      <c r="AI144" t="s">
        <v>972</v>
      </c>
      <c r="AL144" t="b">
        <v>1</v>
      </c>
      <c r="AM144" t="b">
        <v>0</v>
      </c>
      <c r="AN144" t="b">
        <v>0</v>
      </c>
      <c r="AO144" t="b">
        <v>0</v>
      </c>
      <c r="AP144" t="s">
        <v>1147</v>
      </c>
      <c r="AQ144">
        <v>-1</v>
      </c>
      <c r="AS144">
        <v>10.98597045927435</v>
      </c>
      <c r="AT144">
        <v>1.612903225806452</v>
      </c>
      <c r="AU144">
        <v>1.612903225806452</v>
      </c>
      <c r="AV144">
        <v>0.19354838709677419</v>
      </c>
      <c r="AW144">
        <v>0.25806451612903231</v>
      </c>
      <c r="AX144">
        <v>0.43859649122807021</v>
      </c>
      <c r="AY144">
        <v>0.43859649122807021</v>
      </c>
      <c r="AZ144">
        <v>5.2631578947368432E-2</v>
      </c>
      <c r="BA144">
        <v>7.0175438596491224E-2</v>
      </c>
      <c r="BB144">
        <v>6.5960048401358709</v>
      </c>
      <c r="BC144">
        <v>20</v>
      </c>
      <c r="BD144">
        <v>442.10225086560899</v>
      </c>
      <c r="BE144">
        <v>2</v>
      </c>
      <c r="BF144">
        <v>9.0476806941567164E-2</v>
      </c>
      <c r="BG144">
        <v>3.8530000000000002</v>
      </c>
      <c r="BH144">
        <v>3.8530000000000002</v>
      </c>
      <c r="BI144">
        <v>29.780000999999999</v>
      </c>
      <c r="BJ144">
        <v>0</v>
      </c>
      <c r="BK144">
        <v>0</v>
      </c>
      <c r="BM144">
        <v>0</v>
      </c>
      <c r="BP144">
        <v>0</v>
      </c>
      <c r="BQ144">
        <v>0</v>
      </c>
      <c r="BS144">
        <v>0</v>
      </c>
      <c r="BT144">
        <v>0</v>
      </c>
      <c r="BU144">
        <v>0</v>
      </c>
      <c r="BV144">
        <v>513.86993999999993</v>
      </c>
      <c r="BW144">
        <v>7.7840708098239814E-2</v>
      </c>
      <c r="BX144">
        <v>10</v>
      </c>
      <c r="BY144">
        <v>3.8920354049119907E-2</v>
      </c>
      <c r="BZ144">
        <v>4.5238403470783582E-2</v>
      </c>
      <c r="CC144">
        <v>0.54443134767909995</v>
      </c>
      <c r="CF144">
        <v>0.4683954158725982</v>
      </c>
    </row>
    <row r="145" spans="1:84" x14ac:dyDescent="0.3">
      <c r="A145" s="1">
        <v>621</v>
      </c>
      <c r="B145" t="s">
        <v>1112</v>
      </c>
      <c r="C145" t="s">
        <v>1113</v>
      </c>
      <c r="E145" t="s">
        <v>404</v>
      </c>
      <c r="F145">
        <v>3.32</v>
      </c>
      <c r="G145" t="s">
        <v>1076</v>
      </c>
      <c r="H145">
        <v>-1</v>
      </c>
      <c r="I145">
        <v>-1</v>
      </c>
      <c r="J145">
        <v>1</v>
      </c>
      <c r="K145">
        <v>3.8</v>
      </c>
      <c r="L145">
        <v>3.8</v>
      </c>
      <c r="M145">
        <v>19.899999999999999</v>
      </c>
      <c r="N145" t="s">
        <v>529</v>
      </c>
      <c r="O145">
        <v>19.899999999999999</v>
      </c>
      <c r="Q145" t="s">
        <v>87</v>
      </c>
      <c r="R145">
        <v>1373</v>
      </c>
      <c r="S145">
        <v>12</v>
      </c>
      <c r="T145" t="b">
        <v>0</v>
      </c>
      <c r="U145" t="s">
        <v>125</v>
      </c>
      <c r="V145" t="s">
        <v>126</v>
      </c>
      <c r="W145">
        <v>1</v>
      </c>
      <c r="Y145">
        <v>0.5</v>
      </c>
      <c r="Z145">
        <v>1</v>
      </c>
      <c r="AC145" t="s">
        <v>90</v>
      </c>
      <c r="AD145">
        <v>125</v>
      </c>
      <c r="AE145">
        <v>220</v>
      </c>
      <c r="AF145" t="s">
        <v>91</v>
      </c>
      <c r="AG145">
        <v>288</v>
      </c>
      <c r="AH145">
        <v>59280</v>
      </c>
      <c r="AI145" t="s">
        <v>972</v>
      </c>
      <c r="AL145" t="b">
        <v>1</v>
      </c>
      <c r="AM145" t="b">
        <v>0</v>
      </c>
      <c r="AN145" t="b">
        <v>0</v>
      </c>
      <c r="AO145" t="b">
        <v>0</v>
      </c>
      <c r="AP145" t="s">
        <v>1148</v>
      </c>
      <c r="AQ145">
        <v>-1</v>
      </c>
      <c r="AS145">
        <v>10.99002725996997</v>
      </c>
      <c r="AT145">
        <v>1.567567567567568</v>
      </c>
      <c r="AU145">
        <v>1.459459459459459</v>
      </c>
      <c r="AV145">
        <v>0.1621621621621622</v>
      </c>
      <c r="AW145">
        <v>0.2162162162162162</v>
      </c>
      <c r="AX145">
        <v>0.46031746031746029</v>
      </c>
      <c r="AY145">
        <v>0.4285714285714286</v>
      </c>
      <c r="AZ145">
        <v>4.7619047619047623E-2</v>
      </c>
      <c r="BA145">
        <v>6.3492063492063502E-2</v>
      </c>
      <c r="BB145">
        <v>6.6406437901247566</v>
      </c>
      <c r="BC145">
        <v>20</v>
      </c>
      <c r="BD145">
        <v>599.76260360000003</v>
      </c>
      <c r="BE145">
        <v>2</v>
      </c>
      <c r="BF145">
        <v>6.6693054485066267E-2</v>
      </c>
      <c r="BG145">
        <v>3.8530000000000002</v>
      </c>
      <c r="BH145">
        <v>3.8530000000000002</v>
      </c>
      <c r="BI145">
        <v>40.4</v>
      </c>
      <c r="BJ145">
        <v>0</v>
      </c>
      <c r="BK145">
        <v>0</v>
      </c>
      <c r="BM145">
        <v>0</v>
      </c>
      <c r="BP145">
        <v>0</v>
      </c>
      <c r="BQ145">
        <v>0</v>
      </c>
      <c r="BS145">
        <v>0</v>
      </c>
      <c r="BT145">
        <v>0</v>
      </c>
      <c r="BU145">
        <v>0</v>
      </c>
      <c r="BV145">
        <v>287.35599999999999</v>
      </c>
      <c r="BW145">
        <v>6.9600077952087308E-2</v>
      </c>
      <c r="BX145">
        <v>10</v>
      </c>
      <c r="BY145">
        <v>3.4800038976043647E-2</v>
      </c>
      <c r="BZ145">
        <v>3.3346527242533133E-2</v>
      </c>
      <c r="CC145">
        <v>0.40207071969469671</v>
      </c>
      <c r="CF145">
        <v>0.41959621806299002</v>
      </c>
    </row>
    <row r="146" spans="1:84" x14ac:dyDescent="0.3">
      <c r="A146" s="1">
        <v>622</v>
      </c>
      <c r="B146" t="s">
        <v>1115</v>
      </c>
      <c r="C146" t="s">
        <v>1116</v>
      </c>
      <c r="E146" t="s">
        <v>404</v>
      </c>
      <c r="F146">
        <v>3.33</v>
      </c>
      <c r="G146" t="s">
        <v>1080</v>
      </c>
      <c r="H146">
        <v>-1</v>
      </c>
      <c r="I146">
        <v>-1</v>
      </c>
      <c r="J146">
        <v>1</v>
      </c>
      <c r="K146">
        <v>3.78</v>
      </c>
      <c r="L146">
        <v>3.78</v>
      </c>
      <c r="M146">
        <v>24.4</v>
      </c>
      <c r="N146" t="s">
        <v>529</v>
      </c>
      <c r="O146">
        <v>24.4</v>
      </c>
      <c r="Q146" t="s">
        <v>87</v>
      </c>
      <c r="R146">
        <v>1373</v>
      </c>
      <c r="S146">
        <v>12</v>
      </c>
      <c r="T146" t="b">
        <v>0</v>
      </c>
      <c r="U146" t="s">
        <v>125</v>
      </c>
      <c r="V146" t="s">
        <v>126</v>
      </c>
      <c r="W146">
        <v>1</v>
      </c>
      <c r="X146">
        <v>3.89</v>
      </c>
      <c r="Y146">
        <v>0.5</v>
      </c>
      <c r="Z146">
        <v>1</v>
      </c>
      <c r="AC146" t="s">
        <v>90</v>
      </c>
      <c r="AD146">
        <v>125</v>
      </c>
      <c r="AE146">
        <v>220</v>
      </c>
      <c r="AF146" t="s">
        <v>91</v>
      </c>
      <c r="AG146">
        <v>288</v>
      </c>
      <c r="AH146">
        <v>83120</v>
      </c>
      <c r="AI146" t="s">
        <v>972</v>
      </c>
      <c r="AL146" t="b">
        <v>1</v>
      </c>
      <c r="AM146" t="b">
        <v>0</v>
      </c>
      <c r="AN146" t="b">
        <v>0</v>
      </c>
      <c r="AO146" t="b">
        <v>0</v>
      </c>
      <c r="AP146" t="s">
        <v>1149</v>
      </c>
      <c r="AQ146">
        <v>-1</v>
      </c>
      <c r="AS146">
        <v>11.328040625773109</v>
      </c>
      <c r="AT146">
        <v>1.510204081632653</v>
      </c>
      <c r="AU146">
        <v>1.2653061224489801</v>
      </c>
      <c r="AV146">
        <v>0.1224489795918367</v>
      </c>
      <c r="AW146">
        <v>0.16326530612244899</v>
      </c>
      <c r="AX146">
        <v>0.49333333333333329</v>
      </c>
      <c r="AY146">
        <v>0.41333333333333339</v>
      </c>
      <c r="AZ146">
        <v>0.04</v>
      </c>
      <c r="BA146">
        <v>5.333333333333333E-2</v>
      </c>
      <c r="BB146">
        <v>6.6971257268453872</v>
      </c>
      <c r="BC146">
        <v>20</v>
      </c>
      <c r="BD146">
        <v>733.37308460000008</v>
      </c>
      <c r="BE146">
        <v>2</v>
      </c>
      <c r="BF146">
        <v>5.4542497999932729E-2</v>
      </c>
      <c r="BG146">
        <v>3.8530000000000002</v>
      </c>
      <c r="BH146">
        <v>3.8530000000000002</v>
      </c>
      <c r="BI146">
        <v>49.4</v>
      </c>
      <c r="BJ146">
        <v>0</v>
      </c>
      <c r="BK146">
        <v>0</v>
      </c>
      <c r="BM146">
        <v>0</v>
      </c>
      <c r="BP146">
        <v>0</v>
      </c>
      <c r="BQ146">
        <v>0</v>
      </c>
      <c r="BS146">
        <v>0</v>
      </c>
      <c r="BT146">
        <v>0</v>
      </c>
      <c r="BU146">
        <v>0</v>
      </c>
      <c r="BV146">
        <v>348.63695999999999</v>
      </c>
      <c r="BW146">
        <v>5.7366264322635217E-2</v>
      </c>
      <c r="BX146">
        <v>10</v>
      </c>
      <c r="BY146">
        <v>2.8683132161317609E-2</v>
      </c>
      <c r="BZ146">
        <v>2.7271248999966361E-2</v>
      </c>
      <c r="CC146">
        <v>0.33005342247707181</v>
      </c>
      <c r="CF146">
        <v>0.34714090055855978</v>
      </c>
    </row>
    <row r="147" spans="1:84" x14ac:dyDescent="0.3">
      <c r="A147" s="1">
        <v>623</v>
      </c>
      <c r="B147" t="s">
        <v>1118</v>
      </c>
      <c r="C147" t="s">
        <v>1119</v>
      </c>
      <c r="E147" t="s">
        <v>404</v>
      </c>
      <c r="F147">
        <v>3.35</v>
      </c>
      <c r="G147" t="s">
        <v>1084</v>
      </c>
      <c r="H147">
        <v>-1</v>
      </c>
      <c r="I147">
        <v>-1</v>
      </c>
      <c r="J147">
        <v>1</v>
      </c>
      <c r="K147">
        <v>3.8</v>
      </c>
      <c r="L147">
        <v>3.8</v>
      </c>
      <c r="M147">
        <v>29.2</v>
      </c>
      <c r="N147" t="s">
        <v>529</v>
      </c>
      <c r="O147">
        <v>29.2</v>
      </c>
      <c r="Q147" t="s">
        <v>87</v>
      </c>
      <c r="R147">
        <v>1373</v>
      </c>
      <c r="S147">
        <v>12</v>
      </c>
      <c r="T147" t="b">
        <v>0</v>
      </c>
      <c r="U147" t="s">
        <v>125</v>
      </c>
      <c r="V147" t="s">
        <v>126</v>
      </c>
      <c r="W147">
        <v>1</v>
      </c>
      <c r="Y147">
        <v>0.5</v>
      </c>
      <c r="Z147">
        <v>1</v>
      </c>
      <c r="AC147" t="s">
        <v>90</v>
      </c>
      <c r="AD147">
        <v>125</v>
      </c>
      <c r="AE147">
        <v>220</v>
      </c>
      <c r="AF147" t="s">
        <v>91</v>
      </c>
      <c r="AG147">
        <v>288</v>
      </c>
      <c r="AH147">
        <v>38600</v>
      </c>
      <c r="AI147" t="s">
        <v>972</v>
      </c>
      <c r="AL147" t="b">
        <v>1</v>
      </c>
      <c r="AM147" t="b">
        <v>0</v>
      </c>
      <c r="AN147" t="b">
        <v>0</v>
      </c>
      <c r="AO147" t="b">
        <v>0</v>
      </c>
      <c r="AP147" t="s">
        <v>1150</v>
      </c>
      <c r="AQ147">
        <v>-1</v>
      </c>
      <c r="AS147">
        <v>10.561007555452919</v>
      </c>
      <c r="AT147">
        <v>1.4754098360655741</v>
      </c>
      <c r="AU147">
        <v>1.1475409836065571</v>
      </c>
      <c r="AV147">
        <v>9.8360655737704916E-2</v>
      </c>
      <c r="AW147">
        <v>0.13114754098360659</v>
      </c>
      <c r="AX147">
        <v>0.51724137931034486</v>
      </c>
      <c r="AY147">
        <v>0.4022988505747126</v>
      </c>
      <c r="AZ147">
        <v>3.4482758620689648E-2</v>
      </c>
      <c r="BA147">
        <v>4.5977011494252873E-2</v>
      </c>
      <c r="BB147">
        <v>6.731385262233311</v>
      </c>
      <c r="BC147">
        <v>20</v>
      </c>
      <c r="BD147">
        <v>872.92180919999998</v>
      </c>
      <c r="BE147">
        <v>2</v>
      </c>
      <c r="BF147">
        <v>4.5823119067970701E-2</v>
      </c>
      <c r="BG147">
        <v>3.8530000000000002</v>
      </c>
      <c r="BH147">
        <v>3.8530000000000002</v>
      </c>
      <c r="BI147">
        <v>58.8</v>
      </c>
      <c r="BJ147">
        <v>0</v>
      </c>
      <c r="BK147">
        <v>0</v>
      </c>
      <c r="BM147">
        <v>0</v>
      </c>
      <c r="BP147">
        <v>0</v>
      </c>
      <c r="BQ147">
        <v>0</v>
      </c>
      <c r="BS147">
        <v>0</v>
      </c>
      <c r="BT147">
        <v>0</v>
      </c>
      <c r="BU147">
        <v>0</v>
      </c>
      <c r="BV147">
        <v>421.64800000000002</v>
      </c>
      <c r="BW147">
        <v>4.7432929837210189E-2</v>
      </c>
      <c r="BX147">
        <v>10</v>
      </c>
      <c r="BY147">
        <v>2.3716464918605091E-2</v>
      </c>
      <c r="BZ147">
        <v>2.291155953398535E-2</v>
      </c>
      <c r="CC147">
        <v>0.27832688886171691</v>
      </c>
      <c r="CF147">
        <v>0.28810478334318818</v>
      </c>
    </row>
    <row r="148" spans="1:84" x14ac:dyDescent="0.3">
      <c r="A148" s="1">
        <v>624</v>
      </c>
      <c r="B148" t="s">
        <v>1121</v>
      </c>
      <c r="C148" t="s">
        <v>1122</v>
      </c>
      <c r="E148" t="s">
        <v>404</v>
      </c>
      <c r="F148">
        <v>3.36</v>
      </c>
      <c r="G148" t="s">
        <v>1088</v>
      </c>
      <c r="H148">
        <v>-1</v>
      </c>
      <c r="I148">
        <v>-1</v>
      </c>
      <c r="J148">
        <v>1</v>
      </c>
      <c r="K148">
        <v>3.8</v>
      </c>
      <c r="L148">
        <v>3.8</v>
      </c>
      <c r="M148">
        <v>33.4</v>
      </c>
      <c r="N148" t="s">
        <v>529</v>
      </c>
      <c r="O148">
        <v>33.4</v>
      </c>
      <c r="Q148" t="s">
        <v>87</v>
      </c>
      <c r="R148">
        <v>1373</v>
      </c>
      <c r="S148">
        <v>12</v>
      </c>
      <c r="T148" t="b">
        <v>0</v>
      </c>
      <c r="U148" t="s">
        <v>125</v>
      </c>
      <c r="V148" t="s">
        <v>126</v>
      </c>
      <c r="W148">
        <v>1</v>
      </c>
      <c r="X148">
        <v>4.3899999999999997</v>
      </c>
      <c r="Y148">
        <v>0.5</v>
      </c>
      <c r="Z148">
        <v>1</v>
      </c>
      <c r="AC148" t="s">
        <v>90</v>
      </c>
      <c r="AD148">
        <v>125</v>
      </c>
      <c r="AE148">
        <v>220</v>
      </c>
      <c r="AF148" t="s">
        <v>91</v>
      </c>
      <c r="AG148">
        <v>288</v>
      </c>
      <c r="AH148">
        <v>41080</v>
      </c>
      <c r="AI148" t="s">
        <v>972</v>
      </c>
      <c r="AL148" t="b">
        <v>1</v>
      </c>
      <c r="AM148" t="b">
        <v>0</v>
      </c>
      <c r="AN148" t="b">
        <v>0</v>
      </c>
      <c r="AO148" t="b">
        <v>0</v>
      </c>
      <c r="AP148" t="s">
        <v>1151</v>
      </c>
      <c r="AQ148">
        <v>-1</v>
      </c>
      <c r="AS148">
        <v>10.623276664042489</v>
      </c>
      <c r="AT148">
        <v>1.452054794520548</v>
      </c>
      <c r="AU148">
        <v>1.068493150684932</v>
      </c>
      <c r="AV148">
        <v>8.2191780821917804E-2</v>
      </c>
      <c r="AW148">
        <v>0.1095890410958904</v>
      </c>
      <c r="AX148">
        <v>0.53535353535353536</v>
      </c>
      <c r="AY148">
        <v>0.39393939393939392</v>
      </c>
      <c r="AZ148">
        <v>3.03030303030303E-2</v>
      </c>
      <c r="BA148">
        <v>4.0404040404040401E-2</v>
      </c>
      <c r="BB148">
        <v>6.7543813887265749</v>
      </c>
      <c r="BC148">
        <v>20</v>
      </c>
      <c r="BD148">
        <v>1015.4396556</v>
      </c>
      <c r="BE148">
        <v>2</v>
      </c>
      <c r="BF148">
        <v>3.9391804111062523E-2</v>
      </c>
      <c r="BG148">
        <v>3.8530000000000002</v>
      </c>
      <c r="BH148">
        <v>3.8530000000000002</v>
      </c>
      <c r="BI148">
        <v>68.400000000000006</v>
      </c>
      <c r="BJ148">
        <v>0</v>
      </c>
      <c r="BK148">
        <v>0</v>
      </c>
      <c r="BM148">
        <v>0</v>
      </c>
      <c r="BP148">
        <v>0</v>
      </c>
      <c r="BQ148">
        <v>0</v>
      </c>
      <c r="BS148">
        <v>0</v>
      </c>
      <c r="BT148">
        <v>0</v>
      </c>
      <c r="BU148">
        <v>0</v>
      </c>
      <c r="BV148">
        <v>482.29599999999988</v>
      </c>
      <c r="BW148">
        <v>4.1468309917561008E-2</v>
      </c>
      <c r="BX148">
        <v>10</v>
      </c>
      <c r="BY148">
        <v>2.0734154958780501E-2</v>
      </c>
      <c r="BZ148">
        <v>1.9695902055531261E-2</v>
      </c>
      <c r="CC148">
        <v>0.24015501549372151</v>
      </c>
      <c r="CF148">
        <v>0.25281458505104482</v>
      </c>
    </row>
    <row r="149" spans="1:84" x14ac:dyDescent="0.3">
      <c r="A149" s="1">
        <v>625</v>
      </c>
      <c r="B149" t="s">
        <v>1124</v>
      </c>
      <c r="C149" t="s">
        <v>1125</v>
      </c>
      <c r="E149" t="s">
        <v>404</v>
      </c>
      <c r="F149">
        <v>3.33</v>
      </c>
      <c r="G149" t="s">
        <v>1092</v>
      </c>
      <c r="H149">
        <v>-1</v>
      </c>
      <c r="I149">
        <v>-1</v>
      </c>
      <c r="J149">
        <v>2</v>
      </c>
      <c r="K149">
        <v>3.76</v>
      </c>
      <c r="L149">
        <v>3.76</v>
      </c>
      <c r="M149">
        <v>34.1</v>
      </c>
      <c r="N149" t="s">
        <v>529</v>
      </c>
      <c r="O149">
        <v>17.05</v>
      </c>
      <c r="Q149" t="s">
        <v>87</v>
      </c>
      <c r="R149">
        <v>1373</v>
      </c>
      <c r="S149">
        <v>12</v>
      </c>
      <c r="T149" t="b">
        <v>0</v>
      </c>
      <c r="U149" t="s">
        <v>125</v>
      </c>
      <c r="V149" t="s">
        <v>126</v>
      </c>
      <c r="W149">
        <v>1</v>
      </c>
      <c r="X149">
        <v>4.51</v>
      </c>
      <c r="Y149">
        <v>0.5</v>
      </c>
      <c r="Z149">
        <v>1</v>
      </c>
      <c r="AC149" t="s">
        <v>90</v>
      </c>
      <c r="AD149">
        <v>125</v>
      </c>
      <c r="AE149">
        <v>220</v>
      </c>
      <c r="AF149" t="s">
        <v>91</v>
      </c>
      <c r="AG149">
        <v>288</v>
      </c>
      <c r="AH149">
        <v>71480</v>
      </c>
      <c r="AI149" t="s">
        <v>972</v>
      </c>
      <c r="AL149" t="b">
        <v>1</v>
      </c>
      <c r="AM149" t="b">
        <v>0</v>
      </c>
      <c r="AN149" t="b">
        <v>0</v>
      </c>
      <c r="AO149" t="b">
        <v>0</v>
      </c>
      <c r="AP149" t="s">
        <v>1152</v>
      </c>
      <c r="AQ149">
        <v>-1</v>
      </c>
      <c r="AS149">
        <v>11.177172969273361</v>
      </c>
      <c r="AT149">
        <v>1.655172413793103</v>
      </c>
      <c r="AU149">
        <v>1.7931034482758621</v>
      </c>
      <c r="AV149">
        <v>0.2068965517241379</v>
      </c>
      <c r="AW149">
        <v>0.27586206896551718</v>
      </c>
      <c r="AX149">
        <v>0.4210526315789474</v>
      </c>
      <c r="AY149">
        <v>0.45614035087719301</v>
      </c>
      <c r="AZ149">
        <v>5.2631578947368432E-2</v>
      </c>
      <c r="BA149">
        <v>7.0175438596491224E-2</v>
      </c>
      <c r="BB149">
        <v>6.5771916632244816</v>
      </c>
      <c r="BC149">
        <v>24</v>
      </c>
      <c r="BD149">
        <v>442.10225086560899</v>
      </c>
      <c r="BE149">
        <v>2</v>
      </c>
      <c r="BF149">
        <v>0.10857216832988061</v>
      </c>
      <c r="BG149">
        <v>3.8530000000000002</v>
      </c>
      <c r="BH149">
        <v>3.8530000000000002</v>
      </c>
      <c r="BI149">
        <v>29.780000999999999</v>
      </c>
      <c r="BJ149">
        <v>0</v>
      </c>
      <c r="BK149">
        <v>0</v>
      </c>
      <c r="BM149">
        <v>0</v>
      </c>
      <c r="BP149">
        <v>0</v>
      </c>
      <c r="BQ149">
        <v>0</v>
      </c>
      <c r="BS149">
        <v>0</v>
      </c>
      <c r="BT149">
        <v>0</v>
      </c>
      <c r="BU149">
        <v>0</v>
      </c>
      <c r="BV149">
        <v>482.09215999999998</v>
      </c>
      <c r="BW149">
        <v>9.9566024886196036E-2</v>
      </c>
      <c r="BX149">
        <v>12</v>
      </c>
      <c r="BY149">
        <v>4.9783012443098018E-2</v>
      </c>
      <c r="BZ149">
        <v>5.4286084164940303E-2</v>
      </c>
      <c r="CC149">
        <v>0.53307685633329149</v>
      </c>
      <c r="CF149">
        <v>0.48885772809354761</v>
      </c>
    </row>
    <row r="150" spans="1:84" x14ac:dyDescent="0.3">
      <c r="A150" s="1">
        <v>626</v>
      </c>
      <c r="B150" t="s">
        <v>1127</v>
      </c>
      <c r="C150" t="s">
        <v>1128</v>
      </c>
      <c r="E150" t="s">
        <v>404</v>
      </c>
      <c r="F150">
        <v>3.33</v>
      </c>
      <c r="G150" t="s">
        <v>1096</v>
      </c>
      <c r="H150">
        <v>-1</v>
      </c>
      <c r="I150">
        <v>-1</v>
      </c>
      <c r="J150">
        <v>2</v>
      </c>
      <c r="K150">
        <v>3.77</v>
      </c>
      <c r="L150">
        <v>3.77</v>
      </c>
      <c r="M150">
        <v>40.9</v>
      </c>
      <c r="N150" t="s">
        <v>529</v>
      </c>
      <c r="O150">
        <v>20.45</v>
      </c>
      <c r="Q150" t="s">
        <v>87</v>
      </c>
      <c r="R150">
        <v>1373</v>
      </c>
      <c r="S150">
        <v>12</v>
      </c>
      <c r="T150" t="b">
        <v>0</v>
      </c>
      <c r="U150" t="s">
        <v>125</v>
      </c>
      <c r="V150" t="s">
        <v>126</v>
      </c>
      <c r="W150">
        <v>1</v>
      </c>
      <c r="Y150">
        <v>0.5</v>
      </c>
      <c r="Z150">
        <v>1</v>
      </c>
      <c r="AC150" t="s">
        <v>90</v>
      </c>
      <c r="AD150">
        <v>125</v>
      </c>
      <c r="AE150">
        <v>220</v>
      </c>
      <c r="AF150" t="s">
        <v>91</v>
      </c>
      <c r="AG150">
        <v>288</v>
      </c>
      <c r="AH150">
        <v>90720</v>
      </c>
      <c r="AI150" t="s">
        <v>972</v>
      </c>
      <c r="AL150" t="b">
        <v>1</v>
      </c>
      <c r="AM150" t="b">
        <v>0</v>
      </c>
      <c r="AN150" t="b">
        <v>0</v>
      </c>
      <c r="AO150" t="b">
        <v>0</v>
      </c>
      <c r="AP150" t="s">
        <v>1153</v>
      </c>
      <c r="AQ150">
        <v>-1</v>
      </c>
      <c r="AS150">
        <v>11.41553311896158</v>
      </c>
      <c r="AT150">
        <v>1.6</v>
      </c>
      <c r="AU150">
        <v>1.6</v>
      </c>
      <c r="AV150">
        <v>0.1714285714285714</v>
      </c>
      <c r="AW150">
        <v>0.22857142857142859</v>
      </c>
      <c r="AX150">
        <v>0.44444444444444448</v>
      </c>
      <c r="AY150">
        <v>0.44444444444444448</v>
      </c>
      <c r="AZ150">
        <v>4.7619047619047623E-2</v>
      </c>
      <c r="BA150">
        <v>6.3492063492063489E-2</v>
      </c>
      <c r="BB150">
        <v>6.6276065263975434</v>
      </c>
      <c r="BC150">
        <v>24</v>
      </c>
      <c r="BD150">
        <v>599.76260360000003</v>
      </c>
      <c r="BE150">
        <v>2</v>
      </c>
      <c r="BF150">
        <v>8.0031665382079509E-2</v>
      </c>
      <c r="BG150">
        <v>3.8530000000000002</v>
      </c>
      <c r="BH150">
        <v>3.8530000000000002</v>
      </c>
      <c r="BI150">
        <v>40.4</v>
      </c>
      <c r="BJ150">
        <v>0</v>
      </c>
      <c r="BK150">
        <v>0</v>
      </c>
      <c r="BM150">
        <v>0</v>
      </c>
      <c r="BP150">
        <v>0</v>
      </c>
      <c r="BQ150">
        <v>0</v>
      </c>
      <c r="BS150">
        <v>0</v>
      </c>
      <c r="BT150">
        <v>0</v>
      </c>
      <c r="BU150">
        <v>0</v>
      </c>
      <c r="BV150">
        <v>581.30760999999995</v>
      </c>
      <c r="BW150">
        <v>8.2572461076158982E-2</v>
      </c>
      <c r="BX150">
        <v>12</v>
      </c>
      <c r="BY150">
        <v>4.1286230538079491E-2</v>
      </c>
      <c r="BZ150">
        <v>4.0015832691039747E-2</v>
      </c>
      <c r="CC150">
        <v>0.39370099782260098</v>
      </c>
      <c r="CF150">
        <v>0.40619997301256922</v>
      </c>
    </row>
    <row r="151" spans="1:84" x14ac:dyDescent="0.3">
      <c r="A151" s="1">
        <v>627</v>
      </c>
      <c r="B151" t="s">
        <v>1130</v>
      </c>
      <c r="C151" t="s">
        <v>1131</v>
      </c>
      <c r="E151" t="s">
        <v>404</v>
      </c>
      <c r="F151">
        <v>3.33</v>
      </c>
      <c r="G151" t="s">
        <v>1100</v>
      </c>
      <c r="H151">
        <v>-1</v>
      </c>
      <c r="I151">
        <v>-1</v>
      </c>
      <c r="J151">
        <v>2</v>
      </c>
      <c r="K151">
        <v>3.78</v>
      </c>
      <c r="L151">
        <v>3.78</v>
      </c>
      <c r="M151">
        <v>47.3</v>
      </c>
      <c r="N151" t="s">
        <v>529</v>
      </c>
      <c r="O151">
        <v>23.65</v>
      </c>
      <c r="Q151" t="s">
        <v>87</v>
      </c>
      <c r="R151">
        <v>1373</v>
      </c>
      <c r="S151">
        <v>12</v>
      </c>
      <c r="T151" t="b">
        <v>0</v>
      </c>
      <c r="U151" t="s">
        <v>125</v>
      </c>
      <c r="V151" t="s">
        <v>126</v>
      </c>
      <c r="W151">
        <v>1</v>
      </c>
      <c r="X151">
        <v>3.87</v>
      </c>
      <c r="Y151">
        <v>0.5</v>
      </c>
      <c r="Z151">
        <v>1</v>
      </c>
      <c r="AC151" t="s">
        <v>90</v>
      </c>
      <c r="AD151">
        <v>125</v>
      </c>
      <c r="AE151">
        <v>220</v>
      </c>
      <c r="AF151" t="s">
        <v>91</v>
      </c>
      <c r="AG151">
        <v>288</v>
      </c>
      <c r="AH151">
        <v>103360</v>
      </c>
      <c r="AI151" t="s">
        <v>972</v>
      </c>
      <c r="AL151" t="b">
        <v>1</v>
      </c>
      <c r="AM151" t="b">
        <v>0</v>
      </c>
      <c r="AN151" t="b">
        <v>0</v>
      </c>
      <c r="AO151" t="b">
        <v>0</v>
      </c>
      <c r="AP151" t="s">
        <v>1154</v>
      </c>
      <c r="AQ151">
        <v>-1</v>
      </c>
      <c r="AS151">
        <v>11.545973319016429</v>
      </c>
      <c r="AT151">
        <v>1.531914893617021</v>
      </c>
      <c r="AU151">
        <v>1.361702127659574</v>
      </c>
      <c r="AV151">
        <v>0.1276595744680851</v>
      </c>
      <c r="AW151">
        <v>0.1702127659574468</v>
      </c>
      <c r="AX151">
        <v>0.48</v>
      </c>
      <c r="AY151">
        <v>0.42666666666666658</v>
      </c>
      <c r="AZ151">
        <v>0.04</v>
      </c>
      <c r="BA151">
        <v>5.333333333333333E-2</v>
      </c>
      <c r="BB151">
        <v>6.6898206128664253</v>
      </c>
      <c r="BC151">
        <v>24</v>
      </c>
      <c r="BD151">
        <v>733.37308460000008</v>
      </c>
      <c r="BE151">
        <v>2</v>
      </c>
      <c r="BF151">
        <v>6.5450997599919278E-2</v>
      </c>
      <c r="BG151">
        <v>3.8530000000000002</v>
      </c>
      <c r="BH151">
        <v>3.8530000000000002</v>
      </c>
      <c r="BI151">
        <v>49.4</v>
      </c>
      <c r="BJ151">
        <v>0</v>
      </c>
      <c r="BK151">
        <v>0</v>
      </c>
      <c r="BM151">
        <v>0</v>
      </c>
      <c r="BP151">
        <v>0</v>
      </c>
      <c r="BQ151">
        <v>0</v>
      </c>
      <c r="BS151">
        <v>0</v>
      </c>
      <c r="BT151">
        <v>0</v>
      </c>
      <c r="BU151">
        <v>0</v>
      </c>
      <c r="BV151">
        <v>675.84131999999988</v>
      </c>
      <c r="BW151">
        <v>7.1022588556734004E-2</v>
      </c>
      <c r="BX151">
        <v>12</v>
      </c>
      <c r="BY151">
        <v>3.5511294278367002E-2</v>
      </c>
      <c r="BZ151">
        <v>3.2725498799959639E-2</v>
      </c>
      <c r="CC151">
        <v>0.32320854871932547</v>
      </c>
      <c r="CF151">
        <v>0.35072204573609261</v>
      </c>
    </row>
    <row r="152" spans="1:84" x14ac:dyDescent="0.3">
      <c r="A152" s="1">
        <v>628</v>
      </c>
      <c r="B152" t="s">
        <v>1133</v>
      </c>
      <c r="C152" t="s">
        <v>1134</v>
      </c>
      <c r="E152" t="s">
        <v>404</v>
      </c>
      <c r="F152">
        <v>3.35</v>
      </c>
      <c r="G152" t="s">
        <v>1104</v>
      </c>
      <c r="H152">
        <v>-1</v>
      </c>
      <c r="I152">
        <v>-1</v>
      </c>
      <c r="J152">
        <v>1</v>
      </c>
      <c r="K152">
        <v>3.81</v>
      </c>
      <c r="L152">
        <v>3.81</v>
      </c>
      <c r="M152">
        <v>28.3</v>
      </c>
      <c r="N152" t="s">
        <v>529</v>
      </c>
      <c r="O152">
        <v>28.3</v>
      </c>
      <c r="Q152" t="s">
        <v>87</v>
      </c>
      <c r="R152">
        <v>1373</v>
      </c>
      <c r="S152">
        <v>12</v>
      </c>
      <c r="T152" t="b">
        <v>0</v>
      </c>
      <c r="U152" t="s">
        <v>125</v>
      </c>
      <c r="V152" t="s">
        <v>126</v>
      </c>
      <c r="W152">
        <v>1</v>
      </c>
      <c r="Y152">
        <v>0.5</v>
      </c>
      <c r="Z152">
        <v>1</v>
      </c>
      <c r="AC152" t="s">
        <v>90</v>
      </c>
      <c r="AD152">
        <v>125</v>
      </c>
      <c r="AE152">
        <v>220</v>
      </c>
      <c r="AF152" t="s">
        <v>91</v>
      </c>
      <c r="AG152">
        <v>288</v>
      </c>
      <c r="AH152">
        <v>91400</v>
      </c>
      <c r="AI152" t="s">
        <v>972</v>
      </c>
      <c r="AL152" t="b">
        <v>1</v>
      </c>
      <c r="AM152" t="b">
        <v>0</v>
      </c>
      <c r="AN152" t="b">
        <v>0</v>
      </c>
      <c r="AO152" t="b">
        <v>0</v>
      </c>
      <c r="AP152" t="s">
        <v>1155</v>
      </c>
      <c r="AQ152">
        <v>-1</v>
      </c>
      <c r="AS152">
        <v>11.423000757442241</v>
      </c>
      <c r="AT152">
        <v>1.491525423728814</v>
      </c>
      <c r="AU152">
        <v>1.220338983050848</v>
      </c>
      <c r="AV152">
        <v>0.10169491525423729</v>
      </c>
      <c r="AW152">
        <v>0.13559322033898311</v>
      </c>
      <c r="AX152">
        <v>0.50574712643678155</v>
      </c>
      <c r="AY152">
        <v>0.41379310344827591</v>
      </c>
      <c r="AZ152">
        <v>3.4482758620689648E-2</v>
      </c>
      <c r="BA152">
        <v>4.5977011494252873E-2</v>
      </c>
      <c r="BB152">
        <v>6.7267272743310169</v>
      </c>
      <c r="BC152">
        <v>24</v>
      </c>
      <c r="BD152">
        <v>872.92180919999998</v>
      </c>
      <c r="BE152">
        <v>2</v>
      </c>
      <c r="BF152">
        <v>5.4987742881564841E-2</v>
      </c>
      <c r="BG152">
        <v>3.8530000000000002</v>
      </c>
      <c r="BH152">
        <v>3.8530000000000002</v>
      </c>
      <c r="BI152">
        <v>58.8</v>
      </c>
      <c r="BJ152">
        <v>0</v>
      </c>
      <c r="BK152">
        <v>0</v>
      </c>
      <c r="BM152">
        <v>0</v>
      </c>
      <c r="BP152">
        <v>0</v>
      </c>
      <c r="BQ152">
        <v>0</v>
      </c>
      <c r="BS152">
        <v>0</v>
      </c>
      <c r="BT152">
        <v>0</v>
      </c>
      <c r="BU152">
        <v>0</v>
      </c>
      <c r="BV152">
        <v>410.80563000000001</v>
      </c>
      <c r="BW152">
        <v>5.8421789399526969E-2</v>
      </c>
      <c r="BX152">
        <v>12</v>
      </c>
      <c r="BY152">
        <v>2.9210894699763481E-2</v>
      </c>
      <c r="BZ152">
        <v>2.7493871440782421E-2</v>
      </c>
      <c r="CC152">
        <v>0.27257626362986881</v>
      </c>
      <c r="CF152">
        <v>0.28959895850594991</v>
      </c>
    </row>
    <row r="153" spans="1:84" x14ac:dyDescent="0.3">
      <c r="A153" s="1">
        <v>630</v>
      </c>
      <c r="B153" t="s">
        <v>1106</v>
      </c>
      <c r="C153" t="s">
        <v>1107</v>
      </c>
      <c r="E153" t="s">
        <v>404</v>
      </c>
      <c r="F153">
        <v>3.46</v>
      </c>
      <c r="G153" t="s">
        <v>405</v>
      </c>
      <c r="H153">
        <v>-1</v>
      </c>
      <c r="I153">
        <v>-1</v>
      </c>
      <c r="J153">
        <v>2</v>
      </c>
      <c r="K153">
        <v>3.7829999999999999</v>
      </c>
      <c r="L153">
        <v>3.7829999999999999</v>
      </c>
      <c r="M153">
        <v>27.18</v>
      </c>
      <c r="N153" t="s">
        <v>1047</v>
      </c>
      <c r="O153">
        <v>13.59</v>
      </c>
      <c r="Q153" t="s">
        <v>87</v>
      </c>
      <c r="R153">
        <v>1273</v>
      </c>
      <c r="S153">
        <v>10</v>
      </c>
      <c r="T153" t="b">
        <v>0</v>
      </c>
      <c r="U153" t="s">
        <v>125</v>
      </c>
      <c r="V153" t="s">
        <v>126</v>
      </c>
      <c r="W153">
        <v>1</v>
      </c>
      <c r="X153">
        <v>21</v>
      </c>
      <c r="Y153">
        <v>0.5</v>
      </c>
      <c r="Z153">
        <v>1</v>
      </c>
      <c r="AC153" t="s">
        <v>90</v>
      </c>
      <c r="AD153">
        <v>125</v>
      </c>
      <c r="AE153">
        <v>220</v>
      </c>
      <c r="AF153" t="s">
        <v>91</v>
      </c>
      <c r="AG153">
        <v>288</v>
      </c>
      <c r="AH153">
        <v>4800</v>
      </c>
      <c r="AI153" t="s">
        <v>972</v>
      </c>
      <c r="AL153" t="b">
        <v>1</v>
      </c>
      <c r="AM153" t="b">
        <v>0</v>
      </c>
      <c r="AN153" t="b">
        <v>0</v>
      </c>
      <c r="AO153" t="b">
        <v>0</v>
      </c>
      <c r="AP153" t="s">
        <v>1157</v>
      </c>
      <c r="AQ153">
        <v>-1</v>
      </c>
      <c r="AS153">
        <v>8.4763711968959825</v>
      </c>
      <c r="AT153">
        <v>1.882352941176471</v>
      </c>
      <c r="AU153">
        <v>2.3529411764705879</v>
      </c>
      <c r="AV153">
        <v>0.35294117647058831</v>
      </c>
      <c r="AW153">
        <v>0.47058823529411759</v>
      </c>
      <c r="AX153">
        <v>0.37209302325581389</v>
      </c>
      <c r="AY153">
        <v>0.46511627906976749</v>
      </c>
      <c r="AZ153">
        <v>6.9767441860465129E-2</v>
      </c>
      <c r="BA153">
        <v>9.3023255813953487E-2</v>
      </c>
      <c r="BB153">
        <v>6.2192035579236471</v>
      </c>
      <c r="BC153">
        <v>20</v>
      </c>
      <c r="BD153">
        <v>229.90248606119221</v>
      </c>
      <c r="BE153">
        <v>1</v>
      </c>
      <c r="BF153">
        <v>8.6993404650164072E-2</v>
      </c>
      <c r="BG153">
        <v>15.28115725</v>
      </c>
      <c r="BH153">
        <v>15.28115725</v>
      </c>
      <c r="BI153">
        <v>15.28115725</v>
      </c>
      <c r="BJ153">
        <v>0</v>
      </c>
      <c r="BK153">
        <v>0</v>
      </c>
      <c r="BM153">
        <v>0</v>
      </c>
      <c r="BP153">
        <v>0</v>
      </c>
      <c r="BQ153">
        <v>0</v>
      </c>
      <c r="BS153">
        <v>0</v>
      </c>
      <c r="BT153">
        <v>0</v>
      </c>
      <c r="BU153">
        <v>0</v>
      </c>
      <c r="BV153">
        <v>388.97539902</v>
      </c>
      <c r="BW153">
        <v>0.102834266899083</v>
      </c>
      <c r="BX153">
        <v>10</v>
      </c>
      <c r="BY153">
        <v>5.1417133449541519E-2</v>
      </c>
      <c r="BZ153">
        <v>4.3496702325082043E-2</v>
      </c>
      <c r="CC153">
        <v>0.43867496702406639</v>
      </c>
      <c r="CF153">
        <v>0.51855446768991598</v>
      </c>
    </row>
    <row r="154" spans="1:84" x14ac:dyDescent="0.3">
      <c r="A154" s="1">
        <v>631</v>
      </c>
      <c r="B154" t="s">
        <v>1115</v>
      </c>
      <c r="C154" t="s">
        <v>1116</v>
      </c>
      <c r="E154" t="s">
        <v>404</v>
      </c>
      <c r="F154">
        <v>3.58</v>
      </c>
      <c r="G154" t="s">
        <v>1080</v>
      </c>
      <c r="H154">
        <v>-1</v>
      </c>
      <c r="I154">
        <v>-1</v>
      </c>
      <c r="J154">
        <v>1</v>
      </c>
      <c r="K154">
        <v>3.802</v>
      </c>
      <c r="L154">
        <v>3.802</v>
      </c>
      <c r="M154">
        <v>24.7</v>
      </c>
      <c r="N154" t="s">
        <v>101</v>
      </c>
      <c r="O154">
        <v>24.7</v>
      </c>
      <c r="Q154" t="s">
        <v>87</v>
      </c>
      <c r="R154">
        <v>1273</v>
      </c>
      <c r="S154">
        <v>10</v>
      </c>
      <c r="T154" t="b">
        <v>0</v>
      </c>
      <c r="U154" t="s">
        <v>125</v>
      </c>
      <c r="V154" t="s">
        <v>126</v>
      </c>
      <c r="W154">
        <v>1</v>
      </c>
      <c r="Y154">
        <v>0.5</v>
      </c>
      <c r="Z154">
        <v>1</v>
      </c>
      <c r="AC154" t="s">
        <v>90</v>
      </c>
      <c r="AD154">
        <v>125</v>
      </c>
      <c r="AE154">
        <v>220</v>
      </c>
      <c r="AF154" t="s">
        <v>91</v>
      </c>
      <c r="AG154">
        <v>288</v>
      </c>
      <c r="AH154">
        <v>68000</v>
      </c>
      <c r="AI154" t="s">
        <v>972</v>
      </c>
      <c r="AL154" t="b">
        <v>1</v>
      </c>
      <c r="AM154" t="b">
        <v>0</v>
      </c>
      <c r="AN154" t="b">
        <v>0</v>
      </c>
      <c r="AO154" t="b">
        <v>0</v>
      </c>
      <c r="AP154" t="s">
        <v>1158</v>
      </c>
      <c r="AS154">
        <v>11.127262984158239</v>
      </c>
      <c r="AT154">
        <v>1.510204081632653</v>
      </c>
      <c r="AU154">
        <v>1.2653061224489801</v>
      </c>
      <c r="AV154">
        <v>0.1224489795918367</v>
      </c>
      <c r="AW154">
        <v>0.16326530612244899</v>
      </c>
      <c r="AX154">
        <v>0.49333333333333329</v>
      </c>
      <c r="AY154">
        <v>0.41333333333333339</v>
      </c>
      <c r="AZ154">
        <v>0.04</v>
      </c>
      <c r="BA154">
        <v>5.333333333333333E-2</v>
      </c>
      <c r="BB154">
        <v>6.6971257268453872</v>
      </c>
      <c r="BC154">
        <v>20</v>
      </c>
      <c r="BD154">
        <v>733.37308460000008</v>
      </c>
      <c r="BE154">
        <v>2</v>
      </c>
      <c r="BF154">
        <v>5.4542497999932729E-2</v>
      </c>
      <c r="BG154">
        <v>3.8530000000000002</v>
      </c>
      <c r="BH154">
        <v>3.8530000000000002</v>
      </c>
      <c r="BI154">
        <v>49.4</v>
      </c>
      <c r="BJ154">
        <v>0</v>
      </c>
      <c r="BK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S154">
        <v>0</v>
      </c>
      <c r="BT154">
        <v>0</v>
      </c>
      <c r="BU154">
        <v>0</v>
      </c>
      <c r="BV154">
        <v>357.04353880000002</v>
      </c>
      <c r="BW154">
        <v>5.6015577448113731E-2</v>
      </c>
      <c r="BX154">
        <v>10</v>
      </c>
      <c r="BY154">
        <v>2.8007788724056869E-2</v>
      </c>
      <c r="BZ154">
        <v>2.7271248999966361E-2</v>
      </c>
      <c r="CC154">
        <v>0.33005342247707181</v>
      </c>
      <c r="CF154">
        <v>0.33896747906196412</v>
      </c>
    </row>
    <row r="155" spans="1:84" x14ac:dyDescent="0.3">
      <c r="A155" s="1">
        <v>632</v>
      </c>
      <c r="B155" t="s">
        <v>1115</v>
      </c>
      <c r="C155" t="s">
        <v>1116</v>
      </c>
      <c r="E155" t="s">
        <v>404</v>
      </c>
      <c r="F155">
        <v>3.58</v>
      </c>
      <c r="G155" t="s">
        <v>1080</v>
      </c>
      <c r="H155">
        <v>-1</v>
      </c>
      <c r="I155">
        <v>-1</v>
      </c>
      <c r="J155">
        <v>1</v>
      </c>
      <c r="K155">
        <v>3.802</v>
      </c>
      <c r="L155">
        <v>3.802</v>
      </c>
      <c r="M155">
        <v>24.7</v>
      </c>
      <c r="N155" t="s">
        <v>101</v>
      </c>
      <c r="O155">
        <v>24.7</v>
      </c>
      <c r="Q155" t="s">
        <v>87</v>
      </c>
      <c r="R155">
        <v>1273</v>
      </c>
      <c r="S155">
        <v>10</v>
      </c>
      <c r="T155" t="b">
        <v>0</v>
      </c>
      <c r="U155" t="s">
        <v>125</v>
      </c>
      <c r="V155" t="s">
        <v>126</v>
      </c>
      <c r="W155">
        <v>1</v>
      </c>
      <c r="Y155">
        <v>0.5</v>
      </c>
      <c r="Z155">
        <v>0.2</v>
      </c>
      <c r="AC155" t="s">
        <v>90</v>
      </c>
      <c r="AD155">
        <v>125</v>
      </c>
      <c r="AE155">
        <v>220</v>
      </c>
      <c r="AF155" t="s">
        <v>91</v>
      </c>
      <c r="AG155">
        <v>288</v>
      </c>
      <c r="AH155">
        <v>8000</v>
      </c>
      <c r="AI155" t="s">
        <v>972</v>
      </c>
      <c r="AL155" t="b">
        <v>1</v>
      </c>
      <c r="AM155" t="b">
        <v>0</v>
      </c>
      <c r="AN155" t="b">
        <v>0</v>
      </c>
      <c r="AO155" t="b">
        <v>0</v>
      </c>
      <c r="AP155" t="s">
        <v>1159</v>
      </c>
      <c r="AS155">
        <v>8.987196820661973</v>
      </c>
      <c r="AT155">
        <v>1.510204081632653</v>
      </c>
      <c r="AU155">
        <v>1.2653061224489801</v>
      </c>
      <c r="AV155">
        <v>0.1224489795918367</v>
      </c>
      <c r="AW155">
        <v>0.16326530612244899</v>
      </c>
      <c r="AX155">
        <v>0.49333333333333329</v>
      </c>
      <c r="AY155">
        <v>0.41333333333333339</v>
      </c>
      <c r="AZ155">
        <v>0.04</v>
      </c>
      <c r="BA155">
        <v>5.333333333333333E-2</v>
      </c>
      <c r="BB155">
        <v>6.6971257268453872</v>
      </c>
      <c r="BC155">
        <v>20</v>
      </c>
      <c r="BD155">
        <v>733.37308460000008</v>
      </c>
      <c r="BE155">
        <v>2</v>
      </c>
      <c r="BF155">
        <v>5.4542497999932729E-2</v>
      </c>
      <c r="BG155">
        <v>3.8530000000000002</v>
      </c>
      <c r="BH155">
        <v>3.8530000000000002</v>
      </c>
      <c r="BI155">
        <v>49.4</v>
      </c>
      <c r="BJ155">
        <v>0</v>
      </c>
      <c r="BK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S155">
        <v>0</v>
      </c>
      <c r="BT155">
        <v>0</v>
      </c>
      <c r="BU155">
        <v>0</v>
      </c>
      <c r="BV155">
        <v>357.04353880000002</v>
      </c>
      <c r="BW155">
        <v>5.6015577448113731E-2</v>
      </c>
      <c r="BX155">
        <v>10</v>
      </c>
      <c r="BY155">
        <v>2.8007788724056869E-2</v>
      </c>
      <c r="BZ155">
        <v>2.7271248999966361E-2</v>
      </c>
      <c r="CC155">
        <v>0.33005342247707181</v>
      </c>
      <c r="CF155">
        <v>0.33896747906196412</v>
      </c>
    </row>
    <row r="156" spans="1:84" x14ac:dyDescent="0.3">
      <c r="A156" s="1">
        <v>633</v>
      </c>
      <c r="B156" t="s">
        <v>1115</v>
      </c>
      <c r="C156" t="s">
        <v>1116</v>
      </c>
      <c r="E156" t="s">
        <v>404</v>
      </c>
      <c r="F156">
        <v>3.58</v>
      </c>
      <c r="G156" t="s">
        <v>1080</v>
      </c>
      <c r="H156">
        <v>-1</v>
      </c>
      <c r="I156">
        <v>-1</v>
      </c>
      <c r="J156">
        <v>1</v>
      </c>
      <c r="K156">
        <v>3.802</v>
      </c>
      <c r="L156">
        <v>3.802</v>
      </c>
      <c r="M156">
        <v>24.7</v>
      </c>
      <c r="N156" t="s">
        <v>101</v>
      </c>
      <c r="O156">
        <v>24.7</v>
      </c>
      <c r="Q156" t="s">
        <v>87</v>
      </c>
      <c r="R156">
        <v>1273</v>
      </c>
      <c r="S156">
        <v>10</v>
      </c>
      <c r="T156" t="b">
        <v>0</v>
      </c>
      <c r="U156" t="s">
        <v>125</v>
      </c>
      <c r="V156" t="s">
        <v>126</v>
      </c>
      <c r="W156">
        <v>1</v>
      </c>
      <c r="Y156">
        <v>0.5</v>
      </c>
      <c r="Z156">
        <v>0.5</v>
      </c>
      <c r="AC156" t="s">
        <v>90</v>
      </c>
      <c r="AD156">
        <v>125</v>
      </c>
      <c r="AE156">
        <v>220</v>
      </c>
      <c r="AF156" t="s">
        <v>91</v>
      </c>
      <c r="AG156">
        <v>288</v>
      </c>
      <c r="AH156">
        <v>20000</v>
      </c>
      <c r="AI156" t="s">
        <v>972</v>
      </c>
      <c r="AL156" t="b">
        <v>1</v>
      </c>
      <c r="AM156" t="b">
        <v>0</v>
      </c>
      <c r="AN156" t="b">
        <v>0</v>
      </c>
      <c r="AO156" t="b">
        <v>0</v>
      </c>
      <c r="AP156" t="s">
        <v>1160</v>
      </c>
      <c r="AS156">
        <v>9.9034875525361272</v>
      </c>
      <c r="AT156">
        <v>1.510204081632653</v>
      </c>
      <c r="AU156">
        <v>1.2653061224489801</v>
      </c>
      <c r="AV156">
        <v>0.1224489795918367</v>
      </c>
      <c r="AW156">
        <v>0.16326530612244899</v>
      </c>
      <c r="AX156">
        <v>0.49333333333333329</v>
      </c>
      <c r="AY156">
        <v>0.41333333333333339</v>
      </c>
      <c r="AZ156">
        <v>0.04</v>
      </c>
      <c r="BA156">
        <v>5.333333333333333E-2</v>
      </c>
      <c r="BB156">
        <v>6.6971257268453872</v>
      </c>
      <c r="BC156">
        <v>20</v>
      </c>
      <c r="BD156">
        <v>733.37308460000008</v>
      </c>
      <c r="BE156">
        <v>2</v>
      </c>
      <c r="BF156">
        <v>5.4542497999932729E-2</v>
      </c>
      <c r="BG156">
        <v>3.8530000000000002</v>
      </c>
      <c r="BH156">
        <v>3.8530000000000002</v>
      </c>
      <c r="BI156">
        <v>49.4</v>
      </c>
      <c r="BJ156">
        <v>0</v>
      </c>
      <c r="BK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S156">
        <v>0</v>
      </c>
      <c r="BT156">
        <v>0</v>
      </c>
      <c r="BU156">
        <v>0</v>
      </c>
      <c r="BV156">
        <v>357.04353880000002</v>
      </c>
      <c r="BW156">
        <v>5.6015577448113731E-2</v>
      </c>
      <c r="BX156">
        <v>10</v>
      </c>
      <c r="BY156">
        <v>2.8007788724056869E-2</v>
      </c>
      <c r="BZ156">
        <v>2.7271248999966361E-2</v>
      </c>
      <c r="CC156">
        <v>0.33005342247707181</v>
      </c>
      <c r="CF156">
        <v>0.33896747906196412</v>
      </c>
    </row>
    <row r="157" spans="1:84" x14ac:dyDescent="0.3">
      <c r="A157" s="1">
        <v>634</v>
      </c>
      <c r="B157" t="s">
        <v>1115</v>
      </c>
      <c r="C157" t="s">
        <v>1116</v>
      </c>
      <c r="E157" t="s">
        <v>404</v>
      </c>
      <c r="F157">
        <v>3.58</v>
      </c>
      <c r="G157" t="s">
        <v>1080</v>
      </c>
      <c r="H157">
        <v>-1</v>
      </c>
      <c r="I157">
        <v>-1</v>
      </c>
      <c r="J157">
        <v>1</v>
      </c>
      <c r="K157">
        <v>3.802</v>
      </c>
      <c r="L157">
        <v>3.802</v>
      </c>
      <c r="M157">
        <v>24.7</v>
      </c>
      <c r="N157" t="s">
        <v>101</v>
      </c>
      <c r="O157">
        <v>24.7</v>
      </c>
      <c r="Q157" t="s">
        <v>87</v>
      </c>
      <c r="R157">
        <v>1273</v>
      </c>
      <c r="S157">
        <v>10</v>
      </c>
      <c r="T157" t="b">
        <v>0</v>
      </c>
      <c r="U157" t="s">
        <v>125</v>
      </c>
      <c r="V157" t="s">
        <v>126</v>
      </c>
      <c r="W157">
        <v>1</v>
      </c>
      <c r="Y157">
        <v>0.5</v>
      </c>
      <c r="Z157">
        <v>0.75</v>
      </c>
      <c r="AC157" t="s">
        <v>90</v>
      </c>
      <c r="AD157">
        <v>125</v>
      </c>
      <c r="AE157">
        <v>220</v>
      </c>
      <c r="AF157" t="s">
        <v>91</v>
      </c>
      <c r="AG157">
        <v>288</v>
      </c>
      <c r="AH157">
        <v>52000</v>
      </c>
      <c r="AI157" t="s">
        <v>972</v>
      </c>
      <c r="AL157" t="b">
        <v>1</v>
      </c>
      <c r="AM157" t="b">
        <v>0</v>
      </c>
      <c r="AN157" t="b">
        <v>0</v>
      </c>
      <c r="AO157" t="b">
        <v>0</v>
      </c>
      <c r="AP157" t="s">
        <v>1161</v>
      </c>
      <c r="AS157">
        <v>10.85899899756356</v>
      </c>
      <c r="AT157">
        <v>1.510204081632653</v>
      </c>
      <c r="AU157">
        <v>1.2653061224489801</v>
      </c>
      <c r="AV157">
        <v>0.1224489795918367</v>
      </c>
      <c r="AW157">
        <v>0.16326530612244899</v>
      </c>
      <c r="AX157">
        <v>0.49333333333333329</v>
      </c>
      <c r="AY157">
        <v>0.41333333333333339</v>
      </c>
      <c r="AZ157">
        <v>0.04</v>
      </c>
      <c r="BA157">
        <v>5.333333333333333E-2</v>
      </c>
      <c r="BB157">
        <v>6.6971257268453872</v>
      </c>
      <c r="BC157">
        <v>20</v>
      </c>
      <c r="BD157">
        <v>733.37308460000008</v>
      </c>
      <c r="BE157">
        <v>2</v>
      </c>
      <c r="BF157">
        <v>5.4542497999932729E-2</v>
      </c>
      <c r="BG157">
        <v>3.8530000000000002</v>
      </c>
      <c r="BH157">
        <v>3.8530000000000002</v>
      </c>
      <c r="BI157">
        <v>49.4</v>
      </c>
      <c r="BJ157">
        <v>0</v>
      </c>
      <c r="BK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S157">
        <v>0</v>
      </c>
      <c r="BT157">
        <v>0</v>
      </c>
      <c r="BU157">
        <v>0</v>
      </c>
      <c r="BV157">
        <v>357.04353880000002</v>
      </c>
      <c r="BW157">
        <v>5.6015577448113731E-2</v>
      </c>
      <c r="BX157">
        <v>10</v>
      </c>
      <c r="BY157">
        <v>2.8007788724056869E-2</v>
      </c>
      <c r="BZ157">
        <v>2.7271248999966361E-2</v>
      </c>
      <c r="CC157">
        <v>0.33005342247707181</v>
      </c>
      <c r="CF157">
        <v>0.33896747906196412</v>
      </c>
    </row>
    <row r="158" spans="1:84" x14ac:dyDescent="0.3">
      <c r="A158" s="1">
        <v>635</v>
      </c>
      <c r="B158" t="s">
        <v>1115</v>
      </c>
      <c r="C158" t="s">
        <v>1116</v>
      </c>
      <c r="E158" t="s">
        <v>404</v>
      </c>
      <c r="F158">
        <v>3.58</v>
      </c>
      <c r="G158" t="s">
        <v>1080</v>
      </c>
      <c r="H158">
        <v>-1</v>
      </c>
      <c r="I158">
        <v>-1</v>
      </c>
      <c r="J158">
        <v>1</v>
      </c>
      <c r="K158">
        <v>3.802</v>
      </c>
      <c r="L158">
        <v>3.802</v>
      </c>
      <c r="M158">
        <v>24.7</v>
      </c>
      <c r="N158" t="s">
        <v>101</v>
      </c>
      <c r="O158">
        <v>24.7</v>
      </c>
      <c r="Q158" t="s">
        <v>87</v>
      </c>
      <c r="R158">
        <v>1273</v>
      </c>
      <c r="S158">
        <v>10</v>
      </c>
      <c r="T158" t="b">
        <v>0</v>
      </c>
      <c r="U158" t="s">
        <v>125</v>
      </c>
      <c r="V158" t="s">
        <v>126</v>
      </c>
      <c r="W158">
        <v>1</v>
      </c>
      <c r="Y158">
        <v>0.5</v>
      </c>
      <c r="Z158">
        <v>2</v>
      </c>
      <c r="AC158" t="s">
        <v>90</v>
      </c>
      <c r="AD158">
        <v>125</v>
      </c>
      <c r="AE158">
        <v>220</v>
      </c>
      <c r="AF158" t="s">
        <v>91</v>
      </c>
      <c r="AG158">
        <v>288</v>
      </c>
      <c r="AH158">
        <v>100000</v>
      </c>
      <c r="AI158" t="s">
        <v>972</v>
      </c>
      <c r="AL158" t="b">
        <v>1</v>
      </c>
      <c r="AM158" t="b">
        <v>0</v>
      </c>
      <c r="AN158" t="b">
        <v>0</v>
      </c>
      <c r="AO158" t="b">
        <v>0</v>
      </c>
      <c r="AP158" t="s">
        <v>1162</v>
      </c>
      <c r="AS158">
        <v>11.51292546497023</v>
      </c>
      <c r="AT158">
        <v>1.510204081632653</v>
      </c>
      <c r="AU158">
        <v>1.2653061224489801</v>
      </c>
      <c r="AV158">
        <v>0.1224489795918367</v>
      </c>
      <c r="AW158">
        <v>0.16326530612244899</v>
      </c>
      <c r="AX158">
        <v>0.49333333333333329</v>
      </c>
      <c r="AY158">
        <v>0.41333333333333339</v>
      </c>
      <c r="AZ158">
        <v>0.04</v>
      </c>
      <c r="BA158">
        <v>5.333333333333333E-2</v>
      </c>
      <c r="BB158">
        <v>6.6971257268453872</v>
      </c>
      <c r="BC158">
        <v>20</v>
      </c>
      <c r="BD158">
        <v>733.37308460000008</v>
      </c>
      <c r="BE158">
        <v>2</v>
      </c>
      <c r="BF158">
        <v>5.4542497999932729E-2</v>
      </c>
      <c r="BG158">
        <v>3.8530000000000002</v>
      </c>
      <c r="BH158">
        <v>3.8530000000000002</v>
      </c>
      <c r="BI158">
        <v>49.4</v>
      </c>
      <c r="BJ158">
        <v>0</v>
      </c>
      <c r="BK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S158">
        <v>0</v>
      </c>
      <c r="BT158">
        <v>0</v>
      </c>
      <c r="BU158">
        <v>0</v>
      </c>
      <c r="BV158">
        <v>357.04353880000002</v>
      </c>
      <c r="BW158">
        <v>5.6015577448113731E-2</v>
      </c>
      <c r="BX158">
        <v>10</v>
      </c>
      <c r="BY158">
        <v>2.8007788724056869E-2</v>
      </c>
      <c r="BZ158">
        <v>2.7271248999966361E-2</v>
      </c>
      <c r="CC158">
        <v>0.33005342247707181</v>
      </c>
      <c r="CF158">
        <v>0.33896747906196412</v>
      </c>
    </row>
    <row r="159" spans="1:84" x14ac:dyDescent="0.3">
      <c r="A159" s="1">
        <v>636</v>
      </c>
      <c r="B159" t="s">
        <v>1115</v>
      </c>
      <c r="C159" t="s">
        <v>1116</v>
      </c>
      <c r="E159" t="s">
        <v>404</v>
      </c>
      <c r="F159">
        <v>3.58</v>
      </c>
      <c r="G159" t="s">
        <v>1080</v>
      </c>
      <c r="H159">
        <v>-1</v>
      </c>
      <c r="I159">
        <v>-1</v>
      </c>
      <c r="J159">
        <v>1</v>
      </c>
      <c r="K159">
        <v>3.802</v>
      </c>
      <c r="L159">
        <v>3.802</v>
      </c>
      <c r="M159">
        <v>24.7</v>
      </c>
      <c r="N159" t="s">
        <v>101</v>
      </c>
      <c r="O159">
        <v>24.7</v>
      </c>
      <c r="Q159" t="s">
        <v>87</v>
      </c>
      <c r="R159">
        <v>1273</v>
      </c>
      <c r="S159">
        <v>10</v>
      </c>
      <c r="T159" t="b">
        <v>0</v>
      </c>
      <c r="U159" t="s">
        <v>125</v>
      </c>
      <c r="V159" t="s">
        <v>126</v>
      </c>
      <c r="W159">
        <v>1</v>
      </c>
      <c r="Y159">
        <v>0.5</v>
      </c>
      <c r="Z159">
        <v>6</v>
      </c>
      <c r="AC159" t="s">
        <v>90</v>
      </c>
      <c r="AD159">
        <v>125</v>
      </c>
      <c r="AE159">
        <v>220</v>
      </c>
      <c r="AF159" t="s">
        <v>91</v>
      </c>
      <c r="AG159">
        <v>288</v>
      </c>
      <c r="AH159">
        <v>140000</v>
      </c>
      <c r="AI159" t="s">
        <v>972</v>
      </c>
      <c r="AL159" t="b">
        <v>1</v>
      </c>
      <c r="AM159" t="b">
        <v>0</v>
      </c>
      <c r="AN159" t="b">
        <v>0</v>
      </c>
      <c r="AO159" t="b">
        <v>0</v>
      </c>
      <c r="AP159" t="s">
        <v>1163</v>
      </c>
      <c r="AS159">
        <v>11.849397701591441</v>
      </c>
      <c r="AT159">
        <v>1.510204081632653</v>
      </c>
      <c r="AU159">
        <v>1.2653061224489801</v>
      </c>
      <c r="AV159">
        <v>0.1224489795918367</v>
      </c>
      <c r="AW159">
        <v>0.16326530612244899</v>
      </c>
      <c r="AX159">
        <v>0.49333333333333329</v>
      </c>
      <c r="AY159">
        <v>0.41333333333333339</v>
      </c>
      <c r="AZ159">
        <v>0.04</v>
      </c>
      <c r="BA159">
        <v>5.333333333333333E-2</v>
      </c>
      <c r="BB159">
        <v>6.6971257268453872</v>
      </c>
      <c r="BC159">
        <v>20</v>
      </c>
      <c r="BD159">
        <v>733.37308460000008</v>
      </c>
      <c r="BE159">
        <v>2</v>
      </c>
      <c r="BF159">
        <v>5.4542497999932729E-2</v>
      </c>
      <c r="BG159">
        <v>3.8530000000000002</v>
      </c>
      <c r="BH159">
        <v>3.8530000000000002</v>
      </c>
      <c r="BI159">
        <v>49.4</v>
      </c>
      <c r="BJ159">
        <v>0</v>
      </c>
      <c r="BK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S159">
        <v>0</v>
      </c>
      <c r="BT159">
        <v>0</v>
      </c>
      <c r="BU159">
        <v>0</v>
      </c>
      <c r="BV159">
        <v>357.04353880000002</v>
      </c>
      <c r="BW159">
        <v>5.6015577448113731E-2</v>
      </c>
      <c r="BX159">
        <v>10</v>
      </c>
      <c r="BY159">
        <v>2.8007788724056869E-2</v>
      </c>
      <c r="BZ159">
        <v>2.7271248999966361E-2</v>
      </c>
      <c r="CC159">
        <v>0.33005342247707181</v>
      </c>
      <c r="CF159">
        <v>0.33896747906196412</v>
      </c>
    </row>
    <row r="160" spans="1:84" x14ac:dyDescent="0.3">
      <c r="A160" s="1">
        <v>637</v>
      </c>
      <c r="B160" t="s">
        <v>1115</v>
      </c>
      <c r="C160" t="s">
        <v>1116</v>
      </c>
      <c r="E160" t="s">
        <v>404</v>
      </c>
      <c r="F160">
        <v>3.58</v>
      </c>
      <c r="G160" t="s">
        <v>1080</v>
      </c>
      <c r="H160">
        <v>-1</v>
      </c>
      <c r="I160">
        <v>-1</v>
      </c>
      <c r="J160">
        <v>1</v>
      </c>
      <c r="K160">
        <v>3.802</v>
      </c>
      <c r="L160">
        <v>3.802</v>
      </c>
      <c r="M160">
        <v>24.7</v>
      </c>
      <c r="N160" t="s">
        <v>101</v>
      </c>
      <c r="O160">
        <v>24.7</v>
      </c>
      <c r="Q160" t="s">
        <v>87</v>
      </c>
      <c r="R160">
        <v>1273</v>
      </c>
      <c r="S160">
        <v>10</v>
      </c>
      <c r="T160" t="b">
        <v>0</v>
      </c>
      <c r="U160" t="s">
        <v>125</v>
      </c>
      <c r="V160" t="s">
        <v>126</v>
      </c>
      <c r="W160">
        <v>1</v>
      </c>
      <c r="Y160">
        <v>0.5</v>
      </c>
      <c r="Z160">
        <v>10</v>
      </c>
      <c r="AC160" t="s">
        <v>90</v>
      </c>
      <c r="AD160">
        <v>125</v>
      </c>
      <c r="AE160">
        <v>220</v>
      </c>
      <c r="AF160" t="s">
        <v>91</v>
      </c>
      <c r="AG160">
        <v>288</v>
      </c>
      <c r="AH160">
        <v>152000</v>
      </c>
      <c r="AI160" t="s">
        <v>972</v>
      </c>
      <c r="AL160" t="b">
        <v>1</v>
      </c>
      <c r="AM160" t="b">
        <v>0</v>
      </c>
      <c r="AN160" t="b">
        <v>0</v>
      </c>
      <c r="AO160" t="b">
        <v>0</v>
      </c>
      <c r="AP160" t="s">
        <v>1164</v>
      </c>
      <c r="AS160">
        <v>11.93163579982841</v>
      </c>
      <c r="AT160">
        <v>1.510204081632653</v>
      </c>
      <c r="AU160">
        <v>1.2653061224489801</v>
      </c>
      <c r="AV160">
        <v>0.1224489795918367</v>
      </c>
      <c r="AW160">
        <v>0.16326530612244899</v>
      </c>
      <c r="AX160">
        <v>0.49333333333333329</v>
      </c>
      <c r="AY160">
        <v>0.41333333333333339</v>
      </c>
      <c r="AZ160">
        <v>0.04</v>
      </c>
      <c r="BA160">
        <v>5.333333333333333E-2</v>
      </c>
      <c r="BB160">
        <v>6.6971257268453872</v>
      </c>
      <c r="BC160">
        <v>20</v>
      </c>
      <c r="BD160">
        <v>733.37308460000008</v>
      </c>
      <c r="BE160">
        <v>2</v>
      </c>
      <c r="BF160">
        <v>5.4542497999932729E-2</v>
      </c>
      <c r="BG160">
        <v>3.8530000000000002</v>
      </c>
      <c r="BH160">
        <v>3.8530000000000002</v>
      </c>
      <c r="BI160">
        <v>49.4</v>
      </c>
      <c r="BJ160">
        <v>0</v>
      </c>
      <c r="BK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S160">
        <v>0</v>
      </c>
      <c r="BT160">
        <v>0</v>
      </c>
      <c r="BU160">
        <v>0</v>
      </c>
      <c r="BV160">
        <v>357.04353880000002</v>
      </c>
      <c r="BW160">
        <v>5.6015577448113731E-2</v>
      </c>
      <c r="BX160">
        <v>10</v>
      </c>
      <c r="BY160">
        <v>2.8007788724056869E-2</v>
      </c>
      <c r="BZ160">
        <v>2.7271248999966361E-2</v>
      </c>
      <c r="CC160">
        <v>0.33005342247707181</v>
      </c>
      <c r="CF160">
        <v>0.33896747906196412</v>
      </c>
    </row>
    <row r="161" spans="1:84" x14ac:dyDescent="0.3">
      <c r="A161" s="1">
        <v>645</v>
      </c>
      <c r="B161" t="s">
        <v>1115</v>
      </c>
      <c r="C161" t="s">
        <v>1116</v>
      </c>
      <c r="E161" t="s">
        <v>404</v>
      </c>
      <c r="F161">
        <v>3.58</v>
      </c>
      <c r="G161" t="s">
        <v>1080</v>
      </c>
      <c r="H161">
        <v>-1</v>
      </c>
      <c r="I161">
        <v>-1</v>
      </c>
      <c r="J161">
        <v>1</v>
      </c>
      <c r="K161">
        <v>3.802</v>
      </c>
      <c r="L161">
        <v>3.802</v>
      </c>
      <c r="M161">
        <v>24.7</v>
      </c>
      <c r="N161" t="s">
        <v>101</v>
      </c>
      <c r="O161">
        <v>24.7</v>
      </c>
      <c r="Q161" t="s">
        <v>87</v>
      </c>
      <c r="R161">
        <v>1273</v>
      </c>
      <c r="S161">
        <v>10</v>
      </c>
      <c r="T161" t="b">
        <v>0</v>
      </c>
      <c r="U161" t="s">
        <v>125</v>
      </c>
      <c r="V161" t="s">
        <v>126</v>
      </c>
      <c r="W161">
        <v>1</v>
      </c>
      <c r="Y161">
        <v>0.16</v>
      </c>
      <c r="Z161">
        <v>1</v>
      </c>
      <c r="AC161" t="s">
        <v>90</v>
      </c>
      <c r="AD161">
        <v>125</v>
      </c>
      <c r="AE161">
        <v>220</v>
      </c>
      <c r="AF161" t="s">
        <v>91</v>
      </c>
      <c r="AG161">
        <v>288</v>
      </c>
      <c r="AH161">
        <v>30000</v>
      </c>
      <c r="AI161" t="s">
        <v>972</v>
      </c>
      <c r="AL161" t="b">
        <v>1</v>
      </c>
      <c r="AM161" t="b">
        <v>0</v>
      </c>
      <c r="AN161" t="b">
        <v>0</v>
      </c>
      <c r="AO161" t="b">
        <v>0</v>
      </c>
      <c r="AP161" t="s">
        <v>1171</v>
      </c>
      <c r="AS161">
        <v>10.308952660644289</v>
      </c>
      <c r="AT161">
        <v>1.510204081632653</v>
      </c>
      <c r="AU161">
        <v>1.2653061224489801</v>
      </c>
      <c r="AV161">
        <v>0.1224489795918367</v>
      </c>
      <c r="AW161">
        <v>0.16326530612244899</v>
      </c>
      <c r="AX161">
        <v>0.49333333333333329</v>
      </c>
      <c r="AY161">
        <v>0.41333333333333339</v>
      </c>
      <c r="AZ161">
        <v>0.04</v>
      </c>
      <c r="BA161">
        <v>5.333333333333333E-2</v>
      </c>
      <c r="BB161">
        <v>6.6971257268453872</v>
      </c>
      <c r="BC161">
        <v>20</v>
      </c>
      <c r="BD161">
        <v>733.37308460000008</v>
      </c>
      <c r="BE161">
        <v>2</v>
      </c>
      <c r="BF161">
        <v>5.4542497999932729E-2</v>
      </c>
      <c r="BG161">
        <v>3.8530000000000002</v>
      </c>
      <c r="BH161">
        <v>3.8530000000000002</v>
      </c>
      <c r="BI161">
        <v>49.4</v>
      </c>
      <c r="BJ161">
        <v>0</v>
      </c>
      <c r="BK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S161">
        <v>0</v>
      </c>
      <c r="BT161">
        <v>0</v>
      </c>
      <c r="BU161">
        <v>0</v>
      </c>
      <c r="BV161">
        <v>357.04353880000002</v>
      </c>
      <c r="BW161">
        <v>5.6015577448113731E-2</v>
      </c>
      <c r="BX161">
        <v>10</v>
      </c>
      <c r="BY161">
        <v>2.8007788724056869E-2</v>
      </c>
      <c r="BZ161">
        <v>2.7271248999966361E-2</v>
      </c>
      <c r="CC161">
        <v>0.33005342247707181</v>
      </c>
      <c r="CF161">
        <v>0.33896747906196412</v>
      </c>
    </row>
    <row r="162" spans="1:84" x14ac:dyDescent="0.3">
      <c r="A162" s="1">
        <v>646</v>
      </c>
      <c r="B162" t="s">
        <v>1115</v>
      </c>
      <c r="C162" t="s">
        <v>1116</v>
      </c>
      <c r="E162" t="s">
        <v>404</v>
      </c>
      <c r="F162">
        <v>3.58</v>
      </c>
      <c r="G162" t="s">
        <v>1080</v>
      </c>
      <c r="H162">
        <v>-1</v>
      </c>
      <c r="I162">
        <v>-1</v>
      </c>
      <c r="J162">
        <v>1</v>
      </c>
      <c r="K162">
        <v>3.802</v>
      </c>
      <c r="L162">
        <v>3.802</v>
      </c>
      <c r="M162">
        <v>24.7</v>
      </c>
      <c r="N162" t="s">
        <v>101</v>
      </c>
      <c r="O162">
        <v>24.7</v>
      </c>
      <c r="Q162" t="s">
        <v>87</v>
      </c>
      <c r="R162">
        <v>1273</v>
      </c>
      <c r="S162">
        <v>10</v>
      </c>
      <c r="T162" t="b">
        <v>0</v>
      </c>
      <c r="U162" t="s">
        <v>125</v>
      </c>
      <c r="V162" t="s">
        <v>126</v>
      </c>
      <c r="W162">
        <v>1</v>
      </c>
      <c r="Y162">
        <v>0.32</v>
      </c>
      <c r="Z162">
        <v>1</v>
      </c>
      <c r="AC162" t="s">
        <v>90</v>
      </c>
      <c r="AD162">
        <v>125</v>
      </c>
      <c r="AE162">
        <v>220</v>
      </c>
      <c r="AF162" t="s">
        <v>91</v>
      </c>
      <c r="AG162">
        <v>288</v>
      </c>
      <c r="AH162">
        <v>64000</v>
      </c>
      <c r="AI162" t="s">
        <v>972</v>
      </c>
      <c r="AL162" t="b">
        <v>1</v>
      </c>
      <c r="AM162" t="b">
        <v>0</v>
      </c>
      <c r="AN162" t="b">
        <v>0</v>
      </c>
      <c r="AO162" t="b">
        <v>0</v>
      </c>
      <c r="AP162" t="s">
        <v>1172</v>
      </c>
      <c r="AS162">
        <v>11.066638362341809</v>
      </c>
      <c r="AT162">
        <v>1.510204081632653</v>
      </c>
      <c r="AU162">
        <v>1.2653061224489801</v>
      </c>
      <c r="AV162">
        <v>0.1224489795918367</v>
      </c>
      <c r="AW162">
        <v>0.16326530612244899</v>
      </c>
      <c r="AX162">
        <v>0.49333333333333329</v>
      </c>
      <c r="AY162">
        <v>0.41333333333333339</v>
      </c>
      <c r="AZ162">
        <v>0.04</v>
      </c>
      <c r="BA162">
        <v>5.333333333333333E-2</v>
      </c>
      <c r="BB162">
        <v>6.6971257268453872</v>
      </c>
      <c r="BC162">
        <v>20</v>
      </c>
      <c r="BD162">
        <v>733.37308460000008</v>
      </c>
      <c r="BE162">
        <v>2</v>
      </c>
      <c r="BF162">
        <v>5.4542497999932729E-2</v>
      </c>
      <c r="BG162">
        <v>3.8530000000000002</v>
      </c>
      <c r="BH162">
        <v>3.8530000000000002</v>
      </c>
      <c r="BI162">
        <v>49.4</v>
      </c>
      <c r="BJ162">
        <v>0</v>
      </c>
      <c r="BK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S162">
        <v>0</v>
      </c>
      <c r="BT162">
        <v>0</v>
      </c>
      <c r="BU162">
        <v>0</v>
      </c>
      <c r="BV162">
        <v>357.04353880000002</v>
      </c>
      <c r="BW162">
        <v>5.6015577448113731E-2</v>
      </c>
      <c r="BX162">
        <v>10</v>
      </c>
      <c r="BY162">
        <v>2.8007788724056869E-2</v>
      </c>
      <c r="BZ162">
        <v>2.7271248999966361E-2</v>
      </c>
      <c r="CC162">
        <v>0.33005342247707181</v>
      </c>
      <c r="CF162">
        <v>0.33896747906196412</v>
      </c>
    </row>
    <row r="163" spans="1:84" x14ac:dyDescent="0.3">
      <c r="A163" s="1">
        <v>647</v>
      </c>
      <c r="B163" t="s">
        <v>1115</v>
      </c>
      <c r="C163" t="s">
        <v>1116</v>
      </c>
      <c r="E163" t="s">
        <v>404</v>
      </c>
      <c r="F163">
        <v>3.58</v>
      </c>
      <c r="G163" t="s">
        <v>1080</v>
      </c>
      <c r="H163">
        <v>-1</v>
      </c>
      <c r="I163">
        <v>-1</v>
      </c>
      <c r="J163">
        <v>1</v>
      </c>
      <c r="K163">
        <v>3.802</v>
      </c>
      <c r="L163">
        <v>3.802</v>
      </c>
      <c r="M163">
        <v>24.7</v>
      </c>
      <c r="N163" t="s">
        <v>101</v>
      </c>
      <c r="O163">
        <v>24.7</v>
      </c>
      <c r="Q163" t="s">
        <v>87</v>
      </c>
      <c r="R163">
        <v>1273</v>
      </c>
      <c r="S163">
        <v>10</v>
      </c>
      <c r="T163" t="b">
        <v>0</v>
      </c>
      <c r="U163" t="s">
        <v>125</v>
      </c>
      <c r="V163" t="s">
        <v>126</v>
      </c>
      <c r="W163">
        <v>1</v>
      </c>
      <c r="Y163">
        <v>1</v>
      </c>
      <c r="Z163">
        <v>1</v>
      </c>
      <c r="AC163" t="s">
        <v>90</v>
      </c>
      <c r="AD163">
        <v>125</v>
      </c>
      <c r="AE163">
        <v>220</v>
      </c>
      <c r="AF163" t="s">
        <v>91</v>
      </c>
      <c r="AG163">
        <v>288</v>
      </c>
      <c r="AH163">
        <v>88000</v>
      </c>
      <c r="AI163" t="s">
        <v>972</v>
      </c>
      <c r="AL163" t="b">
        <v>1</v>
      </c>
      <c r="AM163" t="b">
        <v>0</v>
      </c>
      <c r="AN163" t="b">
        <v>0</v>
      </c>
      <c r="AO163" t="b">
        <v>0</v>
      </c>
      <c r="AP163" t="s">
        <v>1173</v>
      </c>
      <c r="AS163">
        <v>11.38509209346034</v>
      </c>
      <c r="AT163">
        <v>1.510204081632653</v>
      </c>
      <c r="AU163">
        <v>1.2653061224489801</v>
      </c>
      <c r="AV163">
        <v>0.1224489795918367</v>
      </c>
      <c r="AW163">
        <v>0.16326530612244899</v>
      </c>
      <c r="AX163">
        <v>0.49333333333333329</v>
      </c>
      <c r="AY163">
        <v>0.41333333333333339</v>
      </c>
      <c r="AZ163">
        <v>0.04</v>
      </c>
      <c r="BA163">
        <v>5.333333333333333E-2</v>
      </c>
      <c r="BB163">
        <v>6.6971257268453872</v>
      </c>
      <c r="BC163">
        <v>20</v>
      </c>
      <c r="BD163">
        <v>733.37308460000008</v>
      </c>
      <c r="BE163">
        <v>2</v>
      </c>
      <c r="BF163">
        <v>5.4542497999932729E-2</v>
      </c>
      <c r="BG163">
        <v>3.8530000000000002</v>
      </c>
      <c r="BH163">
        <v>3.8530000000000002</v>
      </c>
      <c r="BI163">
        <v>49.4</v>
      </c>
      <c r="BJ163">
        <v>0</v>
      </c>
      <c r="BK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S163">
        <v>0</v>
      </c>
      <c r="BT163">
        <v>0</v>
      </c>
      <c r="BU163">
        <v>0</v>
      </c>
      <c r="BV163">
        <v>357.04353880000002</v>
      </c>
      <c r="BW163">
        <v>5.6015577448113731E-2</v>
      </c>
      <c r="BX163">
        <v>10</v>
      </c>
      <c r="BY163">
        <v>2.8007788724056869E-2</v>
      </c>
      <c r="BZ163">
        <v>2.7271248999966361E-2</v>
      </c>
      <c r="CC163">
        <v>0.33005342247707181</v>
      </c>
      <c r="CF163">
        <v>0.33896747906196412</v>
      </c>
    </row>
    <row r="164" spans="1:84" x14ac:dyDescent="0.3">
      <c r="A164" s="1">
        <v>648</v>
      </c>
      <c r="B164" t="s">
        <v>1115</v>
      </c>
      <c r="C164" t="s">
        <v>1116</v>
      </c>
      <c r="E164" t="s">
        <v>404</v>
      </c>
      <c r="F164">
        <v>3.58</v>
      </c>
      <c r="G164" t="s">
        <v>1080</v>
      </c>
      <c r="H164">
        <v>-1</v>
      </c>
      <c r="I164">
        <v>-1</v>
      </c>
      <c r="J164">
        <v>1</v>
      </c>
      <c r="K164">
        <v>3.802</v>
      </c>
      <c r="L164">
        <v>3.802</v>
      </c>
      <c r="M164">
        <v>24.7</v>
      </c>
      <c r="N164" t="s">
        <v>101</v>
      </c>
      <c r="O164">
        <v>24.7</v>
      </c>
      <c r="Q164" t="s">
        <v>87</v>
      </c>
      <c r="R164">
        <v>1273</v>
      </c>
      <c r="S164">
        <v>10</v>
      </c>
      <c r="T164" t="b">
        <v>0</v>
      </c>
      <c r="U164" t="s">
        <v>125</v>
      </c>
      <c r="V164" t="s">
        <v>126</v>
      </c>
      <c r="W164">
        <v>1</v>
      </c>
      <c r="Y164">
        <v>2</v>
      </c>
      <c r="Z164">
        <v>1</v>
      </c>
      <c r="AC164" t="s">
        <v>90</v>
      </c>
      <c r="AD164">
        <v>125</v>
      </c>
      <c r="AE164">
        <v>220</v>
      </c>
      <c r="AF164" t="s">
        <v>91</v>
      </c>
      <c r="AG164">
        <v>288</v>
      </c>
      <c r="AH164">
        <v>84000</v>
      </c>
      <c r="AI164" t="s">
        <v>972</v>
      </c>
      <c r="AL164" t="b">
        <v>1</v>
      </c>
      <c r="AM164" t="b">
        <v>0</v>
      </c>
      <c r="AN164" t="b">
        <v>0</v>
      </c>
      <c r="AO164" t="b">
        <v>0</v>
      </c>
      <c r="AP164" t="s">
        <v>1174</v>
      </c>
      <c r="AS164">
        <v>11.33857207782545</v>
      </c>
      <c r="AT164">
        <v>1.510204081632653</v>
      </c>
      <c r="AU164">
        <v>1.2653061224489801</v>
      </c>
      <c r="AV164">
        <v>0.1224489795918367</v>
      </c>
      <c r="AW164">
        <v>0.16326530612244899</v>
      </c>
      <c r="AX164">
        <v>0.49333333333333329</v>
      </c>
      <c r="AY164">
        <v>0.41333333333333339</v>
      </c>
      <c r="AZ164">
        <v>0.04</v>
      </c>
      <c r="BA164">
        <v>5.333333333333333E-2</v>
      </c>
      <c r="BB164">
        <v>6.6971257268453872</v>
      </c>
      <c r="BC164">
        <v>20</v>
      </c>
      <c r="BD164">
        <v>733.37308460000008</v>
      </c>
      <c r="BE164">
        <v>2</v>
      </c>
      <c r="BF164">
        <v>5.4542497999932729E-2</v>
      </c>
      <c r="BG164">
        <v>3.8530000000000002</v>
      </c>
      <c r="BH164">
        <v>3.8530000000000002</v>
      </c>
      <c r="BI164">
        <v>49.4</v>
      </c>
      <c r="BJ164">
        <v>0</v>
      </c>
      <c r="BK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S164">
        <v>0</v>
      </c>
      <c r="BT164">
        <v>0</v>
      </c>
      <c r="BU164">
        <v>0</v>
      </c>
      <c r="BV164">
        <v>357.04353880000002</v>
      </c>
      <c r="BW164">
        <v>5.6015577448113731E-2</v>
      </c>
      <c r="BX164">
        <v>10</v>
      </c>
      <c r="BY164">
        <v>2.8007788724056869E-2</v>
      </c>
      <c r="BZ164">
        <v>2.7271248999966361E-2</v>
      </c>
      <c r="CC164">
        <v>0.33005342247707181</v>
      </c>
      <c r="CF164">
        <v>0.33896747906196412</v>
      </c>
    </row>
    <row r="165" spans="1:84" x14ac:dyDescent="0.3">
      <c r="A165" s="1">
        <v>670</v>
      </c>
      <c r="B165" t="s">
        <v>140</v>
      </c>
      <c r="C165" t="s">
        <v>141</v>
      </c>
      <c r="E165" t="s">
        <v>106</v>
      </c>
      <c r="F165">
        <v>3.5</v>
      </c>
      <c r="G165" t="s">
        <v>142</v>
      </c>
      <c r="H165">
        <v>1522043</v>
      </c>
      <c r="I165">
        <v>-1</v>
      </c>
      <c r="J165">
        <v>2</v>
      </c>
      <c r="K165">
        <v>3.843</v>
      </c>
      <c r="L165">
        <v>3.843</v>
      </c>
      <c r="M165">
        <v>32.261000000000003</v>
      </c>
      <c r="N165" t="s">
        <v>1178</v>
      </c>
      <c r="O165">
        <v>16.130500000000001</v>
      </c>
      <c r="Q165" t="s">
        <v>87</v>
      </c>
      <c r="R165">
        <v>1373</v>
      </c>
      <c r="S165">
        <v>24</v>
      </c>
      <c r="T165" t="b">
        <v>0</v>
      </c>
      <c r="U165" t="s">
        <v>125</v>
      </c>
      <c r="V165" t="s">
        <v>126</v>
      </c>
      <c r="W165">
        <v>1</v>
      </c>
      <c r="Y165">
        <v>0.5</v>
      </c>
      <c r="Z165">
        <v>1</v>
      </c>
      <c r="AC165" t="s">
        <v>90</v>
      </c>
      <c r="AD165">
        <v>125</v>
      </c>
      <c r="AE165">
        <v>220</v>
      </c>
      <c r="AF165" t="s">
        <v>91</v>
      </c>
      <c r="AG165">
        <v>288</v>
      </c>
      <c r="AH165">
        <v>22289.93771055893</v>
      </c>
      <c r="AI165" t="s">
        <v>144</v>
      </c>
      <c r="AJ165" t="s">
        <v>144</v>
      </c>
      <c r="AL165" t="b">
        <v>1</v>
      </c>
      <c r="AM165" t="b">
        <v>1</v>
      </c>
      <c r="AN165" t="b">
        <v>0</v>
      </c>
      <c r="AO165" t="b">
        <v>0</v>
      </c>
      <c r="AP165" t="s">
        <v>1179</v>
      </c>
      <c r="AQ165" t="s">
        <v>1180</v>
      </c>
      <c r="AS165">
        <v>10.01189063187439</v>
      </c>
      <c r="AT165">
        <v>1.75</v>
      </c>
      <c r="AU165">
        <v>2.5</v>
      </c>
      <c r="AV165">
        <v>0.75</v>
      </c>
      <c r="AW165">
        <v>0</v>
      </c>
      <c r="AX165">
        <v>0.35</v>
      </c>
      <c r="AY165">
        <v>0.5</v>
      </c>
      <c r="AZ165">
        <v>0.15</v>
      </c>
      <c r="BA165">
        <v>0</v>
      </c>
      <c r="BB165">
        <v>6.2640154224906874</v>
      </c>
      <c r="BC165">
        <v>20</v>
      </c>
      <c r="BD165">
        <v>242.1279024923125</v>
      </c>
      <c r="BE165">
        <v>1</v>
      </c>
      <c r="BF165">
        <v>8.2600971611006269E-2</v>
      </c>
      <c r="BG165">
        <v>3.950634</v>
      </c>
      <c r="BH165">
        <v>3.950634</v>
      </c>
      <c r="BI165">
        <v>15.513552000000001</v>
      </c>
      <c r="BJ165">
        <v>227.970829547178</v>
      </c>
      <c r="BK165">
        <v>1</v>
      </c>
      <c r="BL165">
        <v>8.7730522539775438E-2</v>
      </c>
      <c r="BM165">
        <v>3.8658999999999999</v>
      </c>
      <c r="BN165">
        <v>3.8658999999999999</v>
      </c>
      <c r="BO165">
        <v>15.2538</v>
      </c>
      <c r="BP165">
        <v>0</v>
      </c>
      <c r="BQ165">
        <v>0</v>
      </c>
      <c r="BS165">
        <v>0</v>
      </c>
      <c r="BT165">
        <v>0</v>
      </c>
      <c r="BU165">
        <v>0</v>
      </c>
      <c r="BV165">
        <v>476.45138538900011</v>
      </c>
      <c r="BW165">
        <v>8.3954000820759267E-2</v>
      </c>
      <c r="BX165">
        <v>10</v>
      </c>
      <c r="BY165">
        <v>4.1977000410379627E-2</v>
      </c>
      <c r="BZ165">
        <v>4.1300485805503127E-2</v>
      </c>
      <c r="CA165">
        <v>4.3865261269887719E-2</v>
      </c>
      <c r="CC165">
        <v>0.42195359024583579</v>
      </c>
      <c r="CD165">
        <v>0.44815706447294301</v>
      </c>
      <c r="CF165">
        <v>0.42886531926824228</v>
      </c>
    </row>
    <row r="166" spans="1:84" x14ac:dyDescent="0.3">
      <c r="A166" s="1">
        <v>672</v>
      </c>
      <c r="B166" t="s">
        <v>249</v>
      </c>
      <c r="C166" t="s">
        <v>250</v>
      </c>
      <c r="E166" t="s">
        <v>130</v>
      </c>
      <c r="F166">
        <v>3</v>
      </c>
      <c r="G166">
        <v>-1</v>
      </c>
      <c r="H166">
        <v>-1</v>
      </c>
      <c r="I166" t="s">
        <v>251</v>
      </c>
      <c r="Q166" t="s">
        <v>248</v>
      </c>
      <c r="T166" t="b">
        <v>0</v>
      </c>
      <c r="U166" t="s">
        <v>125</v>
      </c>
      <c r="V166" t="s">
        <v>126</v>
      </c>
      <c r="W166">
        <v>1</v>
      </c>
      <c r="Y166">
        <v>0.5</v>
      </c>
      <c r="Z166">
        <v>1</v>
      </c>
      <c r="AC166" t="s">
        <v>90</v>
      </c>
      <c r="AD166">
        <v>125</v>
      </c>
      <c r="AE166">
        <v>220</v>
      </c>
      <c r="AF166" t="s">
        <v>91</v>
      </c>
      <c r="AG166">
        <v>288</v>
      </c>
      <c r="AH166">
        <v>133.13466778756961</v>
      </c>
      <c r="AL166" t="b">
        <v>0</v>
      </c>
      <c r="AM166" t="b">
        <v>0</v>
      </c>
      <c r="AN166" t="b">
        <v>1</v>
      </c>
      <c r="AO166" t="b">
        <v>0</v>
      </c>
      <c r="AP166">
        <v>-1</v>
      </c>
      <c r="AQ166">
        <v>-1</v>
      </c>
      <c r="AR166" t="s">
        <v>251</v>
      </c>
      <c r="AS166">
        <v>4.8913611557053054</v>
      </c>
      <c r="AT166">
        <v>1.714285714285714</v>
      </c>
      <c r="AU166">
        <v>2.8571428571428572</v>
      </c>
      <c r="AV166">
        <v>1.142857142857143</v>
      </c>
      <c r="AW166">
        <v>0</v>
      </c>
      <c r="AX166">
        <v>0.3</v>
      </c>
      <c r="AY166">
        <v>0.5</v>
      </c>
      <c r="AZ166">
        <v>0.2</v>
      </c>
      <c r="BA166">
        <v>0</v>
      </c>
      <c r="BB166">
        <v>6.4820252782142864</v>
      </c>
      <c r="BC166">
        <v>10</v>
      </c>
      <c r="BD166">
        <v>0</v>
      </c>
      <c r="BE166">
        <v>0</v>
      </c>
      <c r="BG166">
        <v>0</v>
      </c>
      <c r="BJ166">
        <v>0</v>
      </c>
      <c r="BK166">
        <v>0</v>
      </c>
      <c r="BM166">
        <v>0</v>
      </c>
      <c r="BP166">
        <v>1351.782831723561</v>
      </c>
      <c r="BQ166">
        <v>14</v>
      </c>
      <c r="BR166">
        <v>0.10356693154735221</v>
      </c>
      <c r="BS166">
        <v>19.329999999999998</v>
      </c>
      <c r="BT166">
        <v>3.823</v>
      </c>
      <c r="BU166">
        <v>20.322500000000002</v>
      </c>
      <c r="BX166">
        <v>5</v>
      </c>
      <c r="CB166">
        <v>5.1783465773676103E-2</v>
      </c>
      <c r="CE166">
        <v>0.47507575040644112</v>
      </c>
    </row>
    <row r="167" spans="1:84" x14ac:dyDescent="0.3">
      <c r="A167" s="1">
        <v>688</v>
      </c>
      <c r="B167" t="s">
        <v>372</v>
      </c>
      <c r="C167" t="s">
        <v>944</v>
      </c>
      <c r="E167" t="s">
        <v>372</v>
      </c>
      <c r="F167">
        <v>3.45</v>
      </c>
      <c r="G167" t="s">
        <v>373</v>
      </c>
      <c r="H167">
        <v>-1</v>
      </c>
      <c r="I167" t="s">
        <v>901</v>
      </c>
      <c r="J167">
        <v>2</v>
      </c>
      <c r="K167">
        <v>3.7</v>
      </c>
      <c r="L167">
        <v>3.7</v>
      </c>
      <c r="M167">
        <v>12.2</v>
      </c>
      <c r="O167">
        <v>12.2</v>
      </c>
      <c r="Q167" t="s">
        <v>87</v>
      </c>
      <c r="R167">
        <v>1098</v>
      </c>
      <c r="S167">
        <v>12</v>
      </c>
      <c r="T167" t="b">
        <v>0</v>
      </c>
      <c r="U167" t="s">
        <v>125</v>
      </c>
      <c r="V167" t="s">
        <v>126</v>
      </c>
      <c r="W167">
        <v>1</v>
      </c>
      <c r="X167">
        <v>9.6999999999999993</v>
      </c>
      <c r="Y167">
        <v>0.5</v>
      </c>
      <c r="Z167">
        <v>1</v>
      </c>
      <c r="AC167" t="s">
        <v>90</v>
      </c>
      <c r="AD167">
        <v>125</v>
      </c>
      <c r="AE167">
        <v>220</v>
      </c>
      <c r="AF167" t="s">
        <v>91</v>
      </c>
      <c r="AG167">
        <v>288</v>
      </c>
      <c r="AH167">
        <v>567.99999999999989</v>
      </c>
      <c r="AI167" t="s">
        <v>136</v>
      </c>
      <c r="AL167" t="b">
        <v>1</v>
      </c>
      <c r="AM167" t="b">
        <v>0</v>
      </c>
      <c r="AN167" t="b">
        <v>0</v>
      </c>
      <c r="AO167" t="b">
        <v>0</v>
      </c>
      <c r="AP167" t="s">
        <v>1189</v>
      </c>
      <c r="AR167" t="s">
        <v>901</v>
      </c>
      <c r="AS167">
        <v>6.3421214187211508</v>
      </c>
      <c r="AT167">
        <v>1.857142857142857</v>
      </c>
      <c r="AU167">
        <v>2.285714285714286</v>
      </c>
      <c r="AV167">
        <v>0.42857142857142849</v>
      </c>
      <c r="AW167">
        <v>0</v>
      </c>
      <c r="AX167">
        <v>0.40625000000000011</v>
      </c>
      <c r="AY167">
        <v>0.5</v>
      </c>
      <c r="AZ167">
        <v>9.375E-2</v>
      </c>
      <c r="BA167">
        <v>0</v>
      </c>
      <c r="BB167">
        <v>6.2648152075501429</v>
      </c>
      <c r="BC167">
        <v>8</v>
      </c>
      <c r="BD167">
        <v>203.79933701026059</v>
      </c>
      <c r="BE167">
        <v>2</v>
      </c>
      <c r="BF167">
        <v>7.8508596910668346E-2</v>
      </c>
      <c r="BG167">
        <v>3.8703880000000002</v>
      </c>
      <c r="BH167">
        <v>3.8703880000000002</v>
      </c>
      <c r="BI167">
        <v>13.604850000000001</v>
      </c>
      <c r="BJ167">
        <v>0</v>
      </c>
      <c r="BK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S167">
        <v>0</v>
      </c>
      <c r="BT167">
        <v>0</v>
      </c>
      <c r="BU167">
        <v>0</v>
      </c>
      <c r="BV167">
        <v>167.018</v>
      </c>
      <c r="BW167">
        <v>9.579805769438024E-2</v>
      </c>
      <c r="BX167">
        <v>4</v>
      </c>
      <c r="BY167">
        <v>4.789902884719012E-2</v>
      </c>
      <c r="BZ167">
        <v>3.9254298455334173E-2</v>
      </c>
      <c r="CC167">
        <v>0.41209139981608062</v>
      </c>
      <c r="CF167">
        <v>0.50284372983838532</v>
      </c>
    </row>
    <row r="168" spans="1:84" x14ac:dyDescent="0.3">
      <c r="A168" s="1">
        <v>689</v>
      </c>
      <c r="B168" t="s">
        <v>970</v>
      </c>
      <c r="C168" t="s">
        <v>971</v>
      </c>
      <c r="E168" t="s">
        <v>372</v>
      </c>
      <c r="F168">
        <v>3.48</v>
      </c>
      <c r="G168" t="s">
        <v>373</v>
      </c>
      <c r="H168">
        <v>-1</v>
      </c>
      <c r="I168" t="s">
        <v>754</v>
      </c>
      <c r="J168">
        <v>2</v>
      </c>
      <c r="K168">
        <v>3.7</v>
      </c>
      <c r="L168">
        <v>3.7</v>
      </c>
      <c r="M168">
        <v>12.1</v>
      </c>
      <c r="O168">
        <v>12.1</v>
      </c>
      <c r="Q168" t="s">
        <v>87</v>
      </c>
      <c r="R168">
        <v>1098</v>
      </c>
      <c r="S168">
        <v>12</v>
      </c>
      <c r="T168" t="b">
        <v>0</v>
      </c>
      <c r="U168" t="s">
        <v>125</v>
      </c>
      <c r="V168" t="s">
        <v>126</v>
      </c>
      <c r="W168">
        <v>1</v>
      </c>
      <c r="X168">
        <v>8.6</v>
      </c>
      <c r="Y168">
        <v>0.5</v>
      </c>
      <c r="Z168">
        <v>1</v>
      </c>
      <c r="AC168" t="s">
        <v>90</v>
      </c>
      <c r="AD168">
        <v>125</v>
      </c>
      <c r="AE168">
        <v>220</v>
      </c>
      <c r="AF168" t="s">
        <v>91</v>
      </c>
      <c r="AG168">
        <v>288</v>
      </c>
      <c r="AH168">
        <v>249.2</v>
      </c>
      <c r="AI168" t="s">
        <v>972</v>
      </c>
      <c r="AL168" t="b">
        <v>1</v>
      </c>
      <c r="AM168" t="b">
        <v>0</v>
      </c>
      <c r="AN168" t="b">
        <v>0</v>
      </c>
      <c r="AO168" t="b">
        <v>0</v>
      </c>
      <c r="AP168" t="s">
        <v>1190</v>
      </c>
      <c r="AR168" t="s">
        <v>754</v>
      </c>
      <c r="AS168">
        <v>5.518255786913298</v>
      </c>
      <c r="AT168">
        <v>1.857142857142857</v>
      </c>
      <c r="AU168">
        <v>2.285714285714286</v>
      </c>
      <c r="AV168">
        <v>0.2857142857142857</v>
      </c>
      <c r="AW168">
        <v>0.5714285714285714</v>
      </c>
      <c r="AX168">
        <v>0.37142857142857139</v>
      </c>
      <c r="AY168">
        <v>0.45714285714285707</v>
      </c>
      <c r="AZ168">
        <v>5.7142857142857141E-2</v>
      </c>
      <c r="BA168">
        <v>0.1142857142857143</v>
      </c>
      <c r="BB168">
        <v>6.2282471432644284</v>
      </c>
      <c r="BC168">
        <v>8</v>
      </c>
      <c r="BD168">
        <v>203.79933701026059</v>
      </c>
      <c r="BE168">
        <v>2</v>
      </c>
      <c r="BF168">
        <v>7.8508596910668346E-2</v>
      </c>
      <c r="BG168">
        <v>3.8703880000000002</v>
      </c>
      <c r="BH168">
        <v>3.8703880000000002</v>
      </c>
      <c r="BI168">
        <v>13.604850000000001</v>
      </c>
      <c r="BJ168">
        <v>0</v>
      </c>
      <c r="BK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S168">
        <v>0</v>
      </c>
      <c r="BT168">
        <v>0</v>
      </c>
      <c r="BU168">
        <v>0</v>
      </c>
      <c r="BV168">
        <v>165.649</v>
      </c>
      <c r="BW168">
        <v>9.658977717945777E-2</v>
      </c>
      <c r="BX168">
        <v>4</v>
      </c>
      <c r="BY168">
        <v>4.8294888589728878E-2</v>
      </c>
      <c r="BZ168">
        <v>3.9254298455334173E-2</v>
      </c>
      <c r="CC168">
        <v>0.40413338857906378</v>
      </c>
      <c r="CF168">
        <v>0.49720865599021552</v>
      </c>
    </row>
    <row r="169" spans="1:84" x14ac:dyDescent="0.3">
      <c r="A169" s="1">
        <v>690</v>
      </c>
      <c r="B169" t="s">
        <v>1054</v>
      </c>
      <c r="C169" t="s">
        <v>1055</v>
      </c>
      <c r="E169" t="s">
        <v>404</v>
      </c>
      <c r="F169">
        <v>3.45</v>
      </c>
      <c r="G169" t="s">
        <v>405</v>
      </c>
      <c r="H169">
        <v>-1</v>
      </c>
      <c r="I169" t="s">
        <v>1056</v>
      </c>
      <c r="J169">
        <v>1</v>
      </c>
      <c r="K169">
        <v>3.8</v>
      </c>
      <c r="L169">
        <v>3.8</v>
      </c>
      <c r="M169">
        <v>13.6</v>
      </c>
      <c r="O169">
        <v>13.6</v>
      </c>
      <c r="Q169" t="s">
        <v>87</v>
      </c>
      <c r="R169">
        <v>1373</v>
      </c>
      <c r="S169">
        <v>12</v>
      </c>
      <c r="T169" t="b">
        <v>0</v>
      </c>
      <c r="U169" t="s">
        <v>125</v>
      </c>
      <c r="V169" t="s">
        <v>126</v>
      </c>
      <c r="W169">
        <v>1</v>
      </c>
      <c r="X169">
        <v>3.2</v>
      </c>
      <c r="Y169">
        <v>0.5</v>
      </c>
      <c r="Z169">
        <v>1</v>
      </c>
      <c r="AC169" t="s">
        <v>90</v>
      </c>
      <c r="AD169">
        <v>125</v>
      </c>
      <c r="AE169">
        <v>220</v>
      </c>
      <c r="AF169" t="s">
        <v>91</v>
      </c>
      <c r="AG169">
        <v>288</v>
      </c>
      <c r="AH169">
        <v>3404</v>
      </c>
      <c r="AI169" t="s">
        <v>136</v>
      </c>
      <c r="AL169" t="b">
        <v>1</v>
      </c>
      <c r="AM169" t="b">
        <v>0</v>
      </c>
      <c r="AN169" t="b">
        <v>0</v>
      </c>
      <c r="AO169" t="b">
        <v>0</v>
      </c>
      <c r="AP169" t="s">
        <v>1191</v>
      </c>
      <c r="AR169" t="s">
        <v>1056</v>
      </c>
      <c r="AS169">
        <v>8.1327064896932644</v>
      </c>
      <c r="AT169">
        <v>1.882352941176471</v>
      </c>
      <c r="AU169">
        <v>2.3529411764705879</v>
      </c>
      <c r="AV169">
        <v>0.47058823529411759</v>
      </c>
      <c r="AW169">
        <v>0</v>
      </c>
      <c r="AX169">
        <v>0.4</v>
      </c>
      <c r="AY169">
        <v>0.5</v>
      </c>
      <c r="AZ169">
        <v>9.9999999999999992E-2</v>
      </c>
      <c r="BA169">
        <v>0</v>
      </c>
      <c r="BB169">
        <v>6.249318434394235</v>
      </c>
      <c r="BC169">
        <v>20</v>
      </c>
      <c r="BD169">
        <v>229.90248606119221</v>
      </c>
      <c r="BE169">
        <v>1</v>
      </c>
      <c r="BF169">
        <v>8.6993404650164072E-2</v>
      </c>
      <c r="BG169">
        <v>15.28115725</v>
      </c>
      <c r="BH169">
        <v>15.28115725</v>
      </c>
      <c r="BI169">
        <v>15.28115725</v>
      </c>
      <c r="BJ169">
        <v>0</v>
      </c>
      <c r="BK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S169">
        <v>0</v>
      </c>
      <c r="BT169">
        <v>0</v>
      </c>
      <c r="BU169">
        <v>0</v>
      </c>
      <c r="BV169">
        <v>196.38399999999999</v>
      </c>
      <c r="BW169">
        <v>0.1018412905328336</v>
      </c>
      <c r="BX169">
        <v>10</v>
      </c>
      <c r="BY169">
        <v>5.092064526641682E-2</v>
      </c>
      <c r="BZ169">
        <v>4.3496702325082043E-2</v>
      </c>
      <c r="CC169">
        <v>0.44572942494581569</v>
      </c>
      <c r="CF169">
        <v>0.52180576271828982</v>
      </c>
    </row>
    <row r="170" spans="1:84" x14ac:dyDescent="0.3">
      <c r="A170" s="1">
        <v>691</v>
      </c>
      <c r="B170" t="s">
        <v>1106</v>
      </c>
      <c r="C170" t="s">
        <v>1107</v>
      </c>
      <c r="E170" t="s">
        <v>404</v>
      </c>
      <c r="F170">
        <v>3.47</v>
      </c>
      <c r="G170" t="s">
        <v>405</v>
      </c>
      <c r="H170">
        <v>-1</v>
      </c>
      <c r="I170">
        <v>-1</v>
      </c>
      <c r="J170">
        <v>1</v>
      </c>
      <c r="K170">
        <v>3.8</v>
      </c>
      <c r="L170">
        <v>3.8</v>
      </c>
      <c r="M170">
        <v>13.6</v>
      </c>
      <c r="O170">
        <v>13.6</v>
      </c>
      <c r="Q170" t="s">
        <v>87</v>
      </c>
      <c r="R170">
        <v>1373</v>
      </c>
      <c r="S170">
        <v>12</v>
      </c>
      <c r="T170" t="b">
        <v>0</v>
      </c>
      <c r="U170" t="s">
        <v>125</v>
      </c>
      <c r="V170" t="s">
        <v>126</v>
      </c>
      <c r="W170">
        <v>1</v>
      </c>
      <c r="X170">
        <v>3.1</v>
      </c>
      <c r="Y170">
        <v>0.5</v>
      </c>
      <c r="Z170">
        <v>1</v>
      </c>
      <c r="AC170" t="s">
        <v>90</v>
      </c>
      <c r="AD170">
        <v>125</v>
      </c>
      <c r="AE170">
        <v>220</v>
      </c>
      <c r="AF170" t="s">
        <v>91</v>
      </c>
      <c r="AG170">
        <v>288</v>
      </c>
      <c r="AH170">
        <v>2760</v>
      </c>
      <c r="AI170" t="s">
        <v>972</v>
      </c>
      <c r="AL170" t="b">
        <v>1</v>
      </c>
      <c r="AM170" t="b">
        <v>0</v>
      </c>
      <c r="AN170" t="b">
        <v>0</v>
      </c>
      <c r="AO170" t="b">
        <v>0</v>
      </c>
      <c r="AP170" t="s">
        <v>1192</v>
      </c>
      <c r="AQ170">
        <v>-1</v>
      </c>
      <c r="AS170">
        <v>7.9229859587111946</v>
      </c>
      <c r="AT170">
        <v>1.882352941176471</v>
      </c>
      <c r="AU170">
        <v>2.3529411764705879</v>
      </c>
      <c r="AV170">
        <v>0.35294117647058831</v>
      </c>
      <c r="AW170">
        <v>0.47058823529411759</v>
      </c>
      <c r="AX170">
        <v>0.37209302325581389</v>
      </c>
      <c r="AY170">
        <v>0.46511627906976749</v>
      </c>
      <c r="AZ170">
        <v>6.9767441860465129E-2</v>
      </c>
      <c r="BA170">
        <v>9.3023255813953487E-2</v>
      </c>
      <c r="BB170">
        <v>6.2192035579236471</v>
      </c>
      <c r="BC170">
        <v>20</v>
      </c>
      <c r="BD170">
        <v>229.90248606119221</v>
      </c>
      <c r="BE170">
        <v>1</v>
      </c>
      <c r="BF170">
        <v>8.6993404650164072E-2</v>
      </c>
      <c r="BG170">
        <v>15.28115725</v>
      </c>
      <c r="BH170">
        <v>15.28115725</v>
      </c>
      <c r="BI170">
        <v>15.28115725</v>
      </c>
      <c r="BJ170">
        <v>0</v>
      </c>
      <c r="BK170">
        <v>0</v>
      </c>
      <c r="BM170">
        <v>0</v>
      </c>
      <c r="BP170">
        <v>0</v>
      </c>
      <c r="BQ170">
        <v>0</v>
      </c>
      <c r="BS170">
        <v>0</v>
      </c>
      <c r="BT170">
        <v>0</v>
      </c>
      <c r="BU170">
        <v>0</v>
      </c>
      <c r="BV170">
        <v>196.38399999999999</v>
      </c>
      <c r="BW170">
        <v>0.1018412905328336</v>
      </c>
      <c r="BX170">
        <v>10</v>
      </c>
      <c r="BY170">
        <v>5.092064526641682E-2</v>
      </c>
      <c r="BZ170">
        <v>4.3496702325082043E-2</v>
      </c>
      <c r="CC170">
        <v>0.43867496702406639</v>
      </c>
      <c r="CF170">
        <v>0.51354726195435674</v>
      </c>
    </row>
    <row r="171" spans="1:84" x14ac:dyDescent="0.3">
      <c r="A171" s="1">
        <v>692</v>
      </c>
      <c r="B171" t="s">
        <v>372</v>
      </c>
      <c r="C171" t="s">
        <v>944</v>
      </c>
      <c r="E171" t="s">
        <v>372</v>
      </c>
      <c r="F171">
        <v>3.4</v>
      </c>
      <c r="G171" t="s">
        <v>373</v>
      </c>
      <c r="H171">
        <v>-1</v>
      </c>
      <c r="I171" t="s">
        <v>901</v>
      </c>
      <c r="J171">
        <v>2</v>
      </c>
      <c r="K171">
        <v>3.7</v>
      </c>
      <c r="L171">
        <v>3.7</v>
      </c>
      <c r="M171">
        <v>14</v>
      </c>
      <c r="O171">
        <v>14</v>
      </c>
      <c r="Q171" t="s">
        <v>87</v>
      </c>
      <c r="R171">
        <v>1098</v>
      </c>
      <c r="S171">
        <v>12</v>
      </c>
      <c r="T171" t="b">
        <v>0</v>
      </c>
      <c r="U171" t="s">
        <v>125</v>
      </c>
      <c r="V171" t="s">
        <v>126</v>
      </c>
      <c r="W171">
        <v>1</v>
      </c>
      <c r="X171">
        <v>54</v>
      </c>
      <c r="Y171">
        <v>0.5</v>
      </c>
      <c r="Z171">
        <v>1</v>
      </c>
      <c r="AC171" t="s">
        <v>90</v>
      </c>
      <c r="AD171">
        <v>125</v>
      </c>
      <c r="AE171">
        <v>220</v>
      </c>
      <c r="AF171" t="s">
        <v>91</v>
      </c>
      <c r="AG171">
        <v>288</v>
      </c>
      <c r="AH171">
        <v>8360</v>
      </c>
      <c r="AI171" t="s">
        <v>136</v>
      </c>
      <c r="AL171" t="b">
        <v>1</v>
      </c>
      <c r="AM171" t="b">
        <v>0</v>
      </c>
      <c r="AN171" t="b">
        <v>0</v>
      </c>
      <c r="AO171" t="b">
        <v>0</v>
      </c>
      <c r="AP171" t="s">
        <v>1193</v>
      </c>
      <c r="AR171" t="s">
        <v>901</v>
      </c>
      <c r="AS171">
        <v>9.0312137060787467</v>
      </c>
      <c r="AT171">
        <v>1.857142857142857</v>
      </c>
      <c r="AU171">
        <v>2.285714285714286</v>
      </c>
      <c r="AV171">
        <v>0.42857142857142849</v>
      </c>
      <c r="AW171">
        <v>0</v>
      </c>
      <c r="AX171">
        <v>0.40625000000000011</v>
      </c>
      <c r="AY171">
        <v>0.5</v>
      </c>
      <c r="AZ171">
        <v>9.375E-2</v>
      </c>
      <c r="BA171">
        <v>0</v>
      </c>
      <c r="BB171">
        <v>6.2648152075501429</v>
      </c>
      <c r="BC171">
        <v>8</v>
      </c>
      <c r="BD171">
        <v>203.79933701026059</v>
      </c>
      <c r="BE171">
        <v>2</v>
      </c>
      <c r="BF171">
        <v>7.8508596910668346E-2</v>
      </c>
      <c r="BG171">
        <v>3.8703880000000002</v>
      </c>
      <c r="BH171">
        <v>3.8703880000000002</v>
      </c>
      <c r="BI171">
        <v>13.604850000000001</v>
      </c>
      <c r="BJ171">
        <v>0</v>
      </c>
      <c r="BK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S171">
        <v>0</v>
      </c>
      <c r="BT171">
        <v>0</v>
      </c>
      <c r="BU171">
        <v>0</v>
      </c>
      <c r="BV171">
        <v>191.66</v>
      </c>
      <c r="BW171">
        <v>8.3481164562245636E-2</v>
      </c>
      <c r="BX171">
        <v>4</v>
      </c>
      <c r="BY171">
        <v>4.1740582281122818E-2</v>
      </c>
      <c r="BZ171">
        <v>3.9254298455334173E-2</v>
      </c>
      <c r="CC171">
        <v>0.41209139981608062</v>
      </c>
      <c r="CF171">
        <v>0.43819239314487862</v>
      </c>
    </row>
    <row r="172" spans="1:84" x14ac:dyDescent="0.3">
      <c r="A172" s="1">
        <v>693</v>
      </c>
      <c r="B172" t="s">
        <v>970</v>
      </c>
      <c r="C172" t="s">
        <v>971</v>
      </c>
      <c r="E172" t="s">
        <v>372</v>
      </c>
      <c r="F172">
        <v>3.22</v>
      </c>
      <c r="G172" t="s">
        <v>373</v>
      </c>
      <c r="H172">
        <v>-1</v>
      </c>
      <c r="I172" t="s">
        <v>754</v>
      </c>
      <c r="J172">
        <v>2</v>
      </c>
      <c r="K172">
        <v>3.7</v>
      </c>
      <c r="L172">
        <v>3.7</v>
      </c>
      <c r="M172">
        <v>16</v>
      </c>
      <c r="O172">
        <v>16</v>
      </c>
      <c r="Q172" t="s">
        <v>87</v>
      </c>
      <c r="R172">
        <v>1098</v>
      </c>
      <c r="S172">
        <v>12</v>
      </c>
      <c r="T172" t="b">
        <v>0</v>
      </c>
      <c r="U172" t="s">
        <v>125</v>
      </c>
      <c r="V172" t="s">
        <v>126</v>
      </c>
      <c r="W172">
        <v>1</v>
      </c>
      <c r="X172">
        <v>64</v>
      </c>
      <c r="Y172">
        <v>0.5</v>
      </c>
      <c r="Z172">
        <v>1</v>
      </c>
      <c r="AC172" t="s">
        <v>90</v>
      </c>
      <c r="AD172">
        <v>125</v>
      </c>
      <c r="AE172">
        <v>220</v>
      </c>
      <c r="AF172" t="s">
        <v>91</v>
      </c>
      <c r="AG172">
        <v>288</v>
      </c>
      <c r="AH172">
        <v>396.4</v>
      </c>
      <c r="AI172" t="s">
        <v>972</v>
      </c>
      <c r="AL172" t="b">
        <v>1</v>
      </c>
      <c r="AM172" t="b">
        <v>0</v>
      </c>
      <c r="AN172" t="b">
        <v>0</v>
      </c>
      <c r="AO172" t="b">
        <v>0</v>
      </c>
      <c r="AP172" t="s">
        <v>1194</v>
      </c>
      <c r="AR172" t="s">
        <v>754</v>
      </c>
      <c r="AS172">
        <v>5.9824238024558332</v>
      </c>
      <c r="AT172">
        <v>1.857142857142857</v>
      </c>
      <c r="AU172">
        <v>2.285714285714286</v>
      </c>
      <c r="AV172">
        <v>0.2857142857142857</v>
      </c>
      <c r="AW172">
        <v>0.5714285714285714</v>
      </c>
      <c r="AX172">
        <v>0.37142857142857139</v>
      </c>
      <c r="AY172">
        <v>0.45714285714285707</v>
      </c>
      <c r="AZ172">
        <v>5.7142857142857141E-2</v>
      </c>
      <c r="BA172">
        <v>0.1142857142857143</v>
      </c>
      <c r="BB172">
        <v>6.2282471432644284</v>
      </c>
      <c r="BC172">
        <v>8</v>
      </c>
      <c r="BD172">
        <v>203.79933701026059</v>
      </c>
      <c r="BE172">
        <v>2</v>
      </c>
      <c r="BF172">
        <v>7.8508596910668346E-2</v>
      </c>
      <c r="BG172">
        <v>3.8703880000000002</v>
      </c>
      <c r="BH172">
        <v>3.8703880000000002</v>
      </c>
      <c r="BI172">
        <v>13.604850000000001</v>
      </c>
      <c r="BJ172">
        <v>0</v>
      </c>
      <c r="BK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S172">
        <v>0</v>
      </c>
      <c r="BT172">
        <v>0</v>
      </c>
      <c r="BU172">
        <v>0</v>
      </c>
      <c r="BV172">
        <v>219.04</v>
      </c>
      <c r="BW172">
        <v>7.3046018991964931E-2</v>
      </c>
      <c r="BX172">
        <v>4</v>
      </c>
      <c r="BY172">
        <v>3.6523009495982472E-2</v>
      </c>
      <c r="BZ172">
        <v>3.9254298455334173E-2</v>
      </c>
      <c r="CC172">
        <v>0.40413338857906378</v>
      </c>
      <c r="CF172">
        <v>0.37601404609260042</v>
      </c>
    </row>
    <row r="173" spans="1:84" x14ac:dyDescent="0.3">
      <c r="A173" s="1">
        <v>694</v>
      </c>
      <c r="B173" t="s">
        <v>1054</v>
      </c>
      <c r="C173" t="s">
        <v>1055</v>
      </c>
      <c r="E173" t="s">
        <v>404</v>
      </c>
      <c r="F173">
        <v>3.26</v>
      </c>
      <c r="G173" t="s">
        <v>405</v>
      </c>
      <c r="H173">
        <v>-1</v>
      </c>
      <c r="I173" t="s">
        <v>1056</v>
      </c>
      <c r="J173">
        <v>2</v>
      </c>
      <c r="K173">
        <v>3.8</v>
      </c>
      <c r="L173">
        <v>3.8</v>
      </c>
      <c r="M173">
        <v>24</v>
      </c>
      <c r="O173">
        <v>12</v>
      </c>
      <c r="Q173" t="s">
        <v>87</v>
      </c>
      <c r="R173">
        <v>1373</v>
      </c>
      <c r="S173">
        <v>12</v>
      </c>
      <c r="T173" t="b">
        <v>0</v>
      </c>
      <c r="U173" t="s">
        <v>125</v>
      </c>
      <c r="V173" t="s">
        <v>126</v>
      </c>
      <c r="W173">
        <v>1</v>
      </c>
      <c r="X173">
        <v>21</v>
      </c>
      <c r="Y173">
        <v>0.5</v>
      </c>
      <c r="Z173">
        <v>1</v>
      </c>
      <c r="AC173" t="s">
        <v>90</v>
      </c>
      <c r="AD173">
        <v>125</v>
      </c>
      <c r="AE173">
        <v>220</v>
      </c>
      <c r="AF173" t="s">
        <v>91</v>
      </c>
      <c r="AG173">
        <v>288</v>
      </c>
      <c r="AH173">
        <v>47600</v>
      </c>
      <c r="AI173" t="s">
        <v>136</v>
      </c>
      <c r="AL173" t="b">
        <v>1</v>
      </c>
      <c r="AM173" t="b">
        <v>0</v>
      </c>
      <c r="AN173" t="b">
        <v>0</v>
      </c>
      <c r="AO173" t="b">
        <v>0</v>
      </c>
      <c r="AP173" t="s">
        <v>1195</v>
      </c>
      <c r="AR173" t="s">
        <v>1056</v>
      </c>
      <c r="AS173">
        <v>10.77058804021951</v>
      </c>
      <c r="AT173">
        <v>1.882352941176471</v>
      </c>
      <c r="AU173">
        <v>2.3529411764705879</v>
      </c>
      <c r="AV173">
        <v>0.47058823529411759</v>
      </c>
      <c r="AW173">
        <v>0</v>
      </c>
      <c r="AX173">
        <v>0.4</v>
      </c>
      <c r="AY173">
        <v>0.5</v>
      </c>
      <c r="AZ173">
        <v>9.9999999999999992E-2</v>
      </c>
      <c r="BA173">
        <v>0</v>
      </c>
      <c r="BB173">
        <v>6.249318434394235</v>
      </c>
      <c r="BC173">
        <v>20</v>
      </c>
      <c r="BD173">
        <v>229.90248606119221</v>
      </c>
      <c r="BE173">
        <v>1</v>
      </c>
      <c r="BF173">
        <v>8.6993404650164072E-2</v>
      </c>
      <c r="BG173">
        <v>15.28115725</v>
      </c>
      <c r="BH173">
        <v>15.28115725</v>
      </c>
      <c r="BI173">
        <v>15.28115725</v>
      </c>
      <c r="BJ173">
        <v>0</v>
      </c>
      <c r="BK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S173">
        <v>0</v>
      </c>
      <c r="BT173">
        <v>0</v>
      </c>
      <c r="BU173">
        <v>0</v>
      </c>
      <c r="BV173">
        <v>346.56</v>
      </c>
      <c r="BW173">
        <v>0.11542012927054481</v>
      </c>
      <c r="BX173">
        <v>10</v>
      </c>
      <c r="BY173">
        <v>5.7710064635272389E-2</v>
      </c>
      <c r="BZ173">
        <v>4.3496702325082043E-2</v>
      </c>
      <c r="CC173">
        <v>0.44572942494581569</v>
      </c>
      <c r="CF173">
        <v>0.59137986441406176</v>
      </c>
    </row>
    <row r="174" spans="1:84" x14ac:dyDescent="0.3">
      <c r="A174" s="1">
        <v>695</v>
      </c>
      <c r="B174" t="s">
        <v>1106</v>
      </c>
      <c r="C174" t="s">
        <v>1107</v>
      </c>
      <c r="E174" t="s">
        <v>404</v>
      </c>
      <c r="F174">
        <v>3.26</v>
      </c>
      <c r="G174" t="s">
        <v>405</v>
      </c>
      <c r="H174">
        <v>-1</v>
      </c>
      <c r="I174">
        <v>-1</v>
      </c>
      <c r="J174">
        <v>2</v>
      </c>
      <c r="K174">
        <v>3.8</v>
      </c>
      <c r="L174">
        <v>3.8</v>
      </c>
      <c r="M174">
        <v>19.5</v>
      </c>
      <c r="O174">
        <v>9.75</v>
      </c>
      <c r="Q174" t="s">
        <v>87</v>
      </c>
      <c r="R174">
        <v>1373</v>
      </c>
      <c r="S174">
        <v>12</v>
      </c>
      <c r="T174" t="b">
        <v>0</v>
      </c>
      <c r="U174" t="s">
        <v>125</v>
      </c>
      <c r="V174" t="s">
        <v>126</v>
      </c>
      <c r="W174">
        <v>1</v>
      </c>
      <c r="X174">
        <v>15</v>
      </c>
      <c r="Y174">
        <v>0.5</v>
      </c>
      <c r="Z174">
        <v>1</v>
      </c>
      <c r="AC174" t="s">
        <v>90</v>
      </c>
      <c r="AD174">
        <v>125</v>
      </c>
      <c r="AE174">
        <v>220</v>
      </c>
      <c r="AF174" t="s">
        <v>91</v>
      </c>
      <c r="AG174">
        <v>288</v>
      </c>
      <c r="AH174">
        <v>20920</v>
      </c>
      <c r="AI174" t="s">
        <v>972</v>
      </c>
      <c r="AL174" t="b">
        <v>1</v>
      </c>
      <c r="AM174" t="b">
        <v>0</v>
      </c>
      <c r="AN174" t="b">
        <v>0</v>
      </c>
      <c r="AO174" t="b">
        <v>0</v>
      </c>
      <c r="AP174" t="s">
        <v>1196</v>
      </c>
      <c r="AQ174">
        <v>-1</v>
      </c>
      <c r="AS174">
        <v>9.9484609181788599</v>
      </c>
      <c r="AT174">
        <v>1.882352941176471</v>
      </c>
      <c r="AU174">
        <v>2.3529411764705879</v>
      </c>
      <c r="AV174">
        <v>0.35294117647058831</v>
      </c>
      <c r="AW174">
        <v>0.47058823529411759</v>
      </c>
      <c r="AX174">
        <v>0.37209302325581389</v>
      </c>
      <c r="AY174">
        <v>0.46511627906976749</v>
      </c>
      <c r="AZ174">
        <v>6.9767441860465129E-2</v>
      </c>
      <c r="BA174">
        <v>9.3023255813953487E-2</v>
      </c>
      <c r="BB174">
        <v>6.2192035579236471</v>
      </c>
      <c r="BC174">
        <v>20</v>
      </c>
      <c r="BD174">
        <v>229.90248606119221</v>
      </c>
      <c r="BE174">
        <v>1</v>
      </c>
      <c r="BF174">
        <v>8.6993404650164072E-2</v>
      </c>
      <c r="BG174">
        <v>15.28115725</v>
      </c>
      <c r="BH174">
        <v>15.28115725</v>
      </c>
      <c r="BI174">
        <v>15.28115725</v>
      </c>
      <c r="BJ174">
        <v>0</v>
      </c>
      <c r="BK174">
        <v>0</v>
      </c>
      <c r="BM174">
        <v>0</v>
      </c>
      <c r="BP174">
        <v>0</v>
      </c>
      <c r="BQ174">
        <v>0</v>
      </c>
      <c r="BS174">
        <v>0</v>
      </c>
      <c r="BT174">
        <v>0</v>
      </c>
      <c r="BU174">
        <v>0</v>
      </c>
      <c r="BV174">
        <v>281.58</v>
      </c>
      <c r="BW174">
        <v>0.1420555437175936</v>
      </c>
      <c r="BX174">
        <v>10</v>
      </c>
      <c r="BY174">
        <v>7.1027771858796787E-2</v>
      </c>
      <c r="BZ174">
        <v>4.3496702325082043E-2</v>
      </c>
      <c r="CC174">
        <v>0.43867496702406639</v>
      </c>
      <c r="CF174">
        <v>0.71633259103376934</v>
      </c>
    </row>
    <row r="175" spans="1:84" x14ac:dyDescent="0.3">
      <c r="A175" s="1">
        <v>697</v>
      </c>
      <c r="B175" t="s">
        <v>402</v>
      </c>
      <c r="C175" t="s">
        <v>403</v>
      </c>
      <c r="E175" t="s">
        <v>404</v>
      </c>
      <c r="F175">
        <v>3.63</v>
      </c>
      <c r="G175" t="s">
        <v>405</v>
      </c>
      <c r="H175">
        <v>-1</v>
      </c>
      <c r="I175" t="s">
        <v>754</v>
      </c>
      <c r="Q175" t="s">
        <v>87</v>
      </c>
      <c r="R175">
        <v>1373</v>
      </c>
      <c r="S175">
        <v>15</v>
      </c>
      <c r="T175" t="b">
        <v>0</v>
      </c>
      <c r="U175" t="s">
        <v>125</v>
      </c>
      <c r="V175" t="s">
        <v>126</v>
      </c>
      <c r="W175">
        <v>1</v>
      </c>
      <c r="Y175">
        <v>0.5</v>
      </c>
      <c r="Z175">
        <v>1</v>
      </c>
      <c r="AC175" t="s">
        <v>90</v>
      </c>
      <c r="AD175">
        <v>125</v>
      </c>
      <c r="AE175">
        <v>220</v>
      </c>
      <c r="AF175" t="s">
        <v>91</v>
      </c>
      <c r="AG175">
        <v>288</v>
      </c>
      <c r="AH175">
        <v>45600</v>
      </c>
      <c r="AL175" t="b">
        <v>1</v>
      </c>
      <c r="AM175" t="b">
        <v>0</v>
      </c>
      <c r="AN175" t="b">
        <v>0</v>
      </c>
      <c r="AO175" t="b">
        <v>0</v>
      </c>
      <c r="AP175" t="s">
        <v>405</v>
      </c>
      <c r="AR175" t="s">
        <v>754</v>
      </c>
      <c r="AS175">
        <v>10.727662995502479</v>
      </c>
      <c r="AT175">
        <v>1.882352941176471</v>
      </c>
      <c r="AU175">
        <v>2.3529411764705879</v>
      </c>
      <c r="AV175">
        <v>0.47058823529411759</v>
      </c>
      <c r="AW175">
        <v>0</v>
      </c>
      <c r="AX175">
        <v>0.4</v>
      </c>
      <c r="AY175">
        <v>0.5</v>
      </c>
      <c r="AZ175">
        <v>9.9999999999999992E-2</v>
      </c>
      <c r="BA175">
        <v>0</v>
      </c>
      <c r="BB175">
        <v>5.6898768502941177</v>
      </c>
      <c r="BC175">
        <v>20</v>
      </c>
      <c r="BD175">
        <v>229.90248606119221</v>
      </c>
      <c r="BE175">
        <v>1</v>
      </c>
      <c r="BF175">
        <v>8.6993404650164072E-2</v>
      </c>
      <c r="BG175">
        <v>15.28115725</v>
      </c>
      <c r="BH175">
        <v>15.28115725</v>
      </c>
      <c r="BI175">
        <v>15.28115725</v>
      </c>
      <c r="BJ175">
        <v>0</v>
      </c>
      <c r="BK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S175">
        <v>0</v>
      </c>
      <c r="BT175">
        <v>0</v>
      </c>
      <c r="BU175">
        <v>0</v>
      </c>
      <c r="BX175">
        <v>10</v>
      </c>
      <c r="BZ175">
        <v>4.3496702325082043E-2</v>
      </c>
      <c r="CC175">
        <v>0.57369840599679478</v>
      </c>
    </row>
    <row r="176" spans="1:84" x14ac:dyDescent="0.3">
      <c r="A176" s="1">
        <v>699</v>
      </c>
      <c r="B176" t="s">
        <v>402</v>
      </c>
      <c r="C176" t="s">
        <v>403</v>
      </c>
      <c r="E176" t="s">
        <v>404</v>
      </c>
      <c r="F176">
        <v>3.56</v>
      </c>
      <c r="G176" t="s">
        <v>405</v>
      </c>
      <c r="H176">
        <v>-1</v>
      </c>
      <c r="I176" t="s">
        <v>754</v>
      </c>
      <c r="Q176" t="s">
        <v>821</v>
      </c>
      <c r="T176" t="b">
        <v>0</v>
      </c>
      <c r="U176" t="s">
        <v>125</v>
      </c>
      <c r="V176" t="s">
        <v>126</v>
      </c>
      <c r="W176">
        <v>1</v>
      </c>
      <c r="Y176">
        <v>0.5</v>
      </c>
      <c r="Z176">
        <v>1</v>
      </c>
      <c r="AC176" t="s">
        <v>90</v>
      </c>
      <c r="AD176">
        <v>125</v>
      </c>
      <c r="AE176">
        <v>220</v>
      </c>
      <c r="AF176" t="s">
        <v>91</v>
      </c>
      <c r="AG176">
        <v>288</v>
      </c>
      <c r="AH176">
        <v>9880</v>
      </c>
      <c r="AL176" t="b">
        <v>1</v>
      </c>
      <c r="AM176" t="b">
        <v>0</v>
      </c>
      <c r="AN176" t="b">
        <v>0</v>
      </c>
      <c r="AO176" t="b">
        <v>0</v>
      </c>
      <c r="AP176" t="s">
        <v>405</v>
      </c>
      <c r="AR176" t="s">
        <v>754</v>
      </c>
      <c r="AS176">
        <v>9.1982677907419141</v>
      </c>
      <c r="AT176">
        <v>1.882352941176471</v>
      </c>
      <c r="AU176">
        <v>2.3529411764705879</v>
      </c>
      <c r="AV176">
        <v>0.47058823529411759</v>
      </c>
      <c r="AW176">
        <v>0</v>
      </c>
      <c r="AX176">
        <v>0.4</v>
      </c>
      <c r="AY176">
        <v>0.5</v>
      </c>
      <c r="AZ176">
        <v>9.9999999999999992E-2</v>
      </c>
      <c r="BA176">
        <v>0</v>
      </c>
      <c r="BB176">
        <v>5.6898768502941177</v>
      </c>
      <c r="BC176">
        <v>20</v>
      </c>
      <c r="BD176">
        <v>229.90248606119221</v>
      </c>
      <c r="BE176">
        <v>1</v>
      </c>
      <c r="BF176">
        <v>8.6993404650164072E-2</v>
      </c>
      <c r="BG176">
        <v>15.28115725</v>
      </c>
      <c r="BH176">
        <v>15.28115725</v>
      </c>
      <c r="BI176">
        <v>15.28115725</v>
      </c>
      <c r="BJ176">
        <v>0</v>
      </c>
      <c r="BK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S176">
        <v>0</v>
      </c>
      <c r="BT176">
        <v>0</v>
      </c>
      <c r="BU176">
        <v>0</v>
      </c>
      <c r="BX176">
        <v>10</v>
      </c>
      <c r="BZ176">
        <v>4.3496702325082043E-2</v>
      </c>
      <c r="CC176">
        <v>0.57369840599679478</v>
      </c>
    </row>
    <row r="177" spans="1:84" x14ac:dyDescent="0.3">
      <c r="A177" s="1">
        <v>711</v>
      </c>
      <c r="B177" t="s">
        <v>1054</v>
      </c>
      <c r="C177" t="s">
        <v>1055</v>
      </c>
      <c r="E177" t="s">
        <v>404</v>
      </c>
      <c r="F177">
        <v>3.4112499999999999</v>
      </c>
      <c r="G177" t="s">
        <v>405</v>
      </c>
      <c r="H177">
        <v>-1</v>
      </c>
      <c r="I177" t="s">
        <v>1056</v>
      </c>
      <c r="J177">
        <v>2</v>
      </c>
      <c r="K177">
        <v>3.81</v>
      </c>
      <c r="L177">
        <v>3.81</v>
      </c>
      <c r="M177">
        <v>27.41</v>
      </c>
      <c r="N177" t="s">
        <v>1047</v>
      </c>
      <c r="O177">
        <v>13.705</v>
      </c>
      <c r="Q177" t="s">
        <v>87</v>
      </c>
      <c r="R177">
        <v>1273</v>
      </c>
      <c r="S177">
        <v>10</v>
      </c>
      <c r="T177" t="b">
        <v>0</v>
      </c>
      <c r="U177" t="s">
        <v>125</v>
      </c>
      <c r="V177" t="s">
        <v>126</v>
      </c>
      <c r="W177">
        <v>1</v>
      </c>
      <c r="Y177">
        <v>0.5</v>
      </c>
      <c r="Z177">
        <v>1</v>
      </c>
      <c r="AC177" t="s">
        <v>90</v>
      </c>
      <c r="AD177">
        <v>125</v>
      </c>
      <c r="AE177">
        <v>220</v>
      </c>
      <c r="AF177" t="s">
        <v>91</v>
      </c>
      <c r="AG177">
        <v>288</v>
      </c>
      <c r="AH177">
        <v>6000</v>
      </c>
      <c r="AI177" t="s">
        <v>136</v>
      </c>
      <c r="AL177" t="b">
        <v>1</v>
      </c>
      <c r="AM177" t="b">
        <v>0</v>
      </c>
      <c r="AN177" t="b">
        <v>0</v>
      </c>
      <c r="AO177" t="b">
        <v>0</v>
      </c>
      <c r="AP177" t="s">
        <v>1208</v>
      </c>
      <c r="AR177" t="s">
        <v>1056</v>
      </c>
      <c r="AS177">
        <v>8.6995147482101913</v>
      </c>
      <c r="AT177">
        <v>1.882352941176471</v>
      </c>
      <c r="AU177">
        <v>2.3529411764705879</v>
      </c>
      <c r="AV177">
        <v>0.47058823529411759</v>
      </c>
      <c r="AW177">
        <v>0</v>
      </c>
      <c r="AX177">
        <v>0.4</v>
      </c>
      <c r="AY177">
        <v>0.5</v>
      </c>
      <c r="AZ177">
        <v>9.9999999999999992E-2</v>
      </c>
      <c r="BA177">
        <v>0</v>
      </c>
      <c r="BB177">
        <v>6.249318434394235</v>
      </c>
      <c r="BC177">
        <v>20</v>
      </c>
      <c r="BD177">
        <v>229.90248606119221</v>
      </c>
      <c r="BE177">
        <v>1</v>
      </c>
      <c r="BF177">
        <v>8.6993404650164072E-2</v>
      </c>
      <c r="BG177">
        <v>15.28115725</v>
      </c>
      <c r="BH177">
        <v>15.28115725</v>
      </c>
      <c r="BI177">
        <v>15.28115725</v>
      </c>
      <c r="BJ177">
        <v>0</v>
      </c>
      <c r="BK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S177">
        <v>0</v>
      </c>
      <c r="BT177">
        <v>0</v>
      </c>
      <c r="BU177">
        <v>0</v>
      </c>
      <c r="BV177">
        <v>397.886301</v>
      </c>
      <c r="BW177">
        <v>0.10053123191089711</v>
      </c>
      <c r="BX177">
        <v>10</v>
      </c>
      <c r="BY177">
        <v>5.0265615955448539E-2</v>
      </c>
      <c r="BZ177">
        <v>4.3496702325082043E-2</v>
      </c>
      <c r="CC177">
        <v>0.44572942494581569</v>
      </c>
      <c r="CF177">
        <v>0.51509339551586431</v>
      </c>
    </row>
    <row r="178" spans="1:84" x14ac:dyDescent="0.3">
      <c r="A178" s="1">
        <v>712</v>
      </c>
      <c r="B178" t="s">
        <v>1078</v>
      </c>
      <c r="C178" t="s">
        <v>1079</v>
      </c>
      <c r="E178" t="s">
        <v>404</v>
      </c>
      <c r="F178">
        <v>3.42</v>
      </c>
      <c r="G178" t="s">
        <v>1080</v>
      </c>
      <c r="H178">
        <v>-1</v>
      </c>
      <c r="I178">
        <v>-1</v>
      </c>
      <c r="J178">
        <v>1</v>
      </c>
      <c r="K178">
        <v>3.82</v>
      </c>
      <c r="L178">
        <v>3.82</v>
      </c>
      <c r="M178">
        <v>25.06</v>
      </c>
      <c r="N178" t="s">
        <v>1047</v>
      </c>
      <c r="O178">
        <v>25.06</v>
      </c>
      <c r="Q178" t="s">
        <v>87</v>
      </c>
      <c r="R178">
        <v>1273</v>
      </c>
      <c r="S178">
        <v>10</v>
      </c>
      <c r="T178" t="b">
        <v>0</v>
      </c>
      <c r="U178" t="s">
        <v>125</v>
      </c>
      <c r="V178" t="s">
        <v>126</v>
      </c>
      <c r="W178">
        <v>1</v>
      </c>
      <c r="X178">
        <v>12.7</v>
      </c>
      <c r="Y178">
        <v>0.5</v>
      </c>
      <c r="Z178">
        <v>1</v>
      </c>
      <c r="AC178" t="s">
        <v>90</v>
      </c>
      <c r="AD178">
        <v>125</v>
      </c>
      <c r="AE178">
        <v>220</v>
      </c>
      <c r="AF178" t="s">
        <v>91</v>
      </c>
      <c r="AG178">
        <v>288</v>
      </c>
      <c r="AH178">
        <v>66000</v>
      </c>
      <c r="AI178" t="s">
        <v>136</v>
      </c>
      <c r="AL178" t="b">
        <v>1</v>
      </c>
      <c r="AM178" t="b">
        <v>0</v>
      </c>
      <c r="AN178" t="b">
        <v>0</v>
      </c>
      <c r="AO178" t="b">
        <v>0</v>
      </c>
      <c r="AP178" t="s">
        <v>1209</v>
      </c>
      <c r="AS178">
        <v>11.09741002100856</v>
      </c>
      <c r="AT178">
        <v>1.510204081632653</v>
      </c>
      <c r="AU178">
        <v>1.2653061224489801</v>
      </c>
      <c r="AV178">
        <v>0.16326530612244899</v>
      </c>
      <c r="AW178">
        <v>0</v>
      </c>
      <c r="AX178">
        <v>0.51388888888888884</v>
      </c>
      <c r="AY178">
        <v>0.43055555555555558</v>
      </c>
      <c r="AZ178">
        <v>5.5555555555555552E-2</v>
      </c>
      <c r="BA178">
        <v>0</v>
      </c>
      <c r="BB178">
        <v>6.7075737452127342</v>
      </c>
      <c r="BC178">
        <v>20</v>
      </c>
      <c r="BD178">
        <v>733.37308460000008</v>
      </c>
      <c r="BE178">
        <v>2</v>
      </c>
      <c r="BF178">
        <v>5.4542497999932729E-2</v>
      </c>
      <c r="BG178">
        <v>3.8530000000000002</v>
      </c>
      <c r="BH178">
        <v>3.8530000000000002</v>
      </c>
      <c r="BI178">
        <v>49.4</v>
      </c>
      <c r="BJ178">
        <v>0</v>
      </c>
      <c r="BK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S178">
        <v>0</v>
      </c>
      <c r="BT178">
        <v>0</v>
      </c>
      <c r="BU178">
        <v>0</v>
      </c>
      <c r="BV178">
        <v>365.68554399999999</v>
      </c>
      <c r="BW178">
        <v>5.4691798262607831E-2</v>
      </c>
      <c r="BX178">
        <v>10</v>
      </c>
      <c r="BY178">
        <v>2.7345899131303919E-2</v>
      </c>
      <c r="BZ178">
        <v>2.7271248999966361E-2</v>
      </c>
      <c r="CC178">
        <v>0.33447637567260352</v>
      </c>
      <c r="CF178">
        <v>0.33539194449650661</v>
      </c>
    </row>
    <row r="179" spans="1:84" x14ac:dyDescent="0.3">
      <c r="A179" s="1">
        <v>714</v>
      </c>
      <c r="B179" t="s">
        <v>1078</v>
      </c>
      <c r="C179" t="s">
        <v>1079</v>
      </c>
      <c r="E179" t="s">
        <v>404</v>
      </c>
      <c r="F179">
        <v>3.42</v>
      </c>
      <c r="G179" t="s">
        <v>1080</v>
      </c>
      <c r="H179">
        <v>-1</v>
      </c>
      <c r="I179">
        <v>-1</v>
      </c>
      <c r="J179">
        <v>1</v>
      </c>
      <c r="K179">
        <v>3.82</v>
      </c>
      <c r="L179">
        <v>3.82</v>
      </c>
      <c r="M179">
        <v>25.06</v>
      </c>
      <c r="N179" t="s">
        <v>1047</v>
      </c>
      <c r="O179">
        <v>25.06</v>
      </c>
      <c r="Q179" t="s">
        <v>87</v>
      </c>
      <c r="R179">
        <v>1273</v>
      </c>
      <c r="S179">
        <v>10</v>
      </c>
      <c r="T179" t="b">
        <v>0</v>
      </c>
      <c r="U179" t="s">
        <v>125</v>
      </c>
      <c r="V179" t="s">
        <v>126</v>
      </c>
      <c r="W179">
        <v>1</v>
      </c>
      <c r="Y179">
        <v>0.5</v>
      </c>
      <c r="Z179">
        <v>0.2</v>
      </c>
      <c r="AC179" t="s">
        <v>90</v>
      </c>
      <c r="AD179">
        <v>125</v>
      </c>
      <c r="AE179">
        <v>220</v>
      </c>
      <c r="AF179" t="s">
        <v>91</v>
      </c>
      <c r="AG179">
        <v>288</v>
      </c>
      <c r="AH179">
        <v>9000</v>
      </c>
      <c r="AI179" t="s">
        <v>136</v>
      </c>
      <c r="AL179" t="b">
        <v>1</v>
      </c>
      <c r="AM179" t="b">
        <v>0</v>
      </c>
      <c r="AN179" t="b">
        <v>0</v>
      </c>
      <c r="AO179" t="b">
        <v>0</v>
      </c>
      <c r="AP179" t="s">
        <v>1210</v>
      </c>
      <c r="AS179">
        <v>9.1049798563183568</v>
      </c>
      <c r="AT179">
        <v>1.510204081632653</v>
      </c>
      <c r="AU179">
        <v>1.2653061224489801</v>
      </c>
      <c r="AV179">
        <v>0.16326530612244899</v>
      </c>
      <c r="AW179">
        <v>0</v>
      </c>
      <c r="AX179">
        <v>0.51388888888888884</v>
      </c>
      <c r="AY179">
        <v>0.43055555555555558</v>
      </c>
      <c r="AZ179">
        <v>5.5555555555555552E-2</v>
      </c>
      <c r="BA179">
        <v>0</v>
      </c>
      <c r="BB179">
        <v>6.7075737452127342</v>
      </c>
      <c r="BC179">
        <v>20</v>
      </c>
      <c r="BD179">
        <v>733.37308460000008</v>
      </c>
      <c r="BE179">
        <v>2</v>
      </c>
      <c r="BF179">
        <v>5.4542497999932729E-2</v>
      </c>
      <c r="BG179">
        <v>3.8530000000000002</v>
      </c>
      <c r="BH179">
        <v>3.8530000000000002</v>
      </c>
      <c r="BI179">
        <v>49.4</v>
      </c>
      <c r="BJ179">
        <v>0</v>
      </c>
      <c r="BK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S179">
        <v>0</v>
      </c>
      <c r="BT179">
        <v>0</v>
      </c>
      <c r="BU179">
        <v>0</v>
      </c>
      <c r="BV179">
        <v>365.68554399999999</v>
      </c>
      <c r="BW179">
        <v>5.4691798262607831E-2</v>
      </c>
      <c r="BX179">
        <v>10</v>
      </c>
      <c r="BY179">
        <v>2.7345899131303919E-2</v>
      </c>
      <c r="BZ179">
        <v>2.7271248999966361E-2</v>
      </c>
      <c r="CC179">
        <v>0.33447637567260352</v>
      </c>
      <c r="CF179">
        <v>0.33539194449650661</v>
      </c>
    </row>
    <row r="180" spans="1:84" x14ac:dyDescent="0.3">
      <c r="A180" s="1">
        <v>715</v>
      </c>
      <c r="B180" t="s">
        <v>1078</v>
      </c>
      <c r="C180" t="s">
        <v>1079</v>
      </c>
      <c r="E180" t="s">
        <v>404</v>
      </c>
      <c r="F180">
        <v>3.42</v>
      </c>
      <c r="G180" t="s">
        <v>1080</v>
      </c>
      <c r="H180">
        <v>-1</v>
      </c>
      <c r="I180">
        <v>-1</v>
      </c>
      <c r="J180">
        <v>1</v>
      </c>
      <c r="K180">
        <v>3.82</v>
      </c>
      <c r="L180">
        <v>3.82</v>
      </c>
      <c r="M180">
        <v>25.06</v>
      </c>
      <c r="N180" t="s">
        <v>1047</v>
      </c>
      <c r="O180">
        <v>25.06</v>
      </c>
      <c r="Q180" t="s">
        <v>87</v>
      </c>
      <c r="R180">
        <v>1273</v>
      </c>
      <c r="S180">
        <v>10</v>
      </c>
      <c r="T180" t="b">
        <v>0</v>
      </c>
      <c r="U180" t="s">
        <v>125</v>
      </c>
      <c r="V180" t="s">
        <v>126</v>
      </c>
      <c r="W180">
        <v>1</v>
      </c>
      <c r="Y180">
        <v>0.5</v>
      </c>
      <c r="Z180">
        <v>0.5</v>
      </c>
      <c r="AC180" t="s">
        <v>90</v>
      </c>
      <c r="AD180">
        <v>125</v>
      </c>
      <c r="AE180">
        <v>220</v>
      </c>
      <c r="AF180" t="s">
        <v>91</v>
      </c>
      <c r="AG180">
        <v>288</v>
      </c>
      <c r="AH180">
        <v>37500</v>
      </c>
      <c r="AI180" t="s">
        <v>136</v>
      </c>
      <c r="AL180" t="b">
        <v>1</v>
      </c>
      <c r="AM180" t="b">
        <v>0</v>
      </c>
      <c r="AN180" t="b">
        <v>0</v>
      </c>
      <c r="AO180" t="b">
        <v>0</v>
      </c>
      <c r="AP180" t="s">
        <v>1211</v>
      </c>
      <c r="AS180">
        <v>10.5320962119585</v>
      </c>
      <c r="AT180">
        <v>1.510204081632653</v>
      </c>
      <c r="AU180">
        <v>1.2653061224489801</v>
      </c>
      <c r="AV180">
        <v>0.16326530612244899</v>
      </c>
      <c r="AW180">
        <v>0</v>
      </c>
      <c r="AX180">
        <v>0.51388888888888884</v>
      </c>
      <c r="AY180">
        <v>0.43055555555555558</v>
      </c>
      <c r="AZ180">
        <v>5.5555555555555552E-2</v>
      </c>
      <c r="BA180">
        <v>0</v>
      </c>
      <c r="BB180">
        <v>6.7075737452127342</v>
      </c>
      <c r="BC180">
        <v>20</v>
      </c>
      <c r="BD180">
        <v>733.37308460000008</v>
      </c>
      <c r="BE180">
        <v>2</v>
      </c>
      <c r="BF180">
        <v>5.4542497999932729E-2</v>
      </c>
      <c r="BG180">
        <v>3.8530000000000002</v>
      </c>
      <c r="BH180">
        <v>3.8530000000000002</v>
      </c>
      <c r="BI180">
        <v>49.4</v>
      </c>
      <c r="BJ180">
        <v>0</v>
      </c>
      <c r="BK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S180">
        <v>0</v>
      </c>
      <c r="BT180">
        <v>0</v>
      </c>
      <c r="BU180">
        <v>0</v>
      </c>
      <c r="BV180">
        <v>365.68554399999999</v>
      </c>
      <c r="BW180">
        <v>5.4691798262607831E-2</v>
      </c>
      <c r="BX180">
        <v>10</v>
      </c>
      <c r="BY180">
        <v>2.7345899131303919E-2</v>
      </c>
      <c r="BZ180">
        <v>2.7271248999966361E-2</v>
      </c>
      <c r="CC180">
        <v>0.33447637567260352</v>
      </c>
      <c r="CF180">
        <v>0.33539194449650661</v>
      </c>
    </row>
    <row r="181" spans="1:84" x14ac:dyDescent="0.3">
      <c r="A181" s="1">
        <v>716</v>
      </c>
      <c r="B181" t="s">
        <v>1078</v>
      </c>
      <c r="C181" t="s">
        <v>1079</v>
      </c>
      <c r="E181" t="s">
        <v>404</v>
      </c>
      <c r="F181">
        <v>3.42</v>
      </c>
      <c r="G181" t="s">
        <v>1080</v>
      </c>
      <c r="H181">
        <v>-1</v>
      </c>
      <c r="I181">
        <v>-1</v>
      </c>
      <c r="J181">
        <v>1</v>
      </c>
      <c r="K181">
        <v>3.82</v>
      </c>
      <c r="L181">
        <v>3.82</v>
      </c>
      <c r="M181">
        <v>25.06</v>
      </c>
      <c r="N181" t="s">
        <v>1047</v>
      </c>
      <c r="O181">
        <v>25.06</v>
      </c>
      <c r="Q181" t="s">
        <v>87</v>
      </c>
      <c r="R181">
        <v>1273</v>
      </c>
      <c r="S181">
        <v>10</v>
      </c>
      <c r="T181" t="b">
        <v>0</v>
      </c>
      <c r="U181" t="s">
        <v>125</v>
      </c>
      <c r="V181" t="s">
        <v>126</v>
      </c>
      <c r="W181">
        <v>1</v>
      </c>
      <c r="Y181">
        <v>0.5</v>
      </c>
      <c r="Z181">
        <v>0.75</v>
      </c>
      <c r="AC181" t="s">
        <v>90</v>
      </c>
      <c r="AD181">
        <v>125</v>
      </c>
      <c r="AE181">
        <v>220</v>
      </c>
      <c r="AF181" t="s">
        <v>91</v>
      </c>
      <c r="AG181">
        <v>288</v>
      </c>
      <c r="AH181">
        <v>63000</v>
      </c>
      <c r="AI181" t="s">
        <v>136</v>
      </c>
      <c r="AL181" t="b">
        <v>1</v>
      </c>
      <c r="AM181" t="b">
        <v>0</v>
      </c>
      <c r="AN181" t="b">
        <v>0</v>
      </c>
      <c r="AO181" t="b">
        <v>0</v>
      </c>
      <c r="AP181" t="s">
        <v>1212</v>
      </c>
      <c r="AS181">
        <v>11.05089000537367</v>
      </c>
      <c r="AT181">
        <v>1.510204081632653</v>
      </c>
      <c r="AU181">
        <v>1.2653061224489801</v>
      </c>
      <c r="AV181">
        <v>0.16326530612244899</v>
      </c>
      <c r="AW181">
        <v>0</v>
      </c>
      <c r="AX181">
        <v>0.51388888888888884</v>
      </c>
      <c r="AY181">
        <v>0.43055555555555558</v>
      </c>
      <c r="AZ181">
        <v>5.5555555555555552E-2</v>
      </c>
      <c r="BA181">
        <v>0</v>
      </c>
      <c r="BB181">
        <v>6.7075737452127342</v>
      </c>
      <c r="BC181">
        <v>20</v>
      </c>
      <c r="BD181">
        <v>733.37308460000008</v>
      </c>
      <c r="BE181">
        <v>2</v>
      </c>
      <c r="BF181">
        <v>5.4542497999932729E-2</v>
      </c>
      <c r="BG181">
        <v>3.8530000000000002</v>
      </c>
      <c r="BH181">
        <v>3.8530000000000002</v>
      </c>
      <c r="BI181">
        <v>49.4</v>
      </c>
      <c r="BJ181">
        <v>0</v>
      </c>
      <c r="BK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S181">
        <v>0</v>
      </c>
      <c r="BT181">
        <v>0</v>
      </c>
      <c r="BU181">
        <v>0</v>
      </c>
      <c r="BV181">
        <v>365.68554399999999</v>
      </c>
      <c r="BW181">
        <v>5.4691798262607831E-2</v>
      </c>
      <c r="BX181">
        <v>10</v>
      </c>
      <c r="BY181">
        <v>2.7345899131303919E-2</v>
      </c>
      <c r="BZ181">
        <v>2.7271248999966361E-2</v>
      </c>
      <c r="CC181">
        <v>0.33447637567260352</v>
      </c>
      <c r="CF181">
        <v>0.33539194449650661</v>
      </c>
    </row>
    <row r="182" spans="1:84" x14ac:dyDescent="0.3">
      <c r="A182" s="1">
        <v>717</v>
      </c>
      <c r="B182" t="s">
        <v>1078</v>
      </c>
      <c r="C182" t="s">
        <v>1079</v>
      </c>
      <c r="E182" t="s">
        <v>404</v>
      </c>
      <c r="F182">
        <v>3.42</v>
      </c>
      <c r="G182" t="s">
        <v>1080</v>
      </c>
      <c r="H182">
        <v>-1</v>
      </c>
      <c r="I182">
        <v>-1</v>
      </c>
      <c r="J182">
        <v>1</v>
      </c>
      <c r="K182">
        <v>3.82</v>
      </c>
      <c r="L182">
        <v>3.82</v>
      </c>
      <c r="M182">
        <v>25.06</v>
      </c>
      <c r="N182" t="s">
        <v>1047</v>
      </c>
      <c r="O182">
        <v>25.06</v>
      </c>
      <c r="Q182" t="s">
        <v>87</v>
      </c>
      <c r="R182">
        <v>1273</v>
      </c>
      <c r="S182">
        <v>10</v>
      </c>
      <c r="T182" t="b">
        <v>0</v>
      </c>
      <c r="U182" t="s">
        <v>125</v>
      </c>
      <c r="V182" t="s">
        <v>126</v>
      </c>
      <c r="W182">
        <v>1</v>
      </c>
      <c r="Y182">
        <v>0.5</v>
      </c>
      <c r="Z182">
        <v>2</v>
      </c>
      <c r="AC182" t="s">
        <v>90</v>
      </c>
      <c r="AD182">
        <v>125</v>
      </c>
      <c r="AE182">
        <v>220</v>
      </c>
      <c r="AF182" t="s">
        <v>91</v>
      </c>
      <c r="AG182">
        <v>288</v>
      </c>
      <c r="AH182">
        <v>93000</v>
      </c>
      <c r="AI182" t="s">
        <v>136</v>
      </c>
      <c r="AL182" t="b">
        <v>1</v>
      </c>
      <c r="AM182" t="b">
        <v>0</v>
      </c>
      <c r="AN182" t="b">
        <v>0</v>
      </c>
      <c r="AO182" t="b">
        <v>0</v>
      </c>
      <c r="AP182" t="s">
        <v>1213</v>
      </c>
      <c r="AS182">
        <v>11.44035477213539</v>
      </c>
      <c r="AT182">
        <v>1.510204081632653</v>
      </c>
      <c r="AU182">
        <v>1.2653061224489801</v>
      </c>
      <c r="AV182">
        <v>0.16326530612244899</v>
      </c>
      <c r="AW182">
        <v>0</v>
      </c>
      <c r="AX182">
        <v>0.51388888888888884</v>
      </c>
      <c r="AY182">
        <v>0.43055555555555558</v>
      </c>
      <c r="AZ182">
        <v>5.5555555555555552E-2</v>
      </c>
      <c r="BA182">
        <v>0</v>
      </c>
      <c r="BB182">
        <v>6.7075737452127342</v>
      </c>
      <c r="BC182">
        <v>20</v>
      </c>
      <c r="BD182">
        <v>733.37308460000008</v>
      </c>
      <c r="BE182">
        <v>2</v>
      </c>
      <c r="BF182">
        <v>5.4542497999932729E-2</v>
      </c>
      <c r="BG182">
        <v>3.8530000000000002</v>
      </c>
      <c r="BH182">
        <v>3.8530000000000002</v>
      </c>
      <c r="BI182">
        <v>49.4</v>
      </c>
      <c r="BJ182">
        <v>0</v>
      </c>
      <c r="BK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S182">
        <v>0</v>
      </c>
      <c r="BT182">
        <v>0</v>
      </c>
      <c r="BU182">
        <v>0</v>
      </c>
      <c r="BV182">
        <v>365.68554399999999</v>
      </c>
      <c r="BW182">
        <v>5.4691798262607831E-2</v>
      </c>
      <c r="BX182">
        <v>10</v>
      </c>
      <c r="BY182">
        <v>2.7345899131303919E-2</v>
      </c>
      <c r="BZ182">
        <v>2.7271248999966361E-2</v>
      </c>
      <c r="CC182">
        <v>0.33447637567260352</v>
      </c>
      <c r="CF182">
        <v>0.33539194449650661</v>
      </c>
    </row>
    <row r="183" spans="1:84" x14ac:dyDescent="0.3">
      <c r="A183" s="1">
        <v>718</v>
      </c>
      <c r="B183" t="s">
        <v>1078</v>
      </c>
      <c r="C183" t="s">
        <v>1079</v>
      </c>
      <c r="E183" t="s">
        <v>404</v>
      </c>
      <c r="F183">
        <v>3.42</v>
      </c>
      <c r="G183" t="s">
        <v>1080</v>
      </c>
      <c r="H183">
        <v>-1</v>
      </c>
      <c r="I183">
        <v>-1</v>
      </c>
      <c r="J183">
        <v>1</v>
      </c>
      <c r="K183">
        <v>3.82</v>
      </c>
      <c r="L183">
        <v>3.82</v>
      </c>
      <c r="M183">
        <v>25.06</v>
      </c>
      <c r="N183" t="s">
        <v>1047</v>
      </c>
      <c r="O183">
        <v>25.06</v>
      </c>
      <c r="Q183" t="s">
        <v>87</v>
      </c>
      <c r="R183">
        <v>1273</v>
      </c>
      <c r="S183">
        <v>10</v>
      </c>
      <c r="T183" t="b">
        <v>0</v>
      </c>
      <c r="U183" t="s">
        <v>125</v>
      </c>
      <c r="V183" t="s">
        <v>126</v>
      </c>
      <c r="W183">
        <v>1</v>
      </c>
      <c r="Y183">
        <v>0.5</v>
      </c>
      <c r="Z183">
        <v>5</v>
      </c>
      <c r="AC183" t="s">
        <v>90</v>
      </c>
      <c r="AD183">
        <v>125</v>
      </c>
      <c r="AE183">
        <v>220</v>
      </c>
      <c r="AF183" t="s">
        <v>91</v>
      </c>
      <c r="AG183">
        <v>288</v>
      </c>
      <c r="AH183">
        <v>117000</v>
      </c>
      <c r="AI183" t="s">
        <v>136</v>
      </c>
      <c r="AL183" t="b">
        <v>1</v>
      </c>
      <c r="AM183" t="b">
        <v>0</v>
      </c>
      <c r="AN183" t="b">
        <v>0</v>
      </c>
      <c r="AO183" t="b">
        <v>0</v>
      </c>
      <c r="AP183" t="s">
        <v>1214</v>
      </c>
      <c r="AS183">
        <v>11.66992921377989</v>
      </c>
      <c r="AT183">
        <v>1.510204081632653</v>
      </c>
      <c r="AU183">
        <v>1.2653061224489801</v>
      </c>
      <c r="AV183">
        <v>0.16326530612244899</v>
      </c>
      <c r="AW183">
        <v>0</v>
      </c>
      <c r="AX183">
        <v>0.51388888888888884</v>
      </c>
      <c r="AY183">
        <v>0.43055555555555558</v>
      </c>
      <c r="AZ183">
        <v>5.5555555555555552E-2</v>
      </c>
      <c r="BA183">
        <v>0</v>
      </c>
      <c r="BB183">
        <v>6.7075737452127342</v>
      </c>
      <c r="BC183">
        <v>20</v>
      </c>
      <c r="BD183">
        <v>733.37308460000008</v>
      </c>
      <c r="BE183">
        <v>2</v>
      </c>
      <c r="BF183">
        <v>5.4542497999932729E-2</v>
      </c>
      <c r="BG183">
        <v>3.8530000000000002</v>
      </c>
      <c r="BH183">
        <v>3.8530000000000002</v>
      </c>
      <c r="BI183">
        <v>49.4</v>
      </c>
      <c r="BJ183">
        <v>0</v>
      </c>
      <c r="BK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S183">
        <v>0</v>
      </c>
      <c r="BT183">
        <v>0</v>
      </c>
      <c r="BU183">
        <v>0</v>
      </c>
      <c r="BV183">
        <v>365.68554399999999</v>
      </c>
      <c r="BW183">
        <v>5.4691798262607831E-2</v>
      </c>
      <c r="BX183">
        <v>10</v>
      </c>
      <c r="BY183">
        <v>2.7345899131303919E-2</v>
      </c>
      <c r="BZ183">
        <v>2.7271248999966361E-2</v>
      </c>
      <c r="CC183">
        <v>0.33447637567260352</v>
      </c>
      <c r="CF183">
        <v>0.33539194449650661</v>
      </c>
    </row>
    <row r="184" spans="1:84" x14ac:dyDescent="0.3">
      <c r="A184" s="1">
        <v>719</v>
      </c>
      <c r="B184" t="s">
        <v>1078</v>
      </c>
      <c r="C184" t="s">
        <v>1079</v>
      </c>
      <c r="E184" t="s">
        <v>404</v>
      </c>
      <c r="F184">
        <v>3.42</v>
      </c>
      <c r="G184" t="s">
        <v>1080</v>
      </c>
      <c r="H184">
        <v>-1</v>
      </c>
      <c r="I184">
        <v>-1</v>
      </c>
      <c r="J184">
        <v>1</v>
      </c>
      <c r="K184">
        <v>3.82</v>
      </c>
      <c r="L184">
        <v>3.82</v>
      </c>
      <c r="M184">
        <v>25.06</v>
      </c>
      <c r="N184" t="s">
        <v>1047</v>
      </c>
      <c r="O184">
        <v>25.06</v>
      </c>
      <c r="Q184" t="s">
        <v>87</v>
      </c>
      <c r="R184">
        <v>1273</v>
      </c>
      <c r="S184">
        <v>10</v>
      </c>
      <c r="T184" t="b">
        <v>0</v>
      </c>
      <c r="U184" t="s">
        <v>125</v>
      </c>
      <c r="V184" t="s">
        <v>126</v>
      </c>
      <c r="W184">
        <v>1</v>
      </c>
      <c r="Y184">
        <v>0.5</v>
      </c>
      <c r="Z184">
        <v>10</v>
      </c>
      <c r="AC184" t="s">
        <v>90</v>
      </c>
      <c r="AD184">
        <v>125</v>
      </c>
      <c r="AE184">
        <v>220</v>
      </c>
      <c r="AF184" t="s">
        <v>91</v>
      </c>
      <c r="AG184">
        <v>288</v>
      </c>
      <c r="AH184">
        <v>132000</v>
      </c>
      <c r="AI184" t="s">
        <v>136</v>
      </c>
      <c r="AL184" t="b">
        <v>1</v>
      </c>
      <c r="AM184" t="b">
        <v>0</v>
      </c>
      <c r="AN184" t="b">
        <v>0</v>
      </c>
      <c r="AO184" t="b">
        <v>0</v>
      </c>
      <c r="AP184" t="s">
        <v>1215</v>
      </c>
      <c r="AS184">
        <v>11.790557201568509</v>
      </c>
      <c r="AT184">
        <v>1.510204081632653</v>
      </c>
      <c r="AU184">
        <v>1.2653061224489801</v>
      </c>
      <c r="AV184">
        <v>0.16326530612244899</v>
      </c>
      <c r="AW184">
        <v>0</v>
      </c>
      <c r="AX184">
        <v>0.51388888888888884</v>
      </c>
      <c r="AY184">
        <v>0.43055555555555558</v>
      </c>
      <c r="AZ184">
        <v>5.5555555555555552E-2</v>
      </c>
      <c r="BA184">
        <v>0</v>
      </c>
      <c r="BB184">
        <v>6.7075737452127342</v>
      </c>
      <c r="BC184">
        <v>20</v>
      </c>
      <c r="BD184">
        <v>733.37308460000008</v>
      </c>
      <c r="BE184">
        <v>2</v>
      </c>
      <c r="BF184">
        <v>5.4542497999932729E-2</v>
      </c>
      <c r="BG184">
        <v>3.8530000000000002</v>
      </c>
      <c r="BH184">
        <v>3.8530000000000002</v>
      </c>
      <c r="BI184">
        <v>49.4</v>
      </c>
      <c r="BJ184">
        <v>0</v>
      </c>
      <c r="BK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S184">
        <v>0</v>
      </c>
      <c r="BT184">
        <v>0</v>
      </c>
      <c r="BU184">
        <v>0</v>
      </c>
      <c r="BV184">
        <v>365.68554399999999</v>
      </c>
      <c r="BW184">
        <v>5.4691798262607831E-2</v>
      </c>
      <c r="BX184">
        <v>10</v>
      </c>
      <c r="BY184">
        <v>2.7345899131303919E-2</v>
      </c>
      <c r="BZ184">
        <v>2.7271248999966361E-2</v>
      </c>
      <c r="CC184">
        <v>0.33447637567260352</v>
      </c>
      <c r="CF184">
        <v>0.33539194449650661</v>
      </c>
    </row>
    <row r="185" spans="1:84" x14ac:dyDescent="0.3">
      <c r="A185" s="1">
        <v>720</v>
      </c>
      <c r="B185" t="s">
        <v>1078</v>
      </c>
      <c r="C185" t="s">
        <v>1079</v>
      </c>
      <c r="E185" t="s">
        <v>404</v>
      </c>
      <c r="F185">
        <v>3.42</v>
      </c>
      <c r="G185" t="s">
        <v>1080</v>
      </c>
      <c r="H185">
        <v>-1</v>
      </c>
      <c r="I185">
        <v>-1</v>
      </c>
      <c r="J185">
        <v>1</v>
      </c>
      <c r="K185">
        <v>3.82</v>
      </c>
      <c r="L185">
        <v>3.82</v>
      </c>
      <c r="M185">
        <v>25.06</v>
      </c>
      <c r="N185" t="s">
        <v>1047</v>
      </c>
      <c r="O185">
        <v>25.06</v>
      </c>
      <c r="Q185" t="s">
        <v>87</v>
      </c>
      <c r="R185">
        <v>1273</v>
      </c>
      <c r="S185">
        <v>10</v>
      </c>
      <c r="T185" t="b">
        <v>0</v>
      </c>
      <c r="U185" t="s">
        <v>125</v>
      </c>
      <c r="V185" t="s">
        <v>126</v>
      </c>
      <c r="W185">
        <v>1</v>
      </c>
      <c r="Y185">
        <v>0.5</v>
      </c>
      <c r="Z185">
        <v>15</v>
      </c>
      <c r="AC185" t="s">
        <v>90</v>
      </c>
      <c r="AD185">
        <v>125</v>
      </c>
      <c r="AE185">
        <v>220</v>
      </c>
      <c r="AF185" t="s">
        <v>91</v>
      </c>
      <c r="AG185">
        <v>288</v>
      </c>
      <c r="AH185">
        <v>117000</v>
      </c>
      <c r="AI185" t="s">
        <v>136</v>
      </c>
      <c r="AL185" t="b">
        <v>1</v>
      </c>
      <c r="AM185" t="b">
        <v>0</v>
      </c>
      <c r="AN185" t="b">
        <v>0</v>
      </c>
      <c r="AO185" t="b">
        <v>0</v>
      </c>
      <c r="AP185" t="s">
        <v>1216</v>
      </c>
      <c r="AS185">
        <v>11.66992921377989</v>
      </c>
      <c r="AT185">
        <v>1.510204081632653</v>
      </c>
      <c r="AU185">
        <v>1.2653061224489801</v>
      </c>
      <c r="AV185">
        <v>0.16326530612244899</v>
      </c>
      <c r="AW185">
        <v>0</v>
      </c>
      <c r="AX185">
        <v>0.51388888888888884</v>
      </c>
      <c r="AY185">
        <v>0.43055555555555558</v>
      </c>
      <c r="AZ185">
        <v>5.5555555555555552E-2</v>
      </c>
      <c r="BA185">
        <v>0</v>
      </c>
      <c r="BB185">
        <v>6.7075737452127342</v>
      </c>
      <c r="BC185">
        <v>20</v>
      </c>
      <c r="BD185">
        <v>733.37308460000008</v>
      </c>
      <c r="BE185">
        <v>2</v>
      </c>
      <c r="BF185">
        <v>5.4542497999932729E-2</v>
      </c>
      <c r="BG185">
        <v>3.8530000000000002</v>
      </c>
      <c r="BH185">
        <v>3.8530000000000002</v>
      </c>
      <c r="BI185">
        <v>49.4</v>
      </c>
      <c r="BJ185">
        <v>0</v>
      </c>
      <c r="BK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S185">
        <v>0</v>
      </c>
      <c r="BT185">
        <v>0</v>
      </c>
      <c r="BU185">
        <v>0</v>
      </c>
      <c r="BV185">
        <v>365.68554399999999</v>
      </c>
      <c r="BW185">
        <v>5.4691798262607831E-2</v>
      </c>
      <c r="BX185">
        <v>10</v>
      </c>
      <c r="BY185">
        <v>2.7345899131303919E-2</v>
      </c>
      <c r="BZ185">
        <v>2.7271248999966361E-2</v>
      </c>
      <c r="CC185">
        <v>0.33447637567260352</v>
      </c>
      <c r="CF185">
        <v>0.33539194449650661</v>
      </c>
    </row>
    <row r="186" spans="1:84" x14ac:dyDescent="0.3">
      <c r="A186" s="1">
        <v>721</v>
      </c>
      <c r="B186" t="s">
        <v>1078</v>
      </c>
      <c r="C186" t="s">
        <v>1079</v>
      </c>
      <c r="E186" t="s">
        <v>404</v>
      </c>
      <c r="F186">
        <v>3.42</v>
      </c>
      <c r="G186" t="s">
        <v>1080</v>
      </c>
      <c r="H186">
        <v>-1</v>
      </c>
      <c r="I186">
        <v>-1</v>
      </c>
      <c r="J186">
        <v>1</v>
      </c>
      <c r="K186">
        <v>3.82</v>
      </c>
      <c r="L186">
        <v>3.82</v>
      </c>
      <c r="M186">
        <v>25.06</v>
      </c>
      <c r="N186" t="s">
        <v>1047</v>
      </c>
      <c r="O186">
        <v>25.06</v>
      </c>
      <c r="Q186" t="s">
        <v>87</v>
      </c>
      <c r="R186">
        <v>1273</v>
      </c>
      <c r="S186">
        <v>10</v>
      </c>
      <c r="T186" t="b">
        <v>0</v>
      </c>
      <c r="U186" t="s">
        <v>125</v>
      </c>
      <c r="V186" t="s">
        <v>126</v>
      </c>
      <c r="W186">
        <v>1</v>
      </c>
      <c r="Y186">
        <v>0.5</v>
      </c>
      <c r="Z186">
        <v>20</v>
      </c>
      <c r="AC186" t="s">
        <v>90</v>
      </c>
      <c r="AD186">
        <v>125</v>
      </c>
      <c r="AE186">
        <v>220</v>
      </c>
      <c r="AF186" t="s">
        <v>91</v>
      </c>
      <c r="AG186">
        <v>288</v>
      </c>
      <c r="AH186">
        <v>111000</v>
      </c>
      <c r="AI186" t="s">
        <v>136</v>
      </c>
      <c r="AL186" t="b">
        <v>1</v>
      </c>
      <c r="AM186" t="b">
        <v>0</v>
      </c>
      <c r="AN186" t="b">
        <v>0</v>
      </c>
      <c r="AO186" t="b">
        <v>0</v>
      </c>
      <c r="AP186" t="s">
        <v>1217</v>
      </c>
      <c r="AS186">
        <v>11.61728548029447</v>
      </c>
      <c r="AT186">
        <v>1.510204081632653</v>
      </c>
      <c r="AU186">
        <v>1.2653061224489801</v>
      </c>
      <c r="AV186">
        <v>0.16326530612244899</v>
      </c>
      <c r="AW186">
        <v>0</v>
      </c>
      <c r="AX186">
        <v>0.51388888888888884</v>
      </c>
      <c r="AY186">
        <v>0.43055555555555558</v>
      </c>
      <c r="AZ186">
        <v>5.5555555555555552E-2</v>
      </c>
      <c r="BA186">
        <v>0</v>
      </c>
      <c r="BB186">
        <v>6.7075737452127342</v>
      </c>
      <c r="BC186">
        <v>20</v>
      </c>
      <c r="BD186">
        <v>733.37308460000008</v>
      </c>
      <c r="BE186">
        <v>2</v>
      </c>
      <c r="BF186">
        <v>5.4542497999932729E-2</v>
      </c>
      <c r="BG186">
        <v>3.8530000000000002</v>
      </c>
      <c r="BH186">
        <v>3.8530000000000002</v>
      </c>
      <c r="BI186">
        <v>49.4</v>
      </c>
      <c r="BJ186">
        <v>0</v>
      </c>
      <c r="BK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S186">
        <v>0</v>
      </c>
      <c r="BT186">
        <v>0</v>
      </c>
      <c r="BU186">
        <v>0</v>
      </c>
      <c r="BV186">
        <v>365.68554399999999</v>
      </c>
      <c r="BW186">
        <v>5.4691798262607831E-2</v>
      </c>
      <c r="BX186">
        <v>10</v>
      </c>
      <c r="BY186">
        <v>2.7345899131303919E-2</v>
      </c>
      <c r="BZ186">
        <v>2.7271248999966361E-2</v>
      </c>
      <c r="CC186">
        <v>0.33447637567260352</v>
      </c>
      <c r="CF186">
        <v>0.33539194449650661</v>
      </c>
    </row>
    <row r="187" spans="1:84" x14ac:dyDescent="0.3">
      <c r="A187" s="1">
        <v>722</v>
      </c>
      <c r="B187" t="s">
        <v>1078</v>
      </c>
      <c r="C187" t="s">
        <v>1079</v>
      </c>
      <c r="E187" t="s">
        <v>404</v>
      </c>
      <c r="F187">
        <v>3.42</v>
      </c>
      <c r="G187" t="s">
        <v>1080</v>
      </c>
      <c r="H187">
        <v>-1</v>
      </c>
      <c r="I187">
        <v>-1</v>
      </c>
      <c r="J187">
        <v>1</v>
      </c>
      <c r="K187">
        <v>3.82</v>
      </c>
      <c r="L187">
        <v>3.82</v>
      </c>
      <c r="M187">
        <v>25.06</v>
      </c>
      <c r="N187" t="s">
        <v>1047</v>
      </c>
      <c r="O187">
        <v>25.06</v>
      </c>
      <c r="Q187" t="s">
        <v>87</v>
      </c>
      <c r="R187">
        <v>1273</v>
      </c>
      <c r="S187">
        <v>10</v>
      </c>
      <c r="T187" t="b">
        <v>0</v>
      </c>
      <c r="U187" t="s">
        <v>125</v>
      </c>
      <c r="V187" t="s">
        <v>126</v>
      </c>
      <c r="W187">
        <v>1</v>
      </c>
      <c r="Y187">
        <v>0.5</v>
      </c>
      <c r="Z187">
        <v>30</v>
      </c>
      <c r="AC187" t="s">
        <v>90</v>
      </c>
      <c r="AD187">
        <v>125</v>
      </c>
      <c r="AE187">
        <v>220</v>
      </c>
      <c r="AF187" t="s">
        <v>91</v>
      </c>
      <c r="AG187">
        <v>288</v>
      </c>
      <c r="AH187">
        <v>90000</v>
      </c>
      <c r="AI187" t="s">
        <v>136</v>
      </c>
      <c r="AL187" t="b">
        <v>1</v>
      </c>
      <c r="AM187" t="b">
        <v>0</v>
      </c>
      <c r="AN187" t="b">
        <v>0</v>
      </c>
      <c r="AO187" t="b">
        <v>0</v>
      </c>
      <c r="AP187" t="s">
        <v>1218</v>
      </c>
      <c r="AS187">
        <v>11.4075649493124</v>
      </c>
      <c r="AT187">
        <v>1.510204081632653</v>
      </c>
      <c r="AU187">
        <v>1.2653061224489801</v>
      </c>
      <c r="AV187">
        <v>0.16326530612244899</v>
      </c>
      <c r="AW187">
        <v>0</v>
      </c>
      <c r="AX187">
        <v>0.51388888888888884</v>
      </c>
      <c r="AY187">
        <v>0.43055555555555558</v>
      </c>
      <c r="AZ187">
        <v>5.5555555555555552E-2</v>
      </c>
      <c r="BA187">
        <v>0</v>
      </c>
      <c r="BB187">
        <v>6.7075737452127342</v>
      </c>
      <c r="BC187">
        <v>20</v>
      </c>
      <c r="BD187">
        <v>733.37308460000008</v>
      </c>
      <c r="BE187">
        <v>2</v>
      </c>
      <c r="BF187">
        <v>5.4542497999932729E-2</v>
      </c>
      <c r="BG187">
        <v>3.8530000000000002</v>
      </c>
      <c r="BH187">
        <v>3.8530000000000002</v>
      </c>
      <c r="BI187">
        <v>49.4</v>
      </c>
      <c r="BJ187">
        <v>0</v>
      </c>
      <c r="BK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S187">
        <v>0</v>
      </c>
      <c r="BT187">
        <v>0</v>
      </c>
      <c r="BU187">
        <v>0</v>
      </c>
      <c r="BV187">
        <v>365.68554399999999</v>
      </c>
      <c r="BW187">
        <v>5.4691798262607831E-2</v>
      </c>
      <c r="BX187">
        <v>10</v>
      </c>
      <c r="BY187">
        <v>2.7345899131303919E-2</v>
      </c>
      <c r="BZ187">
        <v>2.7271248999966361E-2</v>
      </c>
      <c r="CC187">
        <v>0.33447637567260352</v>
      </c>
      <c r="CF187">
        <v>0.33539194449650661</v>
      </c>
    </row>
    <row r="188" spans="1:84" x14ac:dyDescent="0.3">
      <c r="A188" s="1">
        <v>724</v>
      </c>
      <c r="B188" t="s">
        <v>1115</v>
      </c>
      <c r="C188" t="s">
        <v>1116</v>
      </c>
      <c r="E188" t="s">
        <v>404</v>
      </c>
      <c r="F188">
        <v>3.58</v>
      </c>
      <c r="G188" t="s">
        <v>1080</v>
      </c>
      <c r="H188">
        <v>-1</v>
      </c>
      <c r="I188">
        <v>-1</v>
      </c>
      <c r="J188">
        <v>1</v>
      </c>
      <c r="K188">
        <v>3.802</v>
      </c>
      <c r="L188">
        <v>3.802</v>
      </c>
      <c r="M188">
        <v>24.7</v>
      </c>
      <c r="N188" t="s">
        <v>101</v>
      </c>
      <c r="O188">
        <v>24.7</v>
      </c>
      <c r="Q188" t="s">
        <v>87</v>
      </c>
      <c r="R188">
        <v>1273</v>
      </c>
      <c r="S188">
        <v>10</v>
      </c>
      <c r="T188" t="b">
        <v>0</v>
      </c>
      <c r="U188" t="s">
        <v>125</v>
      </c>
      <c r="V188" t="s">
        <v>126</v>
      </c>
      <c r="W188">
        <v>1</v>
      </c>
      <c r="Y188">
        <v>0.5</v>
      </c>
      <c r="Z188">
        <v>0.2</v>
      </c>
      <c r="AC188" t="s">
        <v>90</v>
      </c>
      <c r="AD188">
        <v>125</v>
      </c>
      <c r="AE188">
        <v>220</v>
      </c>
      <c r="AF188" t="s">
        <v>91</v>
      </c>
      <c r="AG188">
        <v>288</v>
      </c>
      <c r="AH188">
        <v>21000</v>
      </c>
      <c r="AI188" t="s">
        <v>972</v>
      </c>
      <c r="AL188" t="b">
        <v>1</v>
      </c>
      <c r="AM188" t="b">
        <v>0</v>
      </c>
      <c r="AN188" t="b">
        <v>0</v>
      </c>
      <c r="AO188" t="b">
        <v>0</v>
      </c>
      <c r="AP188" t="s">
        <v>1219</v>
      </c>
      <c r="AS188">
        <v>9.9522777167055594</v>
      </c>
      <c r="AT188">
        <v>1.510204081632653</v>
      </c>
      <c r="AU188">
        <v>1.2653061224489801</v>
      </c>
      <c r="AV188">
        <v>0.1224489795918367</v>
      </c>
      <c r="AW188">
        <v>0.16326530612244899</v>
      </c>
      <c r="AX188">
        <v>0.49333333333333329</v>
      </c>
      <c r="AY188">
        <v>0.41333333333333339</v>
      </c>
      <c r="AZ188">
        <v>0.04</v>
      </c>
      <c r="BA188">
        <v>5.333333333333333E-2</v>
      </c>
      <c r="BB188">
        <v>6.6971257268453872</v>
      </c>
      <c r="BC188">
        <v>20</v>
      </c>
      <c r="BD188">
        <v>733.37308460000008</v>
      </c>
      <c r="BE188">
        <v>2</v>
      </c>
      <c r="BF188">
        <v>5.4542497999932729E-2</v>
      </c>
      <c r="BG188">
        <v>3.8530000000000002</v>
      </c>
      <c r="BH188">
        <v>3.8530000000000002</v>
      </c>
      <c r="BI188">
        <v>49.4</v>
      </c>
      <c r="BJ188">
        <v>0</v>
      </c>
      <c r="BK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S188">
        <v>0</v>
      </c>
      <c r="BT188">
        <v>0</v>
      </c>
      <c r="BU188">
        <v>0</v>
      </c>
      <c r="BV188">
        <v>357.04353880000002</v>
      </c>
      <c r="BW188">
        <v>5.6015577448113731E-2</v>
      </c>
      <c r="BX188">
        <v>10</v>
      </c>
      <c r="BY188">
        <v>2.8007788724056869E-2</v>
      </c>
      <c r="BZ188">
        <v>2.7271248999966361E-2</v>
      </c>
      <c r="CC188">
        <v>0.33005342247707181</v>
      </c>
      <c r="CF188">
        <v>0.33896747906196412</v>
      </c>
    </row>
    <row r="189" spans="1:84" x14ac:dyDescent="0.3">
      <c r="A189" s="1">
        <v>725</v>
      </c>
      <c r="B189" t="s">
        <v>1115</v>
      </c>
      <c r="C189" t="s">
        <v>1116</v>
      </c>
      <c r="E189" t="s">
        <v>404</v>
      </c>
      <c r="F189">
        <v>3.58</v>
      </c>
      <c r="G189" t="s">
        <v>1080</v>
      </c>
      <c r="H189">
        <v>-1</v>
      </c>
      <c r="I189">
        <v>-1</v>
      </c>
      <c r="J189">
        <v>1</v>
      </c>
      <c r="K189">
        <v>3.802</v>
      </c>
      <c r="L189">
        <v>3.802</v>
      </c>
      <c r="M189">
        <v>24.7</v>
      </c>
      <c r="N189" t="s">
        <v>101</v>
      </c>
      <c r="O189">
        <v>24.7</v>
      </c>
      <c r="Q189" t="s">
        <v>87</v>
      </c>
      <c r="R189">
        <v>1273</v>
      </c>
      <c r="S189">
        <v>10</v>
      </c>
      <c r="T189" t="b">
        <v>0</v>
      </c>
      <c r="U189" t="s">
        <v>125</v>
      </c>
      <c r="V189" t="s">
        <v>126</v>
      </c>
      <c r="W189">
        <v>1</v>
      </c>
      <c r="Y189">
        <v>0.5</v>
      </c>
      <c r="Z189">
        <v>0.5</v>
      </c>
      <c r="AC189" t="s">
        <v>90</v>
      </c>
      <c r="AD189">
        <v>125</v>
      </c>
      <c r="AE189">
        <v>220</v>
      </c>
      <c r="AF189" t="s">
        <v>91</v>
      </c>
      <c r="AG189">
        <v>288</v>
      </c>
      <c r="AH189">
        <v>36000</v>
      </c>
      <c r="AI189" t="s">
        <v>972</v>
      </c>
      <c r="AL189" t="b">
        <v>1</v>
      </c>
      <c r="AM189" t="b">
        <v>0</v>
      </c>
      <c r="AN189" t="b">
        <v>0</v>
      </c>
      <c r="AO189" t="b">
        <v>0</v>
      </c>
      <c r="AP189" t="s">
        <v>1220</v>
      </c>
      <c r="AS189">
        <v>10.491274217438249</v>
      </c>
      <c r="AT189">
        <v>1.510204081632653</v>
      </c>
      <c r="AU189">
        <v>1.2653061224489801</v>
      </c>
      <c r="AV189">
        <v>0.1224489795918367</v>
      </c>
      <c r="AW189">
        <v>0.16326530612244899</v>
      </c>
      <c r="AX189">
        <v>0.49333333333333329</v>
      </c>
      <c r="AY189">
        <v>0.41333333333333339</v>
      </c>
      <c r="AZ189">
        <v>0.04</v>
      </c>
      <c r="BA189">
        <v>5.333333333333333E-2</v>
      </c>
      <c r="BB189">
        <v>6.6971257268453872</v>
      </c>
      <c r="BC189">
        <v>20</v>
      </c>
      <c r="BD189">
        <v>733.37308460000008</v>
      </c>
      <c r="BE189">
        <v>2</v>
      </c>
      <c r="BF189">
        <v>5.4542497999932729E-2</v>
      </c>
      <c r="BG189">
        <v>3.8530000000000002</v>
      </c>
      <c r="BH189">
        <v>3.8530000000000002</v>
      </c>
      <c r="BI189">
        <v>49.4</v>
      </c>
      <c r="BJ189">
        <v>0</v>
      </c>
      <c r="BK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S189">
        <v>0</v>
      </c>
      <c r="BT189">
        <v>0</v>
      </c>
      <c r="BU189">
        <v>0</v>
      </c>
      <c r="BV189">
        <v>357.04353880000002</v>
      </c>
      <c r="BW189">
        <v>5.6015577448113731E-2</v>
      </c>
      <c r="BX189">
        <v>10</v>
      </c>
      <c r="BY189">
        <v>2.8007788724056869E-2</v>
      </c>
      <c r="BZ189">
        <v>2.7271248999966361E-2</v>
      </c>
      <c r="CC189">
        <v>0.33005342247707181</v>
      </c>
      <c r="CF189">
        <v>0.33896747906196412</v>
      </c>
    </row>
    <row r="190" spans="1:84" x14ac:dyDescent="0.3">
      <c r="A190" s="1">
        <v>726</v>
      </c>
      <c r="B190" t="s">
        <v>1115</v>
      </c>
      <c r="C190" t="s">
        <v>1116</v>
      </c>
      <c r="E190" t="s">
        <v>404</v>
      </c>
      <c r="F190">
        <v>3.58</v>
      </c>
      <c r="G190" t="s">
        <v>1080</v>
      </c>
      <c r="H190">
        <v>-1</v>
      </c>
      <c r="I190">
        <v>-1</v>
      </c>
      <c r="J190">
        <v>1</v>
      </c>
      <c r="K190">
        <v>3.802</v>
      </c>
      <c r="L190">
        <v>3.802</v>
      </c>
      <c r="M190">
        <v>24.7</v>
      </c>
      <c r="N190" t="s">
        <v>101</v>
      </c>
      <c r="O190">
        <v>24.7</v>
      </c>
      <c r="Q190" t="s">
        <v>87</v>
      </c>
      <c r="R190">
        <v>1273</v>
      </c>
      <c r="S190">
        <v>10</v>
      </c>
      <c r="T190" t="b">
        <v>0</v>
      </c>
      <c r="U190" t="s">
        <v>125</v>
      </c>
      <c r="V190" t="s">
        <v>126</v>
      </c>
      <c r="W190">
        <v>1</v>
      </c>
      <c r="Y190">
        <v>0.5</v>
      </c>
      <c r="Z190">
        <v>0.75</v>
      </c>
      <c r="AC190" t="s">
        <v>90</v>
      </c>
      <c r="AD190">
        <v>125</v>
      </c>
      <c r="AE190">
        <v>220</v>
      </c>
      <c r="AF190" t="s">
        <v>91</v>
      </c>
      <c r="AG190">
        <v>288</v>
      </c>
      <c r="AH190">
        <v>54000</v>
      </c>
      <c r="AI190" t="s">
        <v>972</v>
      </c>
      <c r="AL190" t="b">
        <v>1</v>
      </c>
      <c r="AM190" t="b">
        <v>0</v>
      </c>
      <c r="AN190" t="b">
        <v>0</v>
      </c>
      <c r="AO190" t="b">
        <v>0</v>
      </c>
      <c r="AP190" t="s">
        <v>1221</v>
      </c>
      <c r="AS190">
        <v>10.89673932554641</v>
      </c>
      <c r="AT190">
        <v>1.510204081632653</v>
      </c>
      <c r="AU190">
        <v>1.2653061224489801</v>
      </c>
      <c r="AV190">
        <v>0.1224489795918367</v>
      </c>
      <c r="AW190">
        <v>0.16326530612244899</v>
      </c>
      <c r="AX190">
        <v>0.49333333333333329</v>
      </c>
      <c r="AY190">
        <v>0.41333333333333339</v>
      </c>
      <c r="AZ190">
        <v>0.04</v>
      </c>
      <c r="BA190">
        <v>5.333333333333333E-2</v>
      </c>
      <c r="BB190">
        <v>6.6971257268453872</v>
      </c>
      <c r="BC190">
        <v>20</v>
      </c>
      <c r="BD190">
        <v>733.37308460000008</v>
      </c>
      <c r="BE190">
        <v>2</v>
      </c>
      <c r="BF190">
        <v>5.4542497999932729E-2</v>
      </c>
      <c r="BG190">
        <v>3.8530000000000002</v>
      </c>
      <c r="BH190">
        <v>3.8530000000000002</v>
      </c>
      <c r="BI190">
        <v>49.4</v>
      </c>
      <c r="BJ190">
        <v>0</v>
      </c>
      <c r="BK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S190">
        <v>0</v>
      </c>
      <c r="BT190">
        <v>0</v>
      </c>
      <c r="BU190">
        <v>0</v>
      </c>
      <c r="BV190">
        <v>357.04353880000002</v>
      </c>
      <c r="BW190">
        <v>5.6015577448113731E-2</v>
      </c>
      <c r="BX190">
        <v>10</v>
      </c>
      <c r="BY190">
        <v>2.8007788724056869E-2</v>
      </c>
      <c r="BZ190">
        <v>2.7271248999966361E-2</v>
      </c>
      <c r="CC190">
        <v>0.33005342247707181</v>
      </c>
      <c r="CF190">
        <v>0.33896747906196412</v>
      </c>
    </row>
    <row r="191" spans="1:84" x14ac:dyDescent="0.3">
      <c r="A191" s="1">
        <v>727</v>
      </c>
      <c r="B191" t="s">
        <v>1115</v>
      </c>
      <c r="C191" t="s">
        <v>1116</v>
      </c>
      <c r="E191" t="s">
        <v>404</v>
      </c>
      <c r="F191">
        <v>3.58</v>
      </c>
      <c r="G191" t="s">
        <v>1080</v>
      </c>
      <c r="H191">
        <v>-1</v>
      </c>
      <c r="I191">
        <v>-1</v>
      </c>
      <c r="J191">
        <v>1</v>
      </c>
      <c r="K191">
        <v>3.802</v>
      </c>
      <c r="L191">
        <v>3.802</v>
      </c>
      <c r="M191">
        <v>24.7</v>
      </c>
      <c r="N191" t="s">
        <v>101</v>
      </c>
      <c r="O191">
        <v>24.7</v>
      </c>
      <c r="Q191" t="s">
        <v>87</v>
      </c>
      <c r="R191">
        <v>1273</v>
      </c>
      <c r="S191">
        <v>10</v>
      </c>
      <c r="T191" t="b">
        <v>0</v>
      </c>
      <c r="U191" t="s">
        <v>125</v>
      </c>
      <c r="V191" t="s">
        <v>126</v>
      </c>
      <c r="W191">
        <v>1</v>
      </c>
      <c r="Y191">
        <v>0.5</v>
      </c>
      <c r="Z191">
        <v>1</v>
      </c>
      <c r="AC191" t="s">
        <v>90</v>
      </c>
      <c r="AD191">
        <v>125</v>
      </c>
      <c r="AE191">
        <v>220</v>
      </c>
      <c r="AF191" t="s">
        <v>91</v>
      </c>
      <c r="AG191">
        <v>288</v>
      </c>
      <c r="AH191">
        <v>78000</v>
      </c>
      <c r="AI191" t="s">
        <v>972</v>
      </c>
      <c r="AL191" t="b">
        <v>1</v>
      </c>
      <c r="AM191" t="b">
        <v>0</v>
      </c>
      <c r="AN191" t="b">
        <v>0</v>
      </c>
      <c r="AO191" t="b">
        <v>0</v>
      </c>
      <c r="AP191" t="s">
        <v>1222</v>
      </c>
      <c r="AS191">
        <v>11.264464105671729</v>
      </c>
      <c r="AT191">
        <v>1.510204081632653</v>
      </c>
      <c r="AU191">
        <v>1.2653061224489801</v>
      </c>
      <c r="AV191">
        <v>0.1224489795918367</v>
      </c>
      <c r="AW191">
        <v>0.16326530612244899</v>
      </c>
      <c r="AX191">
        <v>0.49333333333333329</v>
      </c>
      <c r="AY191">
        <v>0.41333333333333339</v>
      </c>
      <c r="AZ191">
        <v>0.04</v>
      </c>
      <c r="BA191">
        <v>5.333333333333333E-2</v>
      </c>
      <c r="BB191">
        <v>6.6971257268453872</v>
      </c>
      <c r="BC191">
        <v>20</v>
      </c>
      <c r="BD191">
        <v>733.37308460000008</v>
      </c>
      <c r="BE191">
        <v>2</v>
      </c>
      <c r="BF191">
        <v>5.4542497999932729E-2</v>
      </c>
      <c r="BG191">
        <v>3.8530000000000002</v>
      </c>
      <c r="BH191">
        <v>3.8530000000000002</v>
      </c>
      <c r="BI191">
        <v>49.4</v>
      </c>
      <c r="BJ191">
        <v>0</v>
      </c>
      <c r="BK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S191">
        <v>0</v>
      </c>
      <c r="BT191">
        <v>0</v>
      </c>
      <c r="BU191">
        <v>0</v>
      </c>
      <c r="BV191">
        <v>357.04353880000002</v>
      </c>
      <c r="BW191">
        <v>5.6015577448113731E-2</v>
      </c>
      <c r="BX191">
        <v>10</v>
      </c>
      <c r="BY191">
        <v>2.8007788724056869E-2</v>
      </c>
      <c r="BZ191">
        <v>2.7271248999966361E-2</v>
      </c>
      <c r="CC191">
        <v>0.33005342247707181</v>
      </c>
      <c r="CF191">
        <v>0.33896747906196412</v>
      </c>
    </row>
    <row r="192" spans="1:84" x14ac:dyDescent="0.3">
      <c r="A192" s="1">
        <v>728</v>
      </c>
      <c r="B192" t="s">
        <v>1115</v>
      </c>
      <c r="C192" t="s">
        <v>1116</v>
      </c>
      <c r="E192" t="s">
        <v>404</v>
      </c>
      <c r="F192">
        <v>3.58</v>
      </c>
      <c r="G192" t="s">
        <v>1080</v>
      </c>
      <c r="H192">
        <v>-1</v>
      </c>
      <c r="I192">
        <v>-1</v>
      </c>
      <c r="J192">
        <v>1</v>
      </c>
      <c r="K192">
        <v>3.802</v>
      </c>
      <c r="L192">
        <v>3.802</v>
      </c>
      <c r="M192">
        <v>24.7</v>
      </c>
      <c r="N192" t="s">
        <v>101</v>
      </c>
      <c r="O192">
        <v>24.7</v>
      </c>
      <c r="Q192" t="s">
        <v>87</v>
      </c>
      <c r="R192">
        <v>1273</v>
      </c>
      <c r="S192">
        <v>10</v>
      </c>
      <c r="T192" t="b">
        <v>0</v>
      </c>
      <c r="U192" t="s">
        <v>125</v>
      </c>
      <c r="V192" t="s">
        <v>126</v>
      </c>
      <c r="W192">
        <v>1</v>
      </c>
      <c r="Y192">
        <v>0.5</v>
      </c>
      <c r="Z192">
        <v>2</v>
      </c>
      <c r="AC192" t="s">
        <v>90</v>
      </c>
      <c r="AD192">
        <v>125</v>
      </c>
      <c r="AE192">
        <v>220</v>
      </c>
      <c r="AF192" t="s">
        <v>91</v>
      </c>
      <c r="AG192">
        <v>288</v>
      </c>
      <c r="AH192">
        <v>99000</v>
      </c>
      <c r="AI192" t="s">
        <v>972</v>
      </c>
      <c r="AL192" t="b">
        <v>1</v>
      </c>
      <c r="AM192" t="b">
        <v>0</v>
      </c>
      <c r="AN192" t="b">
        <v>0</v>
      </c>
      <c r="AO192" t="b">
        <v>0</v>
      </c>
      <c r="AP192" t="s">
        <v>1223</v>
      </c>
      <c r="AS192">
        <v>11.502875129116729</v>
      </c>
      <c r="AT192">
        <v>1.510204081632653</v>
      </c>
      <c r="AU192">
        <v>1.2653061224489801</v>
      </c>
      <c r="AV192">
        <v>0.1224489795918367</v>
      </c>
      <c r="AW192">
        <v>0.16326530612244899</v>
      </c>
      <c r="AX192">
        <v>0.49333333333333329</v>
      </c>
      <c r="AY192">
        <v>0.41333333333333339</v>
      </c>
      <c r="AZ192">
        <v>0.04</v>
      </c>
      <c r="BA192">
        <v>5.333333333333333E-2</v>
      </c>
      <c r="BB192">
        <v>6.6971257268453872</v>
      </c>
      <c r="BC192">
        <v>20</v>
      </c>
      <c r="BD192">
        <v>733.37308460000008</v>
      </c>
      <c r="BE192">
        <v>2</v>
      </c>
      <c r="BF192">
        <v>5.4542497999932729E-2</v>
      </c>
      <c r="BG192">
        <v>3.8530000000000002</v>
      </c>
      <c r="BH192">
        <v>3.8530000000000002</v>
      </c>
      <c r="BI192">
        <v>49.4</v>
      </c>
      <c r="BJ192">
        <v>0</v>
      </c>
      <c r="BK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S192">
        <v>0</v>
      </c>
      <c r="BT192">
        <v>0</v>
      </c>
      <c r="BU192">
        <v>0</v>
      </c>
      <c r="BV192">
        <v>357.04353880000002</v>
      </c>
      <c r="BW192">
        <v>5.6015577448113731E-2</v>
      </c>
      <c r="BX192">
        <v>10</v>
      </c>
      <c r="BY192">
        <v>2.8007788724056869E-2</v>
      </c>
      <c r="BZ192">
        <v>2.7271248999966361E-2</v>
      </c>
      <c r="CC192">
        <v>0.33005342247707181</v>
      </c>
      <c r="CF192">
        <v>0.33896747906196412</v>
      </c>
    </row>
    <row r="193" spans="1:84" x14ac:dyDescent="0.3">
      <c r="A193" s="1">
        <v>729</v>
      </c>
      <c r="B193" t="s">
        <v>1115</v>
      </c>
      <c r="C193" t="s">
        <v>1116</v>
      </c>
      <c r="E193" t="s">
        <v>404</v>
      </c>
      <c r="F193">
        <v>3.58</v>
      </c>
      <c r="G193" t="s">
        <v>1080</v>
      </c>
      <c r="H193">
        <v>-1</v>
      </c>
      <c r="I193">
        <v>-1</v>
      </c>
      <c r="J193">
        <v>1</v>
      </c>
      <c r="K193">
        <v>3.802</v>
      </c>
      <c r="L193">
        <v>3.802</v>
      </c>
      <c r="M193">
        <v>24.7</v>
      </c>
      <c r="N193" t="s">
        <v>101</v>
      </c>
      <c r="O193">
        <v>24.7</v>
      </c>
      <c r="Q193" t="s">
        <v>87</v>
      </c>
      <c r="R193">
        <v>1273</v>
      </c>
      <c r="S193">
        <v>10</v>
      </c>
      <c r="T193" t="b">
        <v>0</v>
      </c>
      <c r="U193" t="s">
        <v>125</v>
      </c>
      <c r="V193" t="s">
        <v>126</v>
      </c>
      <c r="W193">
        <v>1</v>
      </c>
      <c r="Y193">
        <v>0.5</v>
      </c>
      <c r="Z193">
        <v>5</v>
      </c>
      <c r="AC193" t="s">
        <v>90</v>
      </c>
      <c r="AD193">
        <v>125</v>
      </c>
      <c r="AE193">
        <v>220</v>
      </c>
      <c r="AF193" t="s">
        <v>91</v>
      </c>
      <c r="AG193">
        <v>288</v>
      </c>
      <c r="AH193">
        <v>141000</v>
      </c>
      <c r="AI193" t="s">
        <v>972</v>
      </c>
      <c r="AL193" t="b">
        <v>1</v>
      </c>
      <c r="AM193" t="b">
        <v>0</v>
      </c>
      <c r="AN193" t="b">
        <v>0</v>
      </c>
      <c r="AO193" t="b">
        <v>0</v>
      </c>
      <c r="AP193" t="s">
        <v>1224</v>
      </c>
      <c r="AS193">
        <v>11.856515169360311</v>
      </c>
      <c r="AT193">
        <v>1.510204081632653</v>
      </c>
      <c r="AU193">
        <v>1.2653061224489801</v>
      </c>
      <c r="AV193">
        <v>0.1224489795918367</v>
      </c>
      <c r="AW193">
        <v>0.16326530612244899</v>
      </c>
      <c r="AX193">
        <v>0.49333333333333329</v>
      </c>
      <c r="AY193">
        <v>0.41333333333333339</v>
      </c>
      <c r="AZ193">
        <v>0.04</v>
      </c>
      <c r="BA193">
        <v>5.333333333333333E-2</v>
      </c>
      <c r="BB193">
        <v>6.6971257268453872</v>
      </c>
      <c r="BC193">
        <v>20</v>
      </c>
      <c r="BD193">
        <v>733.37308460000008</v>
      </c>
      <c r="BE193">
        <v>2</v>
      </c>
      <c r="BF193">
        <v>5.4542497999932729E-2</v>
      </c>
      <c r="BG193">
        <v>3.8530000000000002</v>
      </c>
      <c r="BH193">
        <v>3.8530000000000002</v>
      </c>
      <c r="BI193">
        <v>49.4</v>
      </c>
      <c r="BJ193">
        <v>0</v>
      </c>
      <c r="BK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S193">
        <v>0</v>
      </c>
      <c r="BT193">
        <v>0</v>
      </c>
      <c r="BU193">
        <v>0</v>
      </c>
      <c r="BV193">
        <v>357.04353880000002</v>
      </c>
      <c r="BW193">
        <v>5.6015577448113731E-2</v>
      </c>
      <c r="BX193">
        <v>10</v>
      </c>
      <c r="BY193">
        <v>2.8007788724056869E-2</v>
      </c>
      <c r="BZ193">
        <v>2.7271248999966361E-2</v>
      </c>
      <c r="CC193">
        <v>0.33005342247707181</v>
      </c>
      <c r="CF193">
        <v>0.33896747906196412</v>
      </c>
    </row>
    <row r="194" spans="1:84" x14ac:dyDescent="0.3">
      <c r="A194" s="1">
        <v>730</v>
      </c>
      <c r="B194" t="s">
        <v>1115</v>
      </c>
      <c r="C194" t="s">
        <v>1116</v>
      </c>
      <c r="E194" t="s">
        <v>404</v>
      </c>
      <c r="F194">
        <v>3.58</v>
      </c>
      <c r="G194" t="s">
        <v>1080</v>
      </c>
      <c r="H194">
        <v>-1</v>
      </c>
      <c r="I194">
        <v>-1</v>
      </c>
      <c r="J194">
        <v>1</v>
      </c>
      <c r="K194">
        <v>3.802</v>
      </c>
      <c r="L194">
        <v>3.802</v>
      </c>
      <c r="M194">
        <v>24.7</v>
      </c>
      <c r="N194" t="s">
        <v>101</v>
      </c>
      <c r="O194">
        <v>24.7</v>
      </c>
      <c r="Q194" t="s">
        <v>87</v>
      </c>
      <c r="R194">
        <v>1273</v>
      </c>
      <c r="S194">
        <v>10</v>
      </c>
      <c r="T194" t="b">
        <v>0</v>
      </c>
      <c r="U194" t="s">
        <v>125</v>
      </c>
      <c r="V194" t="s">
        <v>126</v>
      </c>
      <c r="W194">
        <v>1</v>
      </c>
      <c r="Y194">
        <v>0.5</v>
      </c>
      <c r="Z194">
        <v>10</v>
      </c>
      <c r="AC194" t="s">
        <v>90</v>
      </c>
      <c r="AD194">
        <v>125</v>
      </c>
      <c r="AE194">
        <v>220</v>
      </c>
      <c r="AF194" t="s">
        <v>91</v>
      </c>
      <c r="AG194">
        <v>288</v>
      </c>
      <c r="AH194">
        <v>156000</v>
      </c>
      <c r="AI194" t="s">
        <v>972</v>
      </c>
      <c r="AL194" t="b">
        <v>1</v>
      </c>
      <c r="AM194" t="b">
        <v>0</v>
      </c>
      <c r="AN194" t="b">
        <v>0</v>
      </c>
      <c r="AO194" t="b">
        <v>0</v>
      </c>
      <c r="AP194" t="s">
        <v>1225</v>
      </c>
      <c r="AS194">
        <v>11.957611286231669</v>
      </c>
      <c r="AT194">
        <v>1.510204081632653</v>
      </c>
      <c r="AU194">
        <v>1.2653061224489801</v>
      </c>
      <c r="AV194">
        <v>0.1224489795918367</v>
      </c>
      <c r="AW194">
        <v>0.16326530612244899</v>
      </c>
      <c r="AX194">
        <v>0.49333333333333329</v>
      </c>
      <c r="AY194">
        <v>0.41333333333333339</v>
      </c>
      <c r="AZ194">
        <v>0.04</v>
      </c>
      <c r="BA194">
        <v>5.333333333333333E-2</v>
      </c>
      <c r="BB194">
        <v>6.6971257268453872</v>
      </c>
      <c r="BC194">
        <v>20</v>
      </c>
      <c r="BD194">
        <v>733.37308460000008</v>
      </c>
      <c r="BE194">
        <v>2</v>
      </c>
      <c r="BF194">
        <v>5.4542497999932729E-2</v>
      </c>
      <c r="BG194">
        <v>3.8530000000000002</v>
      </c>
      <c r="BH194">
        <v>3.8530000000000002</v>
      </c>
      <c r="BI194">
        <v>49.4</v>
      </c>
      <c r="BJ194">
        <v>0</v>
      </c>
      <c r="BK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S194">
        <v>0</v>
      </c>
      <c r="BT194">
        <v>0</v>
      </c>
      <c r="BU194">
        <v>0</v>
      </c>
      <c r="BV194">
        <v>357.04353880000002</v>
      </c>
      <c r="BW194">
        <v>5.6015577448113731E-2</v>
      </c>
      <c r="BX194">
        <v>10</v>
      </c>
      <c r="BY194">
        <v>2.8007788724056869E-2</v>
      </c>
      <c r="BZ194">
        <v>2.7271248999966361E-2</v>
      </c>
      <c r="CC194">
        <v>0.33005342247707181</v>
      </c>
      <c r="CF194">
        <v>0.33896747906196412</v>
      </c>
    </row>
    <row r="195" spans="1:84" x14ac:dyDescent="0.3">
      <c r="A195" s="1">
        <v>731</v>
      </c>
      <c r="B195" t="s">
        <v>1115</v>
      </c>
      <c r="C195" t="s">
        <v>1116</v>
      </c>
      <c r="E195" t="s">
        <v>404</v>
      </c>
      <c r="F195">
        <v>3.58</v>
      </c>
      <c r="G195" t="s">
        <v>1080</v>
      </c>
      <c r="H195">
        <v>-1</v>
      </c>
      <c r="I195">
        <v>-1</v>
      </c>
      <c r="J195">
        <v>1</v>
      </c>
      <c r="K195">
        <v>3.802</v>
      </c>
      <c r="L195">
        <v>3.802</v>
      </c>
      <c r="M195">
        <v>24.7</v>
      </c>
      <c r="N195" t="s">
        <v>101</v>
      </c>
      <c r="O195">
        <v>24.7</v>
      </c>
      <c r="Q195" t="s">
        <v>87</v>
      </c>
      <c r="R195">
        <v>1273</v>
      </c>
      <c r="S195">
        <v>10</v>
      </c>
      <c r="T195" t="b">
        <v>0</v>
      </c>
      <c r="U195" t="s">
        <v>125</v>
      </c>
      <c r="V195" t="s">
        <v>126</v>
      </c>
      <c r="W195">
        <v>1</v>
      </c>
      <c r="Y195">
        <v>0.5</v>
      </c>
      <c r="Z195">
        <v>15</v>
      </c>
      <c r="AC195" t="s">
        <v>90</v>
      </c>
      <c r="AD195">
        <v>125</v>
      </c>
      <c r="AE195">
        <v>220</v>
      </c>
      <c r="AF195" t="s">
        <v>91</v>
      </c>
      <c r="AG195">
        <v>288</v>
      </c>
      <c r="AH195">
        <v>126000</v>
      </c>
      <c r="AI195" t="s">
        <v>972</v>
      </c>
      <c r="AL195" t="b">
        <v>1</v>
      </c>
      <c r="AM195" t="b">
        <v>0</v>
      </c>
      <c r="AN195" t="b">
        <v>0</v>
      </c>
      <c r="AO195" t="b">
        <v>0</v>
      </c>
      <c r="AP195" t="s">
        <v>1226</v>
      </c>
      <c r="AS195">
        <v>11.744037185933619</v>
      </c>
      <c r="AT195">
        <v>1.510204081632653</v>
      </c>
      <c r="AU195">
        <v>1.2653061224489801</v>
      </c>
      <c r="AV195">
        <v>0.1224489795918367</v>
      </c>
      <c r="AW195">
        <v>0.16326530612244899</v>
      </c>
      <c r="AX195">
        <v>0.49333333333333329</v>
      </c>
      <c r="AY195">
        <v>0.41333333333333339</v>
      </c>
      <c r="AZ195">
        <v>0.04</v>
      </c>
      <c r="BA195">
        <v>5.333333333333333E-2</v>
      </c>
      <c r="BB195">
        <v>6.6971257268453872</v>
      </c>
      <c r="BC195">
        <v>20</v>
      </c>
      <c r="BD195">
        <v>733.37308460000008</v>
      </c>
      <c r="BE195">
        <v>2</v>
      </c>
      <c r="BF195">
        <v>5.4542497999932729E-2</v>
      </c>
      <c r="BG195">
        <v>3.8530000000000002</v>
      </c>
      <c r="BH195">
        <v>3.8530000000000002</v>
      </c>
      <c r="BI195">
        <v>49.4</v>
      </c>
      <c r="BJ195">
        <v>0</v>
      </c>
      <c r="BK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S195">
        <v>0</v>
      </c>
      <c r="BT195">
        <v>0</v>
      </c>
      <c r="BU195">
        <v>0</v>
      </c>
      <c r="BV195">
        <v>357.04353880000002</v>
      </c>
      <c r="BW195">
        <v>5.6015577448113731E-2</v>
      </c>
      <c r="BX195">
        <v>10</v>
      </c>
      <c r="BY195">
        <v>2.8007788724056869E-2</v>
      </c>
      <c r="BZ195">
        <v>2.7271248999966361E-2</v>
      </c>
      <c r="CC195">
        <v>0.33005342247707181</v>
      </c>
      <c r="CF195">
        <v>0.33896747906196412</v>
      </c>
    </row>
    <row r="196" spans="1:84" x14ac:dyDescent="0.3">
      <c r="A196" s="1">
        <v>732</v>
      </c>
      <c r="B196" t="s">
        <v>1115</v>
      </c>
      <c r="C196" t="s">
        <v>1116</v>
      </c>
      <c r="E196" t="s">
        <v>404</v>
      </c>
      <c r="F196">
        <v>3.58</v>
      </c>
      <c r="G196" t="s">
        <v>1080</v>
      </c>
      <c r="H196">
        <v>-1</v>
      </c>
      <c r="I196">
        <v>-1</v>
      </c>
      <c r="J196">
        <v>1</v>
      </c>
      <c r="K196">
        <v>3.802</v>
      </c>
      <c r="L196">
        <v>3.802</v>
      </c>
      <c r="M196">
        <v>24.7</v>
      </c>
      <c r="N196" t="s">
        <v>101</v>
      </c>
      <c r="O196">
        <v>24.7</v>
      </c>
      <c r="Q196" t="s">
        <v>87</v>
      </c>
      <c r="R196">
        <v>1273</v>
      </c>
      <c r="S196">
        <v>10</v>
      </c>
      <c r="T196" t="b">
        <v>0</v>
      </c>
      <c r="U196" t="s">
        <v>125</v>
      </c>
      <c r="V196" t="s">
        <v>126</v>
      </c>
      <c r="W196">
        <v>1</v>
      </c>
      <c r="Y196">
        <v>0.5</v>
      </c>
      <c r="Z196">
        <v>20</v>
      </c>
      <c r="AC196" t="s">
        <v>90</v>
      </c>
      <c r="AD196">
        <v>125</v>
      </c>
      <c r="AE196">
        <v>220</v>
      </c>
      <c r="AF196" t="s">
        <v>91</v>
      </c>
      <c r="AG196">
        <v>288</v>
      </c>
      <c r="AH196">
        <v>114000</v>
      </c>
      <c r="AI196" t="s">
        <v>972</v>
      </c>
      <c r="AL196" t="b">
        <v>1</v>
      </c>
      <c r="AM196" t="b">
        <v>0</v>
      </c>
      <c r="AN196" t="b">
        <v>0</v>
      </c>
      <c r="AO196" t="b">
        <v>0</v>
      </c>
      <c r="AP196" t="s">
        <v>1227</v>
      </c>
      <c r="AS196">
        <v>11.64395372737663</v>
      </c>
      <c r="AT196">
        <v>1.510204081632653</v>
      </c>
      <c r="AU196">
        <v>1.2653061224489801</v>
      </c>
      <c r="AV196">
        <v>0.1224489795918367</v>
      </c>
      <c r="AW196">
        <v>0.16326530612244899</v>
      </c>
      <c r="AX196">
        <v>0.49333333333333329</v>
      </c>
      <c r="AY196">
        <v>0.41333333333333339</v>
      </c>
      <c r="AZ196">
        <v>0.04</v>
      </c>
      <c r="BA196">
        <v>5.333333333333333E-2</v>
      </c>
      <c r="BB196">
        <v>6.6971257268453872</v>
      </c>
      <c r="BC196">
        <v>20</v>
      </c>
      <c r="BD196">
        <v>733.37308460000008</v>
      </c>
      <c r="BE196">
        <v>2</v>
      </c>
      <c r="BF196">
        <v>5.4542497999932729E-2</v>
      </c>
      <c r="BG196">
        <v>3.8530000000000002</v>
      </c>
      <c r="BH196">
        <v>3.8530000000000002</v>
      </c>
      <c r="BI196">
        <v>49.4</v>
      </c>
      <c r="BJ196">
        <v>0</v>
      </c>
      <c r="BK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S196">
        <v>0</v>
      </c>
      <c r="BT196">
        <v>0</v>
      </c>
      <c r="BU196">
        <v>0</v>
      </c>
      <c r="BV196">
        <v>357.04353880000002</v>
      </c>
      <c r="BW196">
        <v>5.6015577448113731E-2</v>
      </c>
      <c r="BX196">
        <v>10</v>
      </c>
      <c r="BY196">
        <v>2.8007788724056869E-2</v>
      </c>
      <c r="BZ196">
        <v>2.7271248999966361E-2</v>
      </c>
      <c r="CC196">
        <v>0.33005342247707181</v>
      </c>
      <c r="CF196">
        <v>0.33896747906196412</v>
      </c>
    </row>
    <row r="197" spans="1:84" x14ac:dyDescent="0.3">
      <c r="A197" s="1">
        <v>733</v>
      </c>
      <c r="B197" t="s">
        <v>1115</v>
      </c>
      <c r="C197" t="s">
        <v>1116</v>
      </c>
      <c r="E197" t="s">
        <v>404</v>
      </c>
      <c r="F197">
        <v>3.58</v>
      </c>
      <c r="G197" t="s">
        <v>1080</v>
      </c>
      <c r="H197">
        <v>-1</v>
      </c>
      <c r="I197">
        <v>-1</v>
      </c>
      <c r="J197">
        <v>1</v>
      </c>
      <c r="K197">
        <v>3.802</v>
      </c>
      <c r="L197">
        <v>3.802</v>
      </c>
      <c r="M197">
        <v>24.7</v>
      </c>
      <c r="N197" t="s">
        <v>101</v>
      </c>
      <c r="O197">
        <v>24.7</v>
      </c>
      <c r="Q197" t="s">
        <v>87</v>
      </c>
      <c r="R197">
        <v>1273</v>
      </c>
      <c r="S197">
        <v>10</v>
      </c>
      <c r="T197" t="b">
        <v>0</v>
      </c>
      <c r="U197" t="s">
        <v>125</v>
      </c>
      <c r="V197" t="s">
        <v>126</v>
      </c>
      <c r="W197">
        <v>1</v>
      </c>
      <c r="Y197">
        <v>0.5</v>
      </c>
      <c r="Z197">
        <v>30</v>
      </c>
      <c r="AC197" t="s">
        <v>90</v>
      </c>
      <c r="AD197">
        <v>125</v>
      </c>
      <c r="AE197">
        <v>220</v>
      </c>
      <c r="AF197" t="s">
        <v>91</v>
      </c>
      <c r="AG197">
        <v>288</v>
      </c>
      <c r="AH197">
        <v>81000</v>
      </c>
      <c r="AI197" t="s">
        <v>972</v>
      </c>
      <c r="AL197" t="b">
        <v>1</v>
      </c>
      <c r="AM197" t="b">
        <v>0</v>
      </c>
      <c r="AN197" t="b">
        <v>0</v>
      </c>
      <c r="AO197" t="b">
        <v>0</v>
      </c>
      <c r="AP197" t="s">
        <v>1228</v>
      </c>
      <c r="AS197">
        <v>11.30220443365458</v>
      </c>
      <c r="AT197">
        <v>1.510204081632653</v>
      </c>
      <c r="AU197">
        <v>1.2653061224489801</v>
      </c>
      <c r="AV197">
        <v>0.1224489795918367</v>
      </c>
      <c r="AW197">
        <v>0.16326530612244899</v>
      </c>
      <c r="AX197">
        <v>0.49333333333333329</v>
      </c>
      <c r="AY197">
        <v>0.41333333333333339</v>
      </c>
      <c r="AZ197">
        <v>0.04</v>
      </c>
      <c r="BA197">
        <v>5.333333333333333E-2</v>
      </c>
      <c r="BB197">
        <v>6.6971257268453872</v>
      </c>
      <c r="BC197">
        <v>20</v>
      </c>
      <c r="BD197">
        <v>733.37308460000008</v>
      </c>
      <c r="BE197">
        <v>2</v>
      </c>
      <c r="BF197">
        <v>5.4542497999932729E-2</v>
      </c>
      <c r="BG197">
        <v>3.8530000000000002</v>
      </c>
      <c r="BH197">
        <v>3.8530000000000002</v>
      </c>
      <c r="BI197">
        <v>49.4</v>
      </c>
      <c r="BJ197">
        <v>0</v>
      </c>
      <c r="BK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S197">
        <v>0</v>
      </c>
      <c r="BT197">
        <v>0</v>
      </c>
      <c r="BU197">
        <v>0</v>
      </c>
      <c r="BV197">
        <v>357.04353880000002</v>
      </c>
      <c r="BW197">
        <v>5.6015577448113731E-2</v>
      </c>
      <c r="BX197">
        <v>10</v>
      </c>
      <c r="BY197">
        <v>2.8007788724056869E-2</v>
      </c>
      <c r="BZ197">
        <v>2.7271248999966361E-2</v>
      </c>
      <c r="CC197">
        <v>0.33005342247707181</v>
      </c>
      <c r="CF197">
        <v>0.33896747906196412</v>
      </c>
    </row>
    <row r="198" spans="1:84" x14ac:dyDescent="0.3">
      <c r="A198" s="1">
        <v>736</v>
      </c>
      <c r="B198" t="s">
        <v>106</v>
      </c>
      <c r="C198" t="s">
        <v>107</v>
      </c>
      <c r="E198" t="s">
        <v>106</v>
      </c>
      <c r="F198">
        <v>3.49</v>
      </c>
      <c r="G198" t="s">
        <v>108</v>
      </c>
      <c r="H198" t="s">
        <v>109</v>
      </c>
      <c r="I198">
        <v>-1</v>
      </c>
      <c r="Q198" t="s">
        <v>87</v>
      </c>
      <c r="R198">
        <v>1373</v>
      </c>
      <c r="S198">
        <v>24</v>
      </c>
      <c r="T198" t="b">
        <v>0</v>
      </c>
      <c r="U198" t="s">
        <v>125</v>
      </c>
      <c r="V198" t="s">
        <v>126</v>
      </c>
      <c r="W198">
        <v>1</v>
      </c>
      <c r="X198">
        <v>3.78</v>
      </c>
      <c r="Y198">
        <v>0.5</v>
      </c>
      <c r="Z198">
        <v>30</v>
      </c>
      <c r="AC198" t="s">
        <v>90</v>
      </c>
      <c r="AD198">
        <v>125</v>
      </c>
      <c r="AE198">
        <v>220</v>
      </c>
      <c r="AF198" t="s">
        <v>91</v>
      </c>
      <c r="AG198">
        <v>288</v>
      </c>
      <c r="AH198">
        <v>200</v>
      </c>
      <c r="AL198" t="b">
        <v>1</v>
      </c>
      <c r="AM198" t="b">
        <v>1</v>
      </c>
      <c r="AN198" t="b">
        <v>0</v>
      </c>
      <c r="AO198" t="b">
        <v>0</v>
      </c>
      <c r="AP198" t="s">
        <v>108</v>
      </c>
      <c r="AQ198" t="s">
        <v>109</v>
      </c>
      <c r="AS198">
        <v>5.2983173665480363</v>
      </c>
      <c r="AT198">
        <v>1.75</v>
      </c>
      <c r="AU198">
        <v>2.5</v>
      </c>
      <c r="AV198">
        <v>0.75</v>
      </c>
      <c r="AW198">
        <v>0</v>
      </c>
      <c r="AX198">
        <v>0.35</v>
      </c>
      <c r="AY198">
        <v>0.5</v>
      </c>
      <c r="AZ198">
        <v>0.15</v>
      </c>
      <c r="BA198">
        <v>0</v>
      </c>
      <c r="BB198">
        <v>5.9668120809374994</v>
      </c>
      <c r="BC198">
        <v>20</v>
      </c>
      <c r="BD198">
        <v>924.74694800021894</v>
      </c>
      <c r="BE198">
        <v>4</v>
      </c>
      <c r="BF198">
        <v>8.6510153045653584E-2</v>
      </c>
      <c r="BG198">
        <v>7.8084429999999996</v>
      </c>
      <c r="BH198">
        <v>7.8548809999999998</v>
      </c>
      <c r="BI198">
        <v>15.19056011</v>
      </c>
      <c r="BJ198">
        <v>883.22940750240002</v>
      </c>
      <c r="BK198">
        <v>4</v>
      </c>
      <c r="BL198">
        <v>9.0576694254581439E-2</v>
      </c>
      <c r="BM198">
        <v>3.8801999999999999</v>
      </c>
      <c r="BN198">
        <v>29.507999999999999</v>
      </c>
      <c r="BO198">
        <v>7.7140000000000004</v>
      </c>
      <c r="BP198">
        <v>0</v>
      </c>
      <c r="BQ198">
        <v>0</v>
      </c>
      <c r="BS198">
        <v>0</v>
      </c>
      <c r="BT198">
        <v>0</v>
      </c>
      <c r="BU198">
        <v>0</v>
      </c>
      <c r="BX198">
        <v>10</v>
      </c>
      <c r="BZ198">
        <v>4.3255076522826792E-2</v>
      </c>
      <c r="CA198">
        <v>4.5288347127290719E-2</v>
      </c>
      <c r="CC198">
        <v>0.50555206026575006</v>
      </c>
      <c r="CD198">
        <v>0.52931630311992839</v>
      </c>
    </row>
    <row r="199" spans="1:84" x14ac:dyDescent="0.3">
      <c r="A199" s="1">
        <v>737</v>
      </c>
      <c r="B199" t="s">
        <v>140</v>
      </c>
      <c r="C199" t="s">
        <v>141</v>
      </c>
      <c r="E199" t="s">
        <v>106</v>
      </c>
      <c r="F199">
        <v>3.49</v>
      </c>
      <c r="G199" t="s">
        <v>142</v>
      </c>
      <c r="H199">
        <v>1522043</v>
      </c>
      <c r="I199">
        <v>-1</v>
      </c>
      <c r="J199">
        <v>1</v>
      </c>
      <c r="K199">
        <v>3.82</v>
      </c>
      <c r="L199">
        <v>3.82</v>
      </c>
      <c r="M199">
        <v>15.99</v>
      </c>
      <c r="O199">
        <v>15.99</v>
      </c>
      <c r="Q199" t="s">
        <v>87</v>
      </c>
      <c r="R199">
        <v>1373</v>
      </c>
      <c r="S199">
        <v>24</v>
      </c>
      <c r="T199" t="b">
        <v>0</v>
      </c>
      <c r="U199" t="s">
        <v>125</v>
      </c>
      <c r="V199" t="s">
        <v>126</v>
      </c>
      <c r="W199">
        <v>1</v>
      </c>
      <c r="X199">
        <v>5.56</v>
      </c>
      <c r="Y199">
        <v>0.5</v>
      </c>
      <c r="Z199">
        <v>30</v>
      </c>
      <c r="AC199" t="s">
        <v>90</v>
      </c>
      <c r="AD199">
        <v>125</v>
      </c>
      <c r="AE199">
        <v>220</v>
      </c>
      <c r="AF199" t="s">
        <v>91</v>
      </c>
      <c r="AG199">
        <v>288</v>
      </c>
      <c r="AH199">
        <v>24800</v>
      </c>
      <c r="AI199" t="s">
        <v>144</v>
      </c>
      <c r="AJ199" t="s">
        <v>144</v>
      </c>
      <c r="AL199" t="b">
        <v>1</v>
      </c>
      <c r="AM199" t="b">
        <v>1</v>
      </c>
      <c r="AN199" t="b">
        <v>0</v>
      </c>
      <c r="AO199" t="b">
        <v>0</v>
      </c>
      <c r="AP199" t="s">
        <v>1231</v>
      </c>
      <c r="AQ199" t="s">
        <v>1232</v>
      </c>
      <c r="AS199">
        <v>10.11859893215307</v>
      </c>
      <c r="AT199">
        <v>1.75</v>
      </c>
      <c r="AU199">
        <v>2.5</v>
      </c>
      <c r="AV199">
        <v>0.75</v>
      </c>
      <c r="AW199">
        <v>0</v>
      </c>
      <c r="AX199">
        <v>0.35</v>
      </c>
      <c r="AY199">
        <v>0.5</v>
      </c>
      <c r="AZ199">
        <v>0.15</v>
      </c>
      <c r="BA199">
        <v>0</v>
      </c>
      <c r="BB199">
        <v>6.2640154224906874</v>
      </c>
      <c r="BC199">
        <v>20</v>
      </c>
      <c r="BD199">
        <v>242.1279024923125</v>
      </c>
      <c r="BE199">
        <v>1</v>
      </c>
      <c r="BF199">
        <v>8.2600971611006269E-2</v>
      </c>
      <c r="BG199">
        <v>3.950634</v>
      </c>
      <c r="BH199">
        <v>3.950634</v>
      </c>
      <c r="BI199">
        <v>15.513552000000001</v>
      </c>
      <c r="BJ199">
        <v>227.970829547178</v>
      </c>
      <c r="BK199">
        <v>1</v>
      </c>
      <c r="BL199">
        <v>8.7730522539775438E-2</v>
      </c>
      <c r="BM199">
        <v>3.8658999999999999</v>
      </c>
      <c r="BN199">
        <v>3.8658999999999999</v>
      </c>
      <c r="BO199">
        <v>15.2538</v>
      </c>
      <c r="BP199">
        <v>0</v>
      </c>
      <c r="BQ199">
        <v>0</v>
      </c>
      <c r="BS199">
        <v>0</v>
      </c>
      <c r="BT199">
        <v>0</v>
      </c>
      <c r="BU199">
        <v>0</v>
      </c>
      <c r="BV199">
        <v>233.33247600000001</v>
      </c>
      <c r="BW199">
        <v>8.5714600654218404E-2</v>
      </c>
      <c r="BX199">
        <v>10</v>
      </c>
      <c r="BY199">
        <v>4.2857300327109202E-2</v>
      </c>
      <c r="BZ199">
        <v>4.1300485805503127E-2</v>
      </c>
      <c r="CA199">
        <v>4.3865261269887719E-2</v>
      </c>
      <c r="CC199">
        <v>0.42195359024583579</v>
      </c>
      <c r="CD199">
        <v>0.44815706447294301</v>
      </c>
      <c r="CF199">
        <v>0.43785905634209682</v>
      </c>
    </row>
    <row r="200" spans="1:84" x14ac:dyDescent="0.3">
      <c r="A200" s="1">
        <v>745</v>
      </c>
      <c r="B200" t="s">
        <v>1233</v>
      </c>
      <c r="C200" t="s">
        <v>1234</v>
      </c>
      <c r="E200" t="s">
        <v>404</v>
      </c>
      <c r="F200">
        <v>3.2</v>
      </c>
      <c r="G200" t="s">
        <v>899</v>
      </c>
      <c r="H200" t="s">
        <v>900</v>
      </c>
      <c r="I200" t="s">
        <v>901</v>
      </c>
      <c r="J200">
        <v>2</v>
      </c>
      <c r="K200">
        <v>3.8</v>
      </c>
      <c r="L200">
        <v>3.8</v>
      </c>
      <c r="M200">
        <v>27.3</v>
      </c>
      <c r="N200" t="s">
        <v>206</v>
      </c>
      <c r="O200">
        <v>13.65</v>
      </c>
      <c r="Q200" t="s">
        <v>87</v>
      </c>
      <c r="R200">
        <v>1373</v>
      </c>
      <c r="S200">
        <v>12</v>
      </c>
      <c r="T200" t="b">
        <v>0</v>
      </c>
      <c r="U200" t="s">
        <v>125</v>
      </c>
      <c r="V200" t="s">
        <v>126</v>
      </c>
      <c r="W200">
        <v>1</v>
      </c>
      <c r="X200">
        <v>3.2</v>
      </c>
      <c r="Y200">
        <v>0.5</v>
      </c>
      <c r="Z200">
        <v>1</v>
      </c>
      <c r="AC200" t="s">
        <v>90</v>
      </c>
      <c r="AD200">
        <v>125</v>
      </c>
      <c r="AE200">
        <v>220</v>
      </c>
      <c r="AF200" t="s">
        <v>91</v>
      </c>
      <c r="AG200">
        <v>288</v>
      </c>
      <c r="AH200">
        <v>390</v>
      </c>
      <c r="AI200" t="s">
        <v>1235</v>
      </c>
      <c r="AL200" t="b">
        <v>1</v>
      </c>
      <c r="AM200" t="b">
        <v>0</v>
      </c>
      <c r="AN200" t="b">
        <v>0</v>
      </c>
      <c r="AO200" t="b">
        <v>0</v>
      </c>
      <c r="AP200" t="s">
        <v>1236</v>
      </c>
      <c r="AQ200" t="s">
        <v>900</v>
      </c>
      <c r="AR200" t="s">
        <v>901</v>
      </c>
      <c r="AS200">
        <v>5.9661467391236922</v>
      </c>
      <c r="AT200">
        <v>1.882352941176471</v>
      </c>
      <c r="AU200">
        <v>2.3529411764705879</v>
      </c>
      <c r="AV200">
        <v>0.47058823529411759</v>
      </c>
      <c r="AW200">
        <v>0</v>
      </c>
      <c r="AX200">
        <v>0.4</v>
      </c>
      <c r="AY200">
        <v>0.5</v>
      </c>
      <c r="AZ200">
        <v>9.9999999999999992E-2</v>
      </c>
      <c r="BA200">
        <v>0</v>
      </c>
      <c r="BB200">
        <v>6.096395612399494</v>
      </c>
      <c r="BC200">
        <v>20</v>
      </c>
      <c r="BD200">
        <v>216.40687730768099</v>
      </c>
      <c r="BE200">
        <v>1</v>
      </c>
      <c r="BF200">
        <v>9.2418504665009241E-2</v>
      </c>
      <c r="BG200">
        <v>14.696413339999999</v>
      </c>
      <c r="BH200">
        <v>14.696413339999999</v>
      </c>
      <c r="BI200">
        <v>14.696413339999999</v>
      </c>
      <c r="BJ200">
        <v>420.30120210079798</v>
      </c>
      <c r="BK200">
        <v>2</v>
      </c>
      <c r="BL200">
        <v>9.516984438794697E-2</v>
      </c>
      <c r="BM200">
        <v>3.83528</v>
      </c>
      <c r="BN200">
        <v>3.83528</v>
      </c>
      <c r="BO200">
        <v>28.573699999999999</v>
      </c>
      <c r="BP200">
        <v>0</v>
      </c>
      <c r="BQ200">
        <v>0</v>
      </c>
      <c r="BS200">
        <v>0</v>
      </c>
      <c r="BT200">
        <v>0</v>
      </c>
      <c r="BU200">
        <v>0</v>
      </c>
      <c r="BV200">
        <v>394.21199999999999</v>
      </c>
      <c r="BW200">
        <v>0.10146824551256679</v>
      </c>
      <c r="BX200">
        <v>10</v>
      </c>
      <c r="BY200">
        <v>5.0734122756283417E-2</v>
      </c>
      <c r="BZ200">
        <v>4.620925233250462E-2</v>
      </c>
      <c r="CA200">
        <v>4.7584922193973478E-2</v>
      </c>
      <c r="CC200">
        <v>0.4916537018067928</v>
      </c>
      <c r="CD200">
        <v>0.50629044976775128</v>
      </c>
      <c r="CF200">
        <v>0.53979707530349053</v>
      </c>
    </row>
    <row r="201" spans="1:84" x14ac:dyDescent="0.3">
      <c r="A201" s="1">
        <v>746</v>
      </c>
      <c r="B201" t="s">
        <v>1237</v>
      </c>
      <c r="C201" t="s">
        <v>1238</v>
      </c>
      <c r="E201" t="s">
        <v>404</v>
      </c>
      <c r="F201">
        <v>2.9</v>
      </c>
      <c r="G201" t="s">
        <v>899</v>
      </c>
      <c r="H201" t="s">
        <v>900</v>
      </c>
      <c r="I201" t="s">
        <v>901</v>
      </c>
      <c r="J201">
        <v>2</v>
      </c>
      <c r="K201">
        <v>3.8</v>
      </c>
      <c r="L201">
        <v>3.8</v>
      </c>
      <c r="M201">
        <v>27.3</v>
      </c>
      <c r="N201" t="s">
        <v>206</v>
      </c>
      <c r="O201">
        <v>13.65</v>
      </c>
      <c r="Q201" t="s">
        <v>87</v>
      </c>
      <c r="R201">
        <v>1373</v>
      </c>
      <c r="S201">
        <v>12</v>
      </c>
      <c r="T201" t="b">
        <v>0</v>
      </c>
      <c r="U201" t="s">
        <v>125</v>
      </c>
      <c r="V201" t="s">
        <v>126</v>
      </c>
      <c r="W201">
        <v>1</v>
      </c>
      <c r="X201">
        <v>3.2</v>
      </c>
      <c r="Y201">
        <v>0.5</v>
      </c>
      <c r="Z201">
        <v>1</v>
      </c>
      <c r="AC201" t="s">
        <v>90</v>
      </c>
      <c r="AD201">
        <v>125</v>
      </c>
      <c r="AE201">
        <v>220</v>
      </c>
      <c r="AF201" t="s">
        <v>91</v>
      </c>
      <c r="AG201">
        <v>288</v>
      </c>
      <c r="AH201">
        <v>536</v>
      </c>
      <c r="AI201" t="s">
        <v>1239</v>
      </c>
      <c r="AJ201" t="s">
        <v>1239</v>
      </c>
      <c r="AK201" t="s">
        <v>1239</v>
      </c>
      <c r="AL201" t="b">
        <v>1</v>
      </c>
      <c r="AM201" t="b">
        <v>1</v>
      </c>
      <c r="AN201" t="b">
        <v>0</v>
      </c>
      <c r="AO201" t="b">
        <v>0</v>
      </c>
      <c r="AP201" t="s">
        <v>1240</v>
      </c>
      <c r="AQ201" t="s">
        <v>1241</v>
      </c>
      <c r="AR201" t="s">
        <v>1242</v>
      </c>
      <c r="AS201">
        <v>6.2841341610708019</v>
      </c>
      <c r="AT201">
        <v>1.882352941176471</v>
      </c>
      <c r="AU201">
        <v>2.3529411764705879</v>
      </c>
      <c r="AV201">
        <v>0.47094117647058831</v>
      </c>
      <c r="AW201">
        <v>0</v>
      </c>
      <c r="AX201">
        <v>0.39997000224983131</v>
      </c>
      <c r="AY201">
        <v>0.4999625028122891</v>
      </c>
      <c r="AZ201">
        <v>0.1000674949378797</v>
      </c>
      <c r="BA201">
        <v>0</v>
      </c>
      <c r="BB201">
        <v>6.0963962225759643</v>
      </c>
      <c r="BC201">
        <v>20</v>
      </c>
      <c r="BD201">
        <v>216.40687730768099</v>
      </c>
      <c r="BE201">
        <v>1</v>
      </c>
      <c r="BF201">
        <v>9.2418504665009241E-2</v>
      </c>
      <c r="BG201">
        <v>14.696413339999999</v>
      </c>
      <c r="BH201">
        <v>14.696413339999999</v>
      </c>
      <c r="BI201">
        <v>14.696413339999999</v>
      </c>
      <c r="BJ201">
        <v>420.30120210079798</v>
      </c>
      <c r="BK201">
        <v>1</v>
      </c>
      <c r="BL201">
        <v>4.7584922193973478E-2</v>
      </c>
      <c r="BM201">
        <v>3.83528</v>
      </c>
      <c r="BN201">
        <v>3.83528</v>
      </c>
      <c r="BO201">
        <v>28.573699999999999</v>
      </c>
      <c r="BP201">
        <v>0</v>
      </c>
      <c r="BQ201">
        <v>0</v>
      </c>
      <c r="BS201">
        <v>0</v>
      </c>
      <c r="BT201">
        <v>0</v>
      </c>
      <c r="BU201">
        <v>0</v>
      </c>
      <c r="BV201">
        <v>394.21199999999999</v>
      </c>
      <c r="BW201">
        <v>0.10146824551256679</v>
      </c>
      <c r="BX201">
        <v>10</v>
      </c>
      <c r="BY201">
        <v>5.0734122756283417E-2</v>
      </c>
      <c r="BZ201">
        <v>4.620925233250462E-2</v>
      </c>
      <c r="CA201">
        <v>2.3792461096986739E-2</v>
      </c>
      <c r="CC201">
        <v>0.4916730261249701</v>
      </c>
      <c r="CD201">
        <v>0.25315517468970999</v>
      </c>
      <c r="CF201">
        <v>0.53981829188417729</v>
      </c>
    </row>
    <row r="202" spans="1:84" x14ac:dyDescent="0.3">
      <c r="A202" s="1">
        <v>747</v>
      </c>
      <c r="B202" t="s">
        <v>1243</v>
      </c>
      <c r="C202" t="s">
        <v>1244</v>
      </c>
      <c r="E202" t="s">
        <v>404</v>
      </c>
      <c r="F202">
        <v>2.65</v>
      </c>
      <c r="G202" t="s">
        <v>899</v>
      </c>
      <c r="H202" t="s">
        <v>900</v>
      </c>
      <c r="I202" t="s">
        <v>901</v>
      </c>
      <c r="J202">
        <v>2</v>
      </c>
      <c r="K202">
        <v>3.8</v>
      </c>
      <c r="L202">
        <v>3.8</v>
      </c>
      <c r="M202">
        <v>27.3</v>
      </c>
      <c r="N202" t="s">
        <v>206</v>
      </c>
      <c r="O202">
        <v>13.65</v>
      </c>
      <c r="Q202" t="s">
        <v>87</v>
      </c>
      <c r="R202">
        <v>1373</v>
      </c>
      <c r="S202">
        <v>12</v>
      </c>
      <c r="T202" t="b">
        <v>0</v>
      </c>
      <c r="U202" t="s">
        <v>125</v>
      </c>
      <c r="V202" t="s">
        <v>126</v>
      </c>
      <c r="W202">
        <v>1</v>
      </c>
      <c r="X202">
        <v>3.2</v>
      </c>
      <c r="Y202">
        <v>0.5</v>
      </c>
      <c r="Z202">
        <v>1</v>
      </c>
      <c r="AC202" t="s">
        <v>90</v>
      </c>
      <c r="AD202">
        <v>125</v>
      </c>
      <c r="AE202">
        <v>220</v>
      </c>
      <c r="AF202" t="s">
        <v>91</v>
      </c>
      <c r="AG202">
        <v>288</v>
      </c>
      <c r="AH202">
        <v>480</v>
      </c>
      <c r="AI202" t="s">
        <v>1245</v>
      </c>
      <c r="AJ202" t="s">
        <v>1245</v>
      </c>
      <c r="AK202" t="s">
        <v>1245</v>
      </c>
      <c r="AL202" t="b">
        <v>1</v>
      </c>
      <c r="AM202" t="b">
        <v>1</v>
      </c>
      <c r="AN202" t="b">
        <v>0</v>
      </c>
      <c r="AO202" t="b">
        <v>0</v>
      </c>
      <c r="AP202" t="s">
        <v>1246</v>
      </c>
      <c r="AQ202" t="s">
        <v>1247</v>
      </c>
      <c r="AR202" t="s">
        <v>1242</v>
      </c>
      <c r="AS202">
        <v>6.1737861039019366</v>
      </c>
      <c r="AT202">
        <v>1.882352941176471</v>
      </c>
      <c r="AU202">
        <v>2.3529411764705879</v>
      </c>
      <c r="AV202">
        <v>0.47147058823529409</v>
      </c>
      <c r="AW202">
        <v>0</v>
      </c>
      <c r="AX202">
        <v>0.39992501405986369</v>
      </c>
      <c r="AY202">
        <v>0.4999062675748297</v>
      </c>
      <c r="AZ202">
        <v>0.1001687183653065</v>
      </c>
      <c r="BA202">
        <v>0</v>
      </c>
      <c r="BB202">
        <v>6.0963971378406701</v>
      </c>
      <c r="BC202">
        <v>20</v>
      </c>
      <c r="BD202">
        <v>216.40687730768099</v>
      </c>
      <c r="BE202">
        <v>1</v>
      </c>
      <c r="BF202">
        <v>9.2418504665009241E-2</v>
      </c>
      <c r="BG202">
        <v>14.696413339999999</v>
      </c>
      <c r="BH202">
        <v>14.696413339999999</v>
      </c>
      <c r="BI202">
        <v>14.696413339999999</v>
      </c>
      <c r="BJ202">
        <v>420.30120210079798</v>
      </c>
      <c r="BK202">
        <v>1</v>
      </c>
      <c r="BL202">
        <v>4.7584922193973478E-2</v>
      </c>
      <c r="BM202">
        <v>3.83528</v>
      </c>
      <c r="BN202">
        <v>3.83528</v>
      </c>
      <c r="BO202">
        <v>28.573699999999999</v>
      </c>
      <c r="BP202">
        <v>0</v>
      </c>
      <c r="BQ202">
        <v>0</v>
      </c>
      <c r="BS202">
        <v>0</v>
      </c>
      <c r="BT202">
        <v>0</v>
      </c>
      <c r="BU202">
        <v>0</v>
      </c>
      <c r="BV202">
        <v>394.21199999999999</v>
      </c>
      <c r="BW202">
        <v>0.10146824551256679</v>
      </c>
      <c r="BX202">
        <v>10</v>
      </c>
      <c r="BY202">
        <v>5.0734122756283417E-2</v>
      </c>
      <c r="BZ202">
        <v>4.620925233250462E-2</v>
      </c>
      <c r="CA202">
        <v>2.3792461096986739E-2</v>
      </c>
      <c r="CC202">
        <v>0.49170201260223612</v>
      </c>
      <c r="CD202">
        <v>0.25317009939846158</v>
      </c>
      <c r="CF202">
        <v>0.53985011675520755</v>
      </c>
    </row>
    <row r="203" spans="1:84" x14ac:dyDescent="0.3">
      <c r="A203" s="1">
        <v>748</v>
      </c>
      <c r="B203" t="s">
        <v>1248</v>
      </c>
      <c r="C203" t="s">
        <v>1249</v>
      </c>
      <c r="E203" t="s">
        <v>404</v>
      </c>
      <c r="F203">
        <v>2.5499999999999998</v>
      </c>
      <c r="G203" t="s">
        <v>899</v>
      </c>
      <c r="H203" t="s">
        <v>900</v>
      </c>
      <c r="I203" t="s">
        <v>901</v>
      </c>
      <c r="J203">
        <v>2</v>
      </c>
      <c r="K203">
        <v>3.8</v>
      </c>
      <c r="L203">
        <v>3.8</v>
      </c>
      <c r="M203">
        <v>27.3</v>
      </c>
      <c r="N203" t="s">
        <v>206</v>
      </c>
      <c r="O203">
        <v>13.65</v>
      </c>
      <c r="Q203" t="s">
        <v>87</v>
      </c>
      <c r="R203">
        <v>1373</v>
      </c>
      <c r="S203">
        <v>12</v>
      </c>
      <c r="T203" t="b">
        <v>0</v>
      </c>
      <c r="U203" t="s">
        <v>125</v>
      </c>
      <c r="V203" t="s">
        <v>126</v>
      </c>
      <c r="W203">
        <v>1</v>
      </c>
      <c r="X203">
        <v>3.2</v>
      </c>
      <c r="Y203">
        <v>0.5</v>
      </c>
      <c r="Z203">
        <v>1</v>
      </c>
      <c r="AC203" t="s">
        <v>90</v>
      </c>
      <c r="AD203">
        <v>125</v>
      </c>
      <c r="AE203">
        <v>220</v>
      </c>
      <c r="AF203" t="s">
        <v>91</v>
      </c>
      <c r="AG203">
        <v>288</v>
      </c>
      <c r="AH203">
        <v>262</v>
      </c>
      <c r="AI203" t="s">
        <v>1250</v>
      </c>
      <c r="AJ203" t="s">
        <v>1250</v>
      </c>
      <c r="AK203" t="s">
        <v>1250</v>
      </c>
      <c r="AL203" t="b">
        <v>1</v>
      </c>
      <c r="AM203" t="b">
        <v>1</v>
      </c>
      <c r="AN203" t="b">
        <v>0</v>
      </c>
      <c r="AO203" t="b">
        <v>0</v>
      </c>
      <c r="AP203" t="s">
        <v>1251</v>
      </c>
      <c r="AQ203" t="s">
        <v>1252</v>
      </c>
      <c r="AR203" t="s">
        <v>1242</v>
      </c>
      <c r="AS203">
        <v>5.5683445037610966</v>
      </c>
      <c r="AT203">
        <v>1.882352941176471</v>
      </c>
      <c r="AU203">
        <v>2.3529411764705879</v>
      </c>
      <c r="AV203">
        <v>0.47235294117647059</v>
      </c>
      <c r="AW203">
        <v>0</v>
      </c>
      <c r="AX203">
        <v>0.39985005622891412</v>
      </c>
      <c r="AY203">
        <v>0.49981257028614268</v>
      </c>
      <c r="AZ203">
        <v>0.10033737348494309</v>
      </c>
      <c r="BA203">
        <v>0</v>
      </c>
      <c r="BB203">
        <v>6.096398663281847</v>
      </c>
      <c r="BC203">
        <v>20</v>
      </c>
      <c r="BD203">
        <v>216.40687730768099</v>
      </c>
      <c r="BE203">
        <v>1</v>
      </c>
      <c r="BF203">
        <v>9.2418504665009241E-2</v>
      </c>
      <c r="BG203">
        <v>14.696413339999999</v>
      </c>
      <c r="BH203">
        <v>14.696413339999999</v>
      </c>
      <c r="BI203">
        <v>14.696413339999999</v>
      </c>
      <c r="BJ203">
        <v>420.30120210079798</v>
      </c>
      <c r="BK203">
        <v>1</v>
      </c>
      <c r="BL203">
        <v>4.7584922193973478E-2</v>
      </c>
      <c r="BM203">
        <v>3.83528</v>
      </c>
      <c r="BN203">
        <v>3.83528</v>
      </c>
      <c r="BO203">
        <v>28.573699999999999</v>
      </c>
      <c r="BP203">
        <v>0</v>
      </c>
      <c r="BQ203">
        <v>0</v>
      </c>
      <c r="BS203">
        <v>0</v>
      </c>
      <c r="BT203">
        <v>0</v>
      </c>
      <c r="BU203">
        <v>0</v>
      </c>
      <c r="BV203">
        <v>394.21199999999999</v>
      </c>
      <c r="BW203">
        <v>0.10146824551256679</v>
      </c>
      <c r="BX203">
        <v>10</v>
      </c>
      <c r="BY203">
        <v>5.0734122756283417E-2</v>
      </c>
      <c r="BZ203">
        <v>4.620925233250462E-2</v>
      </c>
      <c r="CA203">
        <v>2.3792461096986739E-2</v>
      </c>
      <c r="CC203">
        <v>0.49175032339767949</v>
      </c>
      <c r="CD203">
        <v>0.25319497391304763</v>
      </c>
      <c r="CF203">
        <v>0.53990315820692469</v>
      </c>
    </row>
    <row r="204" spans="1:84" x14ac:dyDescent="0.3">
      <c r="A204" s="1">
        <v>749</v>
      </c>
      <c r="B204" t="s">
        <v>1253</v>
      </c>
      <c r="C204" t="s">
        <v>1254</v>
      </c>
      <c r="E204" t="s">
        <v>404</v>
      </c>
      <c r="F204">
        <v>2.4500000000000002</v>
      </c>
      <c r="G204" t="s">
        <v>899</v>
      </c>
      <c r="H204" t="s">
        <v>900</v>
      </c>
      <c r="I204" t="s">
        <v>901</v>
      </c>
      <c r="J204">
        <v>2</v>
      </c>
      <c r="K204">
        <v>3.8</v>
      </c>
      <c r="L204">
        <v>3.8</v>
      </c>
      <c r="M204">
        <v>27.3</v>
      </c>
      <c r="N204" t="s">
        <v>206</v>
      </c>
      <c r="O204">
        <v>13.65</v>
      </c>
      <c r="Q204" t="s">
        <v>87</v>
      </c>
      <c r="R204">
        <v>1373</v>
      </c>
      <c r="S204">
        <v>12</v>
      </c>
      <c r="T204" t="b">
        <v>0</v>
      </c>
      <c r="U204" t="s">
        <v>125</v>
      </c>
      <c r="V204" t="s">
        <v>126</v>
      </c>
      <c r="W204">
        <v>1</v>
      </c>
      <c r="X204">
        <v>3.2</v>
      </c>
      <c r="Y204">
        <v>0.5</v>
      </c>
      <c r="Z204">
        <v>1</v>
      </c>
      <c r="AC204" t="s">
        <v>90</v>
      </c>
      <c r="AD204">
        <v>125</v>
      </c>
      <c r="AE204">
        <v>220</v>
      </c>
      <c r="AF204" t="s">
        <v>91</v>
      </c>
      <c r="AG204">
        <v>288</v>
      </c>
      <c r="AH204">
        <v>91.2</v>
      </c>
      <c r="AI204" t="s">
        <v>1255</v>
      </c>
      <c r="AJ204" t="s">
        <v>1255</v>
      </c>
      <c r="AK204" t="s">
        <v>1255</v>
      </c>
      <c r="AL204" t="b">
        <v>1</v>
      </c>
      <c r="AM204" t="b">
        <v>1</v>
      </c>
      <c r="AN204" t="b">
        <v>0</v>
      </c>
      <c r="AO204" t="b">
        <v>0</v>
      </c>
      <c r="AP204" t="s">
        <v>1256</v>
      </c>
      <c r="AQ204" t="s">
        <v>1257</v>
      </c>
      <c r="AR204" t="s">
        <v>1242</v>
      </c>
      <c r="AS204">
        <v>4.513054897080286</v>
      </c>
      <c r="AT204">
        <v>1.882352941176471</v>
      </c>
      <c r="AU204">
        <v>2.3529411764705879</v>
      </c>
      <c r="AV204">
        <v>0.47499999999999998</v>
      </c>
      <c r="AW204">
        <v>0</v>
      </c>
      <c r="AX204">
        <v>0.3996253512332188</v>
      </c>
      <c r="AY204">
        <v>0.49953168904152351</v>
      </c>
      <c r="AZ204">
        <v>0.1008429597252576</v>
      </c>
      <c r="BA204">
        <v>0</v>
      </c>
      <c r="BB204">
        <v>6.096403239605376</v>
      </c>
      <c r="BC204">
        <v>20</v>
      </c>
      <c r="BD204">
        <v>216.40687730768099</v>
      </c>
      <c r="BE204">
        <v>1</v>
      </c>
      <c r="BF204">
        <v>9.2418504665009241E-2</v>
      </c>
      <c r="BG204">
        <v>14.696413339999999</v>
      </c>
      <c r="BH204">
        <v>14.696413339999999</v>
      </c>
      <c r="BI204">
        <v>14.696413339999999</v>
      </c>
      <c r="BJ204">
        <v>420.30120210079798</v>
      </c>
      <c r="BK204">
        <v>1</v>
      </c>
      <c r="BL204">
        <v>4.7584922193973478E-2</v>
      </c>
      <c r="BM204">
        <v>3.83528</v>
      </c>
      <c r="BN204">
        <v>3.83528</v>
      </c>
      <c r="BO204">
        <v>28.573699999999999</v>
      </c>
      <c r="BP204">
        <v>0</v>
      </c>
      <c r="BQ204">
        <v>0</v>
      </c>
      <c r="BS204">
        <v>0</v>
      </c>
      <c r="BT204">
        <v>0</v>
      </c>
      <c r="BU204">
        <v>0</v>
      </c>
      <c r="BV204">
        <v>394.21199999999999</v>
      </c>
      <c r="BW204">
        <v>0.10146824551256679</v>
      </c>
      <c r="BX204">
        <v>10</v>
      </c>
      <c r="BY204">
        <v>5.0734122756283417E-2</v>
      </c>
      <c r="BZ204">
        <v>4.620925233250462E-2</v>
      </c>
      <c r="CA204">
        <v>2.3792461096986739E-2</v>
      </c>
      <c r="CC204">
        <v>0.49189525578400978</v>
      </c>
      <c r="CD204">
        <v>0.2532695974568055</v>
      </c>
      <c r="CF204">
        <v>0.54006228256207611</v>
      </c>
    </row>
    <row r="205" spans="1:84" x14ac:dyDescent="0.3">
      <c r="A205" s="1">
        <v>750</v>
      </c>
      <c r="B205" t="s">
        <v>1258</v>
      </c>
      <c r="C205" t="s">
        <v>1259</v>
      </c>
      <c r="E205" t="s">
        <v>404</v>
      </c>
      <c r="F205">
        <v>2.2999999999999998</v>
      </c>
      <c r="G205" t="s">
        <v>899</v>
      </c>
      <c r="H205" t="s">
        <v>900</v>
      </c>
      <c r="I205" t="s">
        <v>901</v>
      </c>
      <c r="J205">
        <v>2</v>
      </c>
      <c r="K205">
        <v>3.8</v>
      </c>
      <c r="L205">
        <v>3.8</v>
      </c>
      <c r="M205">
        <v>27.3</v>
      </c>
      <c r="N205" t="s">
        <v>206</v>
      </c>
      <c r="O205">
        <v>13.65</v>
      </c>
      <c r="Q205" t="s">
        <v>87</v>
      </c>
      <c r="R205">
        <v>1373</v>
      </c>
      <c r="S205">
        <v>12</v>
      </c>
      <c r="T205" t="b">
        <v>0</v>
      </c>
      <c r="U205" t="s">
        <v>125</v>
      </c>
      <c r="V205" t="s">
        <v>126</v>
      </c>
      <c r="W205">
        <v>1</v>
      </c>
      <c r="X205">
        <v>3.2</v>
      </c>
      <c r="Y205">
        <v>0.5</v>
      </c>
      <c r="Z205">
        <v>1</v>
      </c>
      <c r="AC205" t="s">
        <v>90</v>
      </c>
      <c r="AD205">
        <v>125</v>
      </c>
      <c r="AE205">
        <v>220</v>
      </c>
      <c r="AF205" t="s">
        <v>91</v>
      </c>
      <c r="AG205">
        <v>288</v>
      </c>
      <c r="AH205">
        <v>26</v>
      </c>
      <c r="AI205" t="s">
        <v>1260</v>
      </c>
      <c r="AJ205" t="s">
        <v>1260</v>
      </c>
      <c r="AK205" t="s">
        <v>1260</v>
      </c>
      <c r="AL205" t="b">
        <v>1</v>
      </c>
      <c r="AM205" t="b">
        <v>1</v>
      </c>
      <c r="AN205" t="b">
        <v>0</v>
      </c>
      <c r="AO205" t="b">
        <v>0</v>
      </c>
      <c r="AP205" t="s">
        <v>1261</v>
      </c>
      <c r="AQ205" t="s">
        <v>1262</v>
      </c>
      <c r="AR205" t="s">
        <v>1242</v>
      </c>
      <c r="AS205">
        <v>3.2580965380214821</v>
      </c>
      <c r="AT205">
        <v>1.882352941176471</v>
      </c>
      <c r="AU205">
        <v>2.3529411764705879</v>
      </c>
      <c r="AV205">
        <v>0.47941176470588243</v>
      </c>
      <c r="AW205">
        <v>0</v>
      </c>
      <c r="AX205">
        <v>0.39925140361821582</v>
      </c>
      <c r="AY205">
        <v>0.49906425452276981</v>
      </c>
      <c r="AZ205">
        <v>0.1016843418590143</v>
      </c>
      <c r="BA205">
        <v>0</v>
      </c>
      <c r="BB205">
        <v>6.0964108668112589</v>
      </c>
      <c r="BC205">
        <v>20</v>
      </c>
      <c r="BD205">
        <v>216.40687730768099</v>
      </c>
      <c r="BE205">
        <v>1</v>
      </c>
      <c r="BF205">
        <v>9.2418504665009241E-2</v>
      </c>
      <c r="BG205">
        <v>14.696413339999999</v>
      </c>
      <c r="BH205">
        <v>14.696413339999999</v>
      </c>
      <c r="BI205">
        <v>14.696413339999999</v>
      </c>
      <c r="BJ205">
        <v>420.30120210079798</v>
      </c>
      <c r="BK205">
        <v>1</v>
      </c>
      <c r="BL205">
        <v>4.7584922193973478E-2</v>
      </c>
      <c r="BM205">
        <v>3.83528</v>
      </c>
      <c r="BN205">
        <v>3.83528</v>
      </c>
      <c r="BO205">
        <v>28.573699999999999</v>
      </c>
      <c r="BP205">
        <v>0</v>
      </c>
      <c r="BQ205">
        <v>0</v>
      </c>
      <c r="BS205">
        <v>0</v>
      </c>
      <c r="BT205">
        <v>0</v>
      </c>
      <c r="BU205">
        <v>0</v>
      </c>
      <c r="BV205">
        <v>394.21199999999999</v>
      </c>
      <c r="BW205">
        <v>0.10146824551256679</v>
      </c>
      <c r="BX205">
        <v>10</v>
      </c>
      <c r="BY205">
        <v>5.0734122756283417E-2</v>
      </c>
      <c r="BZ205">
        <v>4.620925233250462E-2</v>
      </c>
      <c r="CA205">
        <v>2.3792461096986739E-2</v>
      </c>
      <c r="CC205">
        <v>0.49213680976122681</v>
      </c>
      <c r="CD205">
        <v>0.25339397002973529</v>
      </c>
      <c r="CF205">
        <v>0.54032748982066181</v>
      </c>
    </row>
    <row r="206" spans="1:84" x14ac:dyDescent="0.3">
      <c r="A206" s="1">
        <v>751</v>
      </c>
      <c r="B206" t="s">
        <v>1263</v>
      </c>
      <c r="C206" t="s">
        <v>1264</v>
      </c>
      <c r="E206" t="s">
        <v>404</v>
      </c>
      <c r="F206">
        <v>2.15</v>
      </c>
      <c r="G206" t="s">
        <v>899</v>
      </c>
      <c r="H206" t="s">
        <v>900</v>
      </c>
      <c r="I206" t="s">
        <v>901</v>
      </c>
      <c r="J206">
        <v>2</v>
      </c>
      <c r="K206">
        <v>3.8</v>
      </c>
      <c r="L206">
        <v>3.8</v>
      </c>
      <c r="M206">
        <v>27.7</v>
      </c>
      <c r="N206" t="s">
        <v>206</v>
      </c>
      <c r="O206">
        <v>13.85</v>
      </c>
      <c r="Q206" t="s">
        <v>87</v>
      </c>
      <c r="R206">
        <v>1373</v>
      </c>
      <c r="S206">
        <v>12</v>
      </c>
      <c r="T206" t="b">
        <v>0</v>
      </c>
      <c r="U206" t="s">
        <v>125</v>
      </c>
      <c r="V206" t="s">
        <v>126</v>
      </c>
      <c r="W206">
        <v>1</v>
      </c>
      <c r="X206">
        <v>3.2</v>
      </c>
      <c r="Y206">
        <v>0.5</v>
      </c>
      <c r="Z206">
        <v>1</v>
      </c>
      <c r="AC206" t="s">
        <v>90</v>
      </c>
      <c r="AD206">
        <v>125</v>
      </c>
      <c r="AE206">
        <v>220</v>
      </c>
      <c r="AF206" t="s">
        <v>91</v>
      </c>
      <c r="AG206">
        <v>288</v>
      </c>
      <c r="AH206">
        <v>17</v>
      </c>
      <c r="AI206" t="s">
        <v>1265</v>
      </c>
      <c r="AJ206" t="s">
        <v>1265</v>
      </c>
      <c r="AK206" t="s">
        <v>1265</v>
      </c>
      <c r="AL206" t="b">
        <v>1</v>
      </c>
      <c r="AM206" t="b">
        <v>1</v>
      </c>
      <c r="AN206" t="b">
        <v>0</v>
      </c>
      <c r="AO206" t="b">
        <v>0</v>
      </c>
      <c r="AP206" t="s">
        <v>1266</v>
      </c>
      <c r="AQ206" t="s">
        <v>1267</v>
      </c>
      <c r="AR206" t="s">
        <v>1242</v>
      </c>
      <c r="AS206">
        <v>2.8332133440562162</v>
      </c>
      <c r="AT206">
        <v>1.882352941176471</v>
      </c>
      <c r="AU206">
        <v>2.3529411764705879</v>
      </c>
      <c r="AV206">
        <v>0.4882352941176471</v>
      </c>
      <c r="AW206">
        <v>0</v>
      </c>
      <c r="AX206">
        <v>0.39850560398505602</v>
      </c>
      <c r="AY206">
        <v>0.49813200498131999</v>
      </c>
      <c r="AZ206">
        <v>0.10336239103362389</v>
      </c>
      <c r="BA206">
        <v>0</v>
      </c>
      <c r="BB206">
        <v>6.0964261212230237</v>
      </c>
      <c r="BC206">
        <v>20</v>
      </c>
      <c r="BD206">
        <v>216.40687730768099</v>
      </c>
      <c r="BE206">
        <v>1</v>
      </c>
      <c r="BF206">
        <v>9.2418504665009241E-2</v>
      </c>
      <c r="BG206">
        <v>14.696413339999999</v>
      </c>
      <c r="BH206">
        <v>14.696413339999999</v>
      </c>
      <c r="BI206">
        <v>14.696413339999999</v>
      </c>
      <c r="BJ206">
        <v>420.30120210079798</v>
      </c>
      <c r="BK206">
        <v>1</v>
      </c>
      <c r="BL206">
        <v>4.7584922193973478E-2</v>
      </c>
      <c r="BM206">
        <v>3.83528</v>
      </c>
      <c r="BN206">
        <v>3.83528</v>
      </c>
      <c r="BO206">
        <v>28.573699999999999</v>
      </c>
      <c r="BP206">
        <v>0</v>
      </c>
      <c r="BQ206">
        <v>0</v>
      </c>
      <c r="BS206">
        <v>0</v>
      </c>
      <c r="BT206">
        <v>0</v>
      </c>
      <c r="BU206">
        <v>0</v>
      </c>
      <c r="BV206">
        <v>399.988</v>
      </c>
      <c r="BW206">
        <v>0.10000300009000269</v>
      </c>
      <c r="BX206">
        <v>10</v>
      </c>
      <c r="BY206">
        <v>5.0001500045001347E-2</v>
      </c>
      <c r="BZ206">
        <v>4.620925233250462E-2</v>
      </c>
      <c r="CA206">
        <v>2.3792461096986739E-2</v>
      </c>
      <c r="CC206">
        <v>0.49261991771566083</v>
      </c>
      <c r="CD206">
        <v>0.25364271517559511</v>
      </c>
      <c r="CF206">
        <v>0.53304768189252139</v>
      </c>
    </row>
    <row r="207" spans="1:84" x14ac:dyDescent="0.3">
      <c r="A207" s="1">
        <v>752</v>
      </c>
      <c r="B207" t="s">
        <v>1268</v>
      </c>
      <c r="C207" t="s">
        <v>1269</v>
      </c>
      <c r="E207" t="s">
        <v>404</v>
      </c>
      <c r="F207">
        <v>1.95</v>
      </c>
      <c r="G207" t="s">
        <v>899</v>
      </c>
      <c r="H207" t="s">
        <v>900</v>
      </c>
      <c r="I207" t="s">
        <v>901</v>
      </c>
      <c r="J207">
        <v>2</v>
      </c>
      <c r="K207">
        <v>3.8</v>
      </c>
      <c r="L207">
        <v>3.8</v>
      </c>
      <c r="M207">
        <v>28</v>
      </c>
      <c r="N207" t="s">
        <v>206</v>
      </c>
      <c r="O207">
        <v>14</v>
      </c>
      <c r="Q207" t="s">
        <v>87</v>
      </c>
      <c r="R207">
        <v>1373</v>
      </c>
      <c r="S207">
        <v>12</v>
      </c>
      <c r="T207" t="b">
        <v>0</v>
      </c>
      <c r="U207" t="s">
        <v>125</v>
      </c>
      <c r="V207" t="s">
        <v>126</v>
      </c>
      <c r="W207">
        <v>1</v>
      </c>
      <c r="X207">
        <v>3.2</v>
      </c>
      <c r="Y207">
        <v>0.5</v>
      </c>
      <c r="Z207">
        <v>1</v>
      </c>
      <c r="AC207" t="s">
        <v>90</v>
      </c>
      <c r="AD207">
        <v>125</v>
      </c>
      <c r="AE207">
        <v>220</v>
      </c>
      <c r="AF207" t="s">
        <v>91</v>
      </c>
      <c r="AG207">
        <v>288</v>
      </c>
      <c r="AH207">
        <v>13</v>
      </c>
      <c r="AI207" t="s">
        <v>1270</v>
      </c>
      <c r="AJ207" t="s">
        <v>1270</v>
      </c>
      <c r="AK207" t="s">
        <v>1270</v>
      </c>
      <c r="AL207" t="b">
        <v>1</v>
      </c>
      <c r="AM207" t="b">
        <v>1</v>
      </c>
      <c r="AN207" t="b">
        <v>0</v>
      </c>
      <c r="AO207" t="b">
        <v>0</v>
      </c>
      <c r="AP207" t="s">
        <v>1271</v>
      </c>
      <c r="AQ207" t="s">
        <v>1272</v>
      </c>
      <c r="AR207" t="s">
        <v>1242</v>
      </c>
      <c r="AS207">
        <v>2.5649493574615372</v>
      </c>
      <c r="AT207">
        <v>1.882352941176471</v>
      </c>
      <c r="AU207">
        <v>2.3529411764705879</v>
      </c>
      <c r="AV207">
        <v>0.52352941176470591</v>
      </c>
      <c r="AW207">
        <v>0</v>
      </c>
      <c r="AX207">
        <v>0.39555006180469721</v>
      </c>
      <c r="AY207">
        <v>0.49443757725587151</v>
      </c>
      <c r="AZ207">
        <v>0.1100123609394314</v>
      </c>
      <c r="BA207">
        <v>0</v>
      </c>
      <c r="BB207">
        <v>6.1474614128683296</v>
      </c>
      <c r="BC207">
        <v>20</v>
      </c>
      <c r="BD207">
        <v>216.40687730768099</v>
      </c>
      <c r="BE207">
        <v>1</v>
      </c>
      <c r="BF207">
        <v>9.2418504665009241E-2</v>
      </c>
      <c r="BG207">
        <v>14.696413339999999</v>
      </c>
      <c r="BH207">
        <v>14.696413339999999</v>
      </c>
      <c r="BI207">
        <v>14.696413339999999</v>
      </c>
      <c r="BJ207">
        <v>420.30120210079798</v>
      </c>
      <c r="BK207">
        <v>1</v>
      </c>
      <c r="BL207">
        <v>4.7584922193973478E-2</v>
      </c>
      <c r="BM207">
        <v>3.83528</v>
      </c>
      <c r="BN207">
        <v>3.83528</v>
      </c>
      <c r="BO207">
        <v>28.573699999999999</v>
      </c>
      <c r="BP207">
        <v>0</v>
      </c>
      <c r="BQ207">
        <v>0</v>
      </c>
      <c r="BS207">
        <v>0</v>
      </c>
      <c r="BT207">
        <v>0</v>
      </c>
      <c r="BU207">
        <v>0</v>
      </c>
      <c r="BV207">
        <v>404.32</v>
      </c>
      <c r="BW207">
        <v>9.8931539374752672E-2</v>
      </c>
      <c r="BX207">
        <v>10</v>
      </c>
      <c r="BY207">
        <v>4.9465769687376343E-2</v>
      </c>
      <c r="BZ207">
        <v>4.620925233250462E-2</v>
      </c>
      <c r="CA207">
        <v>2.3792461096986739E-2</v>
      </c>
      <c r="CC207">
        <v>0.48850981294998441</v>
      </c>
      <c r="CD207">
        <v>0.25152648297520719</v>
      </c>
      <c r="CF207">
        <v>0.52293669941959575</v>
      </c>
    </row>
    <row r="208" spans="1:84" x14ac:dyDescent="0.3">
      <c r="A208" s="1">
        <v>753</v>
      </c>
      <c r="B208" t="s">
        <v>1273</v>
      </c>
      <c r="C208" t="s">
        <v>1274</v>
      </c>
      <c r="E208" t="s">
        <v>404</v>
      </c>
      <c r="F208">
        <v>1.55</v>
      </c>
      <c r="G208" t="s">
        <v>899</v>
      </c>
      <c r="H208" t="s">
        <v>900</v>
      </c>
      <c r="I208" t="s">
        <v>901</v>
      </c>
      <c r="J208">
        <v>2</v>
      </c>
      <c r="K208">
        <v>3.8</v>
      </c>
      <c r="L208">
        <v>3.8</v>
      </c>
      <c r="M208">
        <v>27.8</v>
      </c>
      <c r="N208" t="s">
        <v>206</v>
      </c>
      <c r="O208">
        <v>13.9</v>
      </c>
      <c r="Q208" t="s">
        <v>87</v>
      </c>
      <c r="R208">
        <v>1373</v>
      </c>
      <c r="S208">
        <v>12</v>
      </c>
      <c r="T208" t="b">
        <v>0</v>
      </c>
      <c r="U208" t="s">
        <v>125</v>
      </c>
      <c r="V208" t="s">
        <v>126</v>
      </c>
      <c r="W208">
        <v>1</v>
      </c>
      <c r="X208">
        <v>3.2</v>
      </c>
      <c r="Y208">
        <v>0.5</v>
      </c>
      <c r="Z208">
        <v>1</v>
      </c>
      <c r="AC208" t="s">
        <v>90</v>
      </c>
      <c r="AD208">
        <v>125</v>
      </c>
      <c r="AE208">
        <v>220</v>
      </c>
      <c r="AF208" t="s">
        <v>91</v>
      </c>
      <c r="AG208">
        <v>288</v>
      </c>
      <c r="AH208">
        <v>22</v>
      </c>
      <c r="AI208" t="s">
        <v>1275</v>
      </c>
      <c r="AJ208" t="s">
        <v>1275</v>
      </c>
      <c r="AK208" t="s">
        <v>1275</v>
      </c>
      <c r="AL208" t="b">
        <v>1</v>
      </c>
      <c r="AM208" t="b">
        <v>1</v>
      </c>
      <c r="AN208" t="b">
        <v>0</v>
      </c>
      <c r="AO208" t="b">
        <v>0</v>
      </c>
      <c r="AP208" t="s">
        <v>1276</v>
      </c>
      <c r="AQ208" t="s">
        <v>1277</v>
      </c>
      <c r="AR208" t="s">
        <v>1242</v>
      </c>
      <c r="AS208">
        <v>3.0910424533583161</v>
      </c>
      <c r="AT208">
        <v>1.882352941176471</v>
      </c>
      <c r="AU208">
        <v>2.3529411764705879</v>
      </c>
      <c r="AV208">
        <v>0.55882352941176472</v>
      </c>
      <c r="AW208">
        <v>0</v>
      </c>
      <c r="AX208">
        <v>0.39263803680981602</v>
      </c>
      <c r="AY208">
        <v>0.49079754601226999</v>
      </c>
      <c r="AZ208">
        <v>0.1165644171779141</v>
      </c>
      <c r="BA208">
        <v>0</v>
      </c>
      <c r="BB208">
        <v>6.1984967045136354</v>
      </c>
      <c r="BC208">
        <v>20</v>
      </c>
      <c r="BD208">
        <v>216.40687730768099</v>
      </c>
      <c r="BE208">
        <v>1</v>
      </c>
      <c r="BF208">
        <v>9.2418504665009241E-2</v>
      </c>
      <c r="BG208">
        <v>14.696413339999999</v>
      </c>
      <c r="BH208">
        <v>14.696413339999999</v>
      </c>
      <c r="BI208">
        <v>14.696413339999999</v>
      </c>
      <c r="BJ208">
        <v>420.30120210079798</v>
      </c>
      <c r="BK208">
        <v>1</v>
      </c>
      <c r="BL208">
        <v>4.7584922193973478E-2</v>
      </c>
      <c r="BM208">
        <v>3.83528</v>
      </c>
      <c r="BN208">
        <v>3.83528</v>
      </c>
      <c r="BO208">
        <v>28.573699999999999</v>
      </c>
      <c r="BP208">
        <v>0</v>
      </c>
      <c r="BQ208">
        <v>0</v>
      </c>
      <c r="BS208">
        <v>0</v>
      </c>
      <c r="BT208">
        <v>0</v>
      </c>
      <c r="BU208">
        <v>0</v>
      </c>
      <c r="BV208">
        <v>401.43200000000002</v>
      </c>
      <c r="BW208">
        <v>9.9643277068096212E-2</v>
      </c>
      <c r="BX208">
        <v>10</v>
      </c>
      <c r="BY208">
        <v>4.9821638534048113E-2</v>
      </c>
      <c r="BZ208">
        <v>4.620925233250462E-2</v>
      </c>
      <c r="CA208">
        <v>2.3792461096986739E-2</v>
      </c>
      <c r="CC208">
        <v>0.48439970818430811</v>
      </c>
      <c r="CD208">
        <v>0.24941025077481929</v>
      </c>
      <c r="CF208">
        <v>0.5222674237077165</v>
      </c>
    </row>
    <row r="209" spans="1:84" x14ac:dyDescent="0.3">
      <c r="A209" s="1">
        <v>754</v>
      </c>
      <c r="B209" t="s">
        <v>1278</v>
      </c>
      <c r="C209" t="s">
        <v>1279</v>
      </c>
      <c r="E209" t="s">
        <v>404</v>
      </c>
      <c r="F209">
        <v>1.5</v>
      </c>
      <c r="G209" t="s">
        <v>899</v>
      </c>
      <c r="H209" t="s">
        <v>900</v>
      </c>
      <c r="I209" t="s">
        <v>901</v>
      </c>
      <c r="J209">
        <v>2</v>
      </c>
      <c r="K209">
        <v>3.8</v>
      </c>
      <c r="L209">
        <v>3.8</v>
      </c>
      <c r="M209">
        <v>27.3</v>
      </c>
      <c r="N209" t="s">
        <v>206</v>
      </c>
      <c r="O209">
        <v>13.65</v>
      </c>
      <c r="Q209" t="s">
        <v>87</v>
      </c>
      <c r="R209">
        <v>1373</v>
      </c>
      <c r="S209">
        <v>12</v>
      </c>
      <c r="T209" t="b">
        <v>0</v>
      </c>
      <c r="U209" t="s">
        <v>125</v>
      </c>
      <c r="V209" t="s">
        <v>126</v>
      </c>
      <c r="W209">
        <v>1</v>
      </c>
      <c r="X209">
        <v>3.2</v>
      </c>
      <c r="Y209">
        <v>0.5</v>
      </c>
      <c r="Z209">
        <v>1</v>
      </c>
      <c r="AC209" t="s">
        <v>90</v>
      </c>
      <c r="AD209">
        <v>125</v>
      </c>
      <c r="AE209">
        <v>220</v>
      </c>
      <c r="AF209" t="s">
        <v>91</v>
      </c>
      <c r="AG209">
        <v>288</v>
      </c>
      <c r="AH209">
        <v>11</v>
      </c>
      <c r="AI209" t="s">
        <v>1280</v>
      </c>
      <c r="AJ209" t="s">
        <v>1280</v>
      </c>
      <c r="AK209" t="s">
        <v>1280</v>
      </c>
      <c r="AL209" t="b">
        <v>1</v>
      </c>
      <c r="AM209" t="b">
        <v>1</v>
      </c>
      <c r="AN209" t="b">
        <v>0</v>
      </c>
      <c r="AO209" t="b">
        <v>0</v>
      </c>
      <c r="AP209" t="s">
        <v>1281</v>
      </c>
      <c r="AQ209" t="s">
        <v>1282</v>
      </c>
      <c r="AR209" t="s">
        <v>1242</v>
      </c>
      <c r="AS209">
        <v>2.3978952727983711</v>
      </c>
      <c r="AT209">
        <v>1.882352941176471</v>
      </c>
      <c r="AU209">
        <v>2.3529411764705879</v>
      </c>
      <c r="AV209">
        <v>0.59411764705882353</v>
      </c>
      <c r="AW209">
        <v>0</v>
      </c>
      <c r="AX209">
        <v>0.38976857490864802</v>
      </c>
      <c r="AY209">
        <v>0.48721071863581011</v>
      </c>
      <c r="AZ209">
        <v>0.123020706455542</v>
      </c>
      <c r="BA209">
        <v>0</v>
      </c>
      <c r="BB209">
        <v>6.198557722160694</v>
      </c>
      <c r="BC209">
        <v>20</v>
      </c>
      <c r="BD209">
        <v>216.40687730768099</v>
      </c>
      <c r="BE209">
        <v>1</v>
      </c>
      <c r="BF209">
        <v>9.2418504665009241E-2</v>
      </c>
      <c r="BG209">
        <v>14.696413339999999</v>
      </c>
      <c r="BH209">
        <v>14.696413339999999</v>
      </c>
      <c r="BI209">
        <v>14.696413339999999</v>
      </c>
      <c r="BJ209">
        <v>420.30120210079798</v>
      </c>
      <c r="BK209">
        <v>1</v>
      </c>
      <c r="BL209">
        <v>4.7584922193973478E-2</v>
      </c>
      <c r="BM209">
        <v>3.83528</v>
      </c>
      <c r="BN209">
        <v>3.83528</v>
      </c>
      <c r="BO209">
        <v>28.573699999999999</v>
      </c>
      <c r="BP209">
        <v>0</v>
      </c>
      <c r="BQ209">
        <v>0</v>
      </c>
      <c r="BS209">
        <v>0</v>
      </c>
      <c r="BT209">
        <v>0</v>
      </c>
      <c r="BU209">
        <v>0</v>
      </c>
      <c r="BV209">
        <v>394.21199999999999</v>
      </c>
      <c r="BW209">
        <v>0.10146824551256679</v>
      </c>
      <c r="BX209">
        <v>10</v>
      </c>
      <c r="BY209">
        <v>5.0734122756283417E-2</v>
      </c>
      <c r="BZ209">
        <v>4.620925233250462E-2</v>
      </c>
      <c r="CA209">
        <v>2.3792461096986739E-2</v>
      </c>
      <c r="CC209">
        <v>0.48633214000204422</v>
      </c>
      <c r="CD209">
        <v>0.2504052313582581</v>
      </c>
      <c r="CF209">
        <v>0.53395441920694608</v>
      </c>
    </row>
    <row r="210" spans="1:84" x14ac:dyDescent="0.3">
      <c r="A210" s="1">
        <v>755</v>
      </c>
      <c r="B210" t="s">
        <v>1283</v>
      </c>
      <c r="C210" t="s">
        <v>1284</v>
      </c>
      <c r="E210" t="s">
        <v>404</v>
      </c>
      <c r="F210">
        <v>1.4</v>
      </c>
      <c r="G210" t="s">
        <v>899</v>
      </c>
      <c r="H210" t="s">
        <v>900</v>
      </c>
      <c r="I210" t="s">
        <v>901</v>
      </c>
      <c r="J210">
        <v>2</v>
      </c>
      <c r="K210">
        <v>3.8</v>
      </c>
      <c r="L210">
        <v>3.8</v>
      </c>
      <c r="M210">
        <v>27.3</v>
      </c>
      <c r="N210" t="s">
        <v>206</v>
      </c>
      <c r="O210">
        <v>13.65</v>
      </c>
      <c r="Q210" t="s">
        <v>87</v>
      </c>
      <c r="R210">
        <v>1373</v>
      </c>
      <c r="S210">
        <v>12</v>
      </c>
      <c r="T210" t="b">
        <v>0</v>
      </c>
      <c r="U210" t="s">
        <v>125</v>
      </c>
      <c r="V210" t="s">
        <v>126</v>
      </c>
      <c r="W210">
        <v>1</v>
      </c>
      <c r="X210">
        <v>3.2</v>
      </c>
      <c r="Y210">
        <v>0.5</v>
      </c>
      <c r="Z210">
        <v>1</v>
      </c>
      <c r="AC210" t="s">
        <v>90</v>
      </c>
      <c r="AD210">
        <v>125</v>
      </c>
      <c r="AE210">
        <v>220</v>
      </c>
      <c r="AF210" t="s">
        <v>91</v>
      </c>
      <c r="AG210">
        <v>288</v>
      </c>
      <c r="AH210">
        <v>26</v>
      </c>
      <c r="AI210" t="s">
        <v>1285</v>
      </c>
      <c r="AJ210" t="s">
        <v>1285</v>
      </c>
      <c r="AK210" t="s">
        <v>1285</v>
      </c>
      <c r="AL210" t="b">
        <v>1</v>
      </c>
      <c r="AM210" t="b">
        <v>1</v>
      </c>
      <c r="AN210" t="b">
        <v>0</v>
      </c>
      <c r="AO210" t="b">
        <v>0</v>
      </c>
      <c r="AP210" t="s">
        <v>1286</v>
      </c>
      <c r="AQ210" t="s">
        <v>1287</v>
      </c>
      <c r="AR210" t="s">
        <v>1242</v>
      </c>
      <c r="AS210">
        <v>3.2580965380214821</v>
      </c>
      <c r="AT210">
        <v>1.882352941176471</v>
      </c>
      <c r="AU210">
        <v>2.3529411764705879</v>
      </c>
      <c r="AV210">
        <v>0.62941176470588234</v>
      </c>
      <c r="AW210">
        <v>0</v>
      </c>
      <c r="AX210">
        <v>0.38694074969770248</v>
      </c>
      <c r="AY210">
        <v>0.48367593712212809</v>
      </c>
      <c r="AZ210">
        <v>0.1293833131801693</v>
      </c>
      <c r="BA210">
        <v>0</v>
      </c>
      <c r="BB210">
        <v>6.1986187398077526</v>
      </c>
      <c r="BC210">
        <v>20</v>
      </c>
      <c r="BD210">
        <v>216.40687730768099</v>
      </c>
      <c r="BE210">
        <v>1</v>
      </c>
      <c r="BF210">
        <v>9.2418504665009241E-2</v>
      </c>
      <c r="BG210">
        <v>14.696413339999999</v>
      </c>
      <c r="BH210">
        <v>14.696413339999999</v>
      </c>
      <c r="BI210">
        <v>14.696413339999999</v>
      </c>
      <c r="BJ210">
        <v>420.30120210079798</v>
      </c>
      <c r="BK210">
        <v>1</v>
      </c>
      <c r="BL210">
        <v>4.7584922193973478E-2</v>
      </c>
      <c r="BM210">
        <v>3.83528</v>
      </c>
      <c r="BN210">
        <v>3.83528</v>
      </c>
      <c r="BO210">
        <v>28.573699999999999</v>
      </c>
      <c r="BP210">
        <v>0</v>
      </c>
      <c r="BQ210">
        <v>0</v>
      </c>
      <c r="BS210">
        <v>0</v>
      </c>
      <c r="BT210">
        <v>0</v>
      </c>
      <c r="BU210">
        <v>0</v>
      </c>
      <c r="BV210">
        <v>394.21199999999999</v>
      </c>
      <c r="BW210">
        <v>0.10146824551256679</v>
      </c>
      <c r="BX210">
        <v>10</v>
      </c>
      <c r="BY210">
        <v>5.0734122756283417E-2</v>
      </c>
      <c r="BZ210">
        <v>4.620925233250462E-2</v>
      </c>
      <c r="CA210">
        <v>2.3792461096986739E-2</v>
      </c>
      <c r="CC210">
        <v>0.48826457181978028</v>
      </c>
      <c r="CD210">
        <v>0.25140021194169693</v>
      </c>
      <c r="CF210">
        <v>0.53607607727563145</v>
      </c>
    </row>
    <row r="211" spans="1:84" x14ac:dyDescent="0.3">
      <c r="A211" s="1">
        <v>756</v>
      </c>
      <c r="B211" t="s">
        <v>1288</v>
      </c>
      <c r="C211" t="s">
        <v>1289</v>
      </c>
      <c r="E211" t="s">
        <v>404</v>
      </c>
      <c r="F211">
        <v>1.35</v>
      </c>
      <c r="G211" t="s">
        <v>899</v>
      </c>
      <c r="H211" t="s">
        <v>900</v>
      </c>
      <c r="I211" t="s">
        <v>901</v>
      </c>
      <c r="J211">
        <v>2</v>
      </c>
      <c r="K211">
        <v>3.8</v>
      </c>
      <c r="L211">
        <v>3.8</v>
      </c>
      <c r="M211">
        <v>27.5</v>
      </c>
      <c r="N211" t="s">
        <v>206</v>
      </c>
      <c r="O211">
        <v>13.75</v>
      </c>
      <c r="Q211" t="s">
        <v>87</v>
      </c>
      <c r="R211">
        <v>1373</v>
      </c>
      <c r="S211">
        <v>12</v>
      </c>
      <c r="T211" t="b">
        <v>0</v>
      </c>
      <c r="U211" t="s">
        <v>125</v>
      </c>
      <c r="V211" t="s">
        <v>126</v>
      </c>
      <c r="W211">
        <v>1</v>
      </c>
      <c r="X211">
        <v>3.2</v>
      </c>
      <c r="Y211">
        <v>0.5</v>
      </c>
      <c r="Z211">
        <v>1</v>
      </c>
      <c r="AC211" t="s">
        <v>90</v>
      </c>
      <c r="AD211">
        <v>125</v>
      </c>
      <c r="AE211">
        <v>220</v>
      </c>
      <c r="AF211" t="s">
        <v>91</v>
      </c>
      <c r="AG211">
        <v>288</v>
      </c>
      <c r="AH211">
        <v>12</v>
      </c>
      <c r="AI211" t="s">
        <v>1290</v>
      </c>
      <c r="AJ211" t="s">
        <v>1290</v>
      </c>
      <c r="AK211" t="s">
        <v>1290</v>
      </c>
      <c r="AL211" t="b">
        <v>1</v>
      </c>
      <c r="AM211" t="b">
        <v>1</v>
      </c>
      <c r="AN211" t="b">
        <v>0</v>
      </c>
      <c r="AO211" t="b">
        <v>0</v>
      </c>
      <c r="AP211" t="s">
        <v>1291</v>
      </c>
      <c r="AQ211" t="s">
        <v>1292</v>
      </c>
      <c r="AR211" t="s">
        <v>1242</v>
      </c>
      <c r="AS211">
        <v>2.4849066497879999</v>
      </c>
      <c r="AT211">
        <v>1.882352941176471</v>
      </c>
      <c r="AU211">
        <v>2.3529411764705879</v>
      </c>
      <c r="AV211">
        <v>0.6470588235294118</v>
      </c>
      <c r="AW211">
        <v>0</v>
      </c>
      <c r="AX211">
        <v>0.38554216867469882</v>
      </c>
      <c r="AY211">
        <v>0.48192771084337349</v>
      </c>
      <c r="AZ211">
        <v>0.13253012048192769</v>
      </c>
      <c r="BA211">
        <v>0</v>
      </c>
      <c r="BB211">
        <v>6.1986492486312823</v>
      </c>
      <c r="BC211">
        <v>20</v>
      </c>
      <c r="BD211">
        <v>216.40687730768099</v>
      </c>
      <c r="BE211">
        <v>1</v>
      </c>
      <c r="BF211">
        <v>9.2418504665009241E-2</v>
      </c>
      <c r="BG211">
        <v>14.696413339999999</v>
      </c>
      <c r="BH211">
        <v>14.696413339999999</v>
      </c>
      <c r="BI211">
        <v>14.696413339999999</v>
      </c>
      <c r="BJ211">
        <v>420.30120210079798</v>
      </c>
      <c r="BK211">
        <v>1</v>
      </c>
      <c r="BL211">
        <v>4.7584922193973478E-2</v>
      </c>
      <c r="BM211">
        <v>3.83528</v>
      </c>
      <c r="BN211">
        <v>3.83528</v>
      </c>
      <c r="BO211">
        <v>28.573699999999999</v>
      </c>
      <c r="BP211">
        <v>0</v>
      </c>
      <c r="BQ211">
        <v>0</v>
      </c>
      <c r="BS211">
        <v>0</v>
      </c>
      <c r="BT211">
        <v>0</v>
      </c>
      <c r="BU211">
        <v>0</v>
      </c>
      <c r="BV211">
        <v>397.1</v>
      </c>
      <c r="BW211">
        <v>0.1007302946361118</v>
      </c>
      <c r="BX211">
        <v>10</v>
      </c>
      <c r="BY211">
        <v>5.0365147318055907E-2</v>
      </c>
      <c r="BZ211">
        <v>4.620925233250462E-2</v>
      </c>
      <c r="CA211">
        <v>2.3792461096986739E-2</v>
      </c>
      <c r="CC211">
        <v>0.48923078772864842</v>
      </c>
      <c r="CD211">
        <v>0.25189770223341629</v>
      </c>
      <c r="CF211">
        <v>0.53323045608226516</v>
      </c>
    </row>
    <row r="212" spans="1:84" x14ac:dyDescent="0.3">
      <c r="A212" s="1">
        <v>757</v>
      </c>
      <c r="B212" t="s">
        <v>1233</v>
      </c>
      <c r="C212" t="s">
        <v>1234</v>
      </c>
      <c r="E212" t="s">
        <v>404</v>
      </c>
      <c r="F212">
        <v>3.2</v>
      </c>
      <c r="G212" t="s">
        <v>899</v>
      </c>
      <c r="H212" t="s">
        <v>900</v>
      </c>
      <c r="I212" t="s">
        <v>901</v>
      </c>
      <c r="J212">
        <v>2</v>
      </c>
      <c r="K212">
        <v>3.8</v>
      </c>
      <c r="L212">
        <v>3.8</v>
      </c>
      <c r="M212">
        <v>27.3</v>
      </c>
      <c r="N212" t="s">
        <v>206</v>
      </c>
      <c r="O212">
        <v>13.65</v>
      </c>
      <c r="Q212" t="s">
        <v>87</v>
      </c>
      <c r="R212">
        <v>1373</v>
      </c>
      <c r="S212">
        <v>12</v>
      </c>
      <c r="T212" t="b">
        <v>0</v>
      </c>
      <c r="U212" t="s">
        <v>125</v>
      </c>
      <c r="V212" t="s">
        <v>126</v>
      </c>
      <c r="W212">
        <v>1</v>
      </c>
      <c r="X212">
        <v>60</v>
      </c>
      <c r="Y212">
        <v>0.5</v>
      </c>
      <c r="Z212">
        <v>1</v>
      </c>
      <c r="AC212" t="s">
        <v>90</v>
      </c>
      <c r="AD212">
        <v>125</v>
      </c>
      <c r="AE212">
        <v>220</v>
      </c>
      <c r="AF212" t="s">
        <v>91</v>
      </c>
      <c r="AG212">
        <v>288</v>
      </c>
      <c r="AH212">
        <v>16.16</v>
      </c>
      <c r="AI212" t="s">
        <v>1235</v>
      </c>
      <c r="AL212" t="b">
        <v>1</v>
      </c>
      <c r="AM212" t="b">
        <v>0</v>
      </c>
      <c r="AN212" t="b">
        <v>0</v>
      </c>
      <c r="AO212" t="b">
        <v>0</v>
      </c>
      <c r="AP212" t="s">
        <v>1293</v>
      </c>
      <c r="AQ212" t="s">
        <v>900</v>
      </c>
      <c r="AR212" t="s">
        <v>901</v>
      </c>
      <c r="AS212">
        <v>2.782539053092949</v>
      </c>
      <c r="AT212">
        <v>1.882352941176471</v>
      </c>
      <c r="AU212">
        <v>2.3529411764705879</v>
      </c>
      <c r="AV212">
        <v>0.47058823529411759</v>
      </c>
      <c r="AW212">
        <v>0</v>
      </c>
      <c r="AX212">
        <v>0.4</v>
      </c>
      <c r="AY212">
        <v>0.5</v>
      </c>
      <c r="AZ212">
        <v>9.9999999999999992E-2</v>
      </c>
      <c r="BA212">
        <v>0</v>
      </c>
      <c r="BB212">
        <v>6.096395612399494</v>
      </c>
      <c r="BC212">
        <v>20</v>
      </c>
      <c r="BD212">
        <v>216.40687730768099</v>
      </c>
      <c r="BE212">
        <v>1</v>
      </c>
      <c r="BF212">
        <v>9.2418504665009241E-2</v>
      </c>
      <c r="BG212">
        <v>14.696413339999999</v>
      </c>
      <c r="BH212">
        <v>14.696413339999999</v>
      </c>
      <c r="BI212">
        <v>14.696413339999999</v>
      </c>
      <c r="BJ212">
        <v>420.30120210079798</v>
      </c>
      <c r="BK212">
        <v>2</v>
      </c>
      <c r="BL212">
        <v>9.516984438794697E-2</v>
      </c>
      <c r="BM212">
        <v>3.83528</v>
      </c>
      <c r="BN212">
        <v>3.83528</v>
      </c>
      <c r="BO212">
        <v>28.573699999999999</v>
      </c>
      <c r="BP212">
        <v>0</v>
      </c>
      <c r="BQ212">
        <v>0</v>
      </c>
      <c r="BS212">
        <v>0</v>
      </c>
      <c r="BT212">
        <v>0</v>
      </c>
      <c r="BU212">
        <v>0</v>
      </c>
      <c r="BV212">
        <v>394.21199999999999</v>
      </c>
      <c r="BW212">
        <v>0.10146824551256679</v>
      </c>
      <c r="BX212">
        <v>10</v>
      </c>
      <c r="BY212">
        <v>5.0734122756283417E-2</v>
      </c>
      <c r="BZ212">
        <v>4.620925233250462E-2</v>
      </c>
      <c r="CA212">
        <v>4.7584922193973478E-2</v>
      </c>
      <c r="CC212">
        <v>0.4916537018067928</v>
      </c>
      <c r="CD212">
        <v>0.50629044976775128</v>
      </c>
      <c r="CF212">
        <v>0.53979707530349053</v>
      </c>
    </row>
    <row r="213" spans="1:84" x14ac:dyDescent="0.3">
      <c r="A213" s="1">
        <v>758</v>
      </c>
      <c r="B213" t="s">
        <v>1237</v>
      </c>
      <c r="C213" t="s">
        <v>1238</v>
      </c>
      <c r="E213" t="s">
        <v>404</v>
      </c>
      <c r="F213">
        <v>2.9</v>
      </c>
      <c r="G213" t="s">
        <v>899</v>
      </c>
      <c r="H213" t="s">
        <v>900</v>
      </c>
      <c r="I213" t="s">
        <v>901</v>
      </c>
      <c r="J213">
        <v>2</v>
      </c>
      <c r="K213">
        <v>3.8</v>
      </c>
      <c r="L213">
        <v>3.8</v>
      </c>
      <c r="M213">
        <v>27.3</v>
      </c>
      <c r="N213" t="s">
        <v>206</v>
      </c>
      <c r="O213">
        <v>13.65</v>
      </c>
      <c r="Q213" t="s">
        <v>87</v>
      </c>
      <c r="R213">
        <v>1373</v>
      </c>
      <c r="S213">
        <v>12</v>
      </c>
      <c r="T213" t="b">
        <v>0</v>
      </c>
      <c r="U213" t="s">
        <v>125</v>
      </c>
      <c r="V213" t="s">
        <v>126</v>
      </c>
      <c r="W213">
        <v>1</v>
      </c>
      <c r="X213">
        <v>60</v>
      </c>
      <c r="Y213">
        <v>0.5</v>
      </c>
      <c r="Z213">
        <v>1</v>
      </c>
      <c r="AC213" t="s">
        <v>90</v>
      </c>
      <c r="AD213">
        <v>125</v>
      </c>
      <c r="AE213">
        <v>220</v>
      </c>
      <c r="AF213" t="s">
        <v>91</v>
      </c>
      <c r="AG213">
        <v>288</v>
      </c>
      <c r="AH213">
        <v>17.920000000000002</v>
      </c>
      <c r="AI213" t="s">
        <v>1239</v>
      </c>
      <c r="AJ213" t="s">
        <v>1239</v>
      </c>
      <c r="AK213" t="s">
        <v>1239</v>
      </c>
      <c r="AL213" t="b">
        <v>1</v>
      </c>
      <c r="AM213" t="b">
        <v>1</v>
      </c>
      <c r="AN213" t="b">
        <v>0</v>
      </c>
      <c r="AO213" t="b">
        <v>0</v>
      </c>
      <c r="AP213" t="s">
        <v>1294</v>
      </c>
      <c r="AQ213" t="s">
        <v>1295</v>
      </c>
      <c r="AR213" t="s">
        <v>1242</v>
      </c>
      <c r="AS213">
        <v>2.8859174075467839</v>
      </c>
      <c r="AT213">
        <v>1.882352941176471</v>
      </c>
      <c r="AU213">
        <v>2.3529411764705879</v>
      </c>
      <c r="AV213">
        <v>0.47094117647058831</v>
      </c>
      <c r="AW213">
        <v>0</v>
      </c>
      <c r="AX213">
        <v>0.39997000224983131</v>
      </c>
      <c r="AY213">
        <v>0.4999625028122891</v>
      </c>
      <c r="AZ213">
        <v>0.1000674949378797</v>
      </c>
      <c r="BA213">
        <v>0</v>
      </c>
      <c r="BB213">
        <v>6.0963962225759643</v>
      </c>
      <c r="BC213">
        <v>20</v>
      </c>
      <c r="BD213">
        <v>216.40687730768099</v>
      </c>
      <c r="BE213">
        <v>1</v>
      </c>
      <c r="BF213">
        <v>9.2418504665009241E-2</v>
      </c>
      <c r="BG213">
        <v>14.696413339999999</v>
      </c>
      <c r="BH213">
        <v>14.696413339999999</v>
      </c>
      <c r="BI213">
        <v>14.696413339999999</v>
      </c>
      <c r="BJ213">
        <v>420.30120210079798</v>
      </c>
      <c r="BK213">
        <v>1</v>
      </c>
      <c r="BL213">
        <v>4.7584922193973478E-2</v>
      </c>
      <c r="BM213">
        <v>3.83528</v>
      </c>
      <c r="BN213">
        <v>3.83528</v>
      </c>
      <c r="BO213">
        <v>28.573699999999999</v>
      </c>
      <c r="BP213">
        <v>0</v>
      </c>
      <c r="BQ213">
        <v>0</v>
      </c>
      <c r="BS213">
        <v>0</v>
      </c>
      <c r="BT213">
        <v>0</v>
      </c>
      <c r="BU213">
        <v>0</v>
      </c>
      <c r="BV213">
        <v>394.21199999999999</v>
      </c>
      <c r="BW213">
        <v>0.10146824551256679</v>
      </c>
      <c r="BX213">
        <v>10</v>
      </c>
      <c r="BY213">
        <v>5.0734122756283417E-2</v>
      </c>
      <c r="BZ213">
        <v>4.620925233250462E-2</v>
      </c>
      <c r="CA213">
        <v>2.3792461096986739E-2</v>
      </c>
      <c r="CC213">
        <v>0.4916730261249701</v>
      </c>
      <c r="CD213">
        <v>0.25315517468970999</v>
      </c>
      <c r="CF213">
        <v>0.53981829188417729</v>
      </c>
    </row>
    <row r="214" spans="1:84" x14ac:dyDescent="0.3">
      <c r="A214" s="1">
        <v>759</v>
      </c>
      <c r="B214" t="s">
        <v>1243</v>
      </c>
      <c r="C214" t="s">
        <v>1244</v>
      </c>
      <c r="E214" t="s">
        <v>404</v>
      </c>
      <c r="F214">
        <v>2.65</v>
      </c>
      <c r="G214" t="s">
        <v>899</v>
      </c>
      <c r="H214" t="s">
        <v>900</v>
      </c>
      <c r="I214" t="s">
        <v>901</v>
      </c>
      <c r="J214">
        <v>2</v>
      </c>
      <c r="K214">
        <v>3.8</v>
      </c>
      <c r="L214">
        <v>3.8</v>
      </c>
      <c r="M214">
        <v>27.3</v>
      </c>
      <c r="N214" t="s">
        <v>206</v>
      </c>
      <c r="O214">
        <v>13.65</v>
      </c>
      <c r="Q214" t="s">
        <v>87</v>
      </c>
      <c r="R214">
        <v>1373</v>
      </c>
      <c r="S214">
        <v>12</v>
      </c>
      <c r="T214" t="b">
        <v>0</v>
      </c>
      <c r="U214" t="s">
        <v>125</v>
      </c>
      <c r="V214" t="s">
        <v>126</v>
      </c>
      <c r="W214">
        <v>1</v>
      </c>
      <c r="X214">
        <v>60</v>
      </c>
      <c r="Y214">
        <v>0.5</v>
      </c>
      <c r="Z214">
        <v>1</v>
      </c>
      <c r="AC214" t="s">
        <v>90</v>
      </c>
      <c r="AD214">
        <v>125</v>
      </c>
      <c r="AE214">
        <v>220</v>
      </c>
      <c r="AF214" t="s">
        <v>91</v>
      </c>
      <c r="AG214">
        <v>288</v>
      </c>
      <c r="AH214">
        <v>16.96</v>
      </c>
      <c r="AI214" t="s">
        <v>1245</v>
      </c>
      <c r="AJ214" t="s">
        <v>1245</v>
      </c>
      <c r="AK214" t="s">
        <v>1245</v>
      </c>
      <c r="AL214" t="b">
        <v>1</v>
      </c>
      <c r="AM214" t="b">
        <v>1</v>
      </c>
      <c r="AN214" t="b">
        <v>0</v>
      </c>
      <c r="AO214" t="b">
        <v>0</v>
      </c>
      <c r="AP214" t="s">
        <v>1296</v>
      </c>
      <c r="AQ214" t="s">
        <v>1297</v>
      </c>
      <c r="AR214" t="s">
        <v>1242</v>
      </c>
      <c r="AS214">
        <v>2.8308576303637571</v>
      </c>
      <c r="AT214">
        <v>1.882352941176471</v>
      </c>
      <c r="AU214">
        <v>2.3529411764705879</v>
      </c>
      <c r="AV214">
        <v>0.47147058823529409</v>
      </c>
      <c r="AW214">
        <v>0</v>
      </c>
      <c r="AX214">
        <v>0.39992501405986369</v>
      </c>
      <c r="AY214">
        <v>0.4999062675748297</v>
      </c>
      <c r="AZ214">
        <v>0.1001687183653065</v>
      </c>
      <c r="BA214">
        <v>0</v>
      </c>
      <c r="BB214">
        <v>6.0963971378406701</v>
      </c>
      <c r="BC214">
        <v>20</v>
      </c>
      <c r="BD214">
        <v>216.40687730768099</v>
      </c>
      <c r="BE214">
        <v>1</v>
      </c>
      <c r="BF214">
        <v>9.2418504665009241E-2</v>
      </c>
      <c r="BG214">
        <v>14.696413339999999</v>
      </c>
      <c r="BH214">
        <v>14.696413339999999</v>
      </c>
      <c r="BI214">
        <v>14.696413339999999</v>
      </c>
      <c r="BJ214">
        <v>420.30120210079798</v>
      </c>
      <c r="BK214">
        <v>1</v>
      </c>
      <c r="BL214">
        <v>4.7584922193973478E-2</v>
      </c>
      <c r="BM214">
        <v>3.83528</v>
      </c>
      <c r="BN214">
        <v>3.83528</v>
      </c>
      <c r="BO214">
        <v>28.573699999999999</v>
      </c>
      <c r="BP214">
        <v>0</v>
      </c>
      <c r="BQ214">
        <v>0</v>
      </c>
      <c r="BS214">
        <v>0</v>
      </c>
      <c r="BT214">
        <v>0</v>
      </c>
      <c r="BU214">
        <v>0</v>
      </c>
      <c r="BV214">
        <v>394.21199999999999</v>
      </c>
      <c r="BW214">
        <v>0.10146824551256679</v>
      </c>
      <c r="BX214">
        <v>10</v>
      </c>
      <c r="BY214">
        <v>5.0734122756283417E-2</v>
      </c>
      <c r="BZ214">
        <v>4.620925233250462E-2</v>
      </c>
      <c r="CA214">
        <v>2.3792461096986739E-2</v>
      </c>
      <c r="CC214">
        <v>0.49170201260223612</v>
      </c>
      <c r="CD214">
        <v>0.25317009939846158</v>
      </c>
      <c r="CF214">
        <v>0.53985011675520755</v>
      </c>
    </row>
    <row r="215" spans="1:84" x14ac:dyDescent="0.3">
      <c r="A215" s="1">
        <v>760</v>
      </c>
      <c r="B215" t="s">
        <v>1248</v>
      </c>
      <c r="C215" t="s">
        <v>1249</v>
      </c>
      <c r="E215" t="s">
        <v>404</v>
      </c>
      <c r="F215">
        <v>2.5499999999999998</v>
      </c>
      <c r="G215" t="s">
        <v>899</v>
      </c>
      <c r="H215" t="s">
        <v>900</v>
      </c>
      <c r="I215" t="s">
        <v>901</v>
      </c>
      <c r="J215">
        <v>2</v>
      </c>
      <c r="K215">
        <v>3.8</v>
      </c>
      <c r="L215">
        <v>3.8</v>
      </c>
      <c r="M215">
        <v>27.3</v>
      </c>
      <c r="N215" t="s">
        <v>206</v>
      </c>
      <c r="O215">
        <v>13.65</v>
      </c>
      <c r="Q215" t="s">
        <v>87</v>
      </c>
      <c r="R215">
        <v>1373</v>
      </c>
      <c r="S215">
        <v>12</v>
      </c>
      <c r="T215" t="b">
        <v>0</v>
      </c>
      <c r="U215" t="s">
        <v>125</v>
      </c>
      <c r="V215" t="s">
        <v>126</v>
      </c>
      <c r="W215">
        <v>1</v>
      </c>
      <c r="X215">
        <v>60</v>
      </c>
      <c r="Y215">
        <v>0.5</v>
      </c>
      <c r="Z215">
        <v>1</v>
      </c>
      <c r="AC215" t="s">
        <v>90</v>
      </c>
      <c r="AD215">
        <v>125</v>
      </c>
      <c r="AE215">
        <v>220</v>
      </c>
      <c r="AF215" t="s">
        <v>91</v>
      </c>
      <c r="AG215">
        <v>288</v>
      </c>
      <c r="AH215">
        <v>8160</v>
      </c>
      <c r="AI215" t="s">
        <v>1250</v>
      </c>
      <c r="AJ215" t="s">
        <v>1250</v>
      </c>
      <c r="AK215" t="s">
        <v>1250</v>
      </c>
      <c r="AL215" t="b">
        <v>1</v>
      </c>
      <c r="AM215" t="b">
        <v>1</v>
      </c>
      <c r="AN215" t="b">
        <v>0</v>
      </c>
      <c r="AO215" t="b">
        <v>0</v>
      </c>
      <c r="AP215" t="s">
        <v>1298</v>
      </c>
      <c r="AQ215" t="s">
        <v>1299</v>
      </c>
      <c r="AR215" t="s">
        <v>1242</v>
      </c>
      <c r="AS215">
        <v>9.0069994479581528</v>
      </c>
      <c r="AT215">
        <v>1.882352941176471</v>
      </c>
      <c r="AU215">
        <v>2.3529411764705879</v>
      </c>
      <c r="AV215">
        <v>0.47235294117647059</v>
      </c>
      <c r="AW215">
        <v>0</v>
      </c>
      <c r="AX215">
        <v>0.39985005622891412</v>
      </c>
      <c r="AY215">
        <v>0.49981257028614268</v>
      </c>
      <c r="AZ215">
        <v>0.10033737348494309</v>
      </c>
      <c r="BA215">
        <v>0</v>
      </c>
      <c r="BB215">
        <v>6.096398663281847</v>
      </c>
      <c r="BC215">
        <v>20</v>
      </c>
      <c r="BD215">
        <v>216.40687730768099</v>
      </c>
      <c r="BE215">
        <v>1</v>
      </c>
      <c r="BF215">
        <v>9.2418504665009241E-2</v>
      </c>
      <c r="BG215">
        <v>14.696413339999999</v>
      </c>
      <c r="BH215">
        <v>14.696413339999999</v>
      </c>
      <c r="BI215">
        <v>14.696413339999999</v>
      </c>
      <c r="BJ215">
        <v>420.30120210079798</v>
      </c>
      <c r="BK215">
        <v>1</v>
      </c>
      <c r="BL215">
        <v>4.7584922193973478E-2</v>
      </c>
      <c r="BM215">
        <v>3.83528</v>
      </c>
      <c r="BN215">
        <v>3.83528</v>
      </c>
      <c r="BO215">
        <v>28.573699999999999</v>
      </c>
      <c r="BP215">
        <v>0</v>
      </c>
      <c r="BQ215">
        <v>0</v>
      </c>
      <c r="BS215">
        <v>0</v>
      </c>
      <c r="BT215">
        <v>0</v>
      </c>
      <c r="BU215">
        <v>0</v>
      </c>
      <c r="BV215">
        <v>394.21199999999999</v>
      </c>
      <c r="BW215">
        <v>0.10146824551256679</v>
      </c>
      <c r="BX215">
        <v>10</v>
      </c>
      <c r="BY215">
        <v>5.0734122756283417E-2</v>
      </c>
      <c r="BZ215">
        <v>4.620925233250462E-2</v>
      </c>
      <c r="CA215">
        <v>2.3792461096986739E-2</v>
      </c>
      <c r="CC215">
        <v>0.49175032339767949</v>
      </c>
      <c r="CD215">
        <v>0.25319497391304763</v>
      </c>
      <c r="CF215">
        <v>0.53990315820692469</v>
      </c>
    </row>
    <row r="216" spans="1:84" x14ac:dyDescent="0.3">
      <c r="A216" s="1">
        <v>761</v>
      </c>
      <c r="B216" t="s">
        <v>1253</v>
      </c>
      <c r="C216" t="s">
        <v>1254</v>
      </c>
      <c r="E216" t="s">
        <v>404</v>
      </c>
      <c r="F216">
        <v>2.4500000000000002</v>
      </c>
      <c r="G216" t="s">
        <v>899</v>
      </c>
      <c r="H216" t="s">
        <v>900</v>
      </c>
      <c r="I216" t="s">
        <v>901</v>
      </c>
      <c r="J216">
        <v>2</v>
      </c>
      <c r="K216">
        <v>3.8</v>
      </c>
      <c r="L216">
        <v>3.8</v>
      </c>
      <c r="M216">
        <v>27.3</v>
      </c>
      <c r="N216" t="s">
        <v>206</v>
      </c>
      <c r="O216">
        <v>13.65</v>
      </c>
      <c r="Q216" t="s">
        <v>87</v>
      </c>
      <c r="R216">
        <v>1373</v>
      </c>
      <c r="S216">
        <v>12</v>
      </c>
      <c r="T216" t="b">
        <v>0</v>
      </c>
      <c r="U216" t="s">
        <v>125</v>
      </c>
      <c r="V216" t="s">
        <v>126</v>
      </c>
      <c r="W216">
        <v>1</v>
      </c>
      <c r="X216">
        <v>60</v>
      </c>
      <c r="Y216">
        <v>0.5</v>
      </c>
      <c r="Z216">
        <v>1</v>
      </c>
      <c r="AC216" t="s">
        <v>90</v>
      </c>
      <c r="AD216">
        <v>125</v>
      </c>
      <c r="AE216">
        <v>220</v>
      </c>
      <c r="AF216" t="s">
        <v>91</v>
      </c>
      <c r="AG216">
        <v>288</v>
      </c>
      <c r="AH216">
        <v>1920</v>
      </c>
      <c r="AI216" t="s">
        <v>1255</v>
      </c>
      <c r="AJ216" t="s">
        <v>1255</v>
      </c>
      <c r="AK216" t="s">
        <v>1255</v>
      </c>
      <c r="AL216" t="b">
        <v>1</v>
      </c>
      <c r="AM216" t="b">
        <v>1</v>
      </c>
      <c r="AN216" t="b">
        <v>0</v>
      </c>
      <c r="AO216" t="b">
        <v>0</v>
      </c>
      <c r="AP216" t="s">
        <v>1300</v>
      </c>
      <c r="AQ216" t="s">
        <v>1301</v>
      </c>
      <c r="AR216" t="s">
        <v>1242</v>
      </c>
      <c r="AS216">
        <v>7.5600804650218274</v>
      </c>
      <c r="AT216">
        <v>1.882352941176471</v>
      </c>
      <c r="AU216">
        <v>2.3529411764705879</v>
      </c>
      <c r="AV216">
        <v>0.47499999999999998</v>
      </c>
      <c r="AW216">
        <v>0</v>
      </c>
      <c r="AX216">
        <v>0.3996253512332188</v>
      </c>
      <c r="AY216">
        <v>0.49953168904152351</v>
      </c>
      <c r="AZ216">
        <v>0.1008429597252576</v>
      </c>
      <c r="BA216">
        <v>0</v>
      </c>
      <c r="BB216">
        <v>6.096403239605376</v>
      </c>
      <c r="BC216">
        <v>20</v>
      </c>
      <c r="BD216">
        <v>216.40687730768099</v>
      </c>
      <c r="BE216">
        <v>1</v>
      </c>
      <c r="BF216">
        <v>9.2418504665009241E-2</v>
      </c>
      <c r="BG216">
        <v>14.696413339999999</v>
      </c>
      <c r="BH216">
        <v>14.696413339999999</v>
      </c>
      <c r="BI216">
        <v>14.696413339999999</v>
      </c>
      <c r="BJ216">
        <v>420.30120210079798</v>
      </c>
      <c r="BK216">
        <v>1</v>
      </c>
      <c r="BL216">
        <v>4.7584922193973478E-2</v>
      </c>
      <c r="BM216">
        <v>3.83528</v>
      </c>
      <c r="BN216">
        <v>3.83528</v>
      </c>
      <c r="BO216">
        <v>28.573699999999999</v>
      </c>
      <c r="BP216">
        <v>0</v>
      </c>
      <c r="BQ216">
        <v>0</v>
      </c>
      <c r="BS216">
        <v>0</v>
      </c>
      <c r="BT216">
        <v>0</v>
      </c>
      <c r="BU216">
        <v>0</v>
      </c>
      <c r="BV216">
        <v>394.21199999999999</v>
      </c>
      <c r="BW216">
        <v>0.10146824551256679</v>
      </c>
      <c r="BX216">
        <v>10</v>
      </c>
      <c r="BY216">
        <v>5.0734122756283417E-2</v>
      </c>
      <c r="BZ216">
        <v>4.620925233250462E-2</v>
      </c>
      <c r="CA216">
        <v>2.3792461096986739E-2</v>
      </c>
      <c r="CC216">
        <v>0.49189525578400978</v>
      </c>
      <c r="CD216">
        <v>0.2532695974568055</v>
      </c>
      <c r="CF216">
        <v>0.54006228256207611</v>
      </c>
    </row>
    <row r="217" spans="1:84" x14ac:dyDescent="0.3">
      <c r="A217" s="1">
        <v>762</v>
      </c>
      <c r="B217" t="s">
        <v>1258</v>
      </c>
      <c r="C217" t="s">
        <v>1259</v>
      </c>
      <c r="E217" t="s">
        <v>404</v>
      </c>
      <c r="F217">
        <v>2.2999999999999998</v>
      </c>
      <c r="G217" t="s">
        <v>899</v>
      </c>
      <c r="H217" t="s">
        <v>900</v>
      </c>
      <c r="I217" t="s">
        <v>901</v>
      </c>
      <c r="J217">
        <v>2</v>
      </c>
      <c r="K217">
        <v>3.8</v>
      </c>
      <c r="L217">
        <v>3.8</v>
      </c>
      <c r="M217">
        <v>27.3</v>
      </c>
      <c r="N217" t="s">
        <v>206</v>
      </c>
      <c r="O217">
        <v>13.65</v>
      </c>
      <c r="Q217" t="s">
        <v>87</v>
      </c>
      <c r="R217">
        <v>1373</v>
      </c>
      <c r="S217">
        <v>12</v>
      </c>
      <c r="T217" t="b">
        <v>0</v>
      </c>
      <c r="U217" t="s">
        <v>125</v>
      </c>
      <c r="V217" t="s">
        <v>126</v>
      </c>
      <c r="W217">
        <v>1</v>
      </c>
      <c r="X217">
        <v>60</v>
      </c>
      <c r="Y217">
        <v>0.5</v>
      </c>
      <c r="Z217">
        <v>1</v>
      </c>
      <c r="AC217" t="s">
        <v>90</v>
      </c>
      <c r="AD217">
        <v>125</v>
      </c>
      <c r="AE217">
        <v>220</v>
      </c>
      <c r="AF217" t="s">
        <v>91</v>
      </c>
      <c r="AG217">
        <v>288</v>
      </c>
      <c r="AH217">
        <v>1360</v>
      </c>
      <c r="AI217" t="s">
        <v>1260</v>
      </c>
      <c r="AJ217" t="s">
        <v>1260</v>
      </c>
      <c r="AK217" t="s">
        <v>1260</v>
      </c>
      <c r="AL217" t="b">
        <v>1</v>
      </c>
      <c r="AM217" t="b">
        <v>1</v>
      </c>
      <c r="AN217" t="b">
        <v>0</v>
      </c>
      <c r="AO217" t="b">
        <v>0</v>
      </c>
      <c r="AP217" t="s">
        <v>1302</v>
      </c>
      <c r="AQ217" t="s">
        <v>1303</v>
      </c>
      <c r="AR217" t="s">
        <v>1242</v>
      </c>
      <c r="AS217">
        <v>7.2152399787300974</v>
      </c>
      <c r="AT217">
        <v>1.882352941176471</v>
      </c>
      <c r="AU217">
        <v>2.3529411764705879</v>
      </c>
      <c r="AV217">
        <v>0.47941176470588243</v>
      </c>
      <c r="AW217">
        <v>0</v>
      </c>
      <c r="AX217">
        <v>0.39925140361821582</v>
      </c>
      <c r="AY217">
        <v>0.49906425452276981</v>
      </c>
      <c r="AZ217">
        <v>0.1016843418590143</v>
      </c>
      <c r="BA217">
        <v>0</v>
      </c>
      <c r="BB217">
        <v>6.0964108668112589</v>
      </c>
      <c r="BC217">
        <v>20</v>
      </c>
      <c r="BD217">
        <v>216.40687730768099</v>
      </c>
      <c r="BE217">
        <v>1</v>
      </c>
      <c r="BF217">
        <v>9.2418504665009241E-2</v>
      </c>
      <c r="BG217">
        <v>14.696413339999999</v>
      </c>
      <c r="BH217">
        <v>14.696413339999999</v>
      </c>
      <c r="BI217">
        <v>14.696413339999999</v>
      </c>
      <c r="BJ217">
        <v>420.30120210079798</v>
      </c>
      <c r="BK217">
        <v>1</v>
      </c>
      <c r="BL217">
        <v>4.7584922193973478E-2</v>
      </c>
      <c r="BM217">
        <v>3.83528</v>
      </c>
      <c r="BN217">
        <v>3.83528</v>
      </c>
      <c r="BO217">
        <v>28.573699999999999</v>
      </c>
      <c r="BP217">
        <v>0</v>
      </c>
      <c r="BQ217">
        <v>0</v>
      </c>
      <c r="BS217">
        <v>0</v>
      </c>
      <c r="BT217">
        <v>0</v>
      </c>
      <c r="BU217">
        <v>0</v>
      </c>
      <c r="BV217">
        <v>394.21199999999999</v>
      </c>
      <c r="BW217">
        <v>0.10146824551256679</v>
      </c>
      <c r="BX217">
        <v>10</v>
      </c>
      <c r="BY217">
        <v>5.0734122756283417E-2</v>
      </c>
      <c r="BZ217">
        <v>4.620925233250462E-2</v>
      </c>
      <c r="CA217">
        <v>2.3792461096986739E-2</v>
      </c>
      <c r="CC217">
        <v>0.49213680976122681</v>
      </c>
      <c r="CD217">
        <v>0.25339397002973529</v>
      </c>
      <c r="CF217">
        <v>0.54032748982066181</v>
      </c>
    </row>
    <row r="218" spans="1:84" x14ac:dyDescent="0.3">
      <c r="A218" s="1">
        <v>763</v>
      </c>
      <c r="B218" t="s">
        <v>1263</v>
      </c>
      <c r="C218" t="s">
        <v>1264</v>
      </c>
      <c r="E218" t="s">
        <v>404</v>
      </c>
      <c r="F218">
        <v>2.15</v>
      </c>
      <c r="G218" t="s">
        <v>899</v>
      </c>
      <c r="H218" t="s">
        <v>900</v>
      </c>
      <c r="I218" t="s">
        <v>901</v>
      </c>
      <c r="J218">
        <v>2</v>
      </c>
      <c r="K218">
        <v>3.8</v>
      </c>
      <c r="L218">
        <v>3.8</v>
      </c>
      <c r="M218">
        <v>27.7</v>
      </c>
      <c r="N218" t="s">
        <v>206</v>
      </c>
      <c r="O218">
        <v>13.85</v>
      </c>
      <c r="Q218" t="s">
        <v>87</v>
      </c>
      <c r="R218">
        <v>1373</v>
      </c>
      <c r="S218">
        <v>12</v>
      </c>
      <c r="T218" t="b">
        <v>0</v>
      </c>
      <c r="U218" t="s">
        <v>125</v>
      </c>
      <c r="V218" t="s">
        <v>126</v>
      </c>
      <c r="W218">
        <v>1</v>
      </c>
      <c r="X218">
        <v>60</v>
      </c>
      <c r="Y218">
        <v>0.5</v>
      </c>
      <c r="Z218">
        <v>1</v>
      </c>
      <c r="AC218" t="s">
        <v>90</v>
      </c>
      <c r="AD218">
        <v>125</v>
      </c>
      <c r="AE218">
        <v>220</v>
      </c>
      <c r="AF218" t="s">
        <v>91</v>
      </c>
      <c r="AG218">
        <v>288</v>
      </c>
      <c r="AH218">
        <v>1170</v>
      </c>
      <c r="AI218" t="s">
        <v>1265</v>
      </c>
      <c r="AJ218" t="s">
        <v>1265</v>
      </c>
      <c r="AK218" t="s">
        <v>1265</v>
      </c>
      <c r="AL218" t="b">
        <v>1</v>
      </c>
      <c r="AM218" t="b">
        <v>1</v>
      </c>
      <c r="AN218" t="b">
        <v>0</v>
      </c>
      <c r="AO218" t="b">
        <v>0</v>
      </c>
      <c r="AP218" t="s">
        <v>1304</v>
      </c>
      <c r="AQ218" t="s">
        <v>1305</v>
      </c>
      <c r="AR218" t="s">
        <v>1242</v>
      </c>
      <c r="AS218">
        <v>7.0647590277918022</v>
      </c>
      <c r="AT218">
        <v>1.882352941176471</v>
      </c>
      <c r="AU218">
        <v>2.3529411764705879</v>
      </c>
      <c r="AV218">
        <v>0.4882352941176471</v>
      </c>
      <c r="AW218">
        <v>0</v>
      </c>
      <c r="AX218">
        <v>0.39850560398505602</v>
      </c>
      <c r="AY218">
        <v>0.49813200498131999</v>
      </c>
      <c r="AZ218">
        <v>0.10336239103362389</v>
      </c>
      <c r="BA218">
        <v>0</v>
      </c>
      <c r="BB218">
        <v>6.0964261212230237</v>
      </c>
      <c r="BC218">
        <v>20</v>
      </c>
      <c r="BD218">
        <v>216.40687730768099</v>
      </c>
      <c r="BE218">
        <v>1</v>
      </c>
      <c r="BF218">
        <v>9.2418504665009241E-2</v>
      </c>
      <c r="BG218">
        <v>14.696413339999999</v>
      </c>
      <c r="BH218">
        <v>14.696413339999999</v>
      </c>
      <c r="BI218">
        <v>14.696413339999999</v>
      </c>
      <c r="BJ218">
        <v>420.30120210079798</v>
      </c>
      <c r="BK218">
        <v>1</v>
      </c>
      <c r="BL218">
        <v>4.7584922193973478E-2</v>
      </c>
      <c r="BM218">
        <v>3.83528</v>
      </c>
      <c r="BN218">
        <v>3.83528</v>
      </c>
      <c r="BO218">
        <v>28.573699999999999</v>
      </c>
      <c r="BP218">
        <v>0</v>
      </c>
      <c r="BQ218">
        <v>0</v>
      </c>
      <c r="BS218">
        <v>0</v>
      </c>
      <c r="BT218">
        <v>0</v>
      </c>
      <c r="BU218">
        <v>0</v>
      </c>
      <c r="BV218">
        <v>399.988</v>
      </c>
      <c r="BW218">
        <v>0.10000300009000269</v>
      </c>
      <c r="BX218">
        <v>10</v>
      </c>
      <c r="BY218">
        <v>5.0001500045001347E-2</v>
      </c>
      <c r="BZ218">
        <v>4.620925233250462E-2</v>
      </c>
      <c r="CA218">
        <v>2.3792461096986739E-2</v>
      </c>
      <c r="CC218">
        <v>0.49261991771566083</v>
      </c>
      <c r="CD218">
        <v>0.25364271517559511</v>
      </c>
      <c r="CF218">
        <v>0.53304768189252139</v>
      </c>
    </row>
    <row r="219" spans="1:84" x14ac:dyDescent="0.3">
      <c r="A219" s="1">
        <v>764</v>
      </c>
      <c r="B219" t="s">
        <v>1268</v>
      </c>
      <c r="C219" t="s">
        <v>1269</v>
      </c>
      <c r="E219" t="s">
        <v>404</v>
      </c>
      <c r="F219">
        <v>1.95</v>
      </c>
      <c r="G219" t="s">
        <v>899</v>
      </c>
      <c r="H219" t="s">
        <v>900</v>
      </c>
      <c r="I219" t="s">
        <v>901</v>
      </c>
      <c r="J219">
        <v>2</v>
      </c>
      <c r="K219">
        <v>3.8</v>
      </c>
      <c r="L219">
        <v>3.8</v>
      </c>
      <c r="M219">
        <v>28</v>
      </c>
      <c r="N219" t="s">
        <v>206</v>
      </c>
      <c r="O219">
        <v>14</v>
      </c>
      <c r="Q219" t="s">
        <v>87</v>
      </c>
      <c r="R219">
        <v>1373</v>
      </c>
      <c r="S219">
        <v>12</v>
      </c>
      <c r="T219" t="b">
        <v>0</v>
      </c>
      <c r="U219" t="s">
        <v>125</v>
      </c>
      <c r="V219" t="s">
        <v>126</v>
      </c>
      <c r="W219">
        <v>1</v>
      </c>
      <c r="X219">
        <v>60</v>
      </c>
      <c r="Y219">
        <v>0.5</v>
      </c>
      <c r="Z219">
        <v>1</v>
      </c>
      <c r="AC219" t="s">
        <v>90</v>
      </c>
      <c r="AD219">
        <v>125</v>
      </c>
      <c r="AE219">
        <v>220</v>
      </c>
      <c r="AF219" t="s">
        <v>91</v>
      </c>
      <c r="AG219">
        <v>288</v>
      </c>
      <c r="AH219">
        <v>47</v>
      </c>
      <c r="AI219" t="s">
        <v>1270</v>
      </c>
      <c r="AJ219" t="s">
        <v>1270</v>
      </c>
      <c r="AK219" t="s">
        <v>1270</v>
      </c>
      <c r="AL219" t="b">
        <v>1</v>
      </c>
      <c r="AM219" t="b">
        <v>1</v>
      </c>
      <c r="AN219" t="b">
        <v>0</v>
      </c>
      <c r="AO219" t="b">
        <v>0</v>
      </c>
      <c r="AP219" t="s">
        <v>1306</v>
      </c>
      <c r="AQ219" t="s">
        <v>1307</v>
      </c>
      <c r="AR219" t="s">
        <v>1242</v>
      </c>
      <c r="AS219">
        <v>3.850147601710058</v>
      </c>
      <c r="AT219">
        <v>1.882352941176471</v>
      </c>
      <c r="AU219">
        <v>2.3529411764705879</v>
      </c>
      <c r="AV219">
        <v>0.52352941176470591</v>
      </c>
      <c r="AW219">
        <v>0</v>
      </c>
      <c r="AX219">
        <v>0.39555006180469721</v>
      </c>
      <c r="AY219">
        <v>0.49443757725587151</v>
      </c>
      <c r="AZ219">
        <v>0.1100123609394314</v>
      </c>
      <c r="BA219">
        <v>0</v>
      </c>
      <c r="BB219">
        <v>6.1474614128683296</v>
      </c>
      <c r="BC219">
        <v>20</v>
      </c>
      <c r="BD219">
        <v>216.40687730768099</v>
      </c>
      <c r="BE219">
        <v>1</v>
      </c>
      <c r="BF219">
        <v>9.2418504665009241E-2</v>
      </c>
      <c r="BG219">
        <v>14.696413339999999</v>
      </c>
      <c r="BH219">
        <v>14.696413339999999</v>
      </c>
      <c r="BI219">
        <v>14.696413339999999</v>
      </c>
      <c r="BJ219">
        <v>420.30120210079798</v>
      </c>
      <c r="BK219">
        <v>1</v>
      </c>
      <c r="BL219">
        <v>4.7584922193973478E-2</v>
      </c>
      <c r="BM219">
        <v>3.83528</v>
      </c>
      <c r="BN219">
        <v>3.83528</v>
      </c>
      <c r="BO219">
        <v>28.573699999999999</v>
      </c>
      <c r="BP219">
        <v>0</v>
      </c>
      <c r="BQ219">
        <v>0</v>
      </c>
      <c r="BS219">
        <v>0</v>
      </c>
      <c r="BT219">
        <v>0</v>
      </c>
      <c r="BU219">
        <v>0</v>
      </c>
      <c r="BV219">
        <v>404.32</v>
      </c>
      <c r="BW219">
        <v>9.8931539374752672E-2</v>
      </c>
      <c r="BX219">
        <v>10</v>
      </c>
      <c r="BY219">
        <v>4.9465769687376343E-2</v>
      </c>
      <c r="BZ219">
        <v>4.620925233250462E-2</v>
      </c>
      <c r="CA219">
        <v>2.3792461096986739E-2</v>
      </c>
      <c r="CC219">
        <v>0.48850981294998441</v>
      </c>
      <c r="CD219">
        <v>0.25152648297520719</v>
      </c>
      <c r="CF219">
        <v>0.52293669941959575</v>
      </c>
    </row>
    <row r="220" spans="1:84" x14ac:dyDescent="0.3">
      <c r="A220" s="1">
        <v>765</v>
      </c>
      <c r="B220" t="s">
        <v>1273</v>
      </c>
      <c r="C220" t="s">
        <v>1274</v>
      </c>
      <c r="E220" t="s">
        <v>404</v>
      </c>
      <c r="F220">
        <v>1.55</v>
      </c>
      <c r="G220" t="s">
        <v>899</v>
      </c>
      <c r="H220" t="s">
        <v>900</v>
      </c>
      <c r="I220" t="s">
        <v>901</v>
      </c>
      <c r="J220">
        <v>2</v>
      </c>
      <c r="K220">
        <v>3.8</v>
      </c>
      <c r="L220">
        <v>3.8</v>
      </c>
      <c r="M220">
        <v>27.8</v>
      </c>
      <c r="N220" t="s">
        <v>206</v>
      </c>
      <c r="O220">
        <v>13.9</v>
      </c>
      <c r="Q220" t="s">
        <v>87</v>
      </c>
      <c r="R220">
        <v>1373</v>
      </c>
      <c r="S220">
        <v>12</v>
      </c>
      <c r="T220" t="b">
        <v>0</v>
      </c>
      <c r="U220" t="s">
        <v>125</v>
      </c>
      <c r="V220" t="s">
        <v>126</v>
      </c>
      <c r="W220">
        <v>1</v>
      </c>
      <c r="X220">
        <v>60</v>
      </c>
      <c r="Y220">
        <v>0.5</v>
      </c>
      <c r="Z220">
        <v>1</v>
      </c>
      <c r="AC220" t="s">
        <v>90</v>
      </c>
      <c r="AD220">
        <v>125</v>
      </c>
      <c r="AE220">
        <v>220</v>
      </c>
      <c r="AF220" t="s">
        <v>91</v>
      </c>
      <c r="AG220">
        <v>288</v>
      </c>
      <c r="AH220">
        <v>6.4</v>
      </c>
      <c r="AI220" t="s">
        <v>1275</v>
      </c>
      <c r="AJ220" t="s">
        <v>1275</v>
      </c>
      <c r="AK220" t="s">
        <v>1275</v>
      </c>
      <c r="AL220" t="b">
        <v>1</v>
      </c>
      <c r="AM220" t="b">
        <v>1</v>
      </c>
      <c r="AN220" t="b">
        <v>0</v>
      </c>
      <c r="AO220" t="b">
        <v>0</v>
      </c>
      <c r="AP220" t="s">
        <v>1308</v>
      </c>
      <c r="AQ220" t="s">
        <v>1309</v>
      </c>
      <c r="AR220" t="s">
        <v>1242</v>
      </c>
      <c r="AS220">
        <v>1.856297990365626</v>
      </c>
      <c r="AT220">
        <v>1.882352941176471</v>
      </c>
      <c r="AU220">
        <v>2.3529411764705879</v>
      </c>
      <c r="AV220">
        <v>0.55882352941176472</v>
      </c>
      <c r="AW220">
        <v>0</v>
      </c>
      <c r="AX220">
        <v>0.39263803680981602</v>
      </c>
      <c r="AY220">
        <v>0.49079754601226999</v>
      </c>
      <c r="AZ220">
        <v>0.1165644171779141</v>
      </c>
      <c r="BA220">
        <v>0</v>
      </c>
      <c r="BB220">
        <v>6.1984967045136354</v>
      </c>
      <c r="BC220">
        <v>20</v>
      </c>
      <c r="BD220">
        <v>216.40687730768099</v>
      </c>
      <c r="BE220">
        <v>1</v>
      </c>
      <c r="BF220">
        <v>9.2418504665009241E-2</v>
      </c>
      <c r="BG220">
        <v>14.696413339999999</v>
      </c>
      <c r="BH220">
        <v>14.696413339999999</v>
      </c>
      <c r="BI220">
        <v>14.696413339999999</v>
      </c>
      <c r="BJ220">
        <v>420.30120210079798</v>
      </c>
      <c r="BK220">
        <v>1</v>
      </c>
      <c r="BL220">
        <v>4.7584922193973478E-2</v>
      </c>
      <c r="BM220">
        <v>3.83528</v>
      </c>
      <c r="BN220">
        <v>3.83528</v>
      </c>
      <c r="BO220">
        <v>28.573699999999999</v>
      </c>
      <c r="BP220">
        <v>0</v>
      </c>
      <c r="BQ220">
        <v>0</v>
      </c>
      <c r="BS220">
        <v>0</v>
      </c>
      <c r="BT220">
        <v>0</v>
      </c>
      <c r="BU220">
        <v>0</v>
      </c>
      <c r="BV220">
        <v>401.43200000000002</v>
      </c>
      <c r="BW220">
        <v>9.9643277068096212E-2</v>
      </c>
      <c r="BX220">
        <v>10</v>
      </c>
      <c r="BY220">
        <v>4.9821638534048113E-2</v>
      </c>
      <c r="BZ220">
        <v>4.620925233250462E-2</v>
      </c>
      <c r="CA220">
        <v>2.3792461096986739E-2</v>
      </c>
      <c r="CC220">
        <v>0.48439970818430811</v>
      </c>
      <c r="CD220">
        <v>0.24941025077481929</v>
      </c>
      <c r="CF220">
        <v>0.5222674237077165</v>
      </c>
    </row>
    <row r="221" spans="1:84" x14ac:dyDescent="0.3">
      <c r="A221" s="1">
        <v>766</v>
      </c>
      <c r="B221" t="s">
        <v>1278</v>
      </c>
      <c r="C221" t="s">
        <v>1279</v>
      </c>
      <c r="E221" t="s">
        <v>404</v>
      </c>
      <c r="F221">
        <v>1.5</v>
      </c>
      <c r="G221" t="s">
        <v>899</v>
      </c>
      <c r="H221" t="s">
        <v>900</v>
      </c>
      <c r="I221" t="s">
        <v>901</v>
      </c>
      <c r="J221">
        <v>2</v>
      </c>
      <c r="K221">
        <v>3.8</v>
      </c>
      <c r="L221">
        <v>3.8</v>
      </c>
      <c r="M221">
        <v>27.3</v>
      </c>
      <c r="N221" t="s">
        <v>206</v>
      </c>
      <c r="O221">
        <v>13.65</v>
      </c>
      <c r="Q221" t="s">
        <v>87</v>
      </c>
      <c r="R221">
        <v>1373</v>
      </c>
      <c r="S221">
        <v>12</v>
      </c>
      <c r="T221" t="b">
        <v>0</v>
      </c>
      <c r="U221" t="s">
        <v>125</v>
      </c>
      <c r="V221" t="s">
        <v>126</v>
      </c>
      <c r="W221">
        <v>1</v>
      </c>
      <c r="X221">
        <v>60</v>
      </c>
      <c r="Y221">
        <v>0.5</v>
      </c>
      <c r="Z221">
        <v>1</v>
      </c>
      <c r="AC221" t="s">
        <v>90</v>
      </c>
      <c r="AD221">
        <v>125</v>
      </c>
      <c r="AE221">
        <v>220</v>
      </c>
      <c r="AF221" t="s">
        <v>91</v>
      </c>
      <c r="AG221">
        <v>288</v>
      </c>
      <c r="AH221">
        <v>5.6</v>
      </c>
      <c r="AI221" t="s">
        <v>1280</v>
      </c>
      <c r="AJ221" t="s">
        <v>1280</v>
      </c>
      <c r="AK221" t="s">
        <v>1280</v>
      </c>
      <c r="AL221" t="b">
        <v>1</v>
      </c>
      <c r="AM221" t="b">
        <v>1</v>
      </c>
      <c r="AN221" t="b">
        <v>0</v>
      </c>
      <c r="AO221" t="b">
        <v>0</v>
      </c>
      <c r="AP221" t="s">
        <v>1310</v>
      </c>
      <c r="AQ221" t="s">
        <v>1311</v>
      </c>
      <c r="AR221" t="s">
        <v>1242</v>
      </c>
      <c r="AS221">
        <v>1.722766597741104</v>
      </c>
      <c r="AT221">
        <v>1.882352941176471</v>
      </c>
      <c r="AU221">
        <v>2.3529411764705879</v>
      </c>
      <c r="AV221">
        <v>0.59411764705882353</v>
      </c>
      <c r="AW221">
        <v>0</v>
      </c>
      <c r="AX221">
        <v>0.38976857490864802</v>
      </c>
      <c r="AY221">
        <v>0.48721071863581011</v>
      </c>
      <c r="AZ221">
        <v>0.123020706455542</v>
      </c>
      <c r="BA221">
        <v>0</v>
      </c>
      <c r="BB221">
        <v>6.198557722160694</v>
      </c>
      <c r="BC221">
        <v>20</v>
      </c>
      <c r="BD221">
        <v>216.40687730768099</v>
      </c>
      <c r="BE221">
        <v>1</v>
      </c>
      <c r="BF221">
        <v>9.2418504665009241E-2</v>
      </c>
      <c r="BG221">
        <v>14.696413339999999</v>
      </c>
      <c r="BH221">
        <v>14.696413339999999</v>
      </c>
      <c r="BI221">
        <v>14.696413339999999</v>
      </c>
      <c r="BJ221">
        <v>420.30120210079798</v>
      </c>
      <c r="BK221">
        <v>1</v>
      </c>
      <c r="BL221">
        <v>4.7584922193973478E-2</v>
      </c>
      <c r="BM221">
        <v>3.83528</v>
      </c>
      <c r="BN221">
        <v>3.83528</v>
      </c>
      <c r="BO221">
        <v>28.573699999999999</v>
      </c>
      <c r="BP221">
        <v>0</v>
      </c>
      <c r="BQ221">
        <v>0</v>
      </c>
      <c r="BS221">
        <v>0</v>
      </c>
      <c r="BT221">
        <v>0</v>
      </c>
      <c r="BU221">
        <v>0</v>
      </c>
      <c r="BV221">
        <v>394.21199999999999</v>
      </c>
      <c r="BW221">
        <v>0.10146824551256679</v>
      </c>
      <c r="BX221">
        <v>10</v>
      </c>
      <c r="BY221">
        <v>5.0734122756283417E-2</v>
      </c>
      <c r="BZ221">
        <v>4.620925233250462E-2</v>
      </c>
      <c r="CA221">
        <v>2.3792461096986739E-2</v>
      </c>
      <c r="CC221">
        <v>0.48633214000204422</v>
      </c>
      <c r="CD221">
        <v>0.2504052313582581</v>
      </c>
      <c r="CF221">
        <v>0.53395441920694608</v>
      </c>
    </row>
    <row r="222" spans="1:84" x14ac:dyDescent="0.3">
      <c r="A222" s="1">
        <v>767</v>
      </c>
      <c r="B222" t="s">
        <v>1283</v>
      </c>
      <c r="C222" t="s">
        <v>1284</v>
      </c>
      <c r="E222" t="s">
        <v>404</v>
      </c>
      <c r="F222">
        <v>1.4</v>
      </c>
      <c r="G222" t="s">
        <v>899</v>
      </c>
      <c r="H222" t="s">
        <v>900</v>
      </c>
      <c r="I222" t="s">
        <v>901</v>
      </c>
      <c r="J222">
        <v>2</v>
      </c>
      <c r="K222">
        <v>3.8</v>
      </c>
      <c r="L222">
        <v>3.8</v>
      </c>
      <c r="M222">
        <v>27.3</v>
      </c>
      <c r="N222" t="s">
        <v>206</v>
      </c>
      <c r="O222">
        <v>13.65</v>
      </c>
      <c r="Q222" t="s">
        <v>87</v>
      </c>
      <c r="R222">
        <v>1373</v>
      </c>
      <c r="S222">
        <v>12</v>
      </c>
      <c r="T222" t="b">
        <v>0</v>
      </c>
      <c r="U222" t="s">
        <v>125</v>
      </c>
      <c r="V222" t="s">
        <v>126</v>
      </c>
      <c r="W222">
        <v>1</v>
      </c>
      <c r="X222">
        <v>60</v>
      </c>
      <c r="Y222">
        <v>0.5</v>
      </c>
      <c r="Z222">
        <v>1</v>
      </c>
      <c r="AC222" t="s">
        <v>90</v>
      </c>
      <c r="AD222">
        <v>125</v>
      </c>
      <c r="AE222">
        <v>220</v>
      </c>
      <c r="AF222" t="s">
        <v>91</v>
      </c>
      <c r="AG222">
        <v>288</v>
      </c>
      <c r="AH222">
        <v>8.8000000000000007</v>
      </c>
      <c r="AI222" t="s">
        <v>1285</v>
      </c>
      <c r="AJ222" t="s">
        <v>1285</v>
      </c>
      <c r="AK222" t="s">
        <v>1285</v>
      </c>
      <c r="AL222" t="b">
        <v>1</v>
      </c>
      <c r="AM222" t="b">
        <v>1</v>
      </c>
      <c r="AN222" t="b">
        <v>0</v>
      </c>
      <c r="AO222" t="b">
        <v>0</v>
      </c>
      <c r="AP222" t="s">
        <v>1312</v>
      </c>
      <c r="AQ222" t="s">
        <v>1313</v>
      </c>
      <c r="AR222" t="s">
        <v>1242</v>
      </c>
      <c r="AS222">
        <v>2.174751721484161</v>
      </c>
      <c r="AT222">
        <v>1.882352941176471</v>
      </c>
      <c r="AU222">
        <v>2.3529411764705879</v>
      </c>
      <c r="AV222">
        <v>0.62941176470588234</v>
      </c>
      <c r="AW222">
        <v>0</v>
      </c>
      <c r="AX222">
        <v>0.38694074969770248</v>
      </c>
      <c r="AY222">
        <v>0.48367593712212809</v>
      </c>
      <c r="AZ222">
        <v>0.1293833131801693</v>
      </c>
      <c r="BA222">
        <v>0</v>
      </c>
      <c r="BB222">
        <v>6.1986187398077526</v>
      </c>
      <c r="BC222">
        <v>20</v>
      </c>
      <c r="BD222">
        <v>216.40687730768099</v>
      </c>
      <c r="BE222">
        <v>1</v>
      </c>
      <c r="BF222">
        <v>9.2418504665009241E-2</v>
      </c>
      <c r="BG222">
        <v>14.696413339999999</v>
      </c>
      <c r="BH222">
        <v>14.696413339999999</v>
      </c>
      <c r="BI222">
        <v>14.696413339999999</v>
      </c>
      <c r="BJ222">
        <v>420.30120210079798</v>
      </c>
      <c r="BK222">
        <v>1</v>
      </c>
      <c r="BL222">
        <v>4.7584922193973478E-2</v>
      </c>
      <c r="BM222">
        <v>3.83528</v>
      </c>
      <c r="BN222">
        <v>3.83528</v>
      </c>
      <c r="BO222">
        <v>28.573699999999999</v>
      </c>
      <c r="BP222">
        <v>0</v>
      </c>
      <c r="BQ222">
        <v>0</v>
      </c>
      <c r="BS222">
        <v>0</v>
      </c>
      <c r="BT222">
        <v>0</v>
      </c>
      <c r="BU222">
        <v>0</v>
      </c>
      <c r="BV222">
        <v>394.21199999999999</v>
      </c>
      <c r="BW222">
        <v>0.10146824551256679</v>
      </c>
      <c r="BX222">
        <v>10</v>
      </c>
      <c r="BY222">
        <v>5.0734122756283417E-2</v>
      </c>
      <c r="BZ222">
        <v>4.620925233250462E-2</v>
      </c>
      <c r="CA222">
        <v>2.3792461096986739E-2</v>
      </c>
      <c r="CC222">
        <v>0.48826457181978028</v>
      </c>
      <c r="CD222">
        <v>0.25140021194169693</v>
      </c>
      <c r="CF222">
        <v>0.53607607727563145</v>
      </c>
    </row>
    <row r="223" spans="1:84" x14ac:dyDescent="0.3">
      <c r="A223" s="1">
        <v>768</v>
      </c>
      <c r="B223" t="s">
        <v>1288</v>
      </c>
      <c r="C223" t="s">
        <v>1289</v>
      </c>
      <c r="E223" t="s">
        <v>404</v>
      </c>
      <c r="F223">
        <v>1.35</v>
      </c>
      <c r="G223" t="s">
        <v>899</v>
      </c>
      <c r="H223" t="s">
        <v>900</v>
      </c>
      <c r="I223" t="s">
        <v>901</v>
      </c>
      <c r="J223">
        <v>2</v>
      </c>
      <c r="K223">
        <v>3.8</v>
      </c>
      <c r="L223">
        <v>3.8</v>
      </c>
      <c r="M223">
        <v>27.5</v>
      </c>
      <c r="N223" t="s">
        <v>206</v>
      </c>
      <c r="O223">
        <v>13.75</v>
      </c>
      <c r="Q223" t="s">
        <v>87</v>
      </c>
      <c r="R223">
        <v>1373</v>
      </c>
      <c r="S223">
        <v>12</v>
      </c>
      <c r="T223" t="b">
        <v>0</v>
      </c>
      <c r="U223" t="s">
        <v>125</v>
      </c>
      <c r="V223" t="s">
        <v>126</v>
      </c>
      <c r="W223">
        <v>1</v>
      </c>
      <c r="X223">
        <v>60</v>
      </c>
      <c r="Y223">
        <v>0.5</v>
      </c>
      <c r="Z223">
        <v>1</v>
      </c>
      <c r="AC223" t="s">
        <v>90</v>
      </c>
      <c r="AD223">
        <v>125</v>
      </c>
      <c r="AE223">
        <v>220</v>
      </c>
      <c r="AF223" t="s">
        <v>91</v>
      </c>
      <c r="AG223">
        <v>288</v>
      </c>
      <c r="AH223">
        <v>12.6</v>
      </c>
      <c r="AI223" t="s">
        <v>1290</v>
      </c>
      <c r="AJ223" t="s">
        <v>1290</v>
      </c>
      <c r="AK223" t="s">
        <v>1290</v>
      </c>
      <c r="AL223" t="b">
        <v>1</v>
      </c>
      <c r="AM223" t="b">
        <v>1</v>
      </c>
      <c r="AN223" t="b">
        <v>0</v>
      </c>
      <c r="AO223" t="b">
        <v>0</v>
      </c>
      <c r="AP223" t="s">
        <v>1314</v>
      </c>
      <c r="AQ223" t="s">
        <v>1315</v>
      </c>
      <c r="AR223" t="s">
        <v>1242</v>
      </c>
      <c r="AS223">
        <v>2.5336968139574321</v>
      </c>
      <c r="AT223">
        <v>1.882352941176471</v>
      </c>
      <c r="AU223">
        <v>2.3529411764705879</v>
      </c>
      <c r="AV223">
        <v>0.6470588235294118</v>
      </c>
      <c r="AW223">
        <v>0</v>
      </c>
      <c r="AX223">
        <v>0.38554216867469882</v>
      </c>
      <c r="AY223">
        <v>0.48192771084337349</v>
      </c>
      <c r="AZ223">
        <v>0.13253012048192769</v>
      </c>
      <c r="BA223">
        <v>0</v>
      </c>
      <c r="BB223">
        <v>6.1986492486312823</v>
      </c>
      <c r="BC223">
        <v>20</v>
      </c>
      <c r="BD223">
        <v>216.40687730768099</v>
      </c>
      <c r="BE223">
        <v>1</v>
      </c>
      <c r="BF223">
        <v>9.2418504665009241E-2</v>
      </c>
      <c r="BG223">
        <v>14.696413339999999</v>
      </c>
      <c r="BH223">
        <v>14.696413339999999</v>
      </c>
      <c r="BI223">
        <v>14.696413339999999</v>
      </c>
      <c r="BJ223">
        <v>420.30120210079798</v>
      </c>
      <c r="BK223">
        <v>1</v>
      </c>
      <c r="BL223">
        <v>4.7584922193973478E-2</v>
      </c>
      <c r="BM223">
        <v>3.83528</v>
      </c>
      <c r="BN223">
        <v>3.83528</v>
      </c>
      <c r="BO223">
        <v>28.573699999999999</v>
      </c>
      <c r="BP223">
        <v>0</v>
      </c>
      <c r="BQ223">
        <v>0</v>
      </c>
      <c r="BS223">
        <v>0</v>
      </c>
      <c r="BT223">
        <v>0</v>
      </c>
      <c r="BU223">
        <v>0</v>
      </c>
      <c r="BV223">
        <v>397.1</v>
      </c>
      <c r="BW223">
        <v>0.1007302946361118</v>
      </c>
      <c r="BX223">
        <v>10</v>
      </c>
      <c r="BY223">
        <v>5.0365147318055907E-2</v>
      </c>
      <c r="BZ223">
        <v>4.620925233250462E-2</v>
      </c>
      <c r="CA223">
        <v>2.3792461096986739E-2</v>
      </c>
      <c r="CC223">
        <v>0.48923078772864842</v>
      </c>
      <c r="CD223">
        <v>0.25189770223341629</v>
      </c>
      <c r="CF223">
        <v>0.53323045608226516</v>
      </c>
    </row>
    <row r="224" spans="1:84" x14ac:dyDescent="0.3">
      <c r="A224" s="1">
        <v>770</v>
      </c>
      <c r="B224" t="s">
        <v>1237</v>
      </c>
      <c r="C224" t="s">
        <v>1238</v>
      </c>
      <c r="E224" t="s">
        <v>404</v>
      </c>
      <c r="F224">
        <v>2.9</v>
      </c>
      <c r="G224" t="s">
        <v>899</v>
      </c>
      <c r="H224" t="s">
        <v>900</v>
      </c>
      <c r="I224" t="s">
        <v>901</v>
      </c>
      <c r="J224">
        <v>2</v>
      </c>
      <c r="K224">
        <v>3.8</v>
      </c>
      <c r="L224">
        <v>3.8</v>
      </c>
      <c r="M224">
        <v>27.3</v>
      </c>
      <c r="N224" t="s">
        <v>206</v>
      </c>
      <c r="O224">
        <v>13.65</v>
      </c>
      <c r="Q224" t="s">
        <v>87</v>
      </c>
      <c r="R224">
        <v>1373</v>
      </c>
      <c r="S224">
        <v>12</v>
      </c>
      <c r="T224" t="b">
        <v>0</v>
      </c>
      <c r="U224" t="s">
        <v>125</v>
      </c>
      <c r="V224" t="s">
        <v>126</v>
      </c>
      <c r="W224">
        <v>1</v>
      </c>
      <c r="X224">
        <v>3.2</v>
      </c>
      <c r="Y224">
        <v>0.5</v>
      </c>
      <c r="Z224">
        <v>1</v>
      </c>
      <c r="AC224" t="s">
        <v>893</v>
      </c>
      <c r="AD224">
        <v>100</v>
      </c>
      <c r="AE224">
        <v>425</v>
      </c>
      <c r="AF224" t="s">
        <v>91</v>
      </c>
      <c r="AG224">
        <v>288</v>
      </c>
      <c r="AH224">
        <v>36</v>
      </c>
      <c r="AI224" t="s">
        <v>1239</v>
      </c>
      <c r="AJ224" t="s">
        <v>1239</v>
      </c>
      <c r="AK224" t="s">
        <v>1239</v>
      </c>
      <c r="AL224" t="b">
        <v>1</v>
      </c>
      <c r="AM224" t="b">
        <v>1</v>
      </c>
      <c r="AN224" t="b">
        <v>0</v>
      </c>
      <c r="AO224" t="b">
        <v>0</v>
      </c>
      <c r="AP224" t="s">
        <v>1316</v>
      </c>
      <c r="AQ224" t="s">
        <v>1317</v>
      </c>
      <c r="AR224" t="s">
        <v>1242</v>
      </c>
      <c r="AS224">
        <v>3.5835189384561099</v>
      </c>
      <c r="AT224">
        <v>1.882352941176471</v>
      </c>
      <c r="AU224">
        <v>2.3529411764705879</v>
      </c>
      <c r="AV224">
        <v>0.47094117647058831</v>
      </c>
      <c r="AW224">
        <v>0</v>
      </c>
      <c r="AX224">
        <v>0.39997000224983131</v>
      </c>
      <c r="AY224">
        <v>0.4999625028122891</v>
      </c>
      <c r="AZ224">
        <v>0.1000674949378797</v>
      </c>
      <c r="BA224">
        <v>0</v>
      </c>
      <c r="BB224">
        <v>6.0963962225759643</v>
      </c>
      <c r="BC224">
        <v>20</v>
      </c>
      <c r="BD224">
        <v>216.40687730768099</v>
      </c>
      <c r="BE224">
        <v>1</v>
      </c>
      <c r="BF224">
        <v>9.2418504665009241E-2</v>
      </c>
      <c r="BG224">
        <v>14.696413339999999</v>
      </c>
      <c r="BH224">
        <v>14.696413339999999</v>
      </c>
      <c r="BI224">
        <v>14.696413339999999</v>
      </c>
      <c r="BJ224">
        <v>420.30120210079798</v>
      </c>
      <c r="BK224">
        <v>1</v>
      </c>
      <c r="BL224">
        <v>4.7584922193973478E-2</v>
      </c>
      <c r="BM224">
        <v>3.83528</v>
      </c>
      <c r="BN224">
        <v>3.83528</v>
      </c>
      <c r="BO224">
        <v>28.573699999999999</v>
      </c>
      <c r="BP224">
        <v>0</v>
      </c>
      <c r="BQ224">
        <v>0</v>
      </c>
      <c r="BS224">
        <v>0</v>
      </c>
      <c r="BT224">
        <v>0</v>
      </c>
      <c r="BU224">
        <v>0</v>
      </c>
      <c r="BV224">
        <v>394.21199999999999</v>
      </c>
      <c r="BW224">
        <v>0.10146824551256679</v>
      </c>
      <c r="BX224">
        <v>10</v>
      </c>
      <c r="BY224">
        <v>5.0734122756283417E-2</v>
      </c>
      <c r="BZ224">
        <v>4.620925233250462E-2</v>
      </c>
      <c r="CA224">
        <v>2.3792461096986739E-2</v>
      </c>
      <c r="CC224">
        <v>0.4916730261249701</v>
      </c>
      <c r="CD224">
        <v>0.25315517468970999</v>
      </c>
      <c r="CF224">
        <v>0.53981829188417729</v>
      </c>
    </row>
    <row r="225" spans="1:84" x14ac:dyDescent="0.3">
      <c r="A225" s="1">
        <v>771</v>
      </c>
      <c r="B225" t="s">
        <v>1243</v>
      </c>
      <c r="C225" t="s">
        <v>1244</v>
      </c>
      <c r="E225" t="s">
        <v>404</v>
      </c>
      <c r="F225">
        <v>2.65</v>
      </c>
      <c r="G225" t="s">
        <v>899</v>
      </c>
      <c r="H225" t="s">
        <v>900</v>
      </c>
      <c r="I225" t="s">
        <v>901</v>
      </c>
      <c r="J225">
        <v>2</v>
      </c>
      <c r="K225">
        <v>3.8</v>
      </c>
      <c r="L225">
        <v>3.8</v>
      </c>
      <c r="M225">
        <v>27.3</v>
      </c>
      <c r="N225" t="s">
        <v>206</v>
      </c>
      <c r="O225">
        <v>13.65</v>
      </c>
      <c r="Q225" t="s">
        <v>87</v>
      </c>
      <c r="R225">
        <v>1373</v>
      </c>
      <c r="S225">
        <v>12</v>
      </c>
      <c r="T225" t="b">
        <v>0</v>
      </c>
      <c r="U225" t="s">
        <v>125</v>
      </c>
      <c r="V225" t="s">
        <v>126</v>
      </c>
      <c r="W225">
        <v>1</v>
      </c>
      <c r="X225">
        <v>3.2</v>
      </c>
      <c r="Y225">
        <v>0.5</v>
      </c>
      <c r="Z225">
        <v>1</v>
      </c>
      <c r="AC225" t="s">
        <v>893</v>
      </c>
      <c r="AD225">
        <v>100</v>
      </c>
      <c r="AE225">
        <v>425</v>
      </c>
      <c r="AF225" t="s">
        <v>91</v>
      </c>
      <c r="AG225">
        <v>288</v>
      </c>
      <c r="AH225">
        <v>28</v>
      </c>
      <c r="AI225" t="s">
        <v>1245</v>
      </c>
      <c r="AJ225" t="s">
        <v>1245</v>
      </c>
      <c r="AK225" t="s">
        <v>1245</v>
      </c>
      <c r="AL225" t="b">
        <v>1</v>
      </c>
      <c r="AM225" t="b">
        <v>1</v>
      </c>
      <c r="AN225" t="b">
        <v>0</v>
      </c>
      <c r="AO225" t="b">
        <v>0</v>
      </c>
      <c r="AP225" t="s">
        <v>1318</v>
      </c>
      <c r="AQ225" t="s">
        <v>1319</v>
      </c>
      <c r="AR225" t="s">
        <v>1242</v>
      </c>
      <c r="AS225">
        <v>3.3322045101752038</v>
      </c>
      <c r="AT225">
        <v>1.882352941176471</v>
      </c>
      <c r="AU225">
        <v>2.3529411764705879</v>
      </c>
      <c r="AV225">
        <v>0.47147058823529409</v>
      </c>
      <c r="AW225">
        <v>0</v>
      </c>
      <c r="AX225">
        <v>0.39992501405986369</v>
      </c>
      <c r="AY225">
        <v>0.4999062675748297</v>
      </c>
      <c r="AZ225">
        <v>0.1001687183653065</v>
      </c>
      <c r="BA225">
        <v>0</v>
      </c>
      <c r="BB225">
        <v>6.0963971378406701</v>
      </c>
      <c r="BC225">
        <v>20</v>
      </c>
      <c r="BD225">
        <v>216.40687730768099</v>
      </c>
      <c r="BE225">
        <v>1</v>
      </c>
      <c r="BF225">
        <v>9.2418504665009241E-2</v>
      </c>
      <c r="BG225">
        <v>14.696413339999999</v>
      </c>
      <c r="BH225">
        <v>14.696413339999999</v>
      </c>
      <c r="BI225">
        <v>14.696413339999999</v>
      </c>
      <c r="BJ225">
        <v>420.30120210079798</v>
      </c>
      <c r="BK225">
        <v>1</v>
      </c>
      <c r="BL225">
        <v>4.7584922193973478E-2</v>
      </c>
      <c r="BM225">
        <v>3.83528</v>
      </c>
      <c r="BN225">
        <v>3.83528</v>
      </c>
      <c r="BO225">
        <v>28.573699999999999</v>
      </c>
      <c r="BP225">
        <v>0</v>
      </c>
      <c r="BQ225">
        <v>0</v>
      </c>
      <c r="BS225">
        <v>0</v>
      </c>
      <c r="BT225">
        <v>0</v>
      </c>
      <c r="BU225">
        <v>0</v>
      </c>
      <c r="BV225">
        <v>394.21199999999999</v>
      </c>
      <c r="BW225">
        <v>0.10146824551256679</v>
      </c>
      <c r="BX225">
        <v>10</v>
      </c>
      <c r="BY225">
        <v>5.0734122756283417E-2</v>
      </c>
      <c r="BZ225">
        <v>4.620925233250462E-2</v>
      </c>
      <c r="CA225">
        <v>2.3792461096986739E-2</v>
      </c>
      <c r="CC225">
        <v>0.49170201260223612</v>
      </c>
      <c r="CD225">
        <v>0.25317009939846158</v>
      </c>
      <c r="CF225">
        <v>0.53985011675520755</v>
      </c>
    </row>
    <row r="226" spans="1:84" x14ac:dyDescent="0.3">
      <c r="A226" s="1">
        <v>772</v>
      </c>
      <c r="B226" t="s">
        <v>1248</v>
      </c>
      <c r="C226" t="s">
        <v>1249</v>
      </c>
      <c r="E226" t="s">
        <v>404</v>
      </c>
      <c r="F226">
        <v>2.5499999999999998</v>
      </c>
      <c r="G226" t="s">
        <v>899</v>
      </c>
      <c r="H226" t="s">
        <v>900</v>
      </c>
      <c r="I226" t="s">
        <v>901</v>
      </c>
      <c r="J226">
        <v>2</v>
      </c>
      <c r="K226">
        <v>3.8</v>
      </c>
      <c r="L226">
        <v>3.8</v>
      </c>
      <c r="M226">
        <v>27.3</v>
      </c>
      <c r="N226" t="s">
        <v>206</v>
      </c>
      <c r="O226">
        <v>13.65</v>
      </c>
      <c r="Q226" t="s">
        <v>87</v>
      </c>
      <c r="R226">
        <v>1373</v>
      </c>
      <c r="S226">
        <v>12</v>
      </c>
      <c r="T226" t="b">
        <v>0</v>
      </c>
      <c r="U226" t="s">
        <v>125</v>
      </c>
      <c r="V226" t="s">
        <v>126</v>
      </c>
      <c r="W226">
        <v>1</v>
      </c>
      <c r="X226">
        <v>3.2</v>
      </c>
      <c r="Y226">
        <v>0.5</v>
      </c>
      <c r="Z226">
        <v>1</v>
      </c>
      <c r="AC226" t="s">
        <v>893</v>
      </c>
      <c r="AD226">
        <v>100</v>
      </c>
      <c r="AE226">
        <v>425</v>
      </c>
      <c r="AF226" t="s">
        <v>91</v>
      </c>
      <c r="AG226">
        <v>288</v>
      </c>
      <c r="AH226">
        <v>16</v>
      </c>
      <c r="AI226" t="s">
        <v>1250</v>
      </c>
      <c r="AJ226" t="s">
        <v>1250</v>
      </c>
      <c r="AK226" t="s">
        <v>1250</v>
      </c>
      <c r="AL226" t="b">
        <v>1</v>
      </c>
      <c r="AM226" t="b">
        <v>1</v>
      </c>
      <c r="AN226" t="b">
        <v>0</v>
      </c>
      <c r="AO226" t="b">
        <v>0</v>
      </c>
      <c r="AP226" t="s">
        <v>1320</v>
      </c>
      <c r="AQ226" t="s">
        <v>1321</v>
      </c>
      <c r="AR226" t="s">
        <v>1242</v>
      </c>
      <c r="AS226">
        <v>2.7725887222397811</v>
      </c>
      <c r="AT226">
        <v>1.882352941176471</v>
      </c>
      <c r="AU226">
        <v>2.3529411764705879</v>
      </c>
      <c r="AV226">
        <v>0.47235294117647059</v>
      </c>
      <c r="AW226">
        <v>0</v>
      </c>
      <c r="AX226">
        <v>0.39985005622891412</v>
      </c>
      <c r="AY226">
        <v>0.49981257028614268</v>
      </c>
      <c r="AZ226">
        <v>0.10033737348494309</v>
      </c>
      <c r="BA226">
        <v>0</v>
      </c>
      <c r="BB226">
        <v>6.096398663281847</v>
      </c>
      <c r="BC226">
        <v>20</v>
      </c>
      <c r="BD226">
        <v>216.40687730768099</v>
      </c>
      <c r="BE226">
        <v>1</v>
      </c>
      <c r="BF226">
        <v>9.2418504665009241E-2</v>
      </c>
      <c r="BG226">
        <v>14.696413339999999</v>
      </c>
      <c r="BH226">
        <v>14.696413339999999</v>
      </c>
      <c r="BI226">
        <v>14.696413339999999</v>
      </c>
      <c r="BJ226">
        <v>420.30120210079798</v>
      </c>
      <c r="BK226">
        <v>1</v>
      </c>
      <c r="BL226">
        <v>4.7584922193973478E-2</v>
      </c>
      <c r="BM226">
        <v>3.83528</v>
      </c>
      <c r="BN226">
        <v>3.83528</v>
      </c>
      <c r="BO226">
        <v>28.573699999999999</v>
      </c>
      <c r="BP226">
        <v>0</v>
      </c>
      <c r="BQ226">
        <v>0</v>
      </c>
      <c r="BS226">
        <v>0</v>
      </c>
      <c r="BT226">
        <v>0</v>
      </c>
      <c r="BU226">
        <v>0</v>
      </c>
      <c r="BV226">
        <v>394.21199999999999</v>
      </c>
      <c r="BW226">
        <v>0.10146824551256679</v>
      </c>
      <c r="BX226">
        <v>10</v>
      </c>
      <c r="BY226">
        <v>5.0734122756283417E-2</v>
      </c>
      <c r="BZ226">
        <v>4.620925233250462E-2</v>
      </c>
      <c r="CA226">
        <v>2.3792461096986739E-2</v>
      </c>
      <c r="CC226">
        <v>0.49175032339767949</v>
      </c>
      <c r="CD226">
        <v>0.25319497391304763</v>
      </c>
      <c r="CF226">
        <v>0.53990315820692469</v>
      </c>
    </row>
    <row r="227" spans="1:84" x14ac:dyDescent="0.3">
      <c r="A227" s="1">
        <v>782</v>
      </c>
      <c r="B227" t="s">
        <v>1237</v>
      </c>
      <c r="C227" t="s">
        <v>1238</v>
      </c>
      <c r="E227" t="s">
        <v>404</v>
      </c>
      <c r="F227">
        <v>2.9</v>
      </c>
      <c r="G227" t="s">
        <v>899</v>
      </c>
      <c r="H227" t="s">
        <v>900</v>
      </c>
      <c r="I227" t="s">
        <v>901</v>
      </c>
      <c r="J227">
        <v>2</v>
      </c>
      <c r="K227">
        <v>3.8</v>
      </c>
      <c r="L227">
        <v>3.8</v>
      </c>
      <c r="M227">
        <v>27.3</v>
      </c>
      <c r="N227" t="s">
        <v>206</v>
      </c>
      <c r="O227">
        <v>13.65</v>
      </c>
      <c r="Q227" t="s">
        <v>87</v>
      </c>
      <c r="R227">
        <v>1373</v>
      </c>
      <c r="S227">
        <v>12</v>
      </c>
      <c r="T227" t="b">
        <v>0</v>
      </c>
      <c r="U227" t="s">
        <v>125</v>
      </c>
      <c r="V227" t="s">
        <v>126</v>
      </c>
      <c r="W227">
        <v>1</v>
      </c>
      <c r="X227">
        <v>60</v>
      </c>
      <c r="Y227">
        <v>0.5</v>
      </c>
      <c r="Z227">
        <v>1</v>
      </c>
      <c r="AC227" t="s">
        <v>893</v>
      </c>
      <c r="AD227">
        <v>100</v>
      </c>
      <c r="AE227">
        <v>425</v>
      </c>
      <c r="AF227" t="s">
        <v>91</v>
      </c>
      <c r="AG227">
        <v>288</v>
      </c>
      <c r="AH227">
        <v>72</v>
      </c>
      <c r="AI227" t="s">
        <v>1239</v>
      </c>
      <c r="AJ227" t="s">
        <v>1239</v>
      </c>
      <c r="AK227" t="s">
        <v>1239</v>
      </c>
      <c r="AL227" t="b">
        <v>1</v>
      </c>
      <c r="AM227" t="b">
        <v>1</v>
      </c>
      <c r="AN227" t="b">
        <v>0</v>
      </c>
      <c r="AO227" t="b">
        <v>0</v>
      </c>
      <c r="AP227" t="s">
        <v>1322</v>
      </c>
      <c r="AQ227" t="s">
        <v>1323</v>
      </c>
      <c r="AR227" t="s">
        <v>1242</v>
      </c>
      <c r="AS227">
        <v>4.2766661190160553</v>
      </c>
      <c r="AT227">
        <v>1.882352941176471</v>
      </c>
      <c r="AU227">
        <v>2.3529411764705879</v>
      </c>
      <c r="AV227">
        <v>0.47094117647058831</v>
      </c>
      <c r="AW227">
        <v>0</v>
      </c>
      <c r="AX227">
        <v>0.39997000224983131</v>
      </c>
      <c r="AY227">
        <v>0.4999625028122891</v>
      </c>
      <c r="AZ227">
        <v>0.1000674949378797</v>
      </c>
      <c r="BA227">
        <v>0</v>
      </c>
      <c r="BB227">
        <v>6.0963962225759643</v>
      </c>
      <c r="BC227">
        <v>20</v>
      </c>
      <c r="BD227">
        <v>216.40687730768099</v>
      </c>
      <c r="BE227">
        <v>1</v>
      </c>
      <c r="BF227">
        <v>9.2418504665009241E-2</v>
      </c>
      <c r="BG227">
        <v>14.696413339999999</v>
      </c>
      <c r="BH227">
        <v>14.696413339999999</v>
      </c>
      <c r="BI227">
        <v>14.696413339999999</v>
      </c>
      <c r="BJ227">
        <v>420.30120210079798</v>
      </c>
      <c r="BK227">
        <v>1</v>
      </c>
      <c r="BL227">
        <v>4.7584922193973478E-2</v>
      </c>
      <c r="BM227">
        <v>3.83528</v>
      </c>
      <c r="BN227">
        <v>3.83528</v>
      </c>
      <c r="BO227">
        <v>28.573699999999999</v>
      </c>
      <c r="BP227">
        <v>0</v>
      </c>
      <c r="BQ227">
        <v>0</v>
      </c>
      <c r="BS227">
        <v>0</v>
      </c>
      <c r="BT227">
        <v>0</v>
      </c>
      <c r="BU227">
        <v>0</v>
      </c>
      <c r="BV227">
        <v>394.21199999999999</v>
      </c>
      <c r="BW227">
        <v>0.10146824551256679</v>
      </c>
      <c r="BX227">
        <v>10</v>
      </c>
      <c r="BY227">
        <v>5.0734122756283417E-2</v>
      </c>
      <c r="BZ227">
        <v>4.620925233250462E-2</v>
      </c>
      <c r="CA227">
        <v>2.3792461096986739E-2</v>
      </c>
      <c r="CC227">
        <v>0.4916730261249701</v>
      </c>
      <c r="CD227">
        <v>0.25315517468970999</v>
      </c>
      <c r="CF227">
        <v>0.53981829188417729</v>
      </c>
    </row>
    <row r="228" spans="1:84" x14ac:dyDescent="0.3">
      <c r="A228" s="1">
        <v>783</v>
      </c>
      <c r="B228" t="s">
        <v>1243</v>
      </c>
      <c r="C228" t="s">
        <v>1244</v>
      </c>
      <c r="E228" t="s">
        <v>404</v>
      </c>
      <c r="F228">
        <v>2.65</v>
      </c>
      <c r="G228" t="s">
        <v>899</v>
      </c>
      <c r="H228" t="s">
        <v>900</v>
      </c>
      <c r="I228" t="s">
        <v>901</v>
      </c>
      <c r="J228">
        <v>2</v>
      </c>
      <c r="K228">
        <v>3.8</v>
      </c>
      <c r="L228">
        <v>3.8</v>
      </c>
      <c r="M228">
        <v>27.3</v>
      </c>
      <c r="N228" t="s">
        <v>206</v>
      </c>
      <c r="O228">
        <v>13.65</v>
      </c>
      <c r="Q228" t="s">
        <v>87</v>
      </c>
      <c r="R228">
        <v>1373</v>
      </c>
      <c r="S228">
        <v>12</v>
      </c>
      <c r="T228" t="b">
        <v>0</v>
      </c>
      <c r="U228" t="s">
        <v>125</v>
      </c>
      <c r="V228" t="s">
        <v>126</v>
      </c>
      <c r="W228">
        <v>1</v>
      </c>
      <c r="X228">
        <v>60</v>
      </c>
      <c r="Y228">
        <v>0.5</v>
      </c>
      <c r="Z228">
        <v>1</v>
      </c>
      <c r="AC228" t="s">
        <v>893</v>
      </c>
      <c r="AD228">
        <v>100</v>
      </c>
      <c r="AE228">
        <v>425</v>
      </c>
      <c r="AF228" t="s">
        <v>91</v>
      </c>
      <c r="AG228">
        <v>288</v>
      </c>
      <c r="AH228">
        <v>56</v>
      </c>
      <c r="AI228" t="s">
        <v>1245</v>
      </c>
      <c r="AJ228" t="s">
        <v>1245</v>
      </c>
      <c r="AK228" t="s">
        <v>1245</v>
      </c>
      <c r="AL228" t="b">
        <v>1</v>
      </c>
      <c r="AM228" t="b">
        <v>1</v>
      </c>
      <c r="AN228" t="b">
        <v>0</v>
      </c>
      <c r="AO228" t="b">
        <v>0</v>
      </c>
      <c r="AP228" t="s">
        <v>1324</v>
      </c>
      <c r="AQ228" t="s">
        <v>1325</v>
      </c>
      <c r="AR228" t="s">
        <v>1242</v>
      </c>
      <c r="AS228">
        <v>4.0253516907351496</v>
      </c>
      <c r="AT228">
        <v>1.882352941176471</v>
      </c>
      <c r="AU228">
        <v>2.3529411764705879</v>
      </c>
      <c r="AV228">
        <v>0.47147058823529409</v>
      </c>
      <c r="AW228">
        <v>0</v>
      </c>
      <c r="AX228">
        <v>0.39992501405986369</v>
      </c>
      <c r="AY228">
        <v>0.4999062675748297</v>
      </c>
      <c r="AZ228">
        <v>0.1001687183653065</v>
      </c>
      <c r="BA228">
        <v>0</v>
      </c>
      <c r="BB228">
        <v>6.0963971378406701</v>
      </c>
      <c r="BC228">
        <v>20</v>
      </c>
      <c r="BD228">
        <v>216.40687730768099</v>
      </c>
      <c r="BE228">
        <v>1</v>
      </c>
      <c r="BF228">
        <v>9.2418504665009241E-2</v>
      </c>
      <c r="BG228">
        <v>14.696413339999999</v>
      </c>
      <c r="BH228">
        <v>14.696413339999999</v>
      </c>
      <c r="BI228">
        <v>14.696413339999999</v>
      </c>
      <c r="BJ228">
        <v>420.30120210079798</v>
      </c>
      <c r="BK228">
        <v>1</v>
      </c>
      <c r="BL228">
        <v>4.7584922193973478E-2</v>
      </c>
      <c r="BM228">
        <v>3.83528</v>
      </c>
      <c r="BN228">
        <v>3.83528</v>
      </c>
      <c r="BO228">
        <v>28.573699999999999</v>
      </c>
      <c r="BP228">
        <v>0</v>
      </c>
      <c r="BQ228">
        <v>0</v>
      </c>
      <c r="BS228">
        <v>0</v>
      </c>
      <c r="BT228">
        <v>0</v>
      </c>
      <c r="BU228">
        <v>0</v>
      </c>
      <c r="BV228">
        <v>394.21199999999999</v>
      </c>
      <c r="BW228">
        <v>0.10146824551256679</v>
      </c>
      <c r="BX228">
        <v>10</v>
      </c>
      <c r="BY228">
        <v>5.0734122756283417E-2</v>
      </c>
      <c r="BZ228">
        <v>4.620925233250462E-2</v>
      </c>
      <c r="CA228">
        <v>2.3792461096986739E-2</v>
      </c>
      <c r="CC228">
        <v>0.49170201260223612</v>
      </c>
      <c r="CD228">
        <v>0.25317009939846158</v>
      </c>
      <c r="CF228">
        <v>0.53985011675520755</v>
      </c>
    </row>
    <row r="229" spans="1:84" x14ac:dyDescent="0.3">
      <c r="A229" s="1">
        <v>784</v>
      </c>
      <c r="B229" t="s">
        <v>1248</v>
      </c>
      <c r="C229" t="s">
        <v>1249</v>
      </c>
      <c r="E229" t="s">
        <v>404</v>
      </c>
      <c r="F229">
        <v>2.5499999999999998</v>
      </c>
      <c r="G229" t="s">
        <v>899</v>
      </c>
      <c r="H229" t="s">
        <v>900</v>
      </c>
      <c r="I229" t="s">
        <v>901</v>
      </c>
      <c r="J229">
        <v>2</v>
      </c>
      <c r="K229">
        <v>3.8</v>
      </c>
      <c r="L229">
        <v>3.8</v>
      </c>
      <c r="M229">
        <v>27.3</v>
      </c>
      <c r="N229" t="s">
        <v>206</v>
      </c>
      <c r="O229">
        <v>13.65</v>
      </c>
      <c r="Q229" t="s">
        <v>87</v>
      </c>
      <c r="R229">
        <v>1373</v>
      </c>
      <c r="S229">
        <v>12</v>
      </c>
      <c r="T229" t="b">
        <v>0</v>
      </c>
      <c r="U229" t="s">
        <v>125</v>
      </c>
      <c r="V229" t="s">
        <v>126</v>
      </c>
      <c r="W229">
        <v>1</v>
      </c>
      <c r="X229">
        <v>60</v>
      </c>
      <c r="Y229">
        <v>0.5</v>
      </c>
      <c r="Z229">
        <v>1</v>
      </c>
      <c r="AC229" t="s">
        <v>893</v>
      </c>
      <c r="AD229">
        <v>100</v>
      </c>
      <c r="AE229">
        <v>425</v>
      </c>
      <c r="AF229" t="s">
        <v>91</v>
      </c>
      <c r="AG229">
        <v>288</v>
      </c>
      <c r="AH229">
        <v>40</v>
      </c>
      <c r="AI229" t="s">
        <v>1250</v>
      </c>
      <c r="AJ229" t="s">
        <v>1250</v>
      </c>
      <c r="AK229" t="s">
        <v>1250</v>
      </c>
      <c r="AL229" t="b">
        <v>1</v>
      </c>
      <c r="AM229" t="b">
        <v>1</v>
      </c>
      <c r="AN229" t="b">
        <v>0</v>
      </c>
      <c r="AO229" t="b">
        <v>0</v>
      </c>
      <c r="AP229" t="s">
        <v>1326</v>
      </c>
      <c r="AQ229" t="s">
        <v>1327</v>
      </c>
      <c r="AR229" t="s">
        <v>1242</v>
      </c>
      <c r="AS229">
        <v>3.6888794541139358</v>
      </c>
      <c r="AT229">
        <v>1.882352941176471</v>
      </c>
      <c r="AU229">
        <v>2.3529411764705879</v>
      </c>
      <c r="AV229">
        <v>0.47235294117647059</v>
      </c>
      <c r="AW229">
        <v>0</v>
      </c>
      <c r="AX229">
        <v>0.39985005622891412</v>
      </c>
      <c r="AY229">
        <v>0.49981257028614268</v>
      </c>
      <c r="AZ229">
        <v>0.10033737348494309</v>
      </c>
      <c r="BA229">
        <v>0</v>
      </c>
      <c r="BB229">
        <v>6.096398663281847</v>
      </c>
      <c r="BC229">
        <v>20</v>
      </c>
      <c r="BD229">
        <v>216.40687730768099</v>
      </c>
      <c r="BE229">
        <v>1</v>
      </c>
      <c r="BF229">
        <v>9.2418504665009241E-2</v>
      </c>
      <c r="BG229">
        <v>14.696413339999999</v>
      </c>
      <c r="BH229">
        <v>14.696413339999999</v>
      </c>
      <c r="BI229">
        <v>14.696413339999999</v>
      </c>
      <c r="BJ229">
        <v>420.30120210079798</v>
      </c>
      <c r="BK229">
        <v>1</v>
      </c>
      <c r="BL229">
        <v>4.7584922193973478E-2</v>
      </c>
      <c r="BM229">
        <v>3.83528</v>
      </c>
      <c r="BN229">
        <v>3.83528</v>
      </c>
      <c r="BO229">
        <v>28.573699999999999</v>
      </c>
      <c r="BP229">
        <v>0</v>
      </c>
      <c r="BQ229">
        <v>0</v>
      </c>
      <c r="BS229">
        <v>0</v>
      </c>
      <c r="BT229">
        <v>0</v>
      </c>
      <c r="BU229">
        <v>0</v>
      </c>
      <c r="BV229">
        <v>394.21199999999999</v>
      </c>
      <c r="BW229">
        <v>0.10146824551256679</v>
      </c>
      <c r="BX229">
        <v>10</v>
      </c>
      <c r="BY229">
        <v>5.0734122756283417E-2</v>
      </c>
      <c r="BZ229">
        <v>4.620925233250462E-2</v>
      </c>
      <c r="CA229">
        <v>2.3792461096986739E-2</v>
      </c>
      <c r="CC229">
        <v>0.49175032339767949</v>
      </c>
      <c r="CD229">
        <v>0.25319497391304763</v>
      </c>
      <c r="CF229">
        <v>0.53990315820692469</v>
      </c>
    </row>
    <row r="230" spans="1:84" x14ac:dyDescent="0.3">
      <c r="A230" s="1">
        <v>815</v>
      </c>
      <c r="B230" t="s">
        <v>128</v>
      </c>
      <c r="C230" t="s">
        <v>129</v>
      </c>
      <c r="E230" t="s">
        <v>130</v>
      </c>
      <c r="F230">
        <v>3.2</v>
      </c>
      <c r="G230" t="s">
        <v>131</v>
      </c>
      <c r="H230" t="s">
        <v>132</v>
      </c>
      <c r="I230">
        <v>-1</v>
      </c>
      <c r="O230">
        <v>0</v>
      </c>
      <c r="Q230" t="s">
        <v>248</v>
      </c>
      <c r="R230">
        <v>623</v>
      </c>
      <c r="S230">
        <v>4</v>
      </c>
      <c r="T230" t="b">
        <v>0</v>
      </c>
      <c r="U230" t="s">
        <v>172</v>
      </c>
      <c r="V230" t="s">
        <v>173</v>
      </c>
      <c r="W230">
        <v>1</v>
      </c>
      <c r="X230">
        <v>50</v>
      </c>
      <c r="Y230">
        <v>1</v>
      </c>
      <c r="Z230">
        <v>0.1</v>
      </c>
      <c r="AC230" t="s">
        <v>90</v>
      </c>
      <c r="AD230">
        <v>125</v>
      </c>
      <c r="AE230">
        <v>220</v>
      </c>
      <c r="AF230" t="s">
        <v>91</v>
      </c>
      <c r="AG230">
        <v>288</v>
      </c>
      <c r="AH230">
        <v>527.27272727272725</v>
      </c>
      <c r="AL230" t="b">
        <v>1</v>
      </c>
      <c r="AM230" t="b">
        <v>0</v>
      </c>
      <c r="AN230" t="b">
        <v>0</v>
      </c>
      <c r="AO230" t="b">
        <v>0</v>
      </c>
      <c r="AP230" t="s">
        <v>131</v>
      </c>
      <c r="AQ230" t="s">
        <v>132</v>
      </c>
      <c r="AS230">
        <v>6.2677179237361402</v>
      </c>
      <c r="AT230">
        <v>2</v>
      </c>
      <c r="AU230">
        <v>2.666666666666667</v>
      </c>
      <c r="AV230">
        <v>0.66666666666666663</v>
      </c>
      <c r="AW230">
        <v>0</v>
      </c>
      <c r="AX230">
        <v>0.375</v>
      </c>
      <c r="AY230">
        <v>0.5</v>
      </c>
      <c r="AZ230">
        <v>0.125</v>
      </c>
      <c r="BA230">
        <v>0</v>
      </c>
      <c r="BB230">
        <v>6.1770001596666662</v>
      </c>
      <c r="BC230">
        <v>4</v>
      </c>
      <c r="BD230">
        <v>1182.741260108548</v>
      </c>
      <c r="BE230">
        <v>30</v>
      </c>
      <c r="BF230">
        <v>0.1014592151701775</v>
      </c>
      <c r="BG230">
        <v>10.59112378</v>
      </c>
      <c r="BH230">
        <v>10.784736629999999</v>
      </c>
      <c r="BI230">
        <v>10.486176179999999</v>
      </c>
      <c r="BJ230">
        <v>130.36387300000001</v>
      </c>
      <c r="BK230">
        <v>4</v>
      </c>
      <c r="BL230">
        <v>0.1227333894874388</v>
      </c>
      <c r="BM230">
        <v>3.73</v>
      </c>
      <c r="BN230">
        <v>3.73</v>
      </c>
      <c r="BO230">
        <v>9.3699999999999992</v>
      </c>
      <c r="BP230">
        <v>0</v>
      </c>
      <c r="BQ230">
        <v>0</v>
      </c>
      <c r="BS230">
        <v>0</v>
      </c>
      <c r="BT230">
        <v>0</v>
      </c>
      <c r="BU230">
        <v>0</v>
      </c>
      <c r="BX230">
        <v>2</v>
      </c>
      <c r="BZ230">
        <v>5.0729607585088737E-2</v>
      </c>
      <c r="CA230">
        <v>6.1366694743719377E-2</v>
      </c>
      <c r="CC230">
        <v>0.46900407026869612</v>
      </c>
      <c r="CD230">
        <v>0.56734579634715776</v>
      </c>
    </row>
    <row r="231" spans="1:84" x14ac:dyDescent="0.3">
      <c r="A231" s="1">
        <v>817</v>
      </c>
      <c r="B231" t="s">
        <v>128</v>
      </c>
      <c r="C231" t="s">
        <v>129</v>
      </c>
      <c r="E231" t="s">
        <v>130</v>
      </c>
      <c r="F231">
        <v>3.2</v>
      </c>
      <c r="G231" t="s">
        <v>131</v>
      </c>
      <c r="H231" t="s">
        <v>132</v>
      </c>
      <c r="I231">
        <v>-1</v>
      </c>
      <c r="O231">
        <v>0</v>
      </c>
      <c r="Q231" t="s">
        <v>248</v>
      </c>
      <c r="R231">
        <v>623</v>
      </c>
      <c r="S231">
        <v>6</v>
      </c>
      <c r="T231" t="b">
        <v>0</v>
      </c>
      <c r="U231" t="s">
        <v>172</v>
      </c>
      <c r="V231" t="s">
        <v>1364</v>
      </c>
      <c r="W231">
        <v>1</v>
      </c>
      <c r="X231">
        <v>50</v>
      </c>
      <c r="Y231">
        <v>1</v>
      </c>
      <c r="Z231">
        <v>0.1</v>
      </c>
      <c r="AC231" t="s">
        <v>90</v>
      </c>
      <c r="AD231">
        <v>125</v>
      </c>
      <c r="AE231">
        <v>220</v>
      </c>
      <c r="AF231" t="s">
        <v>91</v>
      </c>
      <c r="AG231">
        <v>288</v>
      </c>
      <c r="AH231">
        <v>2563.636363636364</v>
      </c>
      <c r="AL231" t="b">
        <v>1</v>
      </c>
      <c r="AM231" t="b">
        <v>0</v>
      </c>
      <c r="AN231" t="b">
        <v>0</v>
      </c>
      <c r="AO231" t="b">
        <v>0</v>
      </c>
      <c r="AP231" t="s">
        <v>131</v>
      </c>
      <c r="AQ231" t="s">
        <v>132</v>
      </c>
      <c r="AS231">
        <v>7.849181984127835</v>
      </c>
      <c r="AT231">
        <v>2</v>
      </c>
      <c r="AU231">
        <v>2.666666666666667</v>
      </c>
      <c r="AV231">
        <v>0.66666666666666663</v>
      </c>
      <c r="AW231">
        <v>0</v>
      </c>
      <c r="AX231">
        <v>0.375</v>
      </c>
      <c r="AY231">
        <v>0.5</v>
      </c>
      <c r="AZ231">
        <v>0.125</v>
      </c>
      <c r="BA231">
        <v>0</v>
      </c>
      <c r="BB231">
        <v>6.1770001596666662</v>
      </c>
      <c r="BC231">
        <v>4</v>
      </c>
      <c r="BD231">
        <v>1182.741260108548</v>
      </c>
      <c r="BE231">
        <v>30</v>
      </c>
      <c r="BF231">
        <v>0.1014592151701775</v>
      </c>
      <c r="BG231">
        <v>10.59112378</v>
      </c>
      <c r="BH231">
        <v>10.784736629999999</v>
      </c>
      <c r="BI231">
        <v>10.486176179999999</v>
      </c>
      <c r="BJ231">
        <v>130.36387300000001</v>
      </c>
      <c r="BK231">
        <v>4</v>
      </c>
      <c r="BL231">
        <v>0.1227333894874388</v>
      </c>
      <c r="BM231">
        <v>3.73</v>
      </c>
      <c r="BN231">
        <v>3.73</v>
      </c>
      <c r="BO231">
        <v>9.3699999999999992</v>
      </c>
      <c r="BP231">
        <v>0</v>
      </c>
      <c r="BQ231">
        <v>0</v>
      </c>
      <c r="BS231">
        <v>0</v>
      </c>
      <c r="BT231">
        <v>0</v>
      </c>
      <c r="BU231">
        <v>0</v>
      </c>
      <c r="BX231">
        <v>2</v>
      </c>
      <c r="BZ231">
        <v>5.0729607585088737E-2</v>
      </c>
      <c r="CA231">
        <v>6.1366694743719377E-2</v>
      </c>
      <c r="CC231">
        <v>0.46900407026869612</v>
      </c>
      <c r="CD231">
        <v>0.56734579634715776</v>
      </c>
    </row>
    <row r="232" spans="1:84" x14ac:dyDescent="0.3">
      <c r="A232" s="1">
        <v>820</v>
      </c>
      <c r="B232" t="s">
        <v>128</v>
      </c>
      <c r="C232" t="s">
        <v>129</v>
      </c>
      <c r="E232" t="s">
        <v>130</v>
      </c>
      <c r="F232">
        <v>3.2</v>
      </c>
      <c r="G232" t="s">
        <v>131</v>
      </c>
      <c r="H232" t="s">
        <v>132</v>
      </c>
      <c r="I232">
        <v>-1</v>
      </c>
      <c r="O232">
        <v>0</v>
      </c>
      <c r="Q232" t="s">
        <v>248</v>
      </c>
      <c r="R232">
        <v>623</v>
      </c>
      <c r="S232">
        <v>9</v>
      </c>
      <c r="T232" t="b">
        <v>0</v>
      </c>
      <c r="U232" t="s">
        <v>172</v>
      </c>
      <c r="V232" t="s">
        <v>1365</v>
      </c>
      <c r="W232">
        <v>1</v>
      </c>
      <c r="X232">
        <v>50</v>
      </c>
      <c r="Y232">
        <v>1</v>
      </c>
      <c r="Z232">
        <v>0.1</v>
      </c>
      <c r="AC232" t="s">
        <v>90</v>
      </c>
      <c r="AD232">
        <v>125</v>
      </c>
      <c r="AE232">
        <v>220</v>
      </c>
      <c r="AF232" t="s">
        <v>91</v>
      </c>
      <c r="AG232">
        <v>288</v>
      </c>
      <c r="AH232">
        <v>581.81818181818187</v>
      </c>
      <c r="AL232" t="b">
        <v>1</v>
      </c>
      <c r="AM232" t="b">
        <v>0</v>
      </c>
      <c r="AN232" t="b">
        <v>0</v>
      </c>
      <c r="AO232" t="b">
        <v>0</v>
      </c>
      <c r="AP232" t="s">
        <v>131</v>
      </c>
      <c r="AQ232" t="s">
        <v>132</v>
      </c>
      <c r="AS232">
        <v>6.3661579965493926</v>
      </c>
      <c r="AT232">
        <v>2</v>
      </c>
      <c r="AU232">
        <v>2.666666666666667</v>
      </c>
      <c r="AV232">
        <v>0.66666666666666663</v>
      </c>
      <c r="AW232">
        <v>0</v>
      </c>
      <c r="AX232">
        <v>0.375</v>
      </c>
      <c r="AY232">
        <v>0.5</v>
      </c>
      <c r="AZ232">
        <v>0.125</v>
      </c>
      <c r="BA232">
        <v>0</v>
      </c>
      <c r="BB232">
        <v>6.1770001596666662</v>
      </c>
      <c r="BC232">
        <v>4</v>
      </c>
      <c r="BD232">
        <v>1182.741260108548</v>
      </c>
      <c r="BE232">
        <v>30</v>
      </c>
      <c r="BF232">
        <v>0.1014592151701775</v>
      </c>
      <c r="BG232">
        <v>10.59112378</v>
      </c>
      <c r="BH232">
        <v>10.784736629999999</v>
      </c>
      <c r="BI232">
        <v>10.486176179999999</v>
      </c>
      <c r="BJ232">
        <v>130.36387300000001</v>
      </c>
      <c r="BK232">
        <v>4</v>
      </c>
      <c r="BL232">
        <v>0.1227333894874388</v>
      </c>
      <c r="BM232">
        <v>3.73</v>
      </c>
      <c r="BN232">
        <v>3.73</v>
      </c>
      <c r="BO232">
        <v>9.3699999999999992</v>
      </c>
      <c r="BP232">
        <v>0</v>
      </c>
      <c r="BQ232">
        <v>0</v>
      </c>
      <c r="BS232">
        <v>0</v>
      </c>
      <c r="BT232">
        <v>0</v>
      </c>
      <c r="BU232">
        <v>0</v>
      </c>
      <c r="BX232">
        <v>2</v>
      </c>
      <c r="BZ232">
        <v>5.0729607585088737E-2</v>
      </c>
      <c r="CA232">
        <v>6.1366694743719377E-2</v>
      </c>
      <c r="CC232">
        <v>0.46900407026869612</v>
      </c>
      <c r="CD232">
        <v>0.56734579634715776</v>
      </c>
    </row>
    <row r="233" spans="1:84" x14ac:dyDescent="0.3">
      <c r="A233" s="1">
        <v>641</v>
      </c>
      <c r="B233" t="s">
        <v>1115</v>
      </c>
      <c r="C233" t="s">
        <v>1116</v>
      </c>
      <c r="E233" t="s">
        <v>404</v>
      </c>
      <c r="F233">
        <v>3.58</v>
      </c>
      <c r="G233" t="s">
        <v>1080</v>
      </c>
      <c r="H233">
        <v>-1</v>
      </c>
      <c r="I233">
        <v>-1</v>
      </c>
      <c r="J233">
        <v>1</v>
      </c>
      <c r="K233">
        <v>3.802</v>
      </c>
      <c r="L233">
        <v>3.802</v>
      </c>
      <c r="M233">
        <v>24.7</v>
      </c>
      <c r="N233" t="s">
        <v>101</v>
      </c>
      <c r="O233">
        <v>24.7</v>
      </c>
      <c r="Q233" t="s">
        <v>87</v>
      </c>
      <c r="R233">
        <v>1273</v>
      </c>
      <c r="S233">
        <v>10</v>
      </c>
      <c r="T233" t="b">
        <v>0</v>
      </c>
      <c r="U233" t="s">
        <v>125</v>
      </c>
      <c r="V233" t="s">
        <v>126</v>
      </c>
      <c r="W233">
        <v>0.75</v>
      </c>
      <c r="Y233">
        <v>0.5</v>
      </c>
      <c r="Z233">
        <v>1</v>
      </c>
      <c r="AC233" t="s">
        <v>90</v>
      </c>
      <c r="AD233">
        <v>125</v>
      </c>
      <c r="AE233">
        <v>220</v>
      </c>
      <c r="AF233" t="s">
        <v>91</v>
      </c>
      <c r="AG233">
        <v>288</v>
      </c>
      <c r="AH233">
        <v>74000</v>
      </c>
      <c r="AI233" t="s">
        <v>972</v>
      </c>
      <c r="AL233" t="b">
        <v>1</v>
      </c>
      <c r="AM233" t="b">
        <v>0</v>
      </c>
      <c r="AN233" t="b">
        <v>0</v>
      </c>
      <c r="AO233" t="b">
        <v>0</v>
      </c>
      <c r="AP233" t="s">
        <v>1168</v>
      </c>
      <c r="AS233">
        <v>11.21182037218631</v>
      </c>
      <c r="AT233">
        <v>1.510204081632653</v>
      </c>
      <c r="AU233">
        <v>1.2653061224489801</v>
      </c>
      <c r="AV233">
        <v>0.1224489795918367</v>
      </c>
      <c r="AW233">
        <v>0.16326530612244899</v>
      </c>
      <c r="AX233">
        <v>0.49333333333333329</v>
      </c>
      <c r="AY233">
        <v>0.41333333333333339</v>
      </c>
      <c r="AZ233">
        <v>0.04</v>
      </c>
      <c r="BA233">
        <v>5.333333333333333E-2</v>
      </c>
      <c r="BB233">
        <v>6.6971257268453872</v>
      </c>
      <c r="BC233">
        <v>20</v>
      </c>
      <c r="BD233">
        <v>733.37308460000008</v>
      </c>
      <c r="BE233">
        <v>2</v>
      </c>
      <c r="BF233">
        <v>5.4542497999932729E-2</v>
      </c>
      <c r="BG233">
        <v>3.8530000000000002</v>
      </c>
      <c r="BH233">
        <v>3.8530000000000002</v>
      </c>
      <c r="BI233">
        <v>49.4</v>
      </c>
      <c r="BJ233">
        <v>0</v>
      </c>
      <c r="BK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S233">
        <v>0</v>
      </c>
      <c r="BT233">
        <v>0</v>
      </c>
      <c r="BU233">
        <v>0</v>
      </c>
      <c r="BV233">
        <v>357.04353880000002</v>
      </c>
      <c r="BW233">
        <v>5.6015577448113731E-2</v>
      </c>
      <c r="BX233">
        <v>10</v>
      </c>
      <c r="BY233">
        <v>2.8007788724056869E-2</v>
      </c>
      <c r="BZ233">
        <v>2.7271248999966361E-2</v>
      </c>
      <c r="CC233">
        <v>0.33005342247707181</v>
      </c>
      <c r="CF233">
        <v>0.33896747906196412</v>
      </c>
    </row>
    <row r="234" spans="1:84" x14ac:dyDescent="0.3">
      <c r="A234" s="1">
        <v>814</v>
      </c>
      <c r="B234" t="s">
        <v>128</v>
      </c>
      <c r="C234" t="s">
        <v>129</v>
      </c>
      <c r="E234" t="s">
        <v>130</v>
      </c>
      <c r="F234">
        <v>3.2</v>
      </c>
      <c r="G234" t="s">
        <v>131</v>
      </c>
      <c r="H234" t="s">
        <v>132</v>
      </c>
      <c r="I234">
        <v>-1</v>
      </c>
      <c r="O234">
        <v>0</v>
      </c>
      <c r="Q234" t="s">
        <v>248</v>
      </c>
      <c r="R234">
        <v>623</v>
      </c>
      <c r="S234">
        <v>3</v>
      </c>
      <c r="T234" t="b">
        <v>0</v>
      </c>
      <c r="U234" t="s">
        <v>172</v>
      </c>
      <c r="V234" t="s">
        <v>173</v>
      </c>
      <c r="W234">
        <v>0.75</v>
      </c>
      <c r="X234">
        <v>50</v>
      </c>
      <c r="Y234">
        <v>1</v>
      </c>
      <c r="Z234">
        <v>0.1</v>
      </c>
      <c r="AC234" t="s">
        <v>90</v>
      </c>
      <c r="AD234">
        <v>125</v>
      </c>
      <c r="AE234">
        <v>220</v>
      </c>
      <c r="AF234" t="s">
        <v>91</v>
      </c>
      <c r="AG234">
        <v>288</v>
      </c>
      <c r="AH234">
        <v>563.63636363636363</v>
      </c>
      <c r="AL234" t="b">
        <v>1</v>
      </c>
      <c r="AM234" t="b">
        <v>0</v>
      </c>
      <c r="AN234" t="b">
        <v>0</v>
      </c>
      <c r="AO234" t="b">
        <v>0</v>
      </c>
      <c r="AP234" t="s">
        <v>131</v>
      </c>
      <c r="AQ234" t="s">
        <v>132</v>
      </c>
      <c r="AS234">
        <v>6.3344092982348128</v>
      </c>
      <c r="AT234">
        <v>2</v>
      </c>
      <c r="AU234">
        <v>2.666666666666667</v>
      </c>
      <c r="AV234">
        <v>0.66666666666666663</v>
      </c>
      <c r="AW234">
        <v>0</v>
      </c>
      <c r="AX234">
        <v>0.375</v>
      </c>
      <c r="AY234">
        <v>0.5</v>
      </c>
      <c r="AZ234">
        <v>0.125</v>
      </c>
      <c r="BA234">
        <v>0</v>
      </c>
      <c r="BB234">
        <v>6.1770001596666662</v>
      </c>
      <c r="BC234">
        <v>4</v>
      </c>
      <c r="BD234">
        <v>1182.741260108548</v>
      </c>
      <c r="BE234">
        <v>30</v>
      </c>
      <c r="BF234">
        <v>0.1014592151701775</v>
      </c>
      <c r="BG234">
        <v>10.59112378</v>
      </c>
      <c r="BH234">
        <v>10.784736629999999</v>
      </c>
      <c r="BI234">
        <v>10.486176179999999</v>
      </c>
      <c r="BJ234">
        <v>130.36387300000001</v>
      </c>
      <c r="BK234">
        <v>4</v>
      </c>
      <c r="BL234">
        <v>0.1227333894874388</v>
      </c>
      <c r="BM234">
        <v>3.73</v>
      </c>
      <c r="BN234">
        <v>3.73</v>
      </c>
      <c r="BO234">
        <v>9.3699999999999992</v>
      </c>
      <c r="BP234">
        <v>0</v>
      </c>
      <c r="BQ234">
        <v>0</v>
      </c>
      <c r="BS234">
        <v>0</v>
      </c>
      <c r="BT234">
        <v>0</v>
      </c>
      <c r="BU234">
        <v>0</v>
      </c>
      <c r="BX234">
        <v>2</v>
      </c>
      <c r="BZ234">
        <v>5.0729607585088737E-2</v>
      </c>
      <c r="CA234">
        <v>6.1366694743719377E-2</v>
      </c>
      <c r="CC234">
        <v>0.46900407026869612</v>
      </c>
      <c r="CD234">
        <v>0.56734579634715776</v>
      </c>
    </row>
    <row r="235" spans="1:84" x14ac:dyDescent="0.3">
      <c r="A235" s="1">
        <v>385</v>
      </c>
      <c r="B235" t="s">
        <v>94</v>
      </c>
      <c r="C235" t="s">
        <v>138</v>
      </c>
      <c r="E235" t="s">
        <v>94</v>
      </c>
      <c r="F235">
        <v>3.1</v>
      </c>
      <c r="G235" t="s">
        <v>139</v>
      </c>
      <c r="H235">
        <v>-1</v>
      </c>
      <c r="I235">
        <v>-1</v>
      </c>
      <c r="J235">
        <v>1</v>
      </c>
      <c r="K235">
        <v>3.8849999999999998</v>
      </c>
      <c r="L235">
        <v>3.8849999999999998</v>
      </c>
      <c r="M235">
        <v>10.989000000000001</v>
      </c>
      <c r="O235">
        <v>10.989000000000001</v>
      </c>
      <c r="Q235" t="s">
        <v>87</v>
      </c>
      <c r="R235">
        <v>1423</v>
      </c>
      <c r="S235">
        <v>24</v>
      </c>
      <c r="T235" t="b">
        <v>0</v>
      </c>
      <c r="U235" t="s">
        <v>125</v>
      </c>
      <c r="V235" t="s">
        <v>126</v>
      </c>
      <c r="W235">
        <v>0.74</v>
      </c>
      <c r="X235">
        <v>7.67</v>
      </c>
      <c r="Y235">
        <v>2</v>
      </c>
      <c r="Z235">
        <v>10</v>
      </c>
      <c r="AC235" t="s">
        <v>90</v>
      </c>
      <c r="AD235">
        <v>100</v>
      </c>
      <c r="AE235">
        <v>290</v>
      </c>
      <c r="AF235" t="s">
        <v>91</v>
      </c>
      <c r="AG235">
        <v>333</v>
      </c>
      <c r="AH235">
        <v>5133.9285714285716</v>
      </c>
      <c r="AL235" t="b">
        <v>1</v>
      </c>
      <c r="AM235" t="b">
        <v>0</v>
      </c>
      <c r="AN235" t="b">
        <v>0</v>
      </c>
      <c r="AO235" t="b">
        <v>0</v>
      </c>
      <c r="AP235" t="s">
        <v>139</v>
      </c>
      <c r="AQ235">
        <v>-1</v>
      </c>
      <c r="AS235">
        <v>8.5436264484843925</v>
      </c>
      <c r="AT235">
        <v>1.7272727272727271</v>
      </c>
      <c r="AU235">
        <v>2.545454545454545</v>
      </c>
      <c r="AV235">
        <v>0.81818181818181823</v>
      </c>
      <c r="AW235">
        <v>0</v>
      </c>
      <c r="AX235">
        <v>0.3392857142857143</v>
      </c>
      <c r="AY235">
        <v>0.5</v>
      </c>
      <c r="AZ235">
        <v>0.1607142857142857</v>
      </c>
      <c r="BA235">
        <v>0</v>
      </c>
      <c r="BB235">
        <v>6.4269893564864544</v>
      </c>
      <c r="BC235">
        <v>14</v>
      </c>
      <c r="BD235">
        <v>165.66723991337099</v>
      </c>
      <c r="BE235">
        <v>1</v>
      </c>
      <c r="BF235">
        <v>8.4506749839743392E-2</v>
      </c>
      <c r="BG235">
        <v>3.9263319999999999</v>
      </c>
      <c r="BH235">
        <v>3.9263319999999999</v>
      </c>
      <c r="BI235">
        <v>10.74639</v>
      </c>
      <c r="BJ235">
        <v>0</v>
      </c>
      <c r="BK235">
        <v>0</v>
      </c>
      <c r="BM235">
        <v>0</v>
      </c>
      <c r="BP235">
        <v>0</v>
      </c>
      <c r="BQ235">
        <v>0</v>
      </c>
      <c r="BS235">
        <v>0</v>
      </c>
      <c r="BT235">
        <v>0</v>
      </c>
      <c r="BU235">
        <v>0</v>
      </c>
      <c r="BV235">
        <v>165.859449525</v>
      </c>
      <c r="BW235">
        <v>8.4408817466199174E-2</v>
      </c>
      <c r="BX235">
        <v>7</v>
      </c>
      <c r="BY235">
        <v>4.2204408733099587E-2</v>
      </c>
      <c r="BZ235">
        <v>4.2253374919871703E-2</v>
      </c>
      <c r="CC235">
        <v>0.41874907041247761</v>
      </c>
      <c r="CF235">
        <v>0.41826379449708978</v>
      </c>
    </row>
    <row r="236" spans="1:84" x14ac:dyDescent="0.3">
      <c r="A236" s="1">
        <v>85</v>
      </c>
      <c r="B236" t="s">
        <v>267</v>
      </c>
      <c r="C236" t="s">
        <v>268</v>
      </c>
      <c r="F236">
        <v>3.82</v>
      </c>
      <c r="G236">
        <v>-1</v>
      </c>
      <c r="H236">
        <v>-1</v>
      </c>
      <c r="I236" t="s">
        <v>269</v>
      </c>
      <c r="Q236" t="s">
        <v>263</v>
      </c>
      <c r="R236">
        <v>1373</v>
      </c>
      <c r="S236">
        <v>10</v>
      </c>
      <c r="T236" t="b">
        <v>0</v>
      </c>
      <c r="U236" t="s">
        <v>172</v>
      </c>
      <c r="V236" t="s">
        <v>173</v>
      </c>
      <c r="W236">
        <v>0.7</v>
      </c>
      <c r="X236">
        <v>6.2</v>
      </c>
      <c r="Y236">
        <v>1.32</v>
      </c>
      <c r="Z236">
        <v>0</v>
      </c>
      <c r="AC236" t="s">
        <v>90</v>
      </c>
      <c r="AD236">
        <v>300</v>
      </c>
      <c r="AF236" t="s">
        <v>91</v>
      </c>
      <c r="AH236">
        <v>46</v>
      </c>
      <c r="AL236" t="b">
        <v>0</v>
      </c>
      <c r="AM236" t="b">
        <v>0</v>
      </c>
      <c r="AN236" t="b">
        <v>1</v>
      </c>
      <c r="AO236" t="b">
        <v>0</v>
      </c>
      <c r="AP236">
        <v>-1</v>
      </c>
      <c r="AQ236">
        <v>-1</v>
      </c>
      <c r="AR236" t="s">
        <v>269</v>
      </c>
      <c r="AS236">
        <v>3.8286413964890951</v>
      </c>
      <c r="AT236">
        <v>2</v>
      </c>
      <c r="AU236">
        <v>2.5</v>
      </c>
      <c r="AV236">
        <v>0.5</v>
      </c>
      <c r="AW236">
        <v>0</v>
      </c>
      <c r="AX236">
        <v>0.4</v>
      </c>
      <c r="AY236">
        <v>0.5</v>
      </c>
      <c r="AZ236">
        <v>0.1</v>
      </c>
      <c r="BA236">
        <v>0</v>
      </c>
      <c r="BB236">
        <v>5.9184770403124993</v>
      </c>
      <c r="BC236">
        <v>30</v>
      </c>
      <c r="BD236">
        <v>0</v>
      </c>
      <c r="BE236">
        <v>0</v>
      </c>
      <c r="BG236">
        <v>0</v>
      </c>
      <c r="BJ236">
        <v>0</v>
      </c>
      <c r="BK236">
        <v>0</v>
      </c>
      <c r="BM236">
        <v>0</v>
      </c>
      <c r="BP236">
        <v>295.19382183577648</v>
      </c>
      <c r="BQ236">
        <v>1</v>
      </c>
      <c r="BR236">
        <v>0.1016281432092089</v>
      </c>
      <c r="BS236">
        <v>5.55</v>
      </c>
      <c r="BT236">
        <v>5.55</v>
      </c>
      <c r="BU236">
        <v>11.066000000000001</v>
      </c>
      <c r="BX236">
        <v>15</v>
      </c>
      <c r="CB236">
        <v>5.0814071604604459E-2</v>
      </c>
      <c r="CE236">
        <v>0.57325963355758636</v>
      </c>
    </row>
    <row r="237" spans="1:84" x14ac:dyDescent="0.3">
      <c r="A237" s="1">
        <v>83</v>
      </c>
      <c r="B237" t="s">
        <v>259</v>
      </c>
      <c r="C237" t="s">
        <v>260</v>
      </c>
      <c r="F237">
        <v>3.95</v>
      </c>
      <c r="G237" t="s">
        <v>261</v>
      </c>
      <c r="H237" t="s">
        <v>262</v>
      </c>
      <c r="I237">
        <v>-1</v>
      </c>
      <c r="Q237" t="s">
        <v>263</v>
      </c>
      <c r="R237">
        <v>1473</v>
      </c>
      <c r="S237">
        <v>10</v>
      </c>
      <c r="T237" t="b">
        <v>0</v>
      </c>
      <c r="U237" t="s">
        <v>172</v>
      </c>
      <c r="V237" t="s">
        <v>173</v>
      </c>
      <c r="W237">
        <v>0.6</v>
      </c>
      <c r="X237">
        <v>3.4</v>
      </c>
      <c r="Y237">
        <v>1.32</v>
      </c>
      <c r="Z237">
        <v>0</v>
      </c>
      <c r="AC237" t="s">
        <v>90</v>
      </c>
      <c r="AD237">
        <v>300</v>
      </c>
      <c r="AF237" t="s">
        <v>91</v>
      </c>
      <c r="AH237">
        <v>714</v>
      </c>
      <c r="AL237" t="b">
        <v>1</v>
      </c>
      <c r="AM237" t="b">
        <v>1</v>
      </c>
      <c r="AN237" t="b">
        <v>0</v>
      </c>
      <c r="AO237" t="b">
        <v>0</v>
      </c>
      <c r="AP237" t="s">
        <v>261</v>
      </c>
      <c r="AQ237" t="s">
        <v>262</v>
      </c>
      <c r="AS237">
        <v>6.5708829623395841</v>
      </c>
      <c r="AT237">
        <v>2</v>
      </c>
      <c r="AU237">
        <v>2.5263157894736841</v>
      </c>
      <c r="AV237">
        <v>0.52631578947368418</v>
      </c>
      <c r="AW237">
        <v>0</v>
      </c>
      <c r="AX237">
        <v>0.39583333333333343</v>
      </c>
      <c r="AY237">
        <v>0.5</v>
      </c>
      <c r="AZ237">
        <v>0.1041666666666667</v>
      </c>
      <c r="BA237">
        <v>0</v>
      </c>
      <c r="BB237">
        <v>5.9525998828421054</v>
      </c>
      <c r="BC237">
        <v>24</v>
      </c>
      <c r="BD237">
        <v>238.908881754341</v>
      </c>
      <c r="BE237">
        <v>1</v>
      </c>
      <c r="BF237">
        <v>0.10045670895014321</v>
      </c>
      <c r="BG237">
        <v>9.3662349099999993</v>
      </c>
      <c r="BH237">
        <v>9.3662349099999993</v>
      </c>
      <c r="BI237">
        <v>9.3662351000000008</v>
      </c>
      <c r="BJ237">
        <v>702.74902632242583</v>
      </c>
      <c r="BK237">
        <v>3</v>
      </c>
      <c r="BL237">
        <v>0.102454784429635</v>
      </c>
      <c r="BM237">
        <v>5.5609999999999999</v>
      </c>
      <c r="BN237">
        <v>5.5609999999999999</v>
      </c>
      <c r="BO237">
        <v>26.24</v>
      </c>
      <c r="BP237">
        <v>0</v>
      </c>
      <c r="BQ237">
        <v>0</v>
      </c>
      <c r="BS237">
        <v>0</v>
      </c>
      <c r="BT237">
        <v>0</v>
      </c>
      <c r="BU237">
        <v>0</v>
      </c>
      <c r="BX237">
        <v>12</v>
      </c>
      <c r="BZ237">
        <v>5.0228354475071582E-2</v>
      </c>
      <c r="CA237">
        <v>5.122739221481748E-2</v>
      </c>
      <c r="CC237">
        <v>0.5555218939519232</v>
      </c>
      <c r="CD237">
        <v>0.56657117763069742</v>
      </c>
    </row>
    <row r="238" spans="1:84" x14ac:dyDescent="0.3">
      <c r="A238" s="1">
        <v>86</v>
      </c>
      <c r="B238" t="s">
        <v>264</v>
      </c>
      <c r="C238" t="s">
        <v>265</v>
      </c>
      <c r="F238">
        <v>3.85</v>
      </c>
      <c r="G238" t="s">
        <v>272</v>
      </c>
      <c r="H238" t="s">
        <v>273</v>
      </c>
      <c r="I238" t="s">
        <v>266</v>
      </c>
      <c r="Q238" t="s">
        <v>263</v>
      </c>
      <c r="R238">
        <v>1373</v>
      </c>
      <c r="S238">
        <v>10</v>
      </c>
      <c r="T238" t="b">
        <v>0</v>
      </c>
      <c r="U238" t="s">
        <v>172</v>
      </c>
      <c r="V238" t="s">
        <v>173</v>
      </c>
      <c r="W238">
        <v>0.5</v>
      </c>
      <c r="X238">
        <v>6.1</v>
      </c>
      <c r="Y238">
        <v>1.32</v>
      </c>
      <c r="Z238">
        <v>0</v>
      </c>
      <c r="AC238" t="s">
        <v>90</v>
      </c>
      <c r="AD238">
        <v>300</v>
      </c>
      <c r="AF238" t="s">
        <v>91</v>
      </c>
      <c r="AH238">
        <v>236</v>
      </c>
      <c r="AL238" t="b">
        <v>0</v>
      </c>
      <c r="AM238" t="b">
        <v>0</v>
      </c>
      <c r="AN238" t="b">
        <v>1</v>
      </c>
      <c r="AO238" t="b">
        <v>0</v>
      </c>
      <c r="AP238" t="s">
        <v>272</v>
      </c>
      <c r="AQ238" t="s">
        <v>273</v>
      </c>
      <c r="AR238" t="s">
        <v>266</v>
      </c>
      <c r="AS238">
        <v>5.4638318050256096</v>
      </c>
      <c r="AT238">
        <v>2</v>
      </c>
      <c r="AU238">
        <v>2.5</v>
      </c>
      <c r="AV238">
        <v>0.5</v>
      </c>
      <c r="AW238">
        <v>0</v>
      </c>
      <c r="AX238">
        <v>0.4</v>
      </c>
      <c r="AY238">
        <v>0.5</v>
      </c>
      <c r="AZ238">
        <v>0.1</v>
      </c>
      <c r="BA238">
        <v>0</v>
      </c>
      <c r="BB238">
        <v>5.9266181448958326</v>
      </c>
      <c r="BC238">
        <v>30</v>
      </c>
      <c r="BD238">
        <v>623.81230762201892</v>
      </c>
      <c r="BE238">
        <v>2</v>
      </c>
      <c r="BF238">
        <v>9.6182776881592519E-2</v>
      </c>
      <c r="BG238">
        <v>5.6269875200000001</v>
      </c>
      <c r="BH238">
        <v>5.6269875200000001</v>
      </c>
      <c r="BI238">
        <v>22.749475</v>
      </c>
      <c r="BJ238">
        <v>602.84300974379028</v>
      </c>
      <c r="BK238">
        <v>2</v>
      </c>
      <c r="BL238">
        <v>9.952839965001857E-2</v>
      </c>
      <c r="BM238">
        <v>5.5670999999999999</v>
      </c>
      <c r="BN238">
        <v>5.5670999999999999</v>
      </c>
      <c r="BO238">
        <v>22.4603</v>
      </c>
      <c r="BP238">
        <v>291.95700632233951</v>
      </c>
      <c r="BQ238">
        <v>1</v>
      </c>
      <c r="BR238">
        <v>0.1027548555107393</v>
      </c>
      <c r="BS238">
        <v>5.532</v>
      </c>
      <c r="BT238">
        <v>5.532</v>
      </c>
      <c r="BU238">
        <v>11.016</v>
      </c>
      <c r="BX238">
        <v>15</v>
      </c>
      <c r="BZ238">
        <v>4.8091388440796259E-2</v>
      </c>
      <c r="CA238">
        <v>4.9764199825009292E-2</v>
      </c>
      <c r="CB238">
        <v>5.1377427755369659E-2</v>
      </c>
      <c r="CC238">
        <v>0.53155249960197004</v>
      </c>
      <c r="CD238">
        <v>0.55004202759169973</v>
      </c>
      <c r="CE238">
        <v>0.56787298166919375</v>
      </c>
    </row>
    <row r="239" spans="1:84" x14ac:dyDescent="0.3">
      <c r="A239" s="1">
        <v>90</v>
      </c>
      <c r="B239" t="s">
        <v>289</v>
      </c>
      <c r="C239" t="s">
        <v>290</v>
      </c>
      <c r="F239">
        <v>3.9</v>
      </c>
      <c r="G239" t="s">
        <v>291</v>
      </c>
      <c r="H239" t="s">
        <v>292</v>
      </c>
      <c r="I239">
        <v>-1</v>
      </c>
      <c r="O239">
        <v>0</v>
      </c>
      <c r="Q239" t="s">
        <v>87</v>
      </c>
      <c r="R239">
        <v>1370</v>
      </c>
      <c r="S239">
        <v>150</v>
      </c>
      <c r="T239" t="b">
        <v>0</v>
      </c>
      <c r="U239" t="s">
        <v>172</v>
      </c>
      <c r="V239" t="s">
        <v>173</v>
      </c>
      <c r="W239">
        <v>0.5</v>
      </c>
      <c r="X239">
        <v>0.7</v>
      </c>
      <c r="Y239">
        <v>2.63</v>
      </c>
      <c r="Z239">
        <v>0</v>
      </c>
      <c r="AC239" t="s">
        <v>165</v>
      </c>
      <c r="AD239">
        <v>300</v>
      </c>
      <c r="AF239" t="s">
        <v>91</v>
      </c>
      <c r="AH239">
        <v>10</v>
      </c>
      <c r="AL239" t="b">
        <v>1</v>
      </c>
      <c r="AM239" t="b">
        <v>0</v>
      </c>
      <c r="AN239" t="b">
        <v>0</v>
      </c>
      <c r="AO239" t="b">
        <v>0</v>
      </c>
      <c r="AP239" t="s">
        <v>291</v>
      </c>
      <c r="AQ239" t="s">
        <v>292</v>
      </c>
      <c r="AS239">
        <v>2.3025850929940459</v>
      </c>
      <c r="AT239">
        <v>1.8181818181818179</v>
      </c>
      <c r="AU239">
        <v>2.545454545454545</v>
      </c>
      <c r="AV239">
        <v>0.72727272727272729</v>
      </c>
      <c r="AW239">
        <v>0</v>
      </c>
      <c r="AX239">
        <v>0.35714285714285721</v>
      </c>
      <c r="AY239">
        <v>0.5</v>
      </c>
      <c r="AZ239">
        <v>0.1428571428571429</v>
      </c>
      <c r="BA239">
        <v>0</v>
      </c>
      <c r="BB239">
        <v>6.0182071251363629</v>
      </c>
      <c r="BC239">
        <v>14</v>
      </c>
      <c r="BD239">
        <v>1265.6493143942739</v>
      </c>
      <c r="BE239">
        <v>8</v>
      </c>
      <c r="BF239">
        <v>8.8492127105210025E-2</v>
      </c>
      <c r="BG239">
        <v>5.8017180100000001</v>
      </c>
      <c r="BH239">
        <v>7.9756520899999996</v>
      </c>
      <c r="BI239">
        <v>27.352093400000001</v>
      </c>
      <c r="BJ239">
        <v>1206.4392746112001</v>
      </c>
      <c r="BK239">
        <v>8</v>
      </c>
      <c r="BL239">
        <v>9.2835174017436004E-2</v>
      </c>
      <c r="BM239">
        <v>26.646989999999999</v>
      </c>
      <c r="BN239">
        <v>7.9359999999999999</v>
      </c>
      <c r="BO239">
        <v>5.7050000000000001</v>
      </c>
      <c r="BP239">
        <v>0</v>
      </c>
      <c r="BQ239">
        <v>0</v>
      </c>
      <c r="BS239">
        <v>0</v>
      </c>
      <c r="BT239">
        <v>0</v>
      </c>
      <c r="BU239">
        <v>0</v>
      </c>
      <c r="BX239">
        <v>7</v>
      </c>
      <c r="BZ239">
        <v>4.4246063552605013E-2</v>
      </c>
      <c r="CA239">
        <v>4.6417587008718002E-2</v>
      </c>
      <c r="CC239">
        <v>0.5176653673612065</v>
      </c>
      <c r="CD239">
        <v>0.54307152550012683</v>
      </c>
    </row>
    <row r="240" spans="1:84" x14ac:dyDescent="0.3">
      <c r="A240" s="1">
        <v>110</v>
      </c>
      <c r="B240" t="s">
        <v>354</v>
      </c>
      <c r="C240" t="s">
        <v>355</v>
      </c>
      <c r="E240" t="s">
        <v>106</v>
      </c>
      <c r="F240">
        <v>4.0999999999999996</v>
      </c>
      <c r="G240" t="s">
        <v>142</v>
      </c>
      <c r="H240" t="s">
        <v>356</v>
      </c>
      <c r="I240">
        <v>-1</v>
      </c>
      <c r="J240">
        <v>1</v>
      </c>
      <c r="K240">
        <v>3.87</v>
      </c>
      <c r="L240">
        <v>3.87</v>
      </c>
      <c r="M240">
        <v>15.1</v>
      </c>
      <c r="N240" t="s">
        <v>101</v>
      </c>
      <c r="O240">
        <v>15.1</v>
      </c>
      <c r="Q240" t="s">
        <v>87</v>
      </c>
      <c r="R240">
        <v>1273</v>
      </c>
      <c r="S240">
        <v>10</v>
      </c>
      <c r="T240" t="b">
        <v>0</v>
      </c>
      <c r="U240" t="s">
        <v>172</v>
      </c>
      <c r="V240" t="s">
        <v>173</v>
      </c>
      <c r="W240">
        <v>0.5</v>
      </c>
      <c r="Y240">
        <v>1</v>
      </c>
      <c r="Z240">
        <v>0</v>
      </c>
      <c r="AC240" t="s">
        <v>90</v>
      </c>
      <c r="AD240">
        <v>400</v>
      </c>
      <c r="AF240" t="s">
        <v>91</v>
      </c>
      <c r="AH240">
        <v>119.5</v>
      </c>
      <c r="AL240" t="b">
        <v>1</v>
      </c>
      <c r="AM240" t="b">
        <v>1</v>
      </c>
      <c r="AN240" t="b">
        <v>0</v>
      </c>
      <c r="AO240" t="b">
        <v>0</v>
      </c>
      <c r="AP240" t="s">
        <v>142</v>
      </c>
      <c r="AQ240" t="s">
        <v>356</v>
      </c>
      <c r="AS240">
        <v>4.7833163713715656</v>
      </c>
      <c r="AT240">
        <v>1.9375</v>
      </c>
      <c r="AU240">
        <v>2.5</v>
      </c>
      <c r="AV240">
        <v>0.5625</v>
      </c>
      <c r="AW240">
        <v>2.625</v>
      </c>
      <c r="AX240">
        <v>0.25409836065573771</v>
      </c>
      <c r="AY240">
        <v>0.32786885245901642</v>
      </c>
      <c r="AZ240">
        <v>7.3770491803278687E-2</v>
      </c>
      <c r="BA240">
        <v>0.34426229508196721</v>
      </c>
      <c r="BB240">
        <v>5.9708714839196873</v>
      </c>
      <c r="BC240">
        <v>20</v>
      </c>
      <c r="BD240">
        <v>242.1279024923125</v>
      </c>
      <c r="BE240">
        <v>1</v>
      </c>
      <c r="BF240">
        <v>8.2600971611006269E-2</v>
      </c>
      <c r="BG240">
        <v>3.950634</v>
      </c>
      <c r="BH240">
        <v>3.950634</v>
      </c>
      <c r="BI240">
        <v>15.513552000000001</v>
      </c>
      <c r="BJ240">
        <v>227.970829547178</v>
      </c>
      <c r="BK240">
        <v>1</v>
      </c>
      <c r="BL240">
        <v>8.7730522539775438E-2</v>
      </c>
      <c r="BM240">
        <v>3.8658999999999999</v>
      </c>
      <c r="BN240">
        <v>3.8658999999999999</v>
      </c>
      <c r="BO240">
        <v>15.2538</v>
      </c>
      <c r="BP240">
        <v>0</v>
      </c>
      <c r="BQ240">
        <v>0</v>
      </c>
      <c r="BS240">
        <v>0</v>
      </c>
      <c r="BT240">
        <v>0</v>
      </c>
      <c r="BU240">
        <v>0</v>
      </c>
      <c r="BV240">
        <v>226.15119000000001</v>
      </c>
      <c r="BW240">
        <v>8.8436412826304378E-2</v>
      </c>
      <c r="BX240">
        <v>10</v>
      </c>
      <c r="BY240">
        <v>4.4218206413152189E-2</v>
      </c>
      <c r="BZ240">
        <v>4.1300485805503127E-2</v>
      </c>
      <c r="CA240">
        <v>4.3865261269887719E-2</v>
      </c>
      <c r="CC240">
        <v>0.52453741991489766</v>
      </c>
      <c r="CD240">
        <v>0.55711138795694104</v>
      </c>
      <c r="CF240">
        <v>0.56159397287594881</v>
      </c>
    </row>
    <row r="241" spans="1:84" x14ac:dyDescent="0.3">
      <c r="A241" s="1">
        <v>111</v>
      </c>
      <c r="B241" t="s">
        <v>357</v>
      </c>
      <c r="C241" t="s">
        <v>358</v>
      </c>
      <c r="D241" t="s">
        <v>359</v>
      </c>
      <c r="E241" t="s">
        <v>106</v>
      </c>
      <c r="F241">
        <v>4.3</v>
      </c>
      <c r="G241" t="s">
        <v>360</v>
      </c>
      <c r="H241">
        <v>7221084</v>
      </c>
      <c r="I241">
        <v>-1</v>
      </c>
      <c r="J241">
        <v>1</v>
      </c>
      <c r="K241">
        <v>3.87</v>
      </c>
      <c r="L241">
        <v>3.87</v>
      </c>
      <c r="M241">
        <v>17.2</v>
      </c>
      <c r="N241" t="s">
        <v>101</v>
      </c>
      <c r="O241">
        <v>17.2</v>
      </c>
      <c r="Q241" t="s">
        <v>87</v>
      </c>
      <c r="R241">
        <v>1273</v>
      </c>
      <c r="S241">
        <v>10</v>
      </c>
      <c r="T241" t="b">
        <v>0</v>
      </c>
      <c r="U241" t="s">
        <v>172</v>
      </c>
      <c r="V241" t="s">
        <v>173</v>
      </c>
      <c r="W241">
        <v>0.5</v>
      </c>
      <c r="Y241">
        <v>1</v>
      </c>
      <c r="Z241">
        <v>0</v>
      </c>
      <c r="AC241" t="s">
        <v>90</v>
      </c>
      <c r="AD241">
        <v>400</v>
      </c>
      <c r="AF241" t="s">
        <v>91</v>
      </c>
      <c r="AH241">
        <v>1542</v>
      </c>
      <c r="AI241" t="s">
        <v>361</v>
      </c>
      <c r="AL241" t="b">
        <v>1</v>
      </c>
      <c r="AM241" t="b">
        <v>0</v>
      </c>
      <c r="AN241" t="b">
        <v>0</v>
      </c>
      <c r="AO241" t="b">
        <v>0</v>
      </c>
      <c r="AP241" t="s">
        <v>368</v>
      </c>
      <c r="AQ241">
        <v>7221084</v>
      </c>
      <c r="AS241">
        <v>7.3408355541232746</v>
      </c>
      <c r="AT241">
        <v>1.9375</v>
      </c>
      <c r="AU241">
        <v>2.5</v>
      </c>
      <c r="AV241">
        <v>0.5625</v>
      </c>
      <c r="AW241">
        <v>2.625</v>
      </c>
      <c r="AX241">
        <v>0.25409836065573771</v>
      </c>
      <c r="AY241">
        <v>0.32786885245901642</v>
      </c>
      <c r="AZ241">
        <v>7.3770491803278687E-2</v>
      </c>
      <c r="BA241">
        <v>0.34426229508196721</v>
      </c>
      <c r="BB241">
        <v>6.0109294267394651</v>
      </c>
      <c r="BC241">
        <v>20</v>
      </c>
      <c r="BD241">
        <v>228.79463039162999</v>
      </c>
      <c r="BE241">
        <v>1</v>
      </c>
      <c r="BF241">
        <v>8.7414638908989289E-2</v>
      </c>
      <c r="BG241">
        <v>14.953465080000001</v>
      </c>
      <c r="BH241">
        <v>14.953465080000001</v>
      </c>
      <c r="BI241">
        <v>14.953465080000001</v>
      </c>
      <c r="BJ241">
        <v>435.46461117984001</v>
      </c>
      <c r="BK241">
        <v>2</v>
      </c>
      <c r="BL241">
        <v>9.1855914288016927E-2</v>
      </c>
      <c r="BM241">
        <v>3.8607</v>
      </c>
      <c r="BN241">
        <v>3.8607</v>
      </c>
      <c r="BO241">
        <v>29.216000000000001</v>
      </c>
      <c r="BP241">
        <v>0</v>
      </c>
      <c r="BQ241">
        <v>0</v>
      </c>
      <c r="BS241">
        <v>0</v>
      </c>
      <c r="BT241">
        <v>0</v>
      </c>
      <c r="BU241">
        <v>0</v>
      </c>
      <c r="BV241">
        <v>257.60268000000002</v>
      </c>
      <c r="BW241">
        <v>7.7638943818441636E-2</v>
      </c>
      <c r="BX241">
        <v>10</v>
      </c>
      <c r="BY241">
        <v>3.8819471909220818E-2</v>
      </c>
      <c r="BZ241">
        <v>4.3707319454494638E-2</v>
      </c>
      <c r="CA241">
        <v>4.5927957144008463E-2</v>
      </c>
      <c r="CC241">
        <v>0.47751984033781458</v>
      </c>
      <c r="CD241">
        <v>0.50178118988245535</v>
      </c>
      <c r="CF241">
        <v>0.42411816280312159</v>
      </c>
    </row>
    <row r="242" spans="1:84" x14ac:dyDescent="0.3">
      <c r="A242" s="1">
        <v>112</v>
      </c>
      <c r="B242" t="s">
        <v>363</v>
      </c>
      <c r="C242" t="s">
        <v>364</v>
      </c>
      <c r="D242" t="s">
        <v>365</v>
      </c>
      <c r="E242" t="s">
        <v>106</v>
      </c>
      <c r="F242">
        <v>4.2</v>
      </c>
      <c r="G242" t="s">
        <v>360</v>
      </c>
      <c r="H242">
        <v>-1</v>
      </c>
      <c r="I242">
        <v>-1</v>
      </c>
      <c r="J242">
        <v>1</v>
      </c>
      <c r="K242">
        <v>3.87</v>
      </c>
      <c r="L242">
        <v>3.87</v>
      </c>
      <c r="M242">
        <v>14.4</v>
      </c>
      <c r="N242" t="s">
        <v>101</v>
      </c>
      <c r="O242">
        <v>14.4</v>
      </c>
      <c r="Q242" t="s">
        <v>87</v>
      </c>
      <c r="R242">
        <v>1273</v>
      </c>
      <c r="S242">
        <v>10</v>
      </c>
      <c r="T242" t="b">
        <v>0</v>
      </c>
      <c r="U242" t="s">
        <v>172</v>
      </c>
      <c r="V242" t="s">
        <v>173</v>
      </c>
      <c r="W242">
        <v>0.5</v>
      </c>
      <c r="Y242">
        <v>1</v>
      </c>
      <c r="Z242">
        <v>0</v>
      </c>
      <c r="AC242" t="s">
        <v>90</v>
      </c>
      <c r="AD242">
        <v>400</v>
      </c>
      <c r="AF242" t="s">
        <v>91</v>
      </c>
      <c r="AH242">
        <v>111</v>
      </c>
      <c r="AI242" t="s">
        <v>366</v>
      </c>
      <c r="AL242" t="b">
        <v>1</v>
      </c>
      <c r="AM242" t="b">
        <v>0</v>
      </c>
      <c r="AN242" t="b">
        <v>0</v>
      </c>
      <c r="AO242" t="b">
        <v>0</v>
      </c>
      <c r="AP242" t="s">
        <v>369</v>
      </c>
      <c r="AQ242">
        <v>-1</v>
      </c>
      <c r="AS242">
        <v>4.7095302013123339</v>
      </c>
      <c r="AT242">
        <v>1.9375</v>
      </c>
      <c r="AU242">
        <v>2.5</v>
      </c>
      <c r="AV242">
        <v>0.5625</v>
      </c>
      <c r="AW242">
        <v>2.625</v>
      </c>
      <c r="AX242">
        <v>0.25409836065573771</v>
      </c>
      <c r="AY242">
        <v>0.32786885245901642</v>
      </c>
      <c r="AZ242">
        <v>7.3770491803278687E-2</v>
      </c>
      <c r="BA242">
        <v>0.34426229508196721</v>
      </c>
      <c r="BB242">
        <v>6.2465261493751134</v>
      </c>
      <c r="BC242">
        <v>20</v>
      </c>
      <c r="BD242">
        <v>228.79463039162999</v>
      </c>
      <c r="BE242">
        <v>1</v>
      </c>
      <c r="BF242">
        <v>8.7414638908989289E-2</v>
      </c>
      <c r="BG242">
        <v>14.953465080000001</v>
      </c>
      <c r="BH242">
        <v>14.953465080000001</v>
      </c>
      <c r="BI242">
        <v>14.953465080000001</v>
      </c>
      <c r="BJ242">
        <v>0</v>
      </c>
      <c r="BK242">
        <v>0</v>
      </c>
      <c r="BM242">
        <v>0</v>
      </c>
      <c r="BP242">
        <v>0</v>
      </c>
      <c r="BQ242">
        <v>0</v>
      </c>
      <c r="BS242">
        <v>0</v>
      </c>
      <c r="BT242">
        <v>0</v>
      </c>
      <c r="BU242">
        <v>0</v>
      </c>
      <c r="BV242">
        <v>215.66736</v>
      </c>
      <c r="BW242">
        <v>9.2735405116471964E-2</v>
      </c>
      <c r="BX242">
        <v>10</v>
      </c>
      <c r="BY242">
        <v>4.6367702558235982E-2</v>
      </c>
      <c r="BZ242">
        <v>4.3707319454494638E-2</v>
      </c>
      <c r="CC242">
        <v>0.45265797121107831</v>
      </c>
      <c r="CF242">
        <v>0.48021041856803798</v>
      </c>
    </row>
    <row r="243" spans="1:84" x14ac:dyDescent="0.3">
      <c r="A243" s="1">
        <v>190</v>
      </c>
      <c r="B243" t="s">
        <v>501</v>
      </c>
      <c r="C243" t="s">
        <v>502</v>
      </c>
      <c r="F243">
        <v>2.39</v>
      </c>
      <c r="G243" t="s">
        <v>503</v>
      </c>
      <c r="H243">
        <v>-1</v>
      </c>
      <c r="I243" t="s">
        <v>504</v>
      </c>
      <c r="J243">
        <v>4</v>
      </c>
      <c r="K243">
        <v>5.4930000000000003</v>
      </c>
      <c r="L243">
        <v>5.4930000000000003</v>
      </c>
      <c r="M243">
        <v>28.75</v>
      </c>
      <c r="O243">
        <v>14.375</v>
      </c>
      <c r="Q243" t="s">
        <v>87</v>
      </c>
      <c r="R243">
        <v>1173</v>
      </c>
      <c r="S243">
        <v>20</v>
      </c>
      <c r="T243" t="b">
        <v>0</v>
      </c>
      <c r="U243" t="s">
        <v>125</v>
      </c>
      <c r="V243" t="s">
        <v>126</v>
      </c>
      <c r="W243">
        <v>0.5</v>
      </c>
      <c r="Y243">
        <v>0.4</v>
      </c>
      <c r="Z243">
        <v>20</v>
      </c>
      <c r="AC243" t="s">
        <v>165</v>
      </c>
      <c r="AD243">
        <v>300</v>
      </c>
      <c r="AE243">
        <v>300</v>
      </c>
      <c r="AF243" t="s">
        <v>407</v>
      </c>
      <c r="AH243">
        <v>0.94</v>
      </c>
      <c r="AL243" t="b">
        <v>1</v>
      </c>
      <c r="AM243" t="b">
        <v>0</v>
      </c>
      <c r="AN243" t="b">
        <v>1</v>
      </c>
      <c r="AO243" t="b">
        <v>0</v>
      </c>
      <c r="AP243" t="s">
        <v>503</v>
      </c>
      <c r="AQ243">
        <v>-1</v>
      </c>
      <c r="AR243" t="s">
        <v>504</v>
      </c>
      <c r="AS243">
        <v>-6.1875403718087529E-2</v>
      </c>
      <c r="AT243">
        <v>1.928571428571429</v>
      </c>
      <c r="AU243">
        <v>3.5</v>
      </c>
      <c r="AV243">
        <v>3.1428571428571428</v>
      </c>
      <c r="AW243">
        <v>4</v>
      </c>
      <c r="AX243">
        <v>0.15340909090909091</v>
      </c>
      <c r="AY243">
        <v>0.27840909090909088</v>
      </c>
      <c r="AZ243">
        <v>0.25</v>
      </c>
      <c r="BA243">
        <v>0.31818181818181818</v>
      </c>
      <c r="BB243">
        <v>6.3500525582857126</v>
      </c>
      <c r="BC243">
        <v>16</v>
      </c>
      <c r="BD243">
        <v>883.36082823090169</v>
      </c>
      <c r="BE243">
        <v>4</v>
      </c>
      <c r="BF243">
        <v>7.2450575070407169E-2</v>
      </c>
      <c r="BG243">
        <v>5.5026178200000002</v>
      </c>
      <c r="BH243">
        <v>5.5582516699999998</v>
      </c>
      <c r="BI243">
        <v>28.882220520000001</v>
      </c>
      <c r="BJ243">
        <v>0</v>
      </c>
      <c r="BK243">
        <v>0</v>
      </c>
      <c r="BM243">
        <v>0</v>
      </c>
      <c r="BP243">
        <v>861.65719524499991</v>
      </c>
      <c r="BQ243">
        <v>4</v>
      </c>
      <c r="BR243">
        <v>7.4275477943177293E-2</v>
      </c>
      <c r="BS243">
        <v>28.8125</v>
      </c>
      <c r="BT243">
        <v>5.4901</v>
      </c>
      <c r="BU243">
        <v>5.4471999999999996</v>
      </c>
      <c r="BV243">
        <v>867.47515875000011</v>
      </c>
      <c r="BW243">
        <v>7.3777328785093577E-2</v>
      </c>
      <c r="BX243">
        <v>8</v>
      </c>
      <c r="BY243">
        <v>3.6888664392546788E-2</v>
      </c>
      <c r="BZ243">
        <v>3.6225287535203578E-2</v>
      </c>
      <c r="CB243">
        <v>3.7137738971588653E-2</v>
      </c>
      <c r="CC243">
        <v>0.52239337321040402</v>
      </c>
      <c r="CE243">
        <v>0.53555154575163377</v>
      </c>
      <c r="CF243">
        <v>0.53195972030648886</v>
      </c>
    </row>
    <row r="244" spans="1:84" x14ac:dyDescent="0.3">
      <c r="A244" s="1">
        <v>211</v>
      </c>
      <c r="B244" t="s">
        <v>574</v>
      </c>
      <c r="C244" t="s">
        <v>575</v>
      </c>
      <c r="E244" t="s">
        <v>94</v>
      </c>
      <c r="F244">
        <v>3.8</v>
      </c>
      <c r="G244" t="s">
        <v>518</v>
      </c>
      <c r="H244">
        <v>-1</v>
      </c>
      <c r="I244" t="s">
        <v>576</v>
      </c>
      <c r="J244">
        <v>1</v>
      </c>
      <c r="K244">
        <v>3.89</v>
      </c>
      <c r="L244">
        <v>3.89</v>
      </c>
      <c r="M244">
        <v>10.34</v>
      </c>
      <c r="N244" t="s">
        <v>206</v>
      </c>
      <c r="O244">
        <v>10.34</v>
      </c>
      <c r="P244">
        <v>2</v>
      </c>
      <c r="Q244" t="s">
        <v>87</v>
      </c>
      <c r="R244">
        <v>1373</v>
      </c>
      <c r="S244">
        <v>10</v>
      </c>
      <c r="T244" t="b">
        <v>0</v>
      </c>
      <c r="U244" t="s">
        <v>172</v>
      </c>
      <c r="V244" t="s">
        <v>173</v>
      </c>
      <c r="W244">
        <v>0.5</v>
      </c>
      <c r="Y244">
        <v>1</v>
      </c>
      <c r="Z244">
        <v>0</v>
      </c>
      <c r="AC244" t="s">
        <v>90</v>
      </c>
      <c r="AD244">
        <v>400</v>
      </c>
      <c r="AF244" t="s">
        <v>91</v>
      </c>
      <c r="AH244">
        <v>26.5</v>
      </c>
      <c r="AI244" t="s">
        <v>577</v>
      </c>
      <c r="AL244" t="b">
        <v>1</v>
      </c>
      <c r="AM244" t="b">
        <v>0</v>
      </c>
      <c r="AN244" t="b">
        <v>1</v>
      </c>
      <c r="AO244" t="b">
        <v>0</v>
      </c>
      <c r="AP244" t="s">
        <v>578</v>
      </c>
      <c r="AQ244">
        <v>-1</v>
      </c>
      <c r="AR244" t="s">
        <v>576</v>
      </c>
      <c r="AS244">
        <v>3.277144732992177</v>
      </c>
      <c r="AT244">
        <v>1.9090909090909089</v>
      </c>
      <c r="AU244">
        <v>2.545454545454545</v>
      </c>
      <c r="AV244">
        <v>0.63636363636363635</v>
      </c>
      <c r="AW244">
        <v>2.545454545454545</v>
      </c>
      <c r="AX244">
        <v>0.25</v>
      </c>
      <c r="AY244">
        <v>0.33333333333333331</v>
      </c>
      <c r="AZ244">
        <v>8.3333333333333329E-2</v>
      </c>
      <c r="BA244">
        <v>0.33333333333333331</v>
      </c>
      <c r="BB244">
        <v>6.4453687410319089</v>
      </c>
      <c r="BC244">
        <v>14</v>
      </c>
      <c r="BD244">
        <v>167.3639996655379</v>
      </c>
      <c r="BE244">
        <v>1</v>
      </c>
      <c r="BF244">
        <v>8.365000853216796E-2</v>
      </c>
      <c r="BG244">
        <v>11.210029909999999</v>
      </c>
      <c r="BH244">
        <v>11.210029909999999</v>
      </c>
      <c r="BI244">
        <v>11.210029909999999</v>
      </c>
      <c r="BJ244">
        <v>0</v>
      </c>
      <c r="BK244">
        <v>0</v>
      </c>
      <c r="BM244">
        <v>0</v>
      </c>
      <c r="BP244">
        <v>160.479904</v>
      </c>
      <c r="BQ244">
        <v>1</v>
      </c>
      <c r="BR244">
        <v>8.7238337331009372E-2</v>
      </c>
      <c r="BS244">
        <v>3.88</v>
      </c>
      <c r="BT244">
        <v>3.88</v>
      </c>
      <c r="BU244">
        <v>10.66</v>
      </c>
      <c r="BV244">
        <v>156.465914</v>
      </c>
      <c r="BW244">
        <v>8.9476357131688125E-2</v>
      </c>
      <c r="BX244">
        <v>7</v>
      </c>
      <c r="BY244">
        <v>4.4738178565844063E-2</v>
      </c>
      <c r="BZ244">
        <v>4.182500426608398E-2</v>
      </c>
      <c r="CB244">
        <v>4.3619168665504693E-2</v>
      </c>
      <c r="CC244">
        <v>0.41450373348008429</v>
      </c>
      <c r="CE244">
        <v>0.43228467230093198</v>
      </c>
      <c r="CF244">
        <v>0.4433745404224273</v>
      </c>
    </row>
    <row r="245" spans="1:84" x14ac:dyDescent="0.3">
      <c r="A245" s="1">
        <v>212</v>
      </c>
      <c r="B245" t="s">
        <v>516</v>
      </c>
      <c r="C245" t="s">
        <v>517</v>
      </c>
      <c r="E245" t="s">
        <v>94</v>
      </c>
      <c r="F245">
        <v>3.85</v>
      </c>
      <c r="G245" t="s">
        <v>518</v>
      </c>
      <c r="H245" t="s">
        <v>519</v>
      </c>
      <c r="I245">
        <v>-1</v>
      </c>
      <c r="J245">
        <v>1</v>
      </c>
      <c r="K245">
        <v>3.85</v>
      </c>
      <c r="L245">
        <v>3.85</v>
      </c>
      <c r="M245">
        <v>12.77</v>
      </c>
      <c r="N245" t="s">
        <v>206</v>
      </c>
      <c r="O245">
        <v>12.77</v>
      </c>
      <c r="P245">
        <v>2</v>
      </c>
      <c r="Q245" t="s">
        <v>87</v>
      </c>
      <c r="R245">
        <v>1373</v>
      </c>
      <c r="S245">
        <v>10</v>
      </c>
      <c r="T245" t="b">
        <v>0</v>
      </c>
      <c r="U245" t="s">
        <v>172</v>
      </c>
      <c r="V245" t="s">
        <v>173</v>
      </c>
      <c r="W245">
        <v>0.5</v>
      </c>
      <c r="Y245">
        <v>1</v>
      </c>
      <c r="Z245">
        <v>0</v>
      </c>
      <c r="AC245" t="s">
        <v>90</v>
      </c>
      <c r="AD245">
        <v>400</v>
      </c>
      <c r="AF245" t="s">
        <v>91</v>
      </c>
      <c r="AH245">
        <v>276.5</v>
      </c>
      <c r="AL245" t="b">
        <v>1</v>
      </c>
      <c r="AM245" t="b">
        <v>1</v>
      </c>
      <c r="AN245" t="b">
        <v>0</v>
      </c>
      <c r="AO245" t="b">
        <v>0</v>
      </c>
      <c r="AP245" t="s">
        <v>518</v>
      </c>
      <c r="AQ245" t="s">
        <v>519</v>
      </c>
      <c r="AS245">
        <v>5.6222108209623904</v>
      </c>
      <c r="AT245">
        <v>1.9090909090909089</v>
      </c>
      <c r="AU245">
        <v>2.545454545454545</v>
      </c>
      <c r="AV245">
        <v>0.63636363636363635</v>
      </c>
      <c r="AW245">
        <v>2.545454545454545</v>
      </c>
      <c r="AX245">
        <v>0.25</v>
      </c>
      <c r="AY245">
        <v>0.33333333333333331</v>
      </c>
      <c r="AZ245">
        <v>8.3333333333333329E-2</v>
      </c>
      <c r="BA245">
        <v>0.33333333333333331</v>
      </c>
      <c r="BB245">
        <v>6.0514766237727269</v>
      </c>
      <c r="BC245">
        <v>14</v>
      </c>
      <c r="BD245">
        <v>167.3639996655379</v>
      </c>
      <c r="BE245">
        <v>1</v>
      </c>
      <c r="BF245">
        <v>8.365000853216796E-2</v>
      </c>
      <c r="BG245">
        <v>11.210029909999999</v>
      </c>
      <c r="BH245">
        <v>11.210029909999999</v>
      </c>
      <c r="BI245">
        <v>11.210029909999999</v>
      </c>
      <c r="BJ245">
        <v>325.28959047900003</v>
      </c>
      <c r="BK245">
        <v>2</v>
      </c>
      <c r="BL245">
        <v>8.607714731593176E-2</v>
      </c>
      <c r="BM245">
        <v>3.8955000000000002</v>
      </c>
      <c r="BN245">
        <v>3.8955000000000002</v>
      </c>
      <c r="BO245">
        <v>21.436</v>
      </c>
      <c r="BP245">
        <v>0</v>
      </c>
      <c r="BQ245">
        <v>0</v>
      </c>
      <c r="BS245">
        <v>0</v>
      </c>
      <c r="BT245">
        <v>0</v>
      </c>
      <c r="BU245">
        <v>0</v>
      </c>
      <c r="BV245">
        <v>189.28332499999999</v>
      </c>
      <c r="BW245">
        <v>7.3963197761873628E-2</v>
      </c>
      <c r="BX245">
        <v>7</v>
      </c>
      <c r="BY245">
        <v>3.6981598880936807E-2</v>
      </c>
      <c r="BZ245">
        <v>4.182500426608398E-2</v>
      </c>
      <c r="CA245">
        <v>4.303857365796588E-2</v>
      </c>
      <c r="CC245">
        <v>0.45356967584663083</v>
      </c>
      <c r="CD245">
        <v>0.46673018318792042</v>
      </c>
      <c r="CF245">
        <v>0.40104554945182641</v>
      </c>
    </row>
    <row r="246" spans="1:84" x14ac:dyDescent="0.3">
      <c r="A246" s="1">
        <v>213</v>
      </c>
      <c r="B246" t="s">
        <v>174</v>
      </c>
      <c r="C246" t="s">
        <v>175</v>
      </c>
      <c r="E246" t="s">
        <v>94</v>
      </c>
      <c r="F246">
        <v>3.9</v>
      </c>
      <c r="G246" t="s">
        <v>176</v>
      </c>
      <c r="H246">
        <v>-1</v>
      </c>
      <c r="I246">
        <v>-1</v>
      </c>
      <c r="J246">
        <v>1</v>
      </c>
      <c r="K246">
        <v>3.88</v>
      </c>
      <c r="L246">
        <v>3.88</v>
      </c>
      <c r="M246">
        <v>11.07</v>
      </c>
      <c r="N246" t="s">
        <v>101</v>
      </c>
      <c r="O246">
        <v>11.07</v>
      </c>
      <c r="P246">
        <v>2</v>
      </c>
      <c r="Q246" t="s">
        <v>87</v>
      </c>
      <c r="R246">
        <v>1373</v>
      </c>
      <c r="S246">
        <v>10</v>
      </c>
      <c r="T246" t="b">
        <v>0</v>
      </c>
      <c r="U246" t="s">
        <v>172</v>
      </c>
      <c r="V246" t="s">
        <v>173</v>
      </c>
      <c r="W246">
        <v>0.5</v>
      </c>
      <c r="Y246">
        <v>1</v>
      </c>
      <c r="Z246">
        <v>0</v>
      </c>
      <c r="AC246" t="s">
        <v>90</v>
      </c>
      <c r="AD246">
        <v>400</v>
      </c>
      <c r="AF246" t="s">
        <v>91</v>
      </c>
      <c r="AH246">
        <v>277.5</v>
      </c>
      <c r="AL246" t="b">
        <v>1</v>
      </c>
      <c r="AM246" t="b">
        <v>0</v>
      </c>
      <c r="AN246" t="b">
        <v>0</v>
      </c>
      <c r="AO246" t="b">
        <v>0</v>
      </c>
      <c r="AP246" t="s">
        <v>176</v>
      </c>
      <c r="AQ246">
        <v>-1</v>
      </c>
      <c r="AS246">
        <v>5.625820933186489</v>
      </c>
      <c r="AT246">
        <v>1.9090909090909089</v>
      </c>
      <c r="AU246">
        <v>2.545454545454545</v>
      </c>
      <c r="AV246">
        <v>0.63636363636363635</v>
      </c>
      <c r="AW246">
        <v>2.545454545454545</v>
      </c>
      <c r="AX246">
        <v>0.25</v>
      </c>
      <c r="AY246">
        <v>0.33333333333333331</v>
      </c>
      <c r="AZ246">
        <v>8.3333333333333329E-2</v>
      </c>
      <c r="BA246">
        <v>0.33333333333333331</v>
      </c>
      <c r="BB246">
        <v>6.0049330374090903</v>
      </c>
      <c r="BC246">
        <v>14</v>
      </c>
      <c r="BD246">
        <v>173.0114278564659</v>
      </c>
      <c r="BE246">
        <v>1</v>
      </c>
      <c r="BF246">
        <v>8.0919510193365449E-2</v>
      </c>
      <c r="BG246">
        <v>3.9103940000000001</v>
      </c>
      <c r="BH246">
        <v>3.9103940000000001</v>
      </c>
      <c r="BI246">
        <v>11.314458</v>
      </c>
      <c r="BJ246">
        <v>0</v>
      </c>
      <c r="BK246">
        <v>0</v>
      </c>
      <c r="BM246">
        <v>0</v>
      </c>
      <c r="BP246">
        <v>0</v>
      </c>
      <c r="BQ246">
        <v>0</v>
      </c>
      <c r="BS246">
        <v>0</v>
      </c>
      <c r="BT246">
        <v>0</v>
      </c>
      <c r="BU246">
        <v>0</v>
      </c>
      <c r="BV246">
        <v>166.652208</v>
      </c>
      <c r="BW246">
        <v>8.4007287800231242E-2</v>
      </c>
      <c r="BX246">
        <v>7</v>
      </c>
      <c r="BY246">
        <v>4.2003643900115621E-2</v>
      </c>
      <c r="BZ246">
        <v>4.0459755096682717E-2</v>
      </c>
      <c r="CC246">
        <v>0.51172189361529641</v>
      </c>
      <c r="CF246">
        <v>0.53124849974863197</v>
      </c>
    </row>
    <row r="247" spans="1:84" x14ac:dyDescent="0.3">
      <c r="A247" s="1">
        <v>214</v>
      </c>
      <c r="B247" t="s">
        <v>579</v>
      </c>
      <c r="C247" t="s">
        <v>580</v>
      </c>
      <c r="E247" t="s">
        <v>106</v>
      </c>
      <c r="F247">
        <v>4.2</v>
      </c>
      <c r="G247" t="s">
        <v>581</v>
      </c>
      <c r="H247" t="s">
        <v>582</v>
      </c>
      <c r="I247">
        <v>-1</v>
      </c>
      <c r="J247">
        <v>2</v>
      </c>
      <c r="K247">
        <v>3.85</v>
      </c>
      <c r="L247">
        <v>3.85</v>
      </c>
      <c r="M247">
        <v>28.361999999999998</v>
      </c>
      <c r="N247" t="s">
        <v>206</v>
      </c>
      <c r="O247">
        <v>14.180999999999999</v>
      </c>
      <c r="Q247" t="s">
        <v>87</v>
      </c>
      <c r="R247">
        <v>1273</v>
      </c>
      <c r="T247" t="b">
        <v>0</v>
      </c>
      <c r="U247" t="s">
        <v>172</v>
      </c>
      <c r="V247" t="s">
        <v>173</v>
      </c>
      <c r="W247">
        <v>0.5</v>
      </c>
      <c r="X247">
        <v>5</v>
      </c>
      <c r="Y247">
        <v>1</v>
      </c>
      <c r="Z247">
        <v>0</v>
      </c>
      <c r="AC247" t="s">
        <v>90</v>
      </c>
      <c r="AD247">
        <v>400</v>
      </c>
      <c r="AF247" t="s">
        <v>91</v>
      </c>
      <c r="AH247">
        <v>1780</v>
      </c>
      <c r="AL247" t="b">
        <v>1</v>
      </c>
      <c r="AM247" t="b">
        <v>1</v>
      </c>
      <c r="AN247" t="b">
        <v>0</v>
      </c>
      <c r="AO247" t="b">
        <v>0</v>
      </c>
      <c r="AP247" t="s">
        <v>581</v>
      </c>
      <c r="AQ247" t="s">
        <v>582</v>
      </c>
      <c r="AS247">
        <v>7.4843686432861309</v>
      </c>
      <c r="AT247">
        <v>1.9375</v>
      </c>
      <c r="AU247">
        <v>2.5</v>
      </c>
      <c r="AV247">
        <v>0.5625</v>
      </c>
      <c r="AW247">
        <v>2.625</v>
      </c>
      <c r="AX247">
        <v>0.25409836065573771</v>
      </c>
      <c r="AY247">
        <v>0.32786885245901642</v>
      </c>
      <c r="AZ247">
        <v>7.3770491803278687E-2</v>
      </c>
      <c r="BA247">
        <v>0.34426229508196721</v>
      </c>
      <c r="BB247">
        <v>6.0222546136249999</v>
      </c>
      <c r="BC247">
        <v>20</v>
      </c>
      <c r="BD247">
        <v>215.8165104701838</v>
      </c>
      <c r="BE247">
        <v>1</v>
      </c>
      <c r="BF247">
        <v>9.2671315815585423E-2</v>
      </c>
      <c r="BG247">
        <v>14.183127929999999</v>
      </c>
      <c r="BH247">
        <v>14.183127929999999</v>
      </c>
      <c r="BI247">
        <v>14.183127929999999</v>
      </c>
      <c r="BJ247">
        <v>420.38220671275002</v>
      </c>
      <c r="BK247">
        <v>2</v>
      </c>
      <c r="BL247">
        <v>9.5151505846992876E-2</v>
      </c>
      <c r="BM247">
        <v>3.8515000000000001</v>
      </c>
      <c r="BN247">
        <v>3.8515000000000001</v>
      </c>
      <c r="BO247">
        <v>28.338999999999999</v>
      </c>
      <c r="BP247">
        <v>0</v>
      </c>
      <c r="BQ247">
        <v>0</v>
      </c>
      <c r="BS247">
        <v>0</v>
      </c>
      <c r="BT247">
        <v>0</v>
      </c>
      <c r="BU247">
        <v>0</v>
      </c>
      <c r="BV247">
        <v>420.39574499999998</v>
      </c>
      <c r="BW247">
        <v>9.5148441618979743E-2</v>
      </c>
      <c r="BX247">
        <v>10</v>
      </c>
      <c r="BY247">
        <v>4.7574220809489871E-2</v>
      </c>
      <c r="BZ247">
        <v>4.6335657907792711E-2</v>
      </c>
      <c r="CA247">
        <v>4.7575752923496438E-2</v>
      </c>
      <c r="CC247">
        <v>0.48754533225959712</v>
      </c>
      <c r="CD247">
        <v>0.5005936532237214</v>
      </c>
      <c r="CF247">
        <v>0.50057753226923152</v>
      </c>
    </row>
    <row r="248" spans="1:84" x14ac:dyDescent="0.3">
      <c r="A248" s="1">
        <v>215</v>
      </c>
      <c r="B248" t="s">
        <v>583</v>
      </c>
      <c r="C248" t="s">
        <v>584</v>
      </c>
      <c r="E248" t="s">
        <v>106</v>
      </c>
      <c r="F248">
        <v>4.2</v>
      </c>
      <c r="G248" t="s">
        <v>581</v>
      </c>
      <c r="H248" t="s">
        <v>582</v>
      </c>
      <c r="I248">
        <v>-1</v>
      </c>
      <c r="Q248" t="s">
        <v>87</v>
      </c>
      <c r="R248">
        <v>1273</v>
      </c>
      <c r="T248" t="b">
        <v>0</v>
      </c>
      <c r="U248" t="s">
        <v>172</v>
      </c>
      <c r="V248" t="s">
        <v>173</v>
      </c>
      <c r="W248">
        <v>0.5</v>
      </c>
      <c r="X248">
        <v>5</v>
      </c>
      <c r="Y248">
        <v>1</v>
      </c>
      <c r="Z248">
        <v>0</v>
      </c>
      <c r="AC248" t="s">
        <v>90</v>
      </c>
      <c r="AD248">
        <v>400</v>
      </c>
      <c r="AF248" t="s">
        <v>91</v>
      </c>
      <c r="AH248">
        <v>1465</v>
      </c>
      <c r="AI248" t="s">
        <v>585</v>
      </c>
      <c r="AJ248" t="s">
        <v>585</v>
      </c>
      <c r="AL248" t="b">
        <v>1</v>
      </c>
      <c r="AM248" t="b">
        <v>1</v>
      </c>
      <c r="AN248" t="b">
        <v>0</v>
      </c>
      <c r="AO248" t="b">
        <v>0</v>
      </c>
      <c r="AP248" t="s">
        <v>586</v>
      </c>
      <c r="AQ248" t="s">
        <v>587</v>
      </c>
      <c r="AS248">
        <v>7.2896105214511673</v>
      </c>
      <c r="AT248">
        <v>1.9375</v>
      </c>
      <c r="AU248">
        <v>2.5</v>
      </c>
      <c r="AV248">
        <v>0.5625</v>
      </c>
      <c r="AW248">
        <v>2.625</v>
      </c>
      <c r="AX248">
        <v>0.25409836065573771</v>
      </c>
      <c r="AY248">
        <v>0.32786885245901642</v>
      </c>
      <c r="AZ248">
        <v>7.3770491803278687E-2</v>
      </c>
      <c r="BA248">
        <v>0.34426229508196721</v>
      </c>
      <c r="BB248">
        <v>6.0121683321874997</v>
      </c>
      <c r="BC248">
        <v>20</v>
      </c>
      <c r="BD248">
        <v>215.8165104701838</v>
      </c>
      <c r="BE248">
        <v>1</v>
      </c>
      <c r="BF248">
        <v>9.2671315815585423E-2</v>
      </c>
      <c r="BG248">
        <v>14.183127929999999</v>
      </c>
      <c r="BH248">
        <v>14.183127929999999</v>
      </c>
      <c r="BI248">
        <v>14.183127929999999</v>
      </c>
      <c r="BJ248">
        <v>420.38220671275002</v>
      </c>
      <c r="BK248">
        <v>2</v>
      </c>
      <c r="BL248">
        <v>9.5151505846992876E-2</v>
      </c>
      <c r="BM248">
        <v>3.8515000000000001</v>
      </c>
      <c r="BN248">
        <v>3.8515000000000001</v>
      </c>
      <c r="BO248">
        <v>28.338999999999999</v>
      </c>
      <c r="BP248">
        <v>0</v>
      </c>
      <c r="BQ248">
        <v>0</v>
      </c>
      <c r="BS248">
        <v>0</v>
      </c>
      <c r="BT248">
        <v>0</v>
      </c>
      <c r="BU248">
        <v>0</v>
      </c>
      <c r="BX248">
        <v>10</v>
      </c>
      <c r="BZ248">
        <v>4.6335657907792711E-2</v>
      </c>
      <c r="CA248">
        <v>4.7575752923496438E-2</v>
      </c>
      <c r="CC248">
        <v>0.50369163083800172</v>
      </c>
      <c r="CD248">
        <v>0.51717208000086634</v>
      </c>
    </row>
    <row r="249" spans="1:84" x14ac:dyDescent="0.3">
      <c r="A249" s="1">
        <v>216</v>
      </c>
      <c r="B249" t="s">
        <v>588</v>
      </c>
      <c r="C249" t="s">
        <v>589</v>
      </c>
      <c r="E249" t="s">
        <v>106</v>
      </c>
      <c r="F249">
        <v>4.2</v>
      </c>
      <c r="G249" t="s">
        <v>590</v>
      </c>
      <c r="H249" t="s">
        <v>591</v>
      </c>
      <c r="I249">
        <v>-1</v>
      </c>
      <c r="Q249" t="s">
        <v>87</v>
      </c>
      <c r="R249">
        <v>1273</v>
      </c>
      <c r="T249" t="b">
        <v>0</v>
      </c>
      <c r="U249" t="s">
        <v>172</v>
      </c>
      <c r="V249" t="s">
        <v>173</v>
      </c>
      <c r="W249">
        <v>0.5</v>
      </c>
      <c r="X249">
        <v>5</v>
      </c>
      <c r="Y249">
        <v>1</v>
      </c>
      <c r="Z249">
        <v>0</v>
      </c>
      <c r="AC249" t="s">
        <v>90</v>
      </c>
      <c r="AD249">
        <v>400</v>
      </c>
      <c r="AF249" t="s">
        <v>91</v>
      </c>
      <c r="AH249">
        <v>885</v>
      </c>
      <c r="AL249" t="b">
        <v>1</v>
      </c>
      <c r="AM249" t="b">
        <v>1</v>
      </c>
      <c r="AN249" t="b">
        <v>0</v>
      </c>
      <c r="AO249" t="b">
        <v>0</v>
      </c>
      <c r="AP249" t="s">
        <v>590</v>
      </c>
      <c r="AQ249" t="s">
        <v>591</v>
      </c>
      <c r="AS249">
        <v>6.7855876450079293</v>
      </c>
      <c r="AT249">
        <v>1.9375</v>
      </c>
      <c r="AU249">
        <v>2.5</v>
      </c>
      <c r="AV249">
        <v>0.5625</v>
      </c>
      <c r="AW249">
        <v>2.625</v>
      </c>
      <c r="AX249">
        <v>0.25409836065573771</v>
      </c>
      <c r="AY249">
        <v>0.32786885245901642</v>
      </c>
      <c r="AZ249">
        <v>7.3770491803278687E-2</v>
      </c>
      <c r="BA249">
        <v>0.34426229508196721</v>
      </c>
      <c r="BB249">
        <v>5.9857658212499993</v>
      </c>
      <c r="BC249">
        <v>20</v>
      </c>
      <c r="BD249">
        <v>235.24089263777751</v>
      </c>
      <c r="BE249">
        <v>1</v>
      </c>
      <c r="BF249">
        <v>8.5019231884976218E-2</v>
      </c>
      <c r="BG249">
        <v>3.9408639999999999</v>
      </c>
      <c r="BH249">
        <v>3.9455239999999989</v>
      </c>
      <c r="BI249">
        <v>15.25730117</v>
      </c>
      <c r="BJ249">
        <v>443.39967116280002</v>
      </c>
      <c r="BK249">
        <v>2</v>
      </c>
      <c r="BL249">
        <v>9.0212065099420147E-2</v>
      </c>
      <c r="BM249">
        <v>3.8656999999999999</v>
      </c>
      <c r="BN249">
        <v>29.777000000000001</v>
      </c>
      <c r="BO249">
        <v>3.8519999999999999</v>
      </c>
      <c r="BP249">
        <v>0</v>
      </c>
      <c r="BQ249">
        <v>0</v>
      </c>
      <c r="BS249">
        <v>0</v>
      </c>
      <c r="BT249">
        <v>0</v>
      </c>
      <c r="BU249">
        <v>0</v>
      </c>
      <c r="BX249">
        <v>10</v>
      </c>
      <c r="BZ249">
        <v>4.2509615942488109E-2</v>
      </c>
      <c r="CA249">
        <v>4.5106032549710073E-2</v>
      </c>
      <c r="CC249">
        <v>0.49683934576995581</v>
      </c>
      <c r="CD249">
        <v>0.52718546628592722</v>
      </c>
    </row>
    <row r="250" spans="1:84" x14ac:dyDescent="0.3">
      <c r="A250" s="1">
        <v>217</v>
      </c>
      <c r="B250" t="s">
        <v>592</v>
      </c>
      <c r="C250" t="s">
        <v>593</v>
      </c>
      <c r="E250" t="s">
        <v>106</v>
      </c>
      <c r="F250">
        <v>4.2</v>
      </c>
      <c r="G250" t="s">
        <v>581</v>
      </c>
      <c r="H250" t="s">
        <v>582</v>
      </c>
      <c r="I250">
        <v>-1</v>
      </c>
      <c r="Q250" t="s">
        <v>87</v>
      </c>
      <c r="R250">
        <v>1273</v>
      </c>
      <c r="T250" t="b">
        <v>0</v>
      </c>
      <c r="U250" t="s">
        <v>172</v>
      </c>
      <c r="V250" t="s">
        <v>173</v>
      </c>
      <c r="W250">
        <v>0.5</v>
      </c>
      <c r="X250">
        <v>5</v>
      </c>
      <c r="Y250">
        <v>1</v>
      </c>
      <c r="Z250">
        <v>0</v>
      </c>
      <c r="AC250" t="s">
        <v>90</v>
      </c>
      <c r="AD250">
        <v>400</v>
      </c>
      <c r="AF250" t="s">
        <v>91</v>
      </c>
      <c r="AH250">
        <v>900</v>
      </c>
      <c r="AI250" t="s">
        <v>594</v>
      </c>
      <c r="AJ250" t="s">
        <v>594</v>
      </c>
      <c r="AL250" t="b">
        <v>1</v>
      </c>
      <c r="AM250" t="b">
        <v>1</v>
      </c>
      <c r="AN250" t="b">
        <v>0</v>
      </c>
      <c r="AO250" t="b">
        <v>0</v>
      </c>
      <c r="AP250" t="s">
        <v>595</v>
      </c>
      <c r="AQ250" t="s">
        <v>596</v>
      </c>
      <c r="AS250">
        <v>6.8023947633243109</v>
      </c>
      <c r="AT250">
        <v>1.9375</v>
      </c>
      <c r="AU250">
        <v>2.5</v>
      </c>
      <c r="AV250">
        <v>0.5625</v>
      </c>
      <c r="AW250">
        <v>2.625</v>
      </c>
      <c r="AX250">
        <v>0.25409836065573771</v>
      </c>
      <c r="AY250">
        <v>0.32786885245901642</v>
      </c>
      <c r="AZ250">
        <v>7.3770491803278687E-2</v>
      </c>
      <c r="BA250">
        <v>0.34426229508196721</v>
      </c>
      <c r="BB250">
        <v>5.9801696165624998</v>
      </c>
      <c r="BC250">
        <v>20</v>
      </c>
      <c r="BD250">
        <v>215.8165104701838</v>
      </c>
      <c r="BE250">
        <v>1</v>
      </c>
      <c r="BF250">
        <v>9.2671315815585423E-2</v>
      </c>
      <c r="BG250">
        <v>14.183127929999999</v>
      </c>
      <c r="BH250">
        <v>14.183127929999999</v>
      </c>
      <c r="BI250">
        <v>14.183127929999999</v>
      </c>
      <c r="BJ250">
        <v>420.38220671275002</v>
      </c>
      <c r="BK250">
        <v>2</v>
      </c>
      <c r="BL250">
        <v>9.5151505846992876E-2</v>
      </c>
      <c r="BM250">
        <v>3.8515000000000001</v>
      </c>
      <c r="BN250">
        <v>3.8515000000000001</v>
      </c>
      <c r="BO250">
        <v>28.338999999999999</v>
      </c>
      <c r="BP250">
        <v>0</v>
      </c>
      <c r="BQ250">
        <v>0</v>
      </c>
      <c r="BS250">
        <v>0</v>
      </c>
      <c r="BT250">
        <v>0</v>
      </c>
      <c r="BU250">
        <v>0</v>
      </c>
      <c r="BX250">
        <v>10</v>
      </c>
      <c r="BZ250">
        <v>4.6335657907792711E-2</v>
      </c>
      <c r="CA250">
        <v>4.7575752923496438E-2</v>
      </c>
      <c r="CC250">
        <v>0.56217881689991867</v>
      </c>
      <c r="CD250">
        <v>0.57722457604634403</v>
      </c>
    </row>
    <row r="251" spans="1:84" x14ac:dyDescent="0.3">
      <c r="A251" s="1">
        <v>218</v>
      </c>
      <c r="B251" t="s">
        <v>354</v>
      </c>
      <c r="C251" t="s">
        <v>355</v>
      </c>
      <c r="E251" t="s">
        <v>106</v>
      </c>
      <c r="F251">
        <v>4.2</v>
      </c>
      <c r="G251" t="s">
        <v>142</v>
      </c>
      <c r="H251" t="s">
        <v>356</v>
      </c>
      <c r="I251">
        <v>-1</v>
      </c>
      <c r="Q251" t="s">
        <v>87</v>
      </c>
      <c r="R251">
        <v>1273</v>
      </c>
      <c r="T251" t="b">
        <v>0</v>
      </c>
      <c r="U251" t="s">
        <v>172</v>
      </c>
      <c r="V251" t="s">
        <v>173</v>
      </c>
      <c r="W251">
        <v>0.5</v>
      </c>
      <c r="X251">
        <v>5</v>
      </c>
      <c r="Y251">
        <v>1</v>
      </c>
      <c r="Z251">
        <v>0</v>
      </c>
      <c r="AC251" t="s">
        <v>90</v>
      </c>
      <c r="AD251">
        <v>400</v>
      </c>
      <c r="AF251" t="s">
        <v>91</v>
      </c>
      <c r="AH251">
        <v>445</v>
      </c>
      <c r="AL251" t="b">
        <v>1</v>
      </c>
      <c r="AM251" t="b">
        <v>1</v>
      </c>
      <c r="AN251" t="b">
        <v>0</v>
      </c>
      <c r="AO251" t="b">
        <v>0</v>
      </c>
      <c r="AP251" t="s">
        <v>142</v>
      </c>
      <c r="AQ251" t="s">
        <v>356</v>
      </c>
      <c r="AS251">
        <v>6.0980742821662401</v>
      </c>
      <c r="AT251">
        <v>1.9375</v>
      </c>
      <c r="AU251">
        <v>2.5</v>
      </c>
      <c r="AV251">
        <v>0.5625</v>
      </c>
      <c r="AW251">
        <v>2.625</v>
      </c>
      <c r="AX251">
        <v>0.25409836065573771</v>
      </c>
      <c r="AY251">
        <v>0.32786885245901642</v>
      </c>
      <c r="AZ251">
        <v>7.3770491803278687E-2</v>
      </c>
      <c r="BA251">
        <v>0.34426229508196721</v>
      </c>
      <c r="BB251">
        <v>5.9708714839196873</v>
      </c>
      <c r="BC251">
        <v>20</v>
      </c>
      <c r="BD251">
        <v>242.1279024923125</v>
      </c>
      <c r="BE251">
        <v>1</v>
      </c>
      <c r="BF251">
        <v>8.2600971611006269E-2</v>
      </c>
      <c r="BG251">
        <v>3.950634</v>
      </c>
      <c r="BH251">
        <v>3.950634</v>
      </c>
      <c r="BI251">
        <v>15.513552000000001</v>
      </c>
      <c r="BJ251">
        <v>227.970829547178</v>
      </c>
      <c r="BK251">
        <v>1</v>
      </c>
      <c r="BL251">
        <v>8.7730522539775438E-2</v>
      </c>
      <c r="BM251">
        <v>3.8658999999999999</v>
      </c>
      <c r="BN251">
        <v>3.8658999999999999</v>
      </c>
      <c r="BO251">
        <v>15.2538</v>
      </c>
      <c r="BP251">
        <v>0</v>
      </c>
      <c r="BQ251">
        <v>0</v>
      </c>
      <c r="BS251">
        <v>0</v>
      </c>
      <c r="BT251">
        <v>0</v>
      </c>
      <c r="BU251">
        <v>0</v>
      </c>
      <c r="BX251">
        <v>10</v>
      </c>
      <c r="BZ251">
        <v>4.1300485805503127E-2</v>
      </c>
      <c r="CA251">
        <v>4.3865261269887719E-2</v>
      </c>
      <c r="CC251">
        <v>0.52453741991489766</v>
      </c>
      <c r="CD251">
        <v>0.55711138795694104</v>
      </c>
    </row>
    <row r="252" spans="1:84" x14ac:dyDescent="0.3">
      <c r="A252" s="1">
        <v>219</v>
      </c>
      <c r="B252" t="s">
        <v>579</v>
      </c>
      <c r="C252" t="s">
        <v>580</v>
      </c>
      <c r="E252" t="s">
        <v>106</v>
      </c>
      <c r="F252">
        <v>4.2</v>
      </c>
      <c r="G252" t="s">
        <v>581</v>
      </c>
      <c r="H252" t="s">
        <v>582</v>
      </c>
      <c r="I252">
        <v>-1</v>
      </c>
      <c r="J252">
        <v>2</v>
      </c>
      <c r="K252">
        <v>3.85</v>
      </c>
      <c r="L252">
        <v>3.85</v>
      </c>
      <c r="M252">
        <v>28.2</v>
      </c>
      <c r="N252" t="s">
        <v>206</v>
      </c>
      <c r="O252">
        <v>14.1</v>
      </c>
      <c r="Q252" t="s">
        <v>87</v>
      </c>
      <c r="R252">
        <v>1273</v>
      </c>
      <c r="T252" t="b">
        <v>0</v>
      </c>
      <c r="U252" t="s">
        <v>172</v>
      </c>
      <c r="V252" t="s">
        <v>173</v>
      </c>
      <c r="W252">
        <v>0.5</v>
      </c>
      <c r="X252">
        <v>5</v>
      </c>
      <c r="Y252">
        <v>1</v>
      </c>
      <c r="Z252">
        <v>0</v>
      </c>
      <c r="AC252" t="s">
        <v>90</v>
      </c>
      <c r="AD252">
        <v>400</v>
      </c>
      <c r="AF252" t="s">
        <v>91</v>
      </c>
      <c r="AH252">
        <v>2860</v>
      </c>
      <c r="AL252" t="b">
        <v>1</v>
      </c>
      <c r="AM252" t="b">
        <v>1</v>
      </c>
      <c r="AN252" t="b">
        <v>0</v>
      </c>
      <c r="AO252" t="b">
        <v>0</v>
      </c>
      <c r="AP252" t="s">
        <v>581</v>
      </c>
      <c r="AQ252" t="s">
        <v>582</v>
      </c>
      <c r="AS252">
        <v>7.9585769038138983</v>
      </c>
      <c r="AT252">
        <v>1.9375</v>
      </c>
      <c r="AU252">
        <v>2.5</v>
      </c>
      <c r="AV252">
        <v>0.5625</v>
      </c>
      <c r="AW252">
        <v>2.625</v>
      </c>
      <c r="AX252">
        <v>0.25409836065573771</v>
      </c>
      <c r="AY252">
        <v>0.32786885245901642</v>
      </c>
      <c r="AZ252">
        <v>7.3770491803278687E-2</v>
      </c>
      <c r="BA252">
        <v>0.34426229508196721</v>
      </c>
      <c r="BB252">
        <v>6.0222546136249999</v>
      </c>
      <c r="BC252">
        <v>20</v>
      </c>
      <c r="BD252">
        <v>215.8165104701838</v>
      </c>
      <c r="BE252">
        <v>1</v>
      </c>
      <c r="BF252">
        <v>9.2671315815585423E-2</v>
      </c>
      <c r="BG252">
        <v>14.183127929999999</v>
      </c>
      <c r="BH252">
        <v>14.183127929999999</v>
      </c>
      <c r="BI252">
        <v>14.183127929999999</v>
      </c>
      <c r="BJ252">
        <v>420.38220671275002</v>
      </c>
      <c r="BK252">
        <v>2</v>
      </c>
      <c r="BL252">
        <v>9.5151505846992876E-2</v>
      </c>
      <c r="BM252">
        <v>3.8515000000000001</v>
      </c>
      <c r="BN252">
        <v>3.8515000000000001</v>
      </c>
      <c r="BO252">
        <v>28.338999999999999</v>
      </c>
      <c r="BP252">
        <v>0</v>
      </c>
      <c r="BQ252">
        <v>0</v>
      </c>
      <c r="BS252">
        <v>0</v>
      </c>
      <c r="BT252">
        <v>0</v>
      </c>
      <c r="BU252">
        <v>0</v>
      </c>
      <c r="BV252">
        <v>417.99450000000002</v>
      </c>
      <c r="BW252">
        <v>9.5695039049556868E-2</v>
      </c>
      <c r="BX252">
        <v>10</v>
      </c>
      <c r="BY252">
        <v>4.7847519524778427E-2</v>
      </c>
      <c r="BZ252">
        <v>4.6335657907792711E-2</v>
      </c>
      <c r="CA252">
        <v>4.7575752923496438E-2</v>
      </c>
      <c r="CC252">
        <v>0.48754533225959712</v>
      </c>
      <c r="CD252">
        <v>0.5005936532237214</v>
      </c>
      <c r="CF252">
        <v>0.50345319043333137</v>
      </c>
    </row>
    <row r="253" spans="1:84" x14ac:dyDescent="0.3">
      <c r="A253" s="1">
        <v>368</v>
      </c>
      <c r="B253" t="s">
        <v>285</v>
      </c>
      <c r="C253" t="s">
        <v>286</v>
      </c>
      <c r="F253">
        <v>4.2</v>
      </c>
      <c r="G253" t="s">
        <v>287</v>
      </c>
      <c r="H253" t="s">
        <v>288</v>
      </c>
      <c r="I253">
        <v>-1</v>
      </c>
      <c r="O253">
        <v>0</v>
      </c>
      <c r="Q253" t="s">
        <v>87</v>
      </c>
      <c r="R253">
        <v>1373</v>
      </c>
      <c r="S253">
        <v>32</v>
      </c>
      <c r="T253" t="b">
        <v>0</v>
      </c>
      <c r="U253" t="s">
        <v>172</v>
      </c>
      <c r="V253" t="s">
        <v>126</v>
      </c>
      <c r="W253">
        <v>0.5</v>
      </c>
      <c r="Y253">
        <v>1</v>
      </c>
      <c r="Z253">
        <v>20</v>
      </c>
      <c r="AC253" t="s">
        <v>165</v>
      </c>
      <c r="AD253">
        <v>300</v>
      </c>
      <c r="AF253" t="s">
        <v>91</v>
      </c>
      <c r="AH253">
        <v>1100</v>
      </c>
      <c r="AL253" t="b">
        <v>1</v>
      </c>
      <c r="AM253" t="b">
        <v>1</v>
      </c>
      <c r="AN253" t="b">
        <v>0</v>
      </c>
      <c r="AO253" t="b">
        <v>0</v>
      </c>
      <c r="AP253" t="s">
        <v>287</v>
      </c>
      <c r="AQ253" t="s">
        <v>288</v>
      </c>
      <c r="AS253">
        <v>7.0030654587864616</v>
      </c>
      <c r="AT253">
        <v>2</v>
      </c>
      <c r="AU253">
        <v>2.545454545454545</v>
      </c>
      <c r="AV253">
        <v>0.54545454545454541</v>
      </c>
      <c r="AW253">
        <v>2.545454545454545</v>
      </c>
      <c r="AX253">
        <v>0.26190476190476192</v>
      </c>
      <c r="AY253">
        <v>0.33333333333333331</v>
      </c>
      <c r="AZ253">
        <v>7.1428571428571425E-2</v>
      </c>
      <c r="BA253">
        <v>0.33333333333333331</v>
      </c>
      <c r="BB253">
        <v>6.0365865096818183</v>
      </c>
      <c r="BC253">
        <v>14</v>
      </c>
      <c r="BD253">
        <v>309.44138863753989</v>
      </c>
      <c r="BE253">
        <v>2</v>
      </c>
      <c r="BF253">
        <v>9.0485633235046756E-2</v>
      </c>
      <c r="BG253">
        <v>13.81974189</v>
      </c>
      <c r="BH253">
        <v>13.81974189</v>
      </c>
      <c r="BI253">
        <v>5.7110870199999999</v>
      </c>
      <c r="BJ253">
        <v>608.87893199999996</v>
      </c>
      <c r="BK253">
        <v>4</v>
      </c>
      <c r="BL253">
        <v>9.1972306901891634E-2</v>
      </c>
      <c r="BM253">
        <v>3.94</v>
      </c>
      <c r="BN253">
        <v>27.15</v>
      </c>
      <c r="BO253">
        <v>5.6920000000000002</v>
      </c>
      <c r="BP253">
        <v>0</v>
      </c>
      <c r="BQ253">
        <v>0</v>
      </c>
      <c r="BS253">
        <v>0</v>
      </c>
      <c r="BT253">
        <v>0</v>
      </c>
      <c r="BU253">
        <v>0</v>
      </c>
      <c r="BX253">
        <v>7</v>
      </c>
      <c r="BZ253">
        <v>4.5242816617523378E-2</v>
      </c>
      <c r="CA253">
        <v>4.5986153450945817E-2</v>
      </c>
      <c r="CC253">
        <v>0.52932707238285004</v>
      </c>
      <c r="CD253">
        <v>0.53802388525275069</v>
      </c>
    </row>
    <row r="254" spans="1:84" x14ac:dyDescent="0.3">
      <c r="A254" s="1">
        <v>369</v>
      </c>
      <c r="B254" t="s">
        <v>807</v>
      </c>
      <c r="C254" t="s">
        <v>808</v>
      </c>
      <c r="F254">
        <v>2.2999999999999998</v>
      </c>
      <c r="G254" t="s">
        <v>287</v>
      </c>
      <c r="H254" t="s">
        <v>288</v>
      </c>
      <c r="I254">
        <v>-1</v>
      </c>
      <c r="O254">
        <v>0</v>
      </c>
      <c r="Q254" t="s">
        <v>87</v>
      </c>
      <c r="R254">
        <v>1373</v>
      </c>
      <c r="S254">
        <v>32</v>
      </c>
      <c r="T254">
        <v>1</v>
      </c>
      <c r="U254" t="s">
        <v>172</v>
      </c>
      <c r="V254" t="s">
        <v>126</v>
      </c>
      <c r="W254">
        <v>0.5</v>
      </c>
      <c r="Y254">
        <v>1</v>
      </c>
      <c r="Z254">
        <v>20</v>
      </c>
      <c r="AC254" t="s">
        <v>165</v>
      </c>
      <c r="AD254">
        <v>300</v>
      </c>
      <c r="AF254" t="s">
        <v>91</v>
      </c>
      <c r="AH254">
        <v>1950</v>
      </c>
      <c r="AL254" t="b">
        <v>1</v>
      </c>
      <c r="AM254" t="b">
        <v>1</v>
      </c>
      <c r="AN254" t="b">
        <v>0</v>
      </c>
      <c r="AO254" t="b">
        <v>0</v>
      </c>
      <c r="AP254" t="s">
        <v>287</v>
      </c>
      <c r="AQ254" t="s">
        <v>288</v>
      </c>
      <c r="AS254">
        <v>7.5755846515577927</v>
      </c>
      <c r="AT254">
        <v>2</v>
      </c>
      <c r="AU254">
        <v>2.5495495495495502</v>
      </c>
      <c r="AV254">
        <v>0.54054054054054057</v>
      </c>
      <c r="AW254">
        <v>2.522522522522523</v>
      </c>
      <c r="AX254">
        <v>0.26272189349112418</v>
      </c>
      <c r="AY254">
        <v>0.33491124260355032</v>
      </c>
      <c r="AZ254">
        <v>7.1005917159763315E-2</v>
      </c>
      <c r="BA254">
        <v>0.33136094674556221</v>
      </c>
      <c r="BB254">
        <v>6.0473565861711718</v>
      </c>
      <c r="BC254">
        <v>14</v>
      </c>
      <c r="BD254">
        <v>309.44138863753989</v>
      </c>
      <c r="BE254">
        <v>2</v>
      </c>
      <c r="BF254">
        <v>9.0485633235046756E-2</v>
      </c>
      <c r="BG254">
        <v>13.81974189</v>
      </c>
      <c r="BH254">
        <v>13.81974189</v>
      </c>
      <c r="BI254">
        <v>5.7110870199999999</v>
      </c>
      <c r="BJ254">
        <v>608.87893199999996</v>
      </c>
      <c r="BK254">
        <v>4</v>
      </c>
      <c r="BL254">
        <v>9.1972306901891634E-2</v>
      </c>
      <c r="BM254">
        <v>3.94</v>
      </c>
      <c r="BN254">
        <v>27.15</v>
      </c>
      <c r="BO254">
        <v>5.6920000000000002</v>
      </c>
      <c r="BP254">
        <v>0</v>
      </c>
      <c r="BQ254">
        <v>0</v>
      </c>
      <c r="BS254">
        <v>0</v>
      </c>
      <c r="BT254">
        <v>0</v>
      </c>
      <c r="BU254">
        <v>0</v>
      </c>
      <c r="BX254">
        <v>7</v>
      </c>
      <c r="BZ254">
        <v>4.5242816617523378E-2</v>
      </c>
      <c r="CA254">
        <v>4.5986153450945817E-2</v>
      </c>
      <c r="CC254">
        <v>0.5355538305241192</v>
      </c>
      <c r="CD254">
        <v>0.54435294866644235</v>
      </c>
    </row>
    <row r="255" spans="1:84" x14ac:dyDescent="0.3">
      <c r="A255" s="1">
        <v>486</v>
      </c>
      <c r="B255" t="s">
        <v>140</v>
      </c>
      <c r="C255" t="s">
        <v>141</v>
      </c>
      <c r="E255" t="s">
        <v>106</v>
      </c>
      <c r="F255">
        <v>3.59</v>
      </c>
      <c r="G255" t="s">
        <v>108</v>
      </c>
      <c r="H255" t="s">
        <v>109</v>
      </c>
      <c r="I255" t="s">
        <v>143</v>
      </c>
      <c r="J255">
        <v>1</v>
      </c>
      <c r="K255">
        <v>3.86</v>
      </c>
      <c r="L255">
        <v>3.86</v>
      </c>
      <c r="M255">
        <v>14.995541551467481</v>
      </c>
      <c r="O255">
        <v>14.995541551467481</v>
      </c>
      <c r="Q255" t="s">
        <v>467</v>
      </c>
      <c r="R255">
        <v>1273</v>
      </c>
      <c r="S255">
        <v>2</v>
      </c>
      <c r="T255" t="b">
        <v>0</v>
      </c>
      <c r="U255" t="s">
        <v>125</v>
      </c>
      <c r="V255" t="s">
        <v>126</v>
      </c>
      <c r="W255">
        <v>0.5</v>
      </c>
      <c r="X255">
        <v>48</v>
      </c>
      <c r="Y255">
        <v>0.25</v>
      </c>
      <c r="Z255">
        <v>10</v>
      </c>
      <c r="AC255" t="s">
        <v>165</v>
      </c>
      <c r="AD255">
        <v>300</v>
      </c>
      <c r="AE255">
        <v>300</v>
      </c>
      <c r="AF255" t="s">
        <v>407</v>
      </c>
      <c r="AG255">
        <v>293</v>
      </c>
      <c r="AH255">
        <v>240</v>
      </c>
      <c r="AI255" t="s">
        <v>136</v>
      </c>
      <c r="AJ255" t="s">
        <v>136</v>
      </c>
      <c r="AL255" t="b">
        <v>1</v>
      </c>
      <c r="AM255" t="b">
        <v>1</v>
      </c>
      <c r="AN255" t="b">
        <v>0</v>
      </c>
      <c r="AO255" t="b">
        <v>0</v>
      </c>
      <c r="AP255" t="s">
        <v>913</v>
      </c>
      <c r="AQ255" t="s">
        <v>914</v>
      </c>
      <c r="AR255" t="s">
        <v>143</v>
      </c>
      <c r="AS255">
        <v>5.4806389233419912</v>
      </c>
      <c r="AT255">
        <v>1.75</v>
      </c>
      <c r="AU255">
        <v>2.5</v>
      </c>
      <c r="AV255">
        <v>0.75</v>
      </c>
      <c r="AW255">
        <v>0</v>
      </c>
      <c r="AX255">
        <v>0.35</v>
      </c>
      <c r="AY255">
        <v>0.5</v>
      </c>
      <c r="AZ255">
        <v>0.15</v>
      </c>
      <c r="BA255">
        <v>0</v>
      </c>
      <c r="BB255">
        <v>6.2640154224906874</v>
      </c>
      <c r="BC255">
        <v>20</v>
      </c>
      <c r="BD255">
        <v>924.74694800021894</v>
      </c>
      <c r="BE255">
        <v>4</v>
      </c>
      <c r="BF255">
        <v>8.6510153045653584E-2</v>
      </c>
      <c r="BG255">
        <v>7.8084429999999996</v>
      </c>
      <c r="BH255">
        <v>7.8548809999999998</v>
      </c>
      <c r="BI255">
        <v>15.19056011</v>
      </c>
      <c r="BJ255">
        <v>883.22940750240002</v>
      </c>
      <c r="BK255">
        <v>4</v>
      </c>
      <c r="BL255">
        <v>9.0576694254581439E-2</v>
      </c>
      <c r="BM255">
        <v>3.8801999999999999</v>
      </c>
      <c r="BN255">
        <v>29.507999999999999</v>
      </c>
      <c r="BO255">
        <v>7.7140000000000004</v>
      </c>
      <c r="BP255">
        <v>0</v>
      </c>
      <c r="BQ255">
        <v>0</v>
      </c>
      <c r="BS255">
        <v>0</v>
      </c>
      <c r="BT255">
        <v>0</v>
      </c>
      <c r="BU255">
        <v>0</v>
      </c>
      <c r="BV255">
        <v>223.42757090024489</v>
      </c>
      <c r="BW255">
        <v>8.9514467348031673E-2</v>
      </c>
      <c r="BX255">
        <v>10</v>
      </c>
      <c r="BY255">
        <v>4.4757233674015837E-2</v>
      </c>
      <c r="BZ255">
        <v>4.3255076522826792E-2</v>
      </c>
      <c r="CA255">
        <v>4.5288347127290719E-2</v>
      </c>
      <c r="CC255">
        <v>0.44192300596941569</v>
      </c>
      <c r="CD255">
        <v>0.46269626843260342</v>
      </c>
      <c r="CF255">
        <v>0.4572700555426974</v>
      </c>
    </row>
    <row r="256" spans="1:84" x14ac:dyDescent="0.3">
      <c r="A256" s="1">
        <v>487</v>
      </c>
      <c r="B256" t="s">
        <v>915</v>
      </c>
      <c r="C256" t="s">
        <v>916</v>
      </c>
      <c r="E256" t="s">
        <v>106</v>
      </c>
      <c r="F256">
        <v>3.55</v>
      </c>
      <c r="G256" t="s">
        <v>108</v>
      </c>
      <c r="H256" t="s">
        <v>109</v>
      </c>
      <c r="I256">
        <v>-1</v>
      </c>
      <c r="J256">
        <v>1</v>
      </c>
      <c r="K256">
        <v>3.86</v>
      </c>
      <c r="L256">
        <v>3.86</v>
      </c>
      <c r="M256">
        <v>15.615511227317651</v>
      </c>
      <c r="O256">
        <v>15.615511227317651</v>
      </c>
      <c r="Q256" t="s">
        <v>467</v>
      </c>
      <c r="R256">
        <v>1273</v>
      </c>
      <c r="S256">
        <v>2</v>
      </c>
      <c r="T256" t="b">
        <v>0</v>
      </c>
      <c r="U256" t="s">
        <v>125</v>
      </c>
      <c r="V256" t="s">
        <v>126</v>
      </c>
      <c r="W256">
        <v>0.5</v>
      </c>
      <c r="X256">
        <v>47</v>
      </c>
      <c r="Y256">
        <v>0.25</v>
      </c>
      <c r="Z256">
        <v>10</v>
      </c>
      <c r="AC256" t="s">
        <v>165</v>
      </c>
      <c r="AD256">
        <v>300</v>
      </c>
      <c r="AE256">
        <v>300</v>
      </c>
      <c r="AF256" t="s">
        <v>407</v>
      </c>
      <c r="AG256">
        <v>293</v>
      </c>
      <c r="AH256">
        <v>184</v>
      </c>
      <c r="AI256" t="s">
        <v>917</v>
      </c>
      <c r="AL256" t="b">
        <v>1</v>
      </c>
      <c r="AM256" t="b">
        <v>0</v>
      </c>
      <c r="AN256" t="b">
        <v>0</v>
      </c>
      <c r="AO256" t="b">
        <v>0</v>
      </c>
      <c r="AP256" t="s">
        <v>918</v>
      </c>
      <c r="AQ256" t="s">
        <v>109</v>
      </c>
      <c r="AS256">
        <v>5.2149357576089859</v>
      </c>
      <c r="AT256">
        <v>1.75</v>
      </c>
      <c r="AU256">
        <v>2.5</v>
      </c>
      <c r="AV256">
        <v>0.75</v>
      </c>
      <c r="AW256">
        <v>0</v>
      </c>
      <c r="AX256">
        <v>0.35</v>
      </c>
      <c r="AY256">
        <v>0.5</v>
      </c>
      <c r="AZ256">
        <v>0.15</v>
      </c>
      <c r="BA256">
        <v>0</v>
      </c>
      <c r="BB256">
        <v>6.2579095940531868</v>
      </c>
      <c r="BC256">
        <v>20</v>
      </c>
      <c r="BD256">
        <v>924.74694800021894</v>
      </c>
      <c r="BE256">
        <v>2</v>
      </c>
      <c r="BF256">
        <v>4.3255076522826792E-2</v>
      </c>
      <c r="BG256">
        <v>7.8084429999999996</v>
      </c>
      <c r="BH256">
        <v>7.8548809999999998</v>
      </c>
      <c r="BI256">
        <v>15.19056011</v>
      </c>
      <c r="BJ256">
        <v>883.22940750240002</v>
      </c>
      <c r="BK256">
        <v>4</v>
      </c>
      <c r="BL256">
        <v>9.0576694254581439E-2</v>
      </c>
      <c r="BM256">
        <v>3.8801999999999999</v>
      </c>
      <c r="BN256">
        <v>29.507999999999999</v>
      </c>
      <c r="BO256">
        <v>7.7140000000000004</v>
      </c>
      <c r="BP256">
        <v>0</v>
      </c>
      <c r="BQ256">
        <v>0</v>
      </c>
      <c r="BS256">
        <v>0</v>
      </c>
      <c r="BT256">
        <v>0</v>
      </c>
      <c r="BU256">
        <v>0</v>
      </c>
      <c r="BV256">
        <v>232.66487108254199</v>
      </c>
      <c r="BW256">
        <v>8.5960548779642112E-2</v>
      </c>
      <c r="BX256">
        <v>10</v>
      </c>
      <c r="BY256">
        <v>4.2980274389821063E-2</v>
      </c>
      <c r="BZ256">
        <v>2.16275382614134E-2</v>
      </c>
      <c r="CA256">
        <v>4.5288347127290719E-2</v>
      </c>
      <c r="CC256">
        <v>0.22466868627628361</v>
      </c>
      <c r="CD256">
        <v>0.47045915858422632</v>
      </c>
      <c r="CF256">
        <v>0.44648270488479702</v>
      </c>
    </row>
    <row r="257" spans="1:84" x14ac:dyDescent="0.3">
      <c r="A257" s="1">
        <v>488</v>
      </c>
      <c r="B257" t="s">
        <v>919</v>
      </c>
      <c r="C257" t="s">
        <v>920</v>
      </c>
      <c r="E257" t="s">
        <v>106</v>
      </c>
      <c r="F257">
        <v>3.5</v>
      </c>
      <c r="G257" t="s">
        <v>108</v>
      </c>
      <c r="H257" t="s">
        <v>109</v>
      </c>
      <c r="I257">
        <v>-1</v>
      </c>
      <c r="J257">
        <v>1</v>
      </c>
      <c r="K257">
        <v>3.86</v>
      </c>
      <c r="L257">
        <v>3.86</v>
      </c>
      <c r="M257">
        <v>15.99421069225002</v>
      </c>
      <c r="O257">
        <v>15.99421069225002</v>
      </c>
      <c r="Q257" t="s">
        <v>467</v>
      </c>
      <c r="R257">
        <v>1273</v>
      </c>
      <c r="S257">
        <v>2</v>
      </c>
      <c r="T257" t="b">
        <v>0</v>
      </c>
      <c r="U257" t="s">
        <v>125</v>
      </c>
      <c r="V257" t="s">
        <v>126</v>
      </c>
      <c r="W257">
        <v>0.5</v>
      </c>
      <c r="X257">
        <v>58</v>
      </c>
      <c r="Y257">
        <v>0.25</v>
      </c>
      <c r="Z257">
        <v>10</v>
      </c>
      <c r="AC257" t="s">
        <v>165</v>
      </c>
      <c r="AD257">
        <v>300</v>
      </c>
      <c r="AE257">
        <v>300</v>
      </c>
      <c r="AF257" t="s">
        <v>407</v>
      </c>
      <c r="AG257">
        <v>293</v>
      </c>
      <c r="AH257">
        <v>176</v>
      </c>
      <c r="AI257" t="s">
        <v>921</v>
      </c>
      <c r="AL257" t="b">
        <v>1</v>
      </c>
      <c r="AM257" t="b">
        <v>0</v>
      </c>
      <c r="AN257" t="b">
        <v>0</v>
      </c>
      <c r="AO257" t="b">
        <v>0</v>
      </c>
      <c r="AP257" t="s">
        <v>922</v>
      </c>
      <c r="AQ257" t="s">
        <v>109</v>
      </c>
      <c r="AS257">
        <v>5.1704839950381514</v>
      </c>
      <c r="AT257">
        <v>1.75</v>
      </c>
      <c r="AU257">
        <v>2.5</v>
      </c>
      <c r="AV257">
        <v>0.75</v>
      </c>
      <c r="AW257">
        <v>0</v>
      </c>
      <c r="AX257">
        <v>0.35</v>
      </c>
      <c r="AY257">
        <v>0.5</v>
      </c>
      <c r="AZ257">
        <v>0.15</v>
      </c>
      <c r="BA257">
        <v>0</v>
      </c>
      <c r="BB257">
        <v>6.2518037656156871</v>
      </c>
      <c r="BC257">
        <v>20</v>
      </c>
      <c r="BD257">
        <v>924.74694800021894</v>
      </c>
      <c r="BE257">
        <v>4</v>
      </c>
      <c r="BF257">
        <v>8.6510153045653584E-2</v>
      </c>
      <c r="BG257">
        <v>7.8084429999999996</v>
      </c>
      <c r="BH257">
        <v>7.8548809999999998</v>
      </c>
      <c r="BI257">
        <v>15.19056011</v>
      </c>
      <c r="BJ257">
        <v>883.22940750240002</v>
      </c>
      <c r="BK257">
        <v>4</v>
      </c>
      <c r="BL257">
        <v>9.0576694254581439E-2</v>
      </c>
      <c r="BM257">
        <v>3.8801999999999999</v>
      </c>
      <c r="BN257">
        <v>29.507999999999999</v>
      </c>
      <c r="BO257">
        <v>7.7140000000000004</v>
      </c>
      <c r="BP257">
        <v>0</v>
      </c>
      <c r="BQ257">
        <v>0</v>
      </c>
      <c r="BS257">
        <v>0</v>
      </c>
      <c r="BT257">
        <v>0</v>
      </c>
      <c r="BU257">
        <v>0</v>
      </c>
      <c r="BV257">
        <v>238.3073416302484</v>
      </c>
      <c r="BW257">
        <v>8.3925236474801906E-2</v>
      </c>
      <c r="BX257">
        <v>10</v>
      </c>
      <c r="BY257">
        <v>4.1962618237400953E-2</v>
      </c>
      <c r="BZ257">
        <v>4.3255076522826792E-2</v>
      </c>
      <c r="CA257">
        <v>4.5288347127290719E-2</v>
      </c>
      <c r="CC257">
        <v>0.45675173913571882</v>
      </c>
      <c r="CD257">
        <v>0.47822204873584939</v>
      </c>
      <c r="CF257">
        <v>0.44310403308398888</v>
      </c>
    </row>
    <row r="258" spans="1:84" x14ac:dyDescent="0.3">
      <c r="A258" s="1">
        <v>489</v>
      </c>
      <c r="B258" t="s">
        <v>923</v>
      </c>
      <c r="C258" t="s">
        <v>924</v>
      </c>
      <c r="E258" t="s">
        <v>106</v>
      </c>
      <c r="F258">
        <v>3.45</v>
      </c>
      <c r="G258" t="s">
        <v>108</v>
      </c>
      <c r="H258" t="s">
        <v>109</v>
      </c>
      <c r="I258">
        <v>-1</v>
      </c>
      <c r="J258">
        <v>1</v>
      </c>
      <c r="K258">
        <v>3.86</v>
      </c>
      <c r="L258">
        <v>3.86</v>
      </c>
      <c r="M258">
        <v>16.28902613653251</v>
      </c>
      <c r="O258">
        <v>16.28902613653251</v>
      </c>
      <c r="Q258" t="s">
        <v>467</v>
      </c>
      <c r="R258">
        <v>1273</v>
      </c>
      <c r="S258">
        <v>2</v>
      </c>
      <c r="T258" t="b">
        <v>0</v>
      </c>
      <c r="U258" t="s">
        <v>125</v>
      </c>
      <c r="V258" t="s">
        <v>126</v>
      </c>
      <c r="W258">
        <v>0.5</v>
      </c>
      <c r="X258">
        <v>50</v>
      </c>
      <c r="Y258">
        <v>0.25</v>
      </c>
      <c r="Z258">
        <v>10</v>
      </c>
      <c r="AC258" t="s">
        <v>165</v>
      </c>
      <c r="AD258">
        <v>300</v>
      </c>
      <c r="AE258">
        <v>300</v>
      </c>
      <c r="AF258" t="s">
        <v>407</v>
      </c>
      <c r="AG258">
        <v>293</v>
      </c>
      <c r="AH258">
        <v>156</v>
      </c>
      <c r="AI258" t="s">
        <v>925</v>
      </c>
      <c r="AL258" t="b">
        <v>1</v>
      </c>
      <c r="AM258" t="b">
        <v>0</v>
      </c>
      <c r="AN258" t="b">
        <v>0</v>
      </c>
      <c r="AO258" t="b">
        <v>0</v>
      </c>
      <c r="AP258" t="s">
        <v>926</v>
      </c>
      <c r="AQ258" t="s">
        <v>109</v>
      </c>
      <c r="AS258">
        <v>5.0498560072495371</v>
      </c>
      <c r="AT258">
        <v>1.75</v>
      </c>
      <c r="AU258">
        <v>2.5</v>
      </c>
      <c r="AV258">
        <v>0.75</v>
      </c>
      <c r="AW258">
        <v>0</v>
      </c>
      <c r="AX258">
        <v>0.35</v>
      </c>
      <c r="AY258">
        <v>0.5</v>
      </c>
      <c r="AZ258">
        <v>0.15</v>
      </c>
      <c r="BA258">
        <v>0</v>
      </c>
      <c r="BB258">
        <v>6.2456979371781873</v>
      </c>
      <c r="BC258">
        <v>20</v>
      </c>
      <c r="BD258">
        <v>924.74694800021894</v>
      </c>
      <c r="BE258">
        <v>2</v>
      </c>
      <c r="BF258">
        <v>4.3255076522826792E-2</v>
      </c>
      <c r="BG258">
        <v>7.8084429999999996</v>
      </c>
      <c r="BH258">
        <v>7.8548809999999998</v>
      </c>
      <c r="BI258">
        <v>15.19056011</v>
      </c>
      <c r="BJ258">
        <v>883.22940750240002</v>
      </c>
      <c r="BK258">
        <v>4</v>
      </c>
      <c r="BL258">
        <v>9.0576694254581439E-2</v>
      </c>
      <c r="BM258">
        <v>3.8801999999999999</v>
      </c>
      <c r="BN258">
        <v>29.507999999999999</v>
      </c>
      <c r="BO258">
        <v>7.7140000000000004</v>
      </c>
      <c r="BP258">
        <v>0</v>
      </c>
      <c r="BQ258">
        <v>0</v>
      </c>
      <c r="BS258">
        <v>0</v>
      </c>
      <c r="BT258">
        <v>0</v>
      </c>
      <c r="BU258">
        <v>0</v>
      </c>
      <c r="BV258">
        <v>242.69997382387979</v>
      </c>
      <c r="BW258">
        <v>8.2406271763809144E-2</v>
      </c>
      <c r="BX258">
        <v>10</v>
      </c>
      <c r="BY258">
        <v>4.1203135881904572E-2</v>
      </c>
      <c r="BZ258">
        <v>2.16275382614134E-2</v>
      </c>
      <c r="CA258">
        <v>4.5288347127290719E-2</v>
      </c>
      <c r="CC258">
        <v>0.2320830528594352</v>
      </c>
      <c r="CD258">
        <v>0.48598493888747241</v>
      </c>
      <c r="CF258">
        <v>0.44214692616752849</v>
      </c>
    </row>
    <row r="259" spans="1:84" x14ac:dyDescent="0.3">
      <c r="A259" s="1">
        <v>490</v>
      </c>
      <c r="B259" t="s">
        <v>151</v>
      </c>
      <c r="C259" t="s">
        <v>152</v>
      </c>
      <c r="E259" t="s">
        <v>106</v>
      </c>
      <c r="F259">
        <v>3.4</v>
      </c>
      <c r="G259" t="s">
        <v>142</v>
      </c>
      <c r="H259">
        <v>1522043</v>
      </c>
      <c r="I259">
        <v>-1</v>
      </c>
      <c r="J259">
        <v>1</v>
      </c>
      <c r="K259">
        <v>3.86</v>
      </c>
      <c r="L259">
        <v>3.86</v>
      </c>
      <c r="M259">
        <v>17.505628149549619</v>
      </c>
      <c r="O259">
        <v>17.505628149549619</v>
      </c>
      <c r="Q259" t="s">
        <v>467</v>
      </c>
      <c r="R259">
        <v>1273</v>
      </c>
      <c r="S259">
        <v>2</v>
      </c>
      <c r="T259" t="b">
        <v>0</v>
      </c>
      <c r="U259" t="s">
        <v>125</v>
      </c>
      <c r="V259" t="s">
        <v>126</v>
      </c>
      <c r="W259">
        <v>0.5</v>
      </c>
      <c r="X259">
        <v>65</v>
      </c>
      <c r="Y259">
        <v>0.25</v>
      </c>
      <c r="Z259">
        <v>10</v>
      </c>
      <c r="AC259" t="s">
        <v>165</v>
      </c>
      <c r="AD259">
        <v>300</v>
      </c>
      <c r="AE259">
        <v>300</v>
      </c>
      <c r="AF259" t="s">
        <v>407</v>
      </c>
      <c r="AG259">
        <v>293</v>
      </c>
      <c r="AH259">
        <v>184</v>
      </c>
      <c r="AI259" t="s">
        <v>153</v>
      </c>
      <c r="AJ259" t="s">
        <v>153</v>
      </c>
      <c r="AL259" t="b">
        <v>1</v>
      </c>
      <c r="AM259" t="b">
        <v>1</v>
      </c>
      <c r="AN259" t="b">
        <v>0</v>
      </c>
      <c r="AO259" t="b">
        <v>0</v>
      </c>
      <c r="AP259" t="s">
        <v>927</v>
      </c>
      <c r="AQ259" t="s">
        <v>928</v>
      </c>
      <c r="AS259">
        <v>5.2149357576089859</v>
      </c>
      <c r="AT259">
        <v>1.75</v>
      </c>
      <c r="AU259">
        <v>2.5</v>
      </c>
      <c r="AV259">
        <v>0.75</v>
      </c>
      <c r="AW259">
        <v>0</v>
      </c>
      <c r="AX259">
        <v>0.35</v>
      </c>
      <c r="AY259">
        <v>0.5</v>
      </c>
      <c r="AZ259">
        <v>0.15</v>
      </c>
      <c r="BA259">
        <v>0</v>
      </c>
      <c r="BB259">
        <v>6.2395921087406876</v>
      </c>
      <c r="BC259">
        <v>20</v>
      </c>
      <c r="BD259">
        <v>242.1279024923125</v>
      </c>
      <c r="BE259">
        <v>1</v>
      </c>
      <c r="BF259">
        <v>8.2600971611006269E-2</v>
      </c>
      <c r="BG259">
        <v>3.950634</v>
      </c>
      <c r="BH259">
        <v>3.950634</v>
      </c>
      <c r="BI259">
        <v>15.513552000000001</v>
      </c>
      <c r="BJ259">
        <v>227.970829547178</v>
      </c>
      <c r="BK259">
        <v>1</v>
      </c>
      <c r="BL259">
        <v>8.7730522539775438E-2</v>
      </c>
      <c r="BM259">
        <v>3.8658999999999999</v>
      </c>
      <c r="BN259">
        <v>3.8658999999999999</v>
      </c>
      <c r="BO259">
        <v>15.2538</v>
      </c>
      <c r="BP259">
        <v>0</v>
      </c>
      <c r="BQ259">
        <v>0</v>
      </c>
      <c r="BS259">
        <v>0</v>
      </c>
      <c r="BT259">
        <v>0</v>
      </c>
      <c r="BU259">
        <v>0</v>
      </c>
      <c r="BV259">
        <v>260.82685717702952</v>
      </c>
      <c r="BW259">
        <v>7.6679220140376564E-2</v>
      </c>
      <c r="BX259">
        <v>10</v>
      </c>
      <c r="BY259">
        <v>3.8339610070188282E-2</v>
      </c>
      <c r="BZ259">
        <v>4.1300485805503127E-2</v>
      </c>
      <c r="CA259">
        <v>4.3865261269887719E-2</v>
      </c>
      <c r="CC259">
        <v>0.45027090848362911</v>
      </c>
      <c r="CD259">
        <v>0.47823289866077828</v>
      </c>
      <c r="CF259">
        <v>0.41799050835647839</v>
      </c>
    </row>
    <row r="260" spans="1:84" x14ac:dyDescent="0.3">
      <c r="A260" s="1">
        <v>491</v>
      </c>
      <c r="B260" t="s">
        <v>929</v>
      </c>
      <c r="C260" t="s">
        <v>930</v>
      </c>
      <c r="E260" t="s">
        <v>106</v>
      </c>
      <c r="F260">
        <v>3.65</v>
      </c>
      <c r="G260" t="s">
        <v>108</v>
      </c>
      <c r="H260" t="s">
        <v>109</v>
      </c>
      <c r="I260">
        <v>-1</v>
      </c>
      <c r="J260">
        <v>1</v>
      </c>
      <c r="K260">
        <v>3.86</v>
      </c>
      <c r="L260">
        <v>3.86</v>
      </c>
      <c r="M260">
        <v>14.582394405034419</v>
      </c>
      <c r="O260">
        <v>14.582394405034419</v>
      </c>
      <c r="Q260" t="s">
        <v>467</v>
      </c>
      <c r="R260">
        <v>1273</v>
      </c>
      <c r="S260">
        <v>2</v>
      </c>
      <c r="T260" t="b">
        <v>0</v>
      </c>
      <c r="U260" t="s">
        <v>125</v>
      </c>
      <c r="V260" t="s">
        <v>126</v>
      </c>
      <c r="W260">
        <v>0.5</v>
      </c>
      <c r="X260">
        <v>48</v>
      </c>
      <c r="Y260">
        <v>0.25</v>
      </c>
      <c r="Z260">
        <v>10</v>
      </c>
      <c r="AC260" t="s">
        <v>165</v>
      </c>
      <c r="AD260">
        <v>300</v>
      </c>
      <c r="AE260">
        <v>300</v>
      </c>
      <c r="AF260" t="s">
        <v>407</v>
      </c>
      <c r="AG260">
        <v>293</v>
      </c>
      <c r="AH260">
        <v>283.99999999999989</v>
      </c>
      <c r="AI260" t="s">
        <v>931</v>
      </c>
      <c r="AJ260" t="s">
        <v>931</v>
      </c>
      <c r="AL260" t="b">
        <v>1</v>
      </c>
      <c r="AM260" t="b">
        <v>1</v>
      </c>
      <c r="AN260" t="b">
        <v>0</v>
      </c>
      <c r="AO260" t="b">
        <v>0</v>
      </c>
      <c r="AP260" t="s">
        <v>932</v>
      </c>
      <c r="AQ260" t="s">
        <v>933</v>
      </c>
      <c r="AS260">
        <v>5.6489742381612054</v>
      </c>
      <c r="AT260">
        <v>1.76875</v>
      </c>
      <c r="AU260">
        <v>2.5</v>
      </c>
      <c r="AV260">
        <v>0.73125000000000007</v>
      </c>
      <c r="AW260">
        <v>0.26250000000000001</v>
      </c>
      <c r="AX260">
        <v>0.33610451306413303</v>
      </c>
      <c r="AY260">
        <v>0.47505938242280282</v>
      </c>
      <c r="AZ260">
        <v>0.13895486935866991</v>
      </c>
      <c r="BA260">
        <v>4.9881235154394299E-2</v>
      </c>
      <c r="BB260">
        <v>6.2659107965219372</v>
      </c>
      <c r="BC260">
        <v>20</v>
      </c>
      <c r="BD260">
        <v>924.74694800021894</v>
      </c>
      <c r="BE260">
        <v>1</v>
      </c>
      <c r="BF260">
        <v>2.16275382614134E-2</v>
      </c>
      <c r="BG260">
        <v>7.8084429999999996</v>
      </c>
      <c r="BH260">
        <v>7.8548809999999998</v>
      </c>
      <c r="BI260">
        <v>15.19056011</v>
      </c>
      <c r="BJ260">
        <v>883.22940750240002</v>
      </c>
      <c r="BK260">
        <v>1</v>
      </c>
      <c r="BL260">
        <v>2.264417356364536E-2</v>
      </c>
      <c r="BM260">
        <v>3.8801999999999999</v>
      </c>
      <c r="BN260">
        <v>29.507999999999999</v>
      </c>
      <c r="BO260">
        <v>7.7140000000000004</v>
      </c>
      <c r="BP260">
        <v>0</v>
      </c>
      <c r="BQ260">
        <v>0</v>
      </c>
      <c r="BS260">
        <v>0</v>
      </c>
      <c r="BT260">
        <v>0</v>
      </c>
      <c r="BU260">
        <v>0</v>
      </c>
      <c r="BV260">
        <v>217.27184367725081</v>
      </c>
      <c r="BW260">
        <v>9.2050583552414883E-2</v>
      </c>
      <c r="BX260">
        <v>10</v>
      </c>
      <c r="BY260">
        <v>4.6025291776207441E-2</v>
      </c>
      <c r="BZ260">
        <v>1.08137691307067E-2</v>
      </c>
      <c r="CA260">
        <v>1.132208678182268E-2</v>
      </c>
      <c r="CC260">
        <v>0.1104807514923539</v>
      </c>
      <c r="CD260">
        <v>0.1156740671081508</v>
      </c>
      <c r="CF260">
        <v>0.47022539150120979</v>
      </c>
    </row>
    <row r="261" spans="1:84" x14ac:dyDescent="0.3">
      <c r="A261" s="1">
        <v>492</v>
      </c>
      <c r="B261" t="s">
        <v>934</v>
      </c>
      <c r="C261" t="s">
        <v>935</v>
      </c>
      <c r="E261" t="s">
        <v>106</v>
      </c>
      <c r="F261">
        <v>3.26</v>
      </c>
      <c r="G261" t="s">
        <v>108</v>
      </c>
      <c r="H261" t="s">
        <v>109</v>
      </c>
      <c r="I261">
        <v>-1</v>
      </c>
      <c r="J261">
        <v>1</v>
      </c>
      <c r="K261">
        <v>3.86</v>
      </c>
      <c r="L261">
        <v>3.86</v>
      </c>
      <c r="M261">
        <v>14.90953814274822</v>
      </c>
      <c r="O261">
        <v>14.90953814274822</v>
      </c>
      <c r="Q261" t="s">
        <v>467</v>
      </c>
      <c r="R261">
        <v>1273</v>
      </c>
      <c r="S261">
        <v>2</v>
      </c>
      <c r="T261" t="b">
        <v>0</v>
      </c>
      <c r="U261" t="s">
        <v>125</v>
      </c>
      <c r="V261" t="s">
        <v>126</v>
      </c>
      <c r="W261">
        <v>0.5</v>
      </c>
      <c r="X261">
        <v>39</v>
      </c>
      <c r="Y261">
        <v>0.25</v>
      </c>
      <c r="Z261">
        <v>10</v>
      </c>
      <c r="AC261" t="s">
        <v>165</v>
      </c>
      <c r="AD261">
        <v>300</v>
      </c>
      <c r="AE261">
        <v>300</v>
      </c>
      <c r="AF261" t="s">
        <v>407</v>
      </c>
      <c r="AG261">
        <v>293</v>
      </c>
      <c r="AH261">
        <v>312</v>
      </c>
      <c r="AI261" t="s">
        <v>936</v>
      </c>
      <c r="AJ261" t="s">
        <v>936</v>
      </c>
      <c r="AL261" t="b">
        <v>1</v>
      </c>
      <c r="AM261" t="b">
        <v>1</v>
      </c>
      <c r="AN261" t="b">
        <v>0</v>
      </c>
      <c r="AO261" t="b">
        <v>0</v>
      </c>
      <c r="AP261" t="s">
        <v>937</v>
      </c>
      <c r="AQ261" t="s">
        <v>938</v>
      </c>
      <c r="AS261">
        <v>5.7430031878094816</v>
      </c>
      <c r="AT261">
        <v>1.8125</v>
      </c>
      <c r="AU261">
        <v>2.5</v>
      </c>
      <c r="AV261">
        <v>0.6875</v>
      </c>
      <c r="AW261">
        <v>0.875</v>
      </c>
      <c r="AX261">
        <v>0.30851063829787229</v>
      </c>
      <c r="AY261">
        <v>0.42553191489361702</v>
      </c>
      <c r="AZ261">
        <v>0.1170212765957447</v>
      </c>
      <c r="BA261">
        <v>0.14893617021276601</v>
      </c>
      <c r="BB261">
        <v>6.2703333359281874</v>
      </c>
      <c r="BC261">
        <v>20</v>
      </c>
      <c r="BD261">
        <v>924.74694800021894</v>
      </c>
      <c r="BE261">
        <v>4</v>
      </c>
      <c r="BF261">
        <v>8.6510153045653584E-2</v>
      </c>
      <c r="BG261">
        <v>7.8084429999999996</v>
      </c>
      <c r="BH261">
        <v>7.8548809999999998</v>
      </c>
      <c r="BI261">
        <v>15.19056011</v>
      </c>
      <c r="BJ261">
        <v>883.22940750240002</v>
      </c>
      <c r="BK261">
        <v>4</v>
      </c>
      <c r="BL261">
        <v>9.0576694254581439E-2</v>
      </c>
      <c r="BM261">
        <v>3.8801999999999999</v>
      </c>
      <c r="BN261">
        <v>29.507999999999999</v>
      </c>
      <c r="BO261">
        <v>7.7140000000000004</v>
      </c>
      <c r="BP261">
        <v>0</v>
      </c>
      <c r="BQ261">
        <v>0</v>
      </c>
      <c r="BS261">
        <v>0</v>
      </c>
      <c r="BT261">
        <v>0</v>
      </c>
      <c r="BU261">
        <v>0</v>
      </c>
      <c r="BV261">
        <v>222.14615451169141</v>
      </c>
      <c r="BW261">
        <v>9.0030817971901544E-2</v>
      </c>
      <c r="BX261">
        <v>10</v>
      </c>
      <c r="BY261">
        <v>4.5015408985950772E-2</v>
      </c>
      <c r="BZ261">
        <v>4.3255076522826792E-2</v>
      </c>
      <c r="CA261">
        <v>4.5288347127290719E-2</v>
      </c>
      <c r="CC261">
        <v>0.44192300596941569</v>
      </c>
      <c r="CD261">
        <v>0.46269626843260342</v>
      </c>
      <c r="CF261">
        <v>0.45990774848163302</v>
      </c>
    </row>
    <row r="262" spans="1:84" x14ac:dyDescent="0.3">
      <c r="A262" s="1">
        <v>493</v>
      </c>
      <c r="B262" t="s">
        <v>939</v>
      </c>
      <c r="C262" t="s">
        <v>940</v>
      </c>
      <c r="E262" t="s">
        <v>106</v>
      </c>
      <c r="F262">
        <v>3.2</v>
      </c>
      <c r="G262" t="s">
        <v>108</v>
      </c>
      <c r="H262" t="s">
        <v>109</v>
      </c>
      <c r="I262">
        <v>-1</v>
      </c>
      <c r="J262">
        <v>1</v>
      </c>
      <c r="K262">
        <v>3.86</v>
      </c>
      <c r="L262">
        <v>3.86</v>
      </c>
      <c r="M262">
        <v>15.0133716126793</v>
      </c>
      <c r="O262">
        <v>15.0133716126793</v>
      </c>
      <c r="Q262" t="s">
        <v>467</v>
      </c>
      <c r="R262">
        <v>1273</v>
      </c>
      <c r="S262">
        <v>2</v>
      </c>
      <c r="T262" t="b">
        <v>0</v>
      </c>
      <c r="U262" t="s">
        <v>125</v>
      </c>
      <c r="V262" t="s">
        <v>126</v>
      </c>
      <c r="W262">
        <v>0.5</v>
      </c>
      <c r="X262">
        <v>29</v>
      </c>
      <c r="Y262">
        <v>0.25</v>
      </c>
      <c r="Z262">
        <v>10</v>
      </c>
      <c r="AC262" t="s">
        <v>165</v>
      </c>
      <c r="AD262">
        <v>300</v>
      </c>
      <c r="AE262">
        <v>300</v>
      </c>
      <c r="AF262" t="s">
        <v>407</v>
      </c>
      <c r="AG262">
        <v>293</v>
      </c>
      <c r="AH262">
        <v>260</v>
      </c>
      <c r="AI262" t="s">
        <v>941</v>
      </c>
      <c r="AJ262" t="s">
        <v>941</v>
      </c>
      <c r="AL262" t="b">
        <v>1</v>
      </c>
      <c r="AM262" t="b">
        <v>1</v>
      </c>
      <c r="AN262" t="b">
        <v>0</v>
      </c>
      <c r="AO262" t="b">
        <v>0</v>
      </c>
      <c r="AP262" t="s">
        <v>942</v>
      </c>
      <c r="AQ262" t="s">
        <v>943</v>
      </c>
      <c r="AS262">
        <v>5.5606816310155276</v>
      </c>
      <c r="AT262">
        <v>1.84375</v>
      </c>
      <c r="AU262">
        <v>2.5</v>
      </c>
      <c r="AV262">
        <v>0.65625</v>
      </c>
      <c r="AW262">
        <v>1.3125</v>
      </c>
      <c r="AX262">
        <v>0.29207920792079212</v>
      </c>
      <c r="AY262">
        <v>0.39603960396039611</v>
      </c>
      <c r="AZ262">
        <v>0.103960396039604</v>
      </c>
      <c r="BA262">
        <v>0.20792079207920791</v>
      </c>
      <c r="BB262">
        <v>6.273492292646937</v>
      </c>
      <c r="BC262">
        <v>20</v>
      </c>
      <c r="BD262">
        <v>924.74694800021894</v>
      </c>
      <c r="BE262">
        <v>2</v>
      </c>
      <c r="BF262">
        <v>4.3255076522826792E-2</v>
      </c>
      <c r="BG262">
        <v>7.8084429999999996</v>
      </c>
      <c r="BH262">
        <v>7.8548809999999998</v>
      </c>
      <c r="BI262">
        <v>15.19056011</v>
      </c>
      <c r="BJ262">
        <v>883.22940750240002</v>
      </c>
      <c r="BK262">
        <v>2</v>
      </c>
      <c r="BL262">
        <v>4.5288347127290719E-2</v>
      </c>
      <c r="BM262">
        <v>3.8801999999999999</v>
      </c>
      <c r="BN262">
        <v>29.507999999999999</v>
      </c>
      <c r="BO262">
        <v>7.7140000000000004</v>
      </c>
      <c r="BP262">
        <v>0</v>
      </c>
      <c r="BQ262">
        <v>0</v>
      </c>
      <c r="BS262">
        <v>0</v>
      </c>
      <c r="BT262">
        <v>0</v>
      </c>
      <c r="BU262">
        <v>0</v>
      </c>
      <c r="BV262">
        <v>223.69323168027651</v>
      </c>
      <c r="BW262">
        <v>8.9408158886925507E-2</v>
      </c>
      <c r="BX262">
        <v>10</v>
      </c>
      <c r="BY262">
        <v>4.4704079443462753E-2</v>
      </c>
      <c r="BZ262">
        <v>2.16275382614134E-2</v>
      </c>
      <c r="CA262">
        <v>2.264417356364536E-2</v>
      </c>
      <c r="CC262">
        <v>0.2209615029847079</v>
      </c>
      <c r="CD262">
        <v>0.23134813421630171</v>
      </c>
      <c r="CF262">
        <v>0.45672699610934708</v>
      </c>
    </row>
    <row r="263" spans="1:84" x14ac:dyDescent="0.3">
      <c r="A263" s="1">
        <v>640</v>
      </c>
      <c r="B263" t="s">
        <v>1115</v>
      </c>
      <c r="C263" t="s">
        <v>1116</v>
      </c>
      <c r="E263" t="s">
        <v>404</v>
      </c>
      <c r="F263">
        <v>3.58</v>
      </c>
      <c r="G263" t="s">
        <v>1080</v>
      </c>
      <c r="H263">
        <v>-1</v>
      </c>
      <c r="I263">
        <v>-1</v>
      </c>
      <c r="J263">
        <v>1</v>
      </c>
      <c r="K263">
        <v>3.802</v>
      </c>
      <c r="L263">
        <v>3.802</v>
      </c>
      <c r="M263">
        <v>24.7</v>
      </c>
      <c r="N263" t="s">
        <v>101</v>
      </c>
      <c r="O263">
        <v>24.7</v>
      </c>
      <c r="Q263" t="s">
        <v>87</v>
      </c>
      <c r="R263">
        <v>1273</v>
      </c>
      <c r="S263">
        <v>10</v>
      </c>
      <c r="T263" t="b">
        <v>0</v>
      </c>
      <c r="U263" t="s">
        <v>125</v>
      </c>
      <c r="V263" t="s">
        <v>126</v>
      </c>
      <c r="W263">
        <v>0.5</v>
      </c>
      <c r="Y263">
        <v>0.5</v>
      </c>
      <c r="Z263">
        <v>1</v>
      </c>
      <c r="AC263" t="s">
        <v>90</v>
      </c>
      <c r="AD263">
        <v>125</v>
      </c>
      <c r="AE263">
        <v>220</v>
      </c>
      <c r="AF263" t="s">
        <v>91</v>
      </c>
      <c r="AG263">
        <v>288</v>
      </c>
      <c r="AH263">
        <v>62000</v>
      </c>
      <c r="AI263" t="s">
        <v>972</v>
      </c>
      <c r="AL263" t="b">
        <v>1</v>
      </c>
      <c r="AM263" t="b">
        <v>0</v>
      </c>
      <c r="AN263" t="b">
        <v>0</v>
      </c>
      <c r="AO263" t="b">
        <v>0</v>
      </c>
      <c r="AP263" t="s">
        <v>1167</v>
      </c>
      <c r="AS263">
        <v>11.034889664027229</v>
      </c>
      <c r="AT263">
        <v>1.510204081632653</v>
      </c>
      <c r="AU263">
        <v>1.2653061224489801</v>
      </c>
      <c r="AV263">
        <v>0.1224489795918367</v>
      </c>
      <c r="AW263">
        <v>0.16326530612244899</v>
      </c>
      <c r="AX263">
        <v>0.49333333333333329</v>
      </c>
      <c r="AY263">
        <v>0.41333333333333339</v>
      </c>
      <c r="AZ263">
        <v>0.04</v>
      </c>
      <c r="BA263">
        <v>5.333333333333333E-2</v>
      </c>
      <c r="BB263">
        <v>6.6971257268453872</v>
      </c>
      <c r="BC263">
        <v>20</v>
      </c>
      <c r="BD263">
        <v>733.37308460000008</v>
      </c>
      <c r="BE263">
        <v>2</v>
      </c>
      <c r="BF263">
        <v>5.4542497999932729E-2</v>
      </c>
      <c r="BG263">
        <v>3.8530000000000002</v>
      </c>
      <c r="BH263">
        <v>3.8530000000000002</v>
      </c>
      <c r="BI263">
        <v>49.4</v>
      </c>
      <c r="BJ263">
        <v>0</v>
      </c>
      <c r="BK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S263">
        <v>0</v>
      </c>
      <c r="BT263">
        <v>0</v>
      </c>
      <c r="BU263">
        <v>0</v>
      </c>
      <c r="BV263">
        <v>357.04353880000002</v>
      </c>
      <c r="BW263">
        <v>5.6015577448113731E-2</v>
      </c>
      <c r="BX263">
        <v>10</v>
      </c>
      <c r="BY263">
        <v>2.8007788724056869E-2</v>
      </c>
      <c r="BZ263">
        <v>2.7271248999966361E-2</v>
      </c>
      <c r="CC263">
        <v>0.33005342247707181</v>
      </c>
      <c r="CF263">
        <v>0.33896747906196412</v>
      </c>
    </row>
    <row r="264" spans="1:84" x14ac:dyDescent="0.3">
      <c r="A264" s="1">
        <v>813</v>
      </c>
      <c r="B264" t="s">
        <v>128</v>
      </c>
      <c r="C264" t="s">
        <v>129</v>
      </c>
      <c r="E264" t="s">
        <v>130</v>
      </c>
      <c r="F264">
        <v>3.2</v>
      </c>
      <c r="G264" t="s">
        <v>131</v>
      </c>
      <c r="H264" t="s">
        <v>132</v>
      </c>
      <c r="I264">
        <v>-1</v>
      </c>
      <c r="O264">
        <v>0</v>
      </c>
      <c r="Q264" t="s">
        <v>248</v>
      </c>
      <c r="R264">
        <v>623</v>
      </c>
      <c r="S264">
        <v>2</v>
      </c>
      <c r="T264" t="b">
        <v>0</v>
      </c>
      <c r="U264" t="s">
        <v>172</v>
      </c>
      <c r="V264" t="s">
        <v>173</v>
      </c>
      <c r="W264">
        <v>0.5</v>
      </c>
      <c r="X264">
        <v>50</v>
      </c>
      <c r="Y264">
        <v>1</v>
      </c>
      <c r="Z264">
        <v>0.1</v>
      </c>
      <c r="AC264" t="s">
        <v>90</v>
      </c>
      <c r="AD264">
        <v>125</v>
      </c>
      <c r="AE264">
        <v>220</v>
      </c>
      <c r="AF264" t="s">
        <v>91</v>
      </c>
      <c r="AG264">
        <v>288</v>
      </c>
      <c r="AH264">
        <v>454.54545454545462</v>
      </c>
      <c r="AL264" t="b">
        <v>1</v>
      </c>
      <c r="AM264" t="b">
        <v>0</v>
      </c>
      <c r="AN264" t="b">
        <v>0</v>
      </c>
      <c r="AO264" t="b">
        <v>0</v>
      </c>
      <c r="AP264" t="s">
        <v>131</v>
      </c>
      <c r="AQ264" t="s">
        <v>132</v>
      </c>
      <c r="AS264">
        <v>6.1192979186178666</v>
      </c>
      <c r="AT264">
        <v>2</v>
      </c>
      <c r="AU264">
        <v>2.666666666666667</v>
      </c>
      <c r="AV264">
        <v>0.66666666666666663</v>
      </c>
      <c r="AW264">
        <v>0</v>
      </c>
      <c r="AX264">
        <v>0.375</v>
      </c>
      <c r="AY264">
        <v>0.5</v>
      </c>
      <c r="AZ264">
        <v>0.125</v>
      </c>
      <c r="BA264">
        <v>0</v>
      </c>
      <c r="BB264">
        <v>6.1770001596666662</v>
      </c>
      <c r="BC264">
        <v>4</v>
      </c>
      <c r="BD264">
        <v>1182.741260108548</v>
      </c>
      <c r="BE264">
        <v>30</v>
      </c>
      <c r="BF264">
        <v>0.1014592151701775</v>
      </c>
      <c r="BG264">
        <v>10.59112378</v>
      </c>
      <c r="BH264">
        <v>10.784736629999999</v>
      </c>
      <c r="BI264">
        <v>10.486176179999999</v>
      </c>
      <c r="BJ264">
        <v>130.36387300000001</v>
      </c>
      <c r="BK264">
        <v>4</v>
      </c>
      <c r="BL264">
        <v>0.1227333894874388</v>
      </c>
      <c r="BM264">
        <v>3.73</v>
      </c>
      <c r="BN264">
        <v>3.73</v>
      </c>
      <c r="BO264">
        <v>9.3699999999999992</v>
      </c>
      <c r="BP264">
        <v>0</v>
      </c>
      <c r="BQ264">
        <v>0</v>
      </c>
      <c r="BS264">
        <v>0</v>
      </c>
      <c r="BT264">
        <v>0</v>
      </c>
      <c r="BU264">
        <v>0</v>
      </c>
      <c r="BX264">
        <v>2</v>
      </c>
      <c r="BZ264">
        <v>5.0729607585088737E-2</v>
      </c>
      <c r="CA264">
        <v>6.1366694743719377E-2</v>
      </c>
      <c r="CC264">
        <v>0.46900407026869612</v>
      </c>
      <c r="CD264">
        <v>0.56734579634715776</v>
      </c>
    </row>
    <row r="265" spans="1:84" x14ac:dyDescent="0.3">
      <c r="A265" s="1">
        <v>819</v>
      </c>
      <c r="B265" t="s">
        <v>128</v>
      </c>
      <c r="C265" t="s">
        <v>129</v>
      </c>
      <c r="E265" t="s">
        <v>130</v>
      </c>
      <c r="F265">
        <v>3.2</v>
      </c>
      <c r="G265" t="s">
        <v>131</v>
      </c>
      <c r="H265" t="s">
        <v>132</v>
      </c>
      <c r="I265">
        <v>-1</v>
      </c>
      <c r="O265">
        <v>0</v>
      </c>
      <c r="Q265" t="s">
        <v>248</v>
      </c>
      <c r="R265">
        <v>623</v>
      </c>
      <c r="S265">
        <v>8</v>
      </c>
      <c r="T265" t="b">
        <v>0</v>
      </c>
      <c r="U265" t="s">
        <v>172</v>
      </c>
      <c r="V265" t="s">
        <v>1365</v>
      </c>
      <c r="W265">
        <v>0.5</v>
      </c>
      <c r="X265">
        <v>50</v>
      </c>
      <c r="Y265">
        <v>1</v>
      </c>
      <c r="Z265">
        <v>0.1</v>
      </c>
      <c r="AC265" t="s">
        <v>90</v>
      </c>
      <c r="AD265">
        <v>125</v>
      </c>
      <c r="AE265">
        <v>220</v>
      </c>
      <c r="AF265" t="s">
        <v>91</v>
      </c>
      <c r="AG265">
        <v>288</v>
      </c>
      <c r="AH265">
        <v>454.54545454545462</v>
      </c>
      <c r="AL265" t="b">
        <v>1</v>
      </c>
      <c r="AM265" t="b">
        <v>0</v>
      </c>
      <c r="AN265" t="b">
        <v>0</v>
      </c>
      <c r="AO265" t="b">
        <v>0</v>
      </c>
      <c r="AP265" t="s">
        <v>131</v>
      </c>
      <c r="AQ265" t="s">
        <v>132</v>
      </c>
      <c r="AS265">
        <v>6.1192979186178666</v>
      </c>
      <c r="AT265">
        <v>2</v>
      </c>
      <c r="AU265">
        <v>2.666666666666667</v>
      </c>
      <c r="AV265">
        <v>0.66666666666666663</v>
      </c>
      <c r="AW265">
        <v>0</v>
      </c>
      <c r="AX265">
        <v>0.375</v>
      </c>
      <c r="AY265">
        <v>0.5</v>
      </c>
      <c r="AZ265">
        <v>0.125</v>
      </c>
      <c r="BA265">
        <v>0</v>
      </c>
      <c r="BB265">
        <v>6.1770001596666662</v>
      </c>
      <c r="BC265">
        <v>4</v>
      </c>
      <c r="BD265">
        <v>1182.741260108548</v>
      </c>
      <c r="BE265">
        <v>30</v>
      </c>
      <c r="BF265">
        <v>0.1014592151701775</v>
      </c>
      <c r="BG265">
        <v>10.59112378</v>
      </c>
      <c r="BH265">
        <v>10.784736629999999</v>
      </c>
      <c r="BI265">
        <v>10.486176179999999</v>
      </c>
      <c r="BJ265">
        <v>130.36387300000001</v>
      </c>
      <c r="BK265">
        <v>4</v>
      </c>
      <c r="BL265">
        <v>0.1227333894874388</v>
      </c>
      <c r="BM265">
        <v>3.73</v>
      </c>
      <c r="BN265">
        <v>3.73</v>
      </c>
      <c r="BO265">
        <v>9.3699999999999992</v>
      </c>
      <c r="BP265">
        <v>0</v>
      </c>
      <c r="BQ265">
        <v>0</v>
      </c>
      <c r="BS265">
        <v>0</v>
      </c>
      <c r="BT265">
        <v>0</v>
      </c>
      <c r="BU265">
        <v>0</v>
      </c>
      <c r="BX265">
        <v>2</v>
      </c>
      <c r="BZ265">
        <v>5.0729607585088737E-2</v>
      </c>
      <c r="CA265">
        <v>6.1366694743719377E-2</v>
      </c>
      <c r="CC265">
        <v>0.46900407026869612</v>
      </c>
      <c r="CD265">
        <v>0.56734579634715776</v>
      </c>
    </row>
    <row r="266" spans="1:84" x14ac:dyDescent="0.3">
      <c r="A266" s="1">
        <v>824</v>
      </c>
      <c r="B266" t="s">
        <v>128</v>
      </c>
      <c r="C266" t="s">
        <v>129</v>
      </c>
      <c r="E266" t="s">
        <v>130</v>
      </c>
      <c r="F266">
        <v>3.2</v>
      </c>
      <c r="G266" t="s">
        <v>131</v>
      </c>
      <c r="H266" t="s">
        <v>132</v>
      </c>
      <c r="I266">
        <v>-1</v>
      </c>
      <c r="O266">
        <v>0</v>
      </c>
      <c r="Q266" t="s">
        <v>248</v>
      </c>
      <c r="R266">
        <v>623</v>
      </c>
      <c r="S266">
        <v>13</v>
      </c>
      <c r="T266" t="b">
        <v>0</v>
      </c>
      <c r="U266" t="s">
        <v>172</v>
      </c>
      <c r="V266" t="s">
        <v>1366</v>
      </c>
      <c r="W266">
        <v>0.5</v>
      </c>
      <c r="X266">
        <v>50</v>
      </c>
      <c r="Y266">
        <v>1</v>
      </c>
      <c r="Z266">
        <v>0.1</v>
      </c>
      <c r="AC266" t="s">
        <v>90</v>
      </c>
      <c r="AD266">
        <v>125</v>
      </c>
      <c r="AE266">
        <v>220</v>
      </c>
      <c r="AF266" t="s">
        <v>91</v>
      </c>
      <c r="AG266">
        <v>288</v>
      </c>
      <c r="AH266">
        <v>38.18181818181818</v>
      </c>
      <c r="AL266" t="b">
        <v>1</v>
      </c>
      <c r="AM266" t="b">
        <v>0</v>
      </c>
      <c r="AN266" t="b">
        <v>0</v>
      </c>
      <c r="AO266" t="b">
        <v>0</v>
      </c>
      <c r="AP266" t="s">
        <v>131</v>
      </c>
      <c r="AQ266" t="s">
        <v>132</v>
      </c>
      <c r="AS266">
        <v>3.6423594384790432</v>
      </c>
      <c r="AT266">
        <v>2</v>
      </c>
      <c r="AU266">
        <v>2.666666666666667</v>
      </c>
      <c r="AV266">
        <v>0.66666666666666663</v>
      </c>
      <c r="AW266">
        <v>0</v>
      </c>
      <c r="AX266">
        <v>0.375</v>
      </c>
      <c r="AY266">
        <v>0.5</v>
      </c>
      <c r="AZ266">
        <v>0.125</v>
      </c>
      <c r="BA266">
        <v>0</v>
      </c>
      <c r="BB266">
        <v>6.1770001596666662</v>
      </c>
      <c r="BC266">
        <v>4</v>
      </c>
      <c r="BD266">
        <v>1182.741260108548</v>
      </c>
      <c r="BE266">
        <v>30</v>
      </c>
      <c r="BF266">
        <v>0.1014592151701775</v>
      </c>
      <c r="BG266">
        <v>10.59112378</v>
      </c>
      <c r="BH266">
        <v>10.784736629999999</v>
      </c>
      <c r="BI266">
        <v>10.486176179999999</v>
      </c>
      <c r="BJ266">
        <v>130.36387300000001</v>
      </c>
      <c r="BK266">
        <v>4</v>
      </c>
      <c r="BL266">
        <v>0.1227333894874388</v>
      </c>
      <c r="BM266">
        <v>3.73</v>
      </c>
      <c r="BN266">
        <v>3.73</v>
      </c>
      <c r="BO266">
        <v>9.3699999999999992</v>
      </c>
      <c r="BP266">
        <v>0</v>
      </c>
      <c r="BQ266">
        <v>0</v>
      </c>
      <c r="BS266">
        <v>0</v>
      </c>
      <c r="BT266">
        <v>0</v>
      </c>
      <c r="BU266">
        <v>0</v>
      </c>
      <c r="BX266">
        <v>2</v>
      </c>
      <c r="BZ266">
        <v>5.0729607585088737E-2</v>
      </c>
      <c r="CA266">
        <v>6.1366694743719377E-2</v>
      </c>
      <c r="CC266">
        <v>0.46900407026869612</v>
      </c>
      <c r="CD266">
        <v>0.56734579634715776</v>
      </c>
    </row>
    <row r="267" spans="1:84" x14ac:dyDescent="0.3">
      <c r="A267" s="1">
        <v>825</v>
      </c>
      <c r="B267" t="s">
        <v>128</v>
      </c>
      <c r="C267" t="s">
        <v>129</v>
      </c>
      <c r="E267" t="s">
        <v>130</v>
      </c>
      <c r="F267">
        <v>3.2</v>
      </c>
      <c r="G267" t="s">
        <v>131</v>
      </c>
      <c r="H267" t="s">
        <v>132</v>
      </c>
      <c r="I267">
        <v>-1</v>
      </c>
      <c r="O267">
        <v>0</v>
      </c>
      <c r="Q267" t="s">
        <v>248</v>
      </c>
      <c r="R267">
        <v>623</v>
      </c>
      <c r="S267">
        <v>14</v>
      </c>
      <c r="T267" t="b">
        <v>0</v>
      </c>
      <c r="U267" t="s">
        <v>172</v>
      </c>
      <c r="V267" t="s">
        <v>1367</v>
      </c>
      <c r="W267">
        <v>0.5</v>
      </c>
      <c r="X267">
        <v>50</v>
      </c>
      <c r="Y267">
        <v>1</v>
      </c>
      <c r="Z267">
        <v>0.1</v>
      </c>
      <c r="AC267" t="s">
        <v>90</v>
      </c>
      <c r="AD267">
        <v>125</v>
      </c>
      <c r="AE267">
        <v>220</v>
      </c>
      <c r="AF267" t="s">
        <v>91</v>
      </c>
      <c r="AG267">
        <v>288</v>
      </c>
      <c r="AH267">
        <v>36.363636363636367</v>
      </c>
      <c r="AL267" t="b">
        <v>1</v>
      </c>
      <c r="AM267" t="b">
        <v>0</v>
      </c>
      <c r="AN267" t="b">
        <v>0</v>
      </c>
      <c r="AO267" t="b">
        <v>0</v>
      </c>
      <c r="AP267" t="s">
        <v>131</v>
      </c>
      <c r="AQ267" t="s">
        <v>132</v>
      </c>
      <c r="AS267">
        <v>3.593569274309611</v>
      </c>
      <c r="AT267">
        <v>2</v>
      </c>
      <c r="AU267">
        <v>2.666666666666667</v>
      </c>
      <c r="AV267">
        <v>0.66666666666666663</v>
      </c>
      <c r="AW267">
        <v>0</v>
      </c>
      <c r="AX267">
        <v>0.375</v>
      </c>
      <c r="AY267">
        <v>0.5</v>
      </c>
      <c r="AZ267">
        <v>0.125</v>
      </c>
      <c r="BA267">
        <v>0</v>
      </c>
      <c r="BB267">
        <v>6.1770001596666662</v>
      </c>
      <c r="BC267">
        <v>4</v>
      </c>
      <c r="BD267">
        <v>1182.741260108548</v>
      </c>
      <c r="BE267">
        <v>30</v>
      </c>
      <c r="BF267">
        <v>0.1014592151701775</v>
      </c>
      <c r="BG267">
        <v>10.59112378</v>
      </c>
      <c r="BH267">
        <v>10.784736629999999</v>
      </c>
      <c r="BI267">
        <v>10.486176179999999</v>
      </c>
      <c r="BJ267">
        <v>130.36387300000001</v>
      </c>
      <c r="BK267">
        <v>4</v>
      </c>
      <c r="BL267">
        <v>0.1227333894874388</v>
      </c>
      <c r="BM267">
        <v>3.73</v>
      </c>
      <c r="BN267">
        <v>3.73</v>
      </c>
      <c r="BO267">
        <v>9.3699999999999992</v>
      </c>
      <c r="BP267">
        <v>0</v>
      </c>
      <c r="BQ267">
        <v>0</v>
      </c>
      <c r="BS267">
        <v>0</v>
      </c>
      <c r="BT267">
        <v>0</v>
      </c>
      <c r="BU267">
        <v>0</v>
      </c>
      <c r="BX267">
        <v>2</v>
      </c>
      <c r="BZ267">
        <v>5.0729607585088737E-2</v>
      </c>
      <c r="CA267">
        <v>6.1366694743719377E-2</v>
      </c>
      <c r="CC267">
        <v>0.46900407026869612</v>
      </c>
      <c r="CD267">
        <v>0.56734579634715776</v>
      </c>
    </row>
    <row r="268" spans="1:84" x14ac:dyDescent="0.3">
      <c r="A268" s="1">
        <v>827</v>
      </c>
      <c r="B268" t="s">
        <v>128</v>
      </c>
      <c r="C268" t="s">
        <v>129</v>
      </c>
      <c r="E268" t="s">
        <v>130</v>
      </c>
      <c r="F268">
        <v>3.2</v>
      </c>
      <c r="G268" t="s">
        <v>131</v>
      </c>
      <c r="H268" t="s">
        <v>132</v>
      </c>
      <c r="I268">
        <v>-1</v>
      </c>
      <c r="O268">
        <v>0</v>
      </c>
      <c r="Q268" t="s">
        <v>248</v>
      </c>
      <c r="R268">
        <v>623</v>
      </c>
      <c r="S268">
        <v>16</v>
      </c>
      <c r="T268" t="b">
        <v>0</v>
      </c>
      <c r="U268" t="s">
        <v>172</v>
      </c>
      <c r="V268" t="s">
        <v>1368</v>
      </c>
      <c r="W268">
        <v>0.5</v>
      </c>
      <c r="X268">
        <v>50</v>
      </c>
      <c r="Y268">
        <v>1</v>
      </c>
      <c r="Z268">
        <v>0.1</v>
      </c>
      <c r="AC268" t="s">
        <v>90</v>
      </c>
      <c r="AD268">
        <v>125</v>
      </c>
      <c r="AE268">
        <v>220</v>
      </c>
      <c r="AF268" t="s">
        <v>91</v>
      </c>
      <c r="AG268">
        <v>288</v>
      </c>
      <c r="AH268">
        <v>9.0909090909090917</v>
      </c>
      <c r="AL268" t="b">
        <v>1</v>
      </c>
      <c r="AM268" t="b">
        <v>0</v>
      </c>
      <c r="AN268" t="b">
        <v>0</v>
      </c>
      <c r="AO268" t="b">
        <v>0</v>
      </c>
      <c r="AP268" t="s">
        <v>131</v>
      </c>
      <c r="AQ268" t="s">
        <v>132</v>
      </c>
      <c r="AS268">
        <v>2.2072749131897211</v>
      </c>
      <c r="AT268">
        <v>2</v>
      </c>
      <c r="AU268">
        <v>2.666666666666667</v>
      </c>
      <c r="AV268">
        <v>0.66666666666666663</v>
      </c>
      <c r="AW268">
        <v>0</v>
      </c>
      <c r="AX268">
        <v>0.375</v>
      </c>
      <c r="AY268">
        <v>0.5</v>
      </c>
      <c r="AZ268">
        <v>0.125</v>
      </c>
      <c r="BA268">
        <v>0</v>
      </c>
      <c r="BB268">
        <v>6.1770001596666662</v>
      </c>
      <c r="BC268">
        <v>4</v>
      </c>
      <c r="BD268">
        <v>1182.741260108548</v>
      </c>
      <c r="BE268">
        <v>30</v>
      </c>
      <c r="BF268">
        <v>0.1014592151701775</v>
      </c>
      <c r="BG268">
        <v>10.59112378</v>
      </c>
      <c r="BH268">
        <v>10.784736629999999</v>
      </c>
      <c r="BI268">
        <v>10.486176179999999</v>
      </c>
      <c r="BJ268">
        <v>130.36387300000001</v>
      </c>
      <c r="BK268">
        <v>4</v>
      </c>
      <c r="BL268">
        <v>0.1227333894874388</v>
      </c>
      <c r="BM268">
        <v>3.73</v>
      </c>
      <c r="BN268">
        <v>3.73</v>
      </c>
      <c r="BO268">
        <v>9.3699999999999992</v>
      </c>
      <c r="BP268">
        <v>0</v>
      </c>
      <c r="BQ268">
        <v>0</v>
      </c>
      <c r="BS268">
        <v>0</v>
      </c>
      <c r="BT268">
        <v>0</v>
      </c>
      <c r="BU268">
        <v>0</v>
      </c>
      <c r="BX268">
        <v>2</v>
      </c>
      <c r="BZ268">
        <v>5.0729607585088737E-2</v>
      </c>
      <c r="CA268">
        <v>6.1366694743719377E-2</v>
      </c>
      <c r="CC268">
        <v>0.46900407026869612</v>
      </c>
      <c r="CD268">
        <v>0.56734579634715776</v>
      </c>
    </row>
    <row r="269" spans="1:84" x14ac:dyDescent="0.3">
      <c r="A269" s="1">
        <v>828</v>
      </c>
      <c r="B269" t="s">
        <v>128</v>
      </c>
      <c r="C269" t="s">
        <v>129</v>
      </c>
      <c r="E269" t="s">
        <v>130</v>
      </c>
      <c r="F269">
        <v>3.2</v>
      </c>
      <c r="G269" t="s">
        <v>131</v>
      </c>
      <c r="H269" t="s">
        <v>132</v>
      </c>
      <c r="I269">
        <v>-1</v>
      </c>
      <c r="O269">
        <v>0</v>
      </c>
      <c r="Q269" t="s">
        <v>248</v>
      </c>
      <c r="R269">
        <v>623</v>
      </c>
      <c r="S269">
        <v>17</v>
      </c>
      <c r="T269" t="b">
        <v>0</v>
      </c>
      <c r="U269" t="s">
        <v>125</v>
      </c>
      <c r="V269" t="s">
        <v>126</v>
      </c>
      <c r="W269">
        <v>0.5</v>
      </c>
      <c r="X269">
        <v>50</v>
      </c>
      <c r="Y269">
        <v>1</v>
      </c>
      <c r="Z269">
        <v>0.1</v>
      </c>
      <c r="AC269" t="s">
        <v>90</v>
      </c>
      <c r="AD269">
        <v>125</v>
      </c>
      <c r="AE269">
        <v>220</v>
      </c>
      <c r="AF269" t="s">
        <v>91</v>
      </c>
      <c r="AG269">
        <v>288</v>
      </c>
      <c r="AH269">
        <v>10563.63636363636</v>
      </c>
      <c r="AL269" t="b">
        <v>1</v>
      </c>
      <c r="AM269" t="b">
        <v>0</v>
      </c>
      <c r="AN269" t="b">
        <v>0</v>
      </c>
      <c r="AO269" t="b">
        <v>0</v>
      </c>
      <c r="AP269" t="s">
        <v>131</v>
      </c>
      <c r="AQ269" t="s">
        <v>132</v>
      </c>
      <c r="AS269">
        <v>9.2651728506015765</v>
      </c>
      <c r="AT269">
        <v>2</v>
      </c>
      <c r="AU269">
        <v>2.666666666666667</v>
      </c>
      <c r="AV269">
        <v>0.66666666666666663</v>
      </c>
      <c r="AW269">
        <v>0</v>
      </c>
      <c r="AX269">
        <v>0.375</v>
      </c>
      <c r="AY269">
        <v>0.5</v>
      </c>
      <c r="AZ269">
        <v>0.125</v>
      </c>
      <c r="BA269">
        <v>0</v>
      </c>
      <c r="BB269">
        <v>6.1770001596666662</v>
      </c>
      <c r="BC269">
        <v>4</v>
      </c>
      <c r="BD269">
        <v>1182.741260108548</v>
      </c>
      <c r="BE269">
        <v>30</v>
      </c>
      <c r="BF269">
        <v>0.1014592151701775</v>
      </c>
      <c r="BG269">
        <v>10.59112378</v>
      </c>
      <c r="BH269">
        <v>10.784736629999999</v>
      </c>
      <c r="BI269">
        <v>10.486176179999999</v>
      </c>
      <c r="BJ269">
        <v>130.36387300000001</v>
      </c>
      <c r="BK269">
        <v>4</v>
      </c>
      <c r="BL269">
        <v>0.1227333894874388</v>
      </c>
      <c r="BM269">
        <v>3.73</v>
      </c>
      <c r="BN269">
        <v>3.73</v>
      </c>
      <c r="BO269">
        <v>9.3699999999999992</v>
      </c>
      <c r="BP269">
        <v>0</v>
      </c>
      <c r="BQ269">
        <v>0</v>
      </c>
      <c r="BS269">
        <v>0</v>
      </c>
      <c r="BT269">
        <v>0</v>
      </c>
      <c r="BU269">
        <v>0</v>
      </c>
      <c r="BX269">
        <v>2</v>
      </c>
      <c r="BZ269">
        <v>5.0729607585088737E-2</v>
      </c>
      <c r="CA269">
        <v>6.1366694743719377E-2</v>
      </c>
      <c r="CC269">
        <v>0.46900407026869612</v>
      </c>
      <c r="CD269">
        <v>0.56734579634715776</v>
      </c>
    </row>
    <row r="270" spans="1:84" x14ac:dyDescent="0.3">
      <c r="A270" s="1">
        <v>191</v>
      </c>
      <c r="B270" t="s">
        <v>501</v>
      </c>
      <c r="C270" t="s">
        <v>502</v>
      </c>
      <c r="F270">
        <v>2.39</v>
      </c>
      <c r="G270" t="s">
        <v>503</v>
      </c>
      <c r="H270" t="s">
        <v>505</v>
      </c>
      <c r="I270">
        <v>-1</v>
      </c>
      <c r="J270">
        <v>4</v>
      </c>
      <c r="K270">
        <v>5.4930000000000003</v>
      </c>
      <c r="L270">
        <v>5.4930000000000003</v>
      </c>
      <c r="M270">
        <v>28.75</v>
      </c>
      <c r="O270">
        <v>14.375</v>
      </c>
      <c r="Q270" t="s">
        <v>87</v>
      </c>
      <c r="R270">
        <v>1073</v>
      </c>
      <c r="S270">
        <v>24</v>
      </c>
      <c r="T270" t="b">
        <v>0</v>
      </c>
      <c r="U270" t="s">
        <v>172</v>
      </c>
      <c r="V270" t="s">
        <v>126</v>
      </c>
      <c r="W270">
        <v>0.375</v>
      </c>
      <c r="Y270">
        <v>3</v>
      </c>
      <c r="Z270">
        <v>20</v>
      </c>
      <c r="AC270" t="s">
        <v>165</v>
      </c>
      <c r="AD270">
        <v>300</v>
      </c>
      <c r="AE270">
        <v>420</v>
      </c>
      <c r="AF270" t="s">
        <v>407</v>
      </c>
      <c r="AH270">
        <v>0.19800000000000001</v>
      </c>
      <c r="AL270" t="b">
        <v>1</v>
      </c>
      <c r="AM270" t="b">
        <v>1</v>
      </c>
      <c r="AN270" t="b">
        <v>0</v>
      </c>
      <c r="AO270" t="b">
        <v>0</v>
      </c>
      <c r="AP270" t="s">
        <v>503</v>
      </c>
      <c r="AQ270" t="s">
        <v>505</v>
      </c>
      <c r="AS270">
        <v>-1.6194882482876021</v>
      </c>
      <c r="AT270">
        <v>1.928571428571429</v>
      </c>
      <c r="AU270">
        <v>3.5</v>
      </c>
      <c r="AV270">
        <v>3.1428571428571428</v>
      </c>
      <c r="AW270">
        <v>4</v>
      </c>
      <c r="AX270">
        <v>0.15340909090909091</v>
      </c>
      <c r="AY270">
        <v>0.27840909090909088</v>
      </c>
      <c r="AZ270">
        <v>0.25</v>
      </c>
      <c r="BA270">
        <v>0.31818181818181818</v>
      </c>
      <c r="BB270">
        <v>6.3500525582857126</v>
      </c>
      <c r="BC270">
        <v>16</v>
      </c>
      <c r="BD270">
        <v>883.36082823090169</v>
      </c>
      <c r="BE270">
        <v>4</v>
      </c>
      <c r="BF270">
        <v>7.2450575070407169E-2</v>
      </c>
      <c r="BG270">
        <v>5.5026178200000002</v>
      </c>
      <c r="BH270">
        <v>5.5582516699999998</v>
      </c>
      <c r="BI270">
        <v>28.882220520000001</v>
      </c>
      <c r="BJ270">
        <v>867.94893000000013</v>
      </c>
      <c r="BK270">
        <v>4</v>
      </c>
      <c r="BL270">
        <v>7.3737057317416116E-2</v>
      </c>
      <c r="BM270">
        <v>5.4930000000000003</v>
      </c>
      <c r="BN270">
        <v>5.4960000000000004</v>
      </c>
      <c r="BO270">
        <v>28.75</v>
      </c>
      <c r="BP270">
        <v>0</v>
      </c>
      <c r="BQ270">
        <v>0</v>
      </c>
      <c r="BS270">
        <v>0</v>
      </c>
      <c r="BT270">
        <v>0</v>
      </c>
      <c r="BU270">
        <v>0</v>
      </c>
      <c r="BV270">
        <v>867.47515875000011</v>
      </c>
      <c r="BW270">
        <v>7.3777328785093577E-2</v>
      </c>
      <c r="BX270">
        <v>8</v>
      </c>
      <c r="BY270">
        <v>3.6888664392546788E-2</v>
      </c>
      <c r="BZ270">
        <v>3.6225287535203578E-2</v>
      </c>
      <c r="CA270">
        <v>3.6868528658708058E-2</v>
      </c>
      <c r="CC270">
        <v>0.52239337321040402</v>
      </c>
      <c r="CD270">
        <v>0.53166934928012066</v>
      </c>
      <c r="CF270">
        <v>0.53195972030648886</v>
      </c>
    </row>
    <row r="271" spans="1:84" x14ac:dyDescent="0.3">
      <c r="A271" s="1">
        <v>192</v>
      </c>
      <c r="B271" t="s">
        <v>506</v>
      </c>
      <c r="C271" t="s">
        <v>507</v>
      </c>
      <c r="F271">
        <v>2.44</v>
      </c>
      <c r="G271" t="s">
        <v>508</v>
      </c>
      <c r="H271">
        <v>-1</v>
      </c>
      <c r="I271">
        <v>-1</v>
      </c>
      <c r="Q271" t="s">
        <v>87</v>
      </c>
      <c r="R271">
        <v>1073</v>
      </c>
      <c r="S271">
        <v>24</v>
      </c>
      <c r="T271" t="b">
        <v>0</v>
      </c>
      <c r="U271" t="s">
        <v>172</v>
      </c>
      <c r="V271" t="s">
        <v>126</v>
      </c>
      <c r="W271">
        <v>0.375</v>
      </c>
      <c r="Y271">
        <v>3</v>
      </c>
      <c r="Z271">
        <v>20</v>
      </c>
      <c r="AC271" t="s">
        <v>165</v>
      </c>
      <c r="AD271">
        <v>300</v>
      </c>
      <c r="AE271">
        <v>420</v>
      </c>
      <c r="AF271" t="s">
        <v>407</v>
      </c>
      <c r="AH271">
        <v>0.66</v>
      </c>
      <c r="AL271" t="b">
        <v>1</v>
      </c>
      <c r="AM271" t="b">
        <v>0</v>
      </c>
      <c r="AN271" t="b">
        <v>0</v>
      </c>
      <c r="AO271" t="b">
        <v>0</v>
      </c>
      <c r="AP271" t="s">
        <v>508</v>
      </c>
      <c r="AQ271">
        <v>-1</v>
      </c>
      <c r="AS271">
        <v>-0.41551544396166579</v>
      </c>
      <c r="AT271">
        <v>1.928571428571429</v>
      </c>
      <c r="AU271">
        <v>3.5</v>
      </c>
      <c r="AV271">
        <v>3.8571428571428572</v>
      </c>
      <c r="AW271">
        <v>4</v>
      </c>
      <c r="AX271">
        <v>0.1451612903225806</v>
      </c>
      <c r="AY271">
        <v>0.26344086021505381</v>
      </c>
      <c r="AZ271">
        <v>0.29032258064516131</v>
      </c>
      <c r="BA271">
        <v>0.30107526881720431</v>
      </c>
      <c r="BB271">
        <v>6.2999468447142846</v>
      </c>
      <c r="BC271">
        <v>16</v>
      </c>
      <c r="BD271">
        <v>940.71474773474347</v>
      </c>
      <c r="BE271">
        <v>4</v>
      </c>
      <c r="BF271">
        <v>6.8033375849706881E-2</v>
      </c>
      <c r="BG271">
        <v>5.5809040000000003</v>
      </c>
      <c r="BH271">
        <v>5.6539380000000001</v>
      </c>
      <c r="BI271">
        <v>29.812771999999999</v>
      </c>
      <c r="BJ271">
        <v>0</v>
      </c>
      <c r="BK271">
        <v>0</v>
      </c>
      <c r="BM271">
        <v>0</v>
      </c>
      <c r="BP271">
        <v>0</v>
      </c>
      <c r="BQ271">
        <v>0</v>
      </c>
      <c r="BS271">
        <v>0</v>
      </c>
      <c r="BT271">
        <v>0</v>
      </c>
      <c r="BU271">
        <v>0</v>
      </c>
      <c r="BX271">
        <v>8</v>
      </c>
      <c r="BZ271">
        <v>3.4016687924853441E-2</v>
      </c>
      <c r="CC271">
        <v>0.5149647422483159</v>
      </c>
    </row>
    <row r="272" spans="1:84" x14ac:dyDescent="0.3">
      <c r="A272" s="1">
        <v>193</v>
      </c>
      <c r="B272" t="s">
        <v>509</v>
      </c>
      <c r="C272" t="s">
        <v>510</v>
      </c>
      <c r="F272">
        <v>2.48</v>
      </c>
      <c r="G272" t="s">
        <v>511</v>
      </c>
      <c r="H272" t="s">
        <v>512</v>
      </c>
      <c r="I272">
        <v>-1</v>
      </c>
      <c r="Q272" t="s">
        <v>87</v>
      </c>
      <c r="R272">
        <v>1073</v>
      </c>
      <c r="S272">
        <v>24</v>
      </c>
      <c r="T272" t="b">
        <v>0</v>
      </c>
      <c r="U272" t="s">
        <v>172</v>
      </c>
      <c r="V272" t="s">
        <v>126</v>
      </c>
      <c r="W272">
        <v>0.375</v>
      </c>
      <c r="Y272">
        <v>3</v>
      </c>
      <c r="Z272">
        <v>20</v>
      </c>
      <c r="AC272" t="s">
        <v>165</v>
      </c>
      <c r="AD272">
        <v>300</v>
      </c>
      <c r="AE272">
        <v>420</v>
      </c>
      <c r="AF272" t="s">
        <v>407</v>
      </c>
      <c r="AH272">
        <v>0.13200000000000001</v>
      </c>
      <c r="AL272" t="b">
        <v>1</v>
      </c>
      <c r="AM272" t="b">
        <v>1</v>
      </c>
      <c r="AN272" t="b">
        <v>0</v>
      </c>
      <c r="AO272" t="b">
        <v>0</v>
      </c>
      <c r="AP272" t="s">
        <v>511</v>
      </c>
      <c r="AQ272" t="s">
        <v>512</v>
      </c>
      <c r="AS272">
        <v>-2.0249533563957658</v>
      </c>
      <c r="AT272">
        <v>2</v>
      </c>
      <c r="AU272">
        <v>3.5</v>
      </c>
      <c r="AV272">
        <v>3.0714285714285721</v>
      </c>
      <c r="AW272">
        <v>5</v>
      </c>
      <c r="AX272">
        <v>0.14736842105263159</v>
      </c>
      <c r="AY272">
        <v>0.25789473684210529</v>
      </c>
      <c r="AZ272">
        <v>0.22631578947368419</v>
      </c>
      <c r="BA272">
        <v>0.36842105263157893</v>
      </c>
      <c r="BB272">
        <v>6.3572730307857137</v>
      </c>
      <c r="BC272">
        <v>16</v>
      </c>
      <c r="BD272">
        <v>218.55655879400501</v>
      </c>
      <c r="BE272">
        <v>1</v>
      </c>
      <c r="BF272">
        <v>7.320759481338833E-2</v>
      </c>
      <c r="BG272">
        <v>3.9070640000000001</v>
      </c>
      <c r="BH272">
        <v>3.9070640000000001</v>
      </c>
      <c r="BI272">
        <v>14.317354999999999</v>
      </c>
      <c r="BJ272">
        <v>862.37070529816799</v>
      </c>
      <c r="BK272">
        <v>4</v>
      </c>
      <c r="BL272">
        <v>7.4214023745010863E-2</v>
      </c>
      <c r="BM272">
        <v>5.4588999999999999</v>
      </c>
      <c r="BN272">
        <v>5.5044000000000004</v>
      </c>
      <c r="BO272">
        <v>28.6998</v>
      </c>
      <c r="BP272">
        <v>0</v>
      </c>
      <c r="BQ272">
        <v>0</v>
      </c>
      <c r="BS272">
        <v>0</v>
      </c>
      <c r="BT272">
        <v>0</v>
      </c>
      <c r="BU272">
        <v>0</v>
      </c>
      <c r="BX272">
        <v>8</v>
      </c>
      <c r="BZ272">
        <v>3.6603797406694158E-2</v>
      </c>
      <c r="CA272">
        <v>3.7107011872505431E-2</v>
      </c>
      <c r="CC272">
        <v>0.52785174392365919</v>
      </c>
      <c r="CD272">
        <v>0.53510844000889946</v>
      </c>
    </row>
    <row r="273" spans="1:84" x14ac:dyDescent="0.3">
      <c r="A273" s="1">
        <v>194</v>
      </c>
      <c r="B273" t="s">
        <v>513</v>
      </c>
      <c r="C273" t="s">
        <v>514</v>
      </c>
      <c r="F273">
        <v>2.52</v>
      </c>
      <c r="G273" t="s">
        <v>515</v>
      </c>
      <c r="H273">
        <v>-1</v>
      </c>
      <c r="I273">
        <v>-1</v>
      </c>
      <c r="Q273" t="s">
        <v>87</v>
      </c>
      <c r="R273">
        <v>1073</v>
      </c>
      <c r="S273">
        <v>24</v>
      </c>
      <c r="T273" t="b">
        <v>0</v>
      </c>
      <c r="U273" t="s">
        <v>172</v>
      </c>
      <c r="V273" t="s">
        <v>126</v>
      </c>
      <c r="W273">
        <v>0.375</v>
      </c>
      <c r="Y273">
        <v>3</v>
      </c>
      <c r="Z273">
        <v>20</v>
      </c>
      <c r="AC273" t="s">
        <v>165</v>
      </c>
      <c r="AD273">
        <v>300</v>
      </c>
      <c r="AE273">
        <v>420</v>
      </c>
      <c r="AF273" t="s">
        <v>407</v>
      </c>
      <c r="AH273">
        <v>6.6000000000000003E-2</v>
      </c>
      <c r="AL273" t="b">
        <v>1</v>
      </c>
      <c r="AM273" t="b">
        <v>0</v>
      </c>
      <c r="AN273" t="b">
        <v>0</v>
      </c>
      <c r="AO273" t="b">
        <v>0</v>
      </c>
      <c r="AP273" t="s">
        <v>515</v>
      </c>
      <c r="AQ273">
        <v>-1</v>
      </c>
      <c r="AS273">
        <v>-2.7181005369557121</v>
      </c>
      <c r="AT273">
        <v>2</v>
      </c>
      <c r="AU273">
        <v>3.5</v>
      </c>
      <c r="AV273">
        <v>3.785714285714286</v>
      </c>
      <c r="AW273">
        <v>5</v>
      </c>
      <c r="AX273">
        <v>0.14000000000000001</v>
      </c>
      <c r="AY273">
        <v>0.245</v>
      </c>
      <c r="AZ273">
        <v>0.26500000000000001</v>
      </c>
      <c r="BA273">
        <v>0.35</v>
      </c>
      <c r="BB273">
        <v>6.3071673172142848</v>
      </c>
      <c r="BC273">
        <v>16</v>
      </c>
      <c r="BD273">
        <v>896.95302480881253</v>
      </c>
      <c r="BE273">
        <v>4</v>
      </c>
      <c r="BF273">
        <v>7.1352677598296457E-2</v>
      </c>
      <c r="BG273">
        <v>5.4952131800000004</v>
      </c>
      <c r="BH273">
        <v>5.5421627200000003</v>
      </c>
      <c r="BI273">
        <v>29.451395720000001</v>
      </c>
      <c r="BJ273">
        <v>0</v>
      </c>
      <c r="BK273">
        <v>0</v>
      </c>
      <c r="BM273">
        <v>0</v>
      </c>
      <c r="BP273">
        <v>0</v>
      </c>
      <c r="BQ273">
        <v>0</v>
      </c>
      <c r="BS273">
        <v>0</v>
      </c>
      <c r="BT273">
        <v>0</v>
      </c>
      <c r="BU273">
        <v>0</v>
      </c>
      <c r="BX273">
        <v>8</v>
      </c>
      <c r="BZ273">
        <v>3.5676338799148229E-2</v>
      </c>
      <c r="CC273">
        <v>0.5400895188459508</v>
      </c>
    </row>
    <row r="274" spans="1:84" x14ac:dyDescent="0.3">
      <c r="A274" s="1">
        <v>220</v>
      </c>
      <c r="B274" t="s">
        <v>140</v>
      </c>
      <c r="C274" t="s">
        <v>141</v>
      </c>
      <c r="E274" t="s">
        <v>106</v>
      </c>
      <c r="F274">
        <v>3.5</v>
      </c>
      <c r="G274" t="s">
        <v>142</v>
      </c>
      <c r="H274">
        <v>1522043</v>
      </c>
      <c r="I274" t="s">
        <v>177</v>
      </c>
      <c r="K274">
        <v>3.85</v>
      </c>
      <c r="L274">
        <v>3.85</v>
      </c>
      <c r="M274">
        <v>29.296700000000001</v>
      </c>
      <c r="N274" t="s">
        <v>529</v>
      </c>
      <c r="O274">
        <v>14.648350000000001</v>
      </c>
      <c r="Q274" t="s">
        <v>87</v>
      </c>
      <c r="R274">
        <v>1523</v>
      </c>
      <c r="S274">
        <v>2</v>
      </c>
      <c r="T274" t="b">
        <v>0</v>
      </c>
      <c r="U274" t="s">
        <v>125</v>
      </c>
      <c r="V274" t="s">
        <v>126</v>
      </c>
      <c r="W274">
        <v>0.3</v>
      </c>
      <c r="X274">
        <v>50</v>
      </c>
      <c r="Y274">
        <v>2.5</v>
      </c>
      <c r="Z274">
        <v>7</v>
      </c>
      <c r="AC274" t="s">
        <v>165</v>
      </c>
      <c r="AD274">
        <v>300</v>
      </c>
      <c r="AE274">
        <v>300</v>
      </c>
      <c r="AF274" t="s">
        <v>407</v>
      </c>
      <c r="AH274">
        <v>840</v>
      </c>
      <c r="AI274" t="s">
        <v>144</v>
      </c>
      <c r="AJ274" t="s">
        <v>144</v>
      </c>
      <c r="AL274" t="b">
        <v>1</v>
      </c>
      <c r="AM274" t="b">
        <v>1</v>
      </c>
      <c r="AN274" t="b">
        <v>0</v>
      </c>
      <c r="AO274" t="b">
        <v>0</v>
      </c>
      <c r="AP274" t="s">
        <v>597</v>
      </c>
      <c r="AQ274" t="s">
        <v>598</v>
      </c>
      <c r="AR274" t="s">
        <v>177</v>
      </c>
      <c r="AS274">
        <v>6.7334018918373593</v>
      </c>
      <c r="AT274">
        <v>1.75</v>
      </c>
      <c r="AU274">
        <v>2.5</v>
      </c>
      <c r="AV274">
        <v>0.75</v>
      </c>
      <c r="AW274">
        <v>0</v>
      </c>
      <c r="AX274">
        <v>0.35</v>
      </c>
      <c r="AY274">
        <v>0.5</v>
      </c>
      <c r="AZ274">
        <v>0.15</v>
      </c>
      <c r="BA274">
        <v>0</v>
      </c>
      <c r="BB274">
        <v>6.2640154224906874</v>
      </c>
      <c r="BC274">
        <v>20</v>
      </c>
      <c r="BD274">
        <v>242.1279024923125</v>
      </c>
      <c r="BE274">
        <v>1</v>
      </c>
      <c r="BF274">
        <v>8.2600971611006269E-2</v>
      </c>
      <c r="BG274">
        <v>3.950634</v>
      </c>
      <c r="BH274">
        <v>3.950634</v>
      </c>
      <c r="BI274">
        <v>15.513552000000001</v>
      </c>
      <c r="BJ274">
        <v>227.970829547178</v>
      </c>
      <c r="BK274">
        <v>1</v>
      </c>
      <c r="BL274">
        <v>8.7730522539775438E-2</v>
      </c>
      <c r="BM274">
        <v>3.8658999999999999</v>
      </c>
      <c r="BN274">
        <v>3.8658999999999999</v>
      </c>
      <c r="BO274">
        <v>15.2538</v>
      </c>
      <c r="BP274">
        <v>164.541706117579</v>
      </c>
      <c r="BQ274">
        <v>1</v>
      </c>
      <c r="BR274">
        <v>0.12154973028970729</v>
      </c>
      <c r="BS274">
        <v>3.8653</v>
      </c>
      <c r="BT274">
        <v>3.8653</v>
      </c>
      <c r="BU274">
        <v>11.0131</v>
      </c>
      <c r="BV274">
        <v>434.25033575000009</v>
      </c>
      <c r="BX274">
        <v>10</v>
      </c>
      <c r="BZ274">
        <v>4.1300485805503127E-2</v>
      </c>
      <c r="CA274">
        <v>4.3865261269887719E-2</v>
      </c>
      <c r="CB274">
        <v>6.0774865144853633E-2</v>
      </c>
      <c r="CC274">
        <v>0.42195359024583579</v>
      </c>
      <c r="CD274">
        <v>0.44815706447294301</v>
      </c>
      <c r="CE274">
        <v>0.62091697093694975</v>
      </c>
    </row>
    <row r="275" spans="1:84" x14ac:dyDescent="0.3">
      <c r="A275" s="1">
        <v>221</v>
      </c>
      <c r="B275" t="s">
        <v>151</v>
      </c>
      <c r="C275" t="s">
        <v>152</v>
      </c>
      <c r="E275" t="s">
        <v>106</v>
      </c>
      <c r="F275">
        <v>3.3</v>
      </c>
      <c r="G275" t="s">
        <v>142</v>
      </c>
      <c r="H275">
        <v>1522043</v>
      </c>
      <c r="I275">
        <v>-1</v>
      </c>
      <c r="J275">
        <v>2</v>
      </c>
      <c r="K275">
        <v>3.89</v>
      </c>
      <c r="L275">
        <v>3.89</v>
      </c>
      <c r="M275">
        <v>33.299999999999997</v>
      </c>
      <c r="N275" t="s">
        <v>529</v>
      </c>
      <c r="O275">
        <v>16.649999999999999</v>
      </c>
      <c r="Q275" t="s">
        <v>87</v>
      </c>
      <c r="R275">
        <v>1523</v>
      </c>
      <c r="S275">
        <v>2</v>
      </c>
      <c r="T275" t="b">
        <v>0</v>
      </c>
      <c r="U275" t="s">
        <v>125</v>
      </c>
      <c r="V275" t="s">
        <v>126</v>
      </c>
      <c r="W275">
        <v>0.3</v>
      </c>
      <c r="X275">
        <v>56</v>
      </c>
      <c r="Y275">
        <v>2.5</v>
      </c>
      <c r="Z275">
        <v>7</v>
      </c>
      <c r="AC275" t="s">
        <v>165</v>
      </c>
      <c r="AD275">
        <v>300</v>
      </c>
      <c r="AE275">
        <v>300</v>
      </c>
      <c r="AF275" t="s">
        <v>407</v>
      </c>
      <c r="AH275">
        <v>900</v>
      </c>
      <c r="AI275" t="s">
        <v>153</v>
      </c>
      <c r="AJ275" t="s">
        <v>153</v>
      </c>
      <c r="AL275" t="b">
        <v>1</v>
      </c>
      <c r="AM275" t="b">
        <v>1</v>
      </c>
      <c r="AN275" t="b">
        <v>0</v>
      </c>
      <c r="AO275" t="b">
        <v>0</v>
      </c>
      <c r="AP275" t="s">
        <v>599</v>
      </c>
      <c r="AQ275" t="s">
        <v>600</v>
      </c>
      <c r="AS275">
        <v>6.8023947633243109</v>
      </c>
      <c r="AT275">
        <v>1.75</v>
      </c>
      <c r="AU275">
        <v>2.5</v>
      </c>
      <c r="AV275">
        <v>0.75</v>
      </c>
      <c r="AW275">
        <v>0</v>
      </c>
      <c r="AX275">
        <v>0.35</v>
      </c>
      <c r="AY275">
        <v>0.5</v>
      </c>
      <c r="AZ275">
        <v>0.15</v>
      </c>
      <c r="BA275">
        <v>0</v>
      </c>
      <c r="BB275">
        <v>6.2395921087406876</v>
      </c>
      <c r="BC275">
        <v>20</v>
      </c>
      <c r="BD275">
        <v>242.1279024923125</v>
      </c>
      <c r="BE275">
        <v>1</v>
      </c>
      <c r="BF275">
        <v>8.2600971611006269E-2</v>
      </c>
      <c r="BG275">
        <v>3.950634</v>
      </c>
      <c r="BH275">
        <v>3.950634</v>
      </c>
      <c r="BI275">
        <v>15.513552000000001</v>
      </c>
      <c r="BJ275">
        <v>227.970829547178</v>
      </c>
      <c r="BK275">
        <v>1</v>
      </c>
      <c r="BL275">
        <v>8.7730522539775438E-2</v>
      </c>
      <c r="BM275">
        <v>3.8658999999999999</v>
      </c>
      <c r="BN275">
        <v>3.8658999999999999</v>
      </c>
      <c r="BO275">
        <v>15.2538</v>
      </c>
      <c r="BP275">
        <v>0</v>
      </c>
      <c r="BQ275">
        <v>0</v>
      </c>
      <c r="BS275">
        <v>0</v>
      </c>
      <c r="BT275">
        <v>0</v>
      </c>
      <c r="BU275">
        <v>0</v>
      </c>
      <c r="BV275">
        <v>503.89893000000001</v>
      </c>
      <c r="BW275">
        <v>7.9380998090232108E-2</v>
      </c>
      <c r="BX275">
        <v>10</v>
      </c>
      <c r="BY275">
        <v>3.9690499045116047E-2</v>
      </c>
      <c r="BZ275">
        <v>4.1300485805503127E-2</v>
      </c>
      <c r="CA275">
        <v>4.3865261269887719E-2</v>
      </c>
      <c r="CC275">
        <v>0.45027090848362911</v>
      </c>
      <c r="CD275">
        <v>0.47823289866077828</v>
      </c>
      <c r="CF275">
        <v>0.43271832557552409</v>
      </c>
    </row>
    <row r="276" spans="1:84" x14ac:dyDescent="0.3">
      <c r="A276" s="1">
        <v>222</v>
      </c>
      <c r="B276" t="s">
        <v>94</v>
      </c>
      <c r="C276" t="s">
        <v>138</v>
      </c>
      <c r="E276" t="s">
        <v>94</v>
      </c>
      <c r="F276">
        <v>3.23</v>
      </c>
      <c r="G276" t="s">
        <v>139</v>
      </c>
      <c r="H276">
        <v>-1</v>
      </c>
      <c r="I276" t="s">
        <v>601</v>
      </c>
      <c r="J276">
        <v>2</v>
      </c>
      <c r="K276">
        <v>3.89</v>
      </c>
      <c r="L276">
        <v>3.89</v>
      </c>
      <c r="M276">
        <v>21.29</v>
      </c>
      <c r="N276" t="s">
        <v>529</v>
      </c>
      <c r="O276">
        <v>10.645</v>
      </c>
      <c r="Q276" t="s">
        <v>87</v>
      </c>
      <c r="R276">
        <v>1423</v>
      </c>
      <c r="S276">
        <v>48</v>
      </c>
      <c r="T276" t="b">
        <v>0</v>
      </c>
      <c r="U276" t="s">
        <v>125</v>
      </c>
      <c r="V276" t="s">
        <v>126</v>
      </c>
      <c r="W276">
        <v>0.3</v>
      </c>
      <c r="X276">
        <v>68</v>
      </c>
      <c r="Y276">
        <v>2.5</v>
      </c>
      <c r="Z276">
        <v>7</v>
      </c>
      <c r="AC276" t="s">
        <v>165</v>
      </c>
      <c r="AD276">
        <v>300</v>
      </c>
      <c r="AE276">
        <v>300</v>
      </c>
      <c r="AF276" t="s">
        <v>407</v>
      </c>
      <c r="AH276">
        <v>60</v>
      </c>
      <c r="AL276" t="b">
        <v>1</v>
      </c>
      <c r="AM276" t="b">
        <v>0</v>
      </c>
      <c r="AN276" t="b">
        <v>1</v>
      </c>
      <c r="AO276" t="b">
        <v>0</v>
      </c>
      <c r="AP276" t="s">
        <v>139</v>
      </c>
      <c r="AQ276">
        <v>-1</v>
      </c>
      <c r="AR276" t="s">
        <v>601</v>
      </c>
      <c r="AS276">
        <v>4.0943445622221004</v>
      </c>
      <c r="AT276">
        <v>1.7272727272727271</v>
      </c>
      <c r="AU276">
        <v>2.545454545454545</v>
      </c>
      <c r="AV276">
        <v>0.81818181818181823</v>
      </c>
      <c r="AW276">
        <v>0</v>
      </c>
      <c r="AX276">
        <v>0.3392857142857143</v>
      </c>
      <c r="AY276">
        <v>0.5</v>
      </c>
      <c r="AZ276">
        <v>0.1607142857142857</v>
      </c>
      <c r="BA276">
        <v>0</v>
      </c>
      <c r="BB276">
        <v>6.4269893564864544</v>
      </c>
      <c r="BC276">
        <v>14</v>
      </c>
      <c r="BD276">
        <v>165.66723991337099</v>
      </c>
      <c r="BE276">
        <v>1</v>
      </c>
      <c r="BF276">
        <v>8.4506749839743392E-2</v>
      </c>
      <c r="BG276">
        <v>3.9263319999999999</v>
      </c>
      <c r="BH276">
        <v>3.9263319999999999</v>
      </c>
      <c r="BI276">
        <v>10.74639</v>
      </c>
      <c r="BJ276">
        <v>0</v>
      </c>
      <c r="BK276">
        <v>0</v>
      </c>
      <c r="BM276">
        <v>0</v>
      </c>
      <c r="BP276">
        <v>158.53899827430001</v>
      </c>
      <c r="BQ276">
        <v>1</v>
      </c>
      <c r="BR276">
        <v>8.8306348295310685E-2</v>
      </c>
      <c r="BS276">
        <v>3.8913000000000002</v>
      </c>
      <c r="BT276">
        <v>3.8913000000000002</v>
      </c>
      <c r="BU276">
        <v>10.47</v>
      </c>
      <c r="BV276">
        <v>322.16240900000003</v>
      </c>
      <c r="BW276">
        <v>8.691268508611133E-2</v>
      </c>
      <c r="BX276">
        <v>7</v>
      </c>
      <c r="BY276">
        <v>4.3456342543055658E-2</v>
      </c>
      <c r="BZ276">
        <v>4.2253374919871703E-2</v>
      </c>
      <c r="CB276">
        <v>4.4153174147655343E-2</v>
      </c>
      <c r="CC276">
        <v>0.41874907041247761</v>
      </c>
      <c r="CE276">
        <v>0.43757689569539021</v>
      </c>
      <c r="CF276">
        <v>0.43067099558176591</v>
      </c>
    </row>
    <row r="277" spans="1:84" x14ac:dyDescent="0.3">
      <c r="A277" s="1">
        <v>346</v>
      </c>
      <c r="B277" t="s">
        <v>773</v>
      </c>
      <c r="C277" t="s">
        <v>774</v>
      </c>
      <c r="F277">
        <v>3.08</v>
      </c>
      <c r="G277" t="s">
        <v>482</v>
      </c>
      <c r="H277" t="s">
        <v>483</v>
      </c>
      <c r="I277">
        <v>-1</v>
      </c>
      <c r="Q277" t="s">
        <v>755</v>
      </c>
      <c r="R277">
        <v>1023</v>
      </c>
      <c r="S277">
        <v>3</v>
      </c>
      <c r="T277" t="b">
        <v>0</v>
      </c>
      <c r="U277" t="s">
        <v>172</v>
      </c>
      <c r="V277" t="s">
        <v>173</v>
      </c>
      <c r="W277">
        <v>0.3</v>
      </c>
      <c r="Y277">
        <v>0.23799999999999999</v>
      </c>
      <c r="Z277">
        <v>4.76</v>
      </c>
      <c r="AC277" t="s">
        <v>165</v>
      </c>
      <c r="AD277">
        <v>350</v>
      </c>
      <c r="AE277">
        <v>400</v>
      </c>
      <c r="AF277" t="s">
        <v>407</v>
      </c>
      <c r="AH277">
        <v>57.4</v>
      </c>
      <c r="AI277" t="s">
        <v>775</v>
      </c>
      <c r="AJ277" t="s">
        <v>775</v>
      </c>
      <c r="AL277" t="b">
        <v>1</v>
      </c>
      <c r="AM277" t="b">
        <v>1</v>
      </c>
      <c r="AN277" t="b">
        <v>0</v>
      </c>
      <c r="AO277" t="b">
        <v>0</v>
      </c>
      <c r="AP277" t="s">
        <v>793</v>
      </c>
      <c r="AQ277" t="s">
        <v>794</v>
      </c>
      <c r="AS277">
        <v>4.0500443033255209</v>
      </c>
      <c r="AT277">
        <v>1.978947368421053</v>
      </c>
      <c r="AU277">
        <v>3.1578947368421049</v>
      </c>
      <c r="AV277">
        <v>2.4842105263157901</v>
      </c>
      <c r="AW277">
        <v>2.947368421052631</v>
      </c>
      <c r="AX277">
        <v>0.18725099601593631</v>
      </c>
      <c r="AY277">
        <v>0.29880478087649398</v>
      </c>
      <c r="AZ277">
        <v>0.23505976095617531</v>
      </c>
      <c r="BA277">
        <v>0.2788844621513944</v>
      </c>
      <c r="BB277">
        <v>6.1786324362105258</v>
      </c>
      <c r="BC277">
        <v>24</v>
      </c>
      <c r="BD277">
        <v>251.01098912285789</v>
      </c>
      <c r="BE277">
        <v>1</v>
      </c>
      <c r="BF277">
        <v>9.5613343797681868E-2</v>
      </c>
      <c r="BG277">
        <v>3.86469438</v>
      </c>
      <c r="BH277">
        <v>3.86469438</v>
      </c>
      <c r="BI277">
        <v>16.978874730000001</v>
      </c>
      <c r="BJ277">
        <v>967.79977224000004</v>
      </c>
      <c r="BK277">
        <v>1</v>
      </c>
      <c r="BL277">
        <v>2.4798517925305269E-2</v>
      </c>
      <c r="BM277">
        <v>32.83</v>
      </c>
      <c r="BN277">
        <v>5.4109999999999996</v>
      </c>
      <c r="BO277">
        <v>5.4480000000000004</v>
      </c>
      <c r="BP277">
        <v>0</v>
      </c>
      <c r="BQ277">
        <v>0</v>
      </c>
      <c r="BS277">
        <v>0</v>
      </c>
      <c r="BT277">
        <v>0</v>
      </c>
      <c r="BU277">
        <v>0</v>
      </c>
      <c r="BX277">
        <v>12</v>
      </c>
      <c r="BZ277">
        <v>4.7806671898840927E-2</v>
      </c>
      <c r="CA277">
        <v>1.239925896265264E-2</v>
      </c>
      <c r="CC277">
        <v>0.52673136262708065</v>
      </c>
      <c r="CD277">
        <v>0.1366143743028975</v>
      </c>
    </row>
    <row r="278" spans="1:84" x14ac:dyDescent="0.3">
      <c r="A278" s="1">
        <v>345</v>
      </c>
      <c r="B278" t="s">
        <v>773</v>
      </c>
      <c r="C278" t="s">
        <v>774</v>
      </c>
      <c r="F278">
        <v>3.08</v>
      </c>
      <c r="G278" t="s">
        <v>482</v>
      </c>
      <c r="H278" t="s">
        <v>483</v>
      </c>
      <c r="I278">
        <v>-1</v>
      </c>
      <c r="Q278" t="s">
        <v>755</v>
      </c>
      <c r="R278">
        <v>1023</v>
      </c>
      <c r="S278">
        <v>3</v>
      </c>
      <c r="T278" t="b">
        <v>0</v>
      </c>
      <c r="U278" t="s">
        <v>172</v>
      </c>
      <c r="V278" t="s">
        <v>173</v>
      </c>
      <c r="W278">
        <v>0.25</v>
      </c>
      <c r="Y278">
        <v>0.23799999999999999</v>
      </c>
      <c r="Z278">
        <v>4.76</v>
      </c>
      <c r="AC278" t="s">
        <v>165</v>
      </c>
      <c r="AD278">
        <v>350</v>
      </c>
      <c r="AE278">
        <v>400</v>
      </c>
      <c r="AF278" t="s">
        <v>407</v>
      </c>
      <c r="AH278">
        <v>58.8</v>
      </c>
      <c r="AI278" t="s">
        <v>775</v>
      </c>
      <c r="AJ278" t="s">
        <v>775</v>
      </c>
      <c r="AL278" t="b">
        <v>1</v>
      </c>
      <c r="AM278" t="b">
        <v>1</v>
      </c>
      <c r="AN278" t="b">
        <v>0</v>
      </c>
      <c r="AO278" t="b">
        <v>0</v>
      </c>
      <c r="AP278" t="s">
        <v>791</v>
      </c>
      <c r="AQ278" t="s">
        <v>792</v>
      </c>
      <c r="AS278">
        <v>4.0741418549045809</v>
      </c>
      <c r="AT278">
        <v>1.978947368421053</v>
      </c>
      <c r="AU278">
        <v>3.1578947368421049</v>
      </c>
      <c r="AV278">
        <v>2.4842105263157901</v>
      </c>
      <c r="AW278">
        <v>2.947368421052631</v>
      </c>
      <c r="AX278">
        <v>0.18725099601593631</v>
      </c>
      <c r="AY278">
        <v>0.29880478087649398</v>
      </c>
      <c r="AZ278">
        <v>0.23505976095617531</v>
      </c>
      <c r="BA278">
        <v>0.2788844621513944</v>
      </c>
      <c r="BB278">
        <v>6.1786324362105258</v>
      </c>
      <c r="BC278">
        <v>24</v>
      </c>
      <c r="BD278">
        <v>251.01098912285789</v>
      </c>
      <c r="BE278">
        <v>1</v>
      </c>
      <c r="BF278">
        <v>9.5613343797681868E-2</v>
      </c>
      <c r="BG278">
        <v>3.86469438</v>
      </c>
      <c r="BH278">
        <v>3.86469438</v>
      </c>
      <c r="BI278">
        <v>16.978874730000001</v>
      </c>
      <c r="BJ278">
        <v>967.79977224000004</v>
      </c>
      <c r="BK278">
        <v>1</v>
      </c>
      <c r="BL278">
        <v>2.4798517925305269E-2</v>
      </c>
      <c r="BM278">
        <v>32.83</v>
      </c>
      <c r="BN278">
        <v>5.4109999999999996</v>
      </c>
      <c r="BO278">
        <v>5.4480000000000004</v>
      </c>
      <c r="BP278">
        <v>0</v>
      </c>
      <c r="BQ278">
        <v>0</v>
      </c>
      <c r="BS278">
        <v>0</v>
      </c>
      <c r="BT278">
        <v>0</v>
      </c>
      <c r="BU278">
        <v>0</v>
      </c>
      <c r="BX278">
        <v>12</v>
      </c>
      <c r="BZ278">
        <v>4.7806671898840927E-2</v>
      </c>
      <c r="CA278">
        <v>1.239925896265264E-2</v>
      </c>
      <c r="CC278">
        <v>0.52673136262708065</v>
      </c>
      <c r="CD278">
        <v>0.1366143743028975</v>
      </c>
    </row>
    <row r="279" spans="1:84" x14ac:dyDescent="0.3">
      <c r="A279" s="1">
        <v>639</v>
      </c>
      <c r="B279" t="s">
        <v>1115</v>
      </c>
      <c r="C279" t="s">
        <v>1116</v>
      </c>
      <c r="E279" t="s">
        <v>404</v>
      </c>
      <c r="F279">
        <v>3.58</v>
      </c>
      <c r="G279" t="s">
        <v>1080</v>
      </c>
      <c r="H279">
        <v>-1</v>
      </c>
      <c r="I279">
        <v>-1</v>
      </c>
      <c r="J279">
        <v>1</v>
      </c>
      <c r="K279">
        <v>3.802</v>
      </c>
      <c r="L279">
        <v>3.802</v>
      </c>
      <c r="M279">
        <v>24.7</v>
      </c>
      <c r="N279" t="s">
        <v>101</v>
      </c>
      <c r="O279">
        <v>24.7</v>
      </c>
      <c r="Q279" t="s">
        <v>87</v>
      </c>
      <c r="R279">
        <v>1273</v>
      </c>
      <c r="S279">
        <v>10</v>
      </c>
      <c r="T279" t="b">
        <v>0</v>
      </c>
      <c r="U279" t="s">
        <v>125</v>
      </c>
      <c r="V279" t="s">
        <v>126</v>
      </c>
      <c r="W279">
        <v>0.25</v>
      </c>
      <c r="Y279">
        <v>0.5</v>
      </c>
      <c r="Z279">
        <v>1</v>
      </c>
      <c r="AC279" t="s">
        <v>90</v>
      </c>
      <c r="AD279">
        <v>125</v>
      </c>
      <c r="AE279">
        <v>220</v>
      </c>
      <c r="AF279" t="s">
        <v>91</v>
      </c>
      <c r="AG279">
        <v>288</v>
      </c>
      <c r="AH279">
        <v>36000</v>
      </c>
      <c r="AI279" t="s">
        <v>972</v>
      </c>
      <c r="AL279" t="b">
        <v>1</v>
      </c>
      <c r="AM279" t="b">
        <v>0</v>
      </c>
      <c r="AN279" t="b">
        <v>0</v>
      </c>
      <c r="AO279" t="b">
        <v>0</v>
      </c>
      <c r="AP279" t="s">
        <v>1166</v>
      </c>
      <c r="AS279">
        <v>10.491274217438249</v>
      </c>
      <c r="AT279">
        <v>1.510204081632653</v>
      </c>
      <c r="AU279">
        <v>1.2653061224489801</v>
      </c>
      <c r="AV279">
        <v>0.1224489795918367</v>
      </c>
      <c r="AW279">
        <v>0.16326530612244899</v>
      </c>
      <c r="AX279">
        <v>0.49333333333333329</v>
      </c>
      <c r="AY279">
        <v>0.41333333333333339</v>
      </c>
      <c r="AZ279">
        <v>0.04</v>
      </c>
      <c r="BA279">
        <v>5.333333333333333E-2</v>
      </c>
      <c r="BB279">
        <v>6.6971257268453872</v>
      </c>
      <c r="BC279">
        <v>20</v>
      </c>
      <c r="BD279">
        <v>733.37308460000008</v>
      </c>
      <c r="BE279">
        <v>2</v>
      </c>
      <c r="BF279">
        <v>5.4542497999932729E-2</v>
      </c>
      <c r="BG279">
        <v>3.8530000000000002</v>
      </c>
      <c r="BH279">
        <v>3.8530000000000002</v>
      </c>
      <c r="BI279">
        <v>49.4</v>
      </c>
      <c r="BJ279">
        <v>0</v>
      </c>
      <c r="BK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S279">
        <v>0</v>
      </c>
      <c r="BT279">
        <v>0</v>
      </c>
      <c r="BU279">
        <v>0</v>
      </c>
      <c r="BV279">
        <v>357.04353880000002</v>
      </c>
      <c r="BW279">
        <v>5.6015577448113731E-2</v>
      </c>
      <c r="BX279">
        <v>10</v>
      </c>
      <c r="BY279">
        <v>2.8007788724056869E-2</v>
      </c>
      <c r="BZ279">
        <v>2.7271248999966361E-2</v>
      </c>
      <c r="CC279">
        <v>0.33005342247707181</v>
      </c>
      <c r="CF279">
        <v>0.33896747906196412</v>
      </c>
    </row>
    <row r="280" spans="1:84" x14ac:dyDescent="0.3">
      <c r="A280" s="1">
        <v>812</v>
      </c>
      <c r="B280" t="s">
        <v>128</v>
      </c>
      <c r="C280" t="s">
        <v>129</v>
      </c>
      <c r="E280" t="s">
        <v>130</v>
      </c>
      <c r="F280">
        <v>3.2</v>
      </c>
      <c r="G280" t="s">
        <v>131</v>
      </c>
      <c r="H280" t="s">
        <v>132</v>
      </c>
      <c r="I280">
        <v>-1</v>
      </c>
      <c r="O280">
        <v>0</v>
      </c>
      <c r="Q280" t="s">
        <v>248</v>
      </c>
      <c r="R280">
        <v>623</v>
      </c>
      <c r="S280">
        <v>1</v>
      </c>
      <c r="T280" t="b">
        <v>0</v>
      </c>
      <c r="U280" t="s">
        <v>172</v>
      </c>
      <c r="V280" t="s">
        <v>173</v>
      </c>
      <c r="W280">
        <v>0.25</v>
      </c>
      <c r="X280">
        <v>50</v>
      </c>
      <c r="Y280">
        <v>1</v>
      </c>
      <c r="Z280">
        <v>0.1</v>
      </c>
      <c r="AC280" t="s">
        <v>90</v>
      </c>
      <c r="AD280">
        <v>125</v>
      </c>
      <c r="AE280">
        <v>220</v>
      </c>
      <c r="AF280" t="s">
        <v>91</v>
      </c>
      <c r="AG280">
        <v>288</v>
      </c>
      <c r="AH280">
        <v>327.27272727272731</v>
      </c>
      <c r="AL280" t="b">
        <v>1</v>
      </c>
      <c r="AM280" t="b">
        <v>0</v>
      </c>
      <c r="AN280" t="b">
        <v>0</v>
      </c>
      <c r="AO280" t="b">
        <v>0</v>
      </c>
      <c r="AP280" t="s">
        <v>131</v>
      </c>
      <c r="AQ280" t="s">
        <v>132</v>
      </c>
      <c r="AS280">
        <v>5.790793851645831</v>
      </c>
      <c r="AT280">
        <v>2</v>
      </c>
      <c r="AU280">
        <v>2.666666666666667</v>
      </c>
      <c r="AV280">
        <v>0.66666666666666663</v>
      </c>
      <c r="AW280">
        <v>0</v>
      </c>
      <c r="AX280">
        <v>0.375</v>
      </c>
      <c r="AY280">
        <v>0.5</v>
      </c>
      <c r="AZ280">
        <v>0.125</v>
      </c>
      <c r="BA280">
        <v>0</v>
      </c>
      <c r="BB280">
        <v>6.1770001596666662</v>
      </c>
      <c r="BC280">
        <v>4</v>
      </c>
      <c r="BD280">
        <v>1182.741260108548</v>
      </c>
      <c r="BE280">
        <v>30</v>
      </c>
      <c r="BF280">
        <v>0.1014592151701775</v>
      </c>
      <c r="BG280">
        <v>10.59112378</v>
      </c>
      <c r="BH280">
        <v>10.784736629999999</v>
      </c>
      <c r="BI280">
        <v>10.486176179999999</v>
      </c>
      <c r="BJ280">
        <v>130.36387300000001</v>
      </c>
      <c r="BK280">
        <v>4</v>
      </c>
      <c r="BL280">
        <v>0.1227333894874388</v>
      </c>
      <c r="BM280">
        <v>3.73</v>
      </c>
      <c r="BN280">
        <v>3.73</v>
      </c>
      <c r="BO280">
        <v>9.3699999999999992</v>
      </c>
      <c r="BP280">
        <v>0</v>
      </c>
      <c r="BQ280">
        <v>0</v>
      </c>
      <c r="BS280">
        <v>0</v>
      </c>
      <c r="BT280">
        <v>0</v>
      </c>
      <c r="BU280">
        <v>0</v>
      </c>
      <c r="BX280">
        <v>2</v>
      </c>
      <c r="BZ280">
        <v>5.0729607585088737E-2</v>
      </c>
      <c r="CA280">
        <v>6.1366694743719377E-2</v>
      </c>
      <c r="CC280">
        <v>0.46900407026869612</v>
      </c>
      <c r="CD280">
        <v>0.56734579634715776</v>
      </c>
    </row>
    <row r="281" spans="1:84" x14ac:dyDescent="0.3">
      <c r="A281" s="1">
        <v>84</v>
      </c>
      <c r="B281" t="s">
        <v>264</v>
      </c>
      <c r="C281" t="s">
        <v>265</v>
      </c>
      <c r="F281">
        <v>3.79</v>
      </c>
      <c r="G281">
        <v>-1</v>
      </c>
      <c r="H281">
        <v>-1</v>
      </c>
      <c r="I281" t="s">
        <v>266</v>
      </c>
      <c r="Q281" t="s">
        <v>263</v>
      </c>
      <c r="R281">
        <v>1373</v>
      </c>
      <c r="S281">
        <v>10</v>
      </c>
      <c r="T281" t="b">
        <v>0</v>
      </c>
      <c r="U281" t="s">
        <v>172</v>
      </c>
      <c r="V281" t="s">
        <v>173</v>
      </c>
      <c r="W281">
        <v>0.2</v>
      </c>
      <c r="X281">
        <v>6.2</v>
      </c>
      <c r="Y281">
        <v>1.32</v>
      </c>
      <c r="Z281">
        <v>0</v>
      </c>
      <c r="AC281" t="s">
        <v>90</v>
      </c>
      <c r="AD281">
        <v>300</v>
      </c>
      <c r="AF281" t="s">
        <v>91</v>
      </c>
      <c r="AH281">
        <v>22</v>
      </c>
      <c r="AL281" t="b">
        <v>0</v>
      </c>
      <c r="AM281" t="b">
        <v>0</v>
      </c>
      <c r="AN281" t="b">
        <v>1</v>
      </c>
      <c r="AO281" t="b">
        <v>0</v>
      </c>
      <c r="AP281">
        <v>-1</v>
      </c>
      <c r="AQ281">
        <v>-1</v>
      </c>
      <c r="AR281" t="s">
        <v>266</v>
      </c>
      <c r="AS281">
        <v>3.0910424533583161</v>
      </c>
      <c r="AT281">
        <v>2</v>
      </c>
      <c r="AU281">
        <v>2.5</v>
      </c>
      <c r="AV281">
        <v>0.5</v>
      </c>
      <c r="AW281">
        <v>0</v>
      </c>
      <c r="AX281">
        <v>0.4</v>
      </c>
      <c r="AY281">
        <v>0.5</v>
      </c>
      <c r="AZ281">
        <v>0.1</v>
      </c>
      <c r="BA281">
        <v>0</v>
      </c>
      <c r="BB281">
        <v>5.9266181448958326</v>
      </c>
      <c r="BC281">
        <v>30</v>
      </c>
      <c r="BD281">
        <v>0</v>
      </c>
      <c r="BE281">
        <v>0</v>
      </c>
      <c r="BG281">
        <v>0</v>
      </c>
      <c r="BJ281">
        <v>0</v>
      </c>
      <c r="BK281">
        <v>0</v>
      </c>
      <c r="BM281">
        <v>0</v>
      </c>
      <c r="BP281">
        <v>291.95700632233951</v>
      </c>
      <c r="BQ281">
        <v>1</v>
      </c>
      <c r="BR281">
        <v>0.1027548555107393</v>
      </c>
      <c r="BS281">
        <v>5.532</v>
      </c>
      <c r="BT281">
        <v>5.532</v>
      </c>
      <c r="BU281">
        <v>11.016</v>
      </c>
      <c r="BX281">
        <v>15</v>
      </c>
      <c r="CB281">
        <v>5.1377427755369659E-2</v>
      </c>
      <c r="CE281">
        <v>0.56787298166919375</v>
      </c>
    </row>
    <row r="282" spans="1:84" x14ac:dyDescent="0.3">
      <c r="A282" s="1">
        <v>275</v>
      </c>
      <c r="B282" t="s">
        <v>281</v>
      </c>
      <c r="C282" t="s">
        <v>282</v>
      </c>
      <c r="F282">
        <v>3.9</v>
      </c>
      <c r="G282" t="s">
        <v>283</v>
      </c>
      <c r="H282" t="s">
        <v>284</v>
      </c>
      <c r="I282">
        <v>-1</v>
      </c>
      <c r="Q282" t="s">
        <v>87</v>
      </c>
      <c r="R282">
        <v>1473</v>
      </c>
      <c r="S282">
        <v>10</v>
      </c>
      <c r="T282" t="b">
        <v>0</v>
      </c>
      <c r="U282" t="s">
        <v>172</v>
      </c>
      <c r="V282" t="s">
        <v>173</v>
      </c>
      <c r="W282">
        <v>0.2</v>
      </c>
      <c r="X282">
        <v>0.7</v>
      </c>
      <c r="Y282">
        <v>1.32</v>
      </c>
      <c r="Z282">
        <v>0</v>
      </c>
      <c r="AC282" t="s">
        <v>90</v>
      </c>
      <c r="AD282">
        <v>400</v>
      </c>
      <c r="AF282" t="s">
        <v>91</v>
      </c>
      <c r="AH282">
        <v>140</v>
      </c>
      <c r="AL282" t="b">
        <v>1</v>
      </c>
      <c r="AM282" t="b">
        <v>0</v>
      </c>
      <c r="AN282" t="b">
        <v>0</v>
      </c>
      <c r="AO282" t="b">
        <v>0</v>
      </c>
      <c r="AP282" t="s">
        <v>283</v>
      </c>
      <c r="AQ282" t="s">
        <v>284</v>
      </c>
      <c r="AS282">
        <v>4.9416424226093039</v>
      </c>
      <c r="AT282">
        <v>1.833333333333333</v>
      </c>
      <c r="AU282">
        <v>2.5</v>
      </c>
      <c r="AV282">
        <v>0.66666666666666663</v>
      </c>
      <c r="AW282">
        <v>0</v>
      </c>
      <c r="AX282">
        <v>0.36666666666666659</v>
      </c>
      <c r="AY282">
        <v>0.5</v>
      </c>
      <c r="AZ282">
        <v>0.1333333333333333</v>
      </c>
      <c r="BA282">
        <v>0</v>
      </c>
      <c r="BB282">
        <v>5.9098750142708329</v>
      </c>
      <c r="BC282">
        <v>30</v>
      </c>
      <c r="BD282">
        <v>353.45760058531442</v>
      </c>
      <c r="BE282">
        <v>1</v>
      </c>
      <c r="BF282">
        <v>8.487580957467307E-2</v>
      </c>
      <c r="BG282">
        <v>5.8532381300000003</v>
      </c>
      <c r="BH282">
        <v>5.8532371599999999</v>
      </c>
      <c r="BI282">
        <v>11.912811489999999</v>
      </c>
      <c r="BJ282">
        <v>342.77011164986561</v>
      </c>
      <c r="BK282">
        <v>1</v>
      </c>
      <c r="BL282">
        <v>8.7522216728874364E-2</v>
      </c>
      <c r="BM282">
        <v>5.7946</v>
      </c>
      <c r="BN282">
        <v>5.7946</v>
      </c>
      <c r="BO282">
        <v>11.787599999999999</v>
      </c>
      <c r="BP282">
        <v>0</v>
      </c>
      <c r="BQ282">
        <v>0</v>
      </c>
      <c r="BS282">
        <v>0</v>
      </c>
      <c r="BT282">
        <v>0</v>
      </c>
      <c r="BU282">
        <v>0</v>
      </c>
      <c r="BX282">
        <v>15</v>
      </c>
      <c r="BZ282">
        <v>4.2437904787336528E-2</v>
      </c>
      <c r="CA282">
        <v>4.3761108364437182E-2</v>
      </c>
      <c r="CC282">
        <v>0.57410011132036631</v>
      </c>
      <c r="CD282">
        <v>0.59200041353179089</v>
      </c>
    </row>
    <row r="283" spans="1:84" x14ac:dyDescent="0.3">
      <c r="A283" s="1">
        <v>323</v>
      </c>
      <c r="B283" t="s">
        <v>402</v>
      </c>
      <c r="C283" t="s">
        <v>403</v>
      </c>
      <c r="E283" t="s">
        <v>404</v>
      </c>
      <c r="F283">
        <v>2.1</v>
      </c>
      <c r="G283" t="s">
        <v>405</v>
      </c>
      <c r="H283">
        <v>-1</v>
      </c>
      <c r="I283" t="s">
        <v>754</v>
      </c>
      <c r="J283">
        <v>2</v>
      </c>
      <c r="K283">
        <v>3.871</v>
      </c>
      <c r="L283">
        <v>3.871</v>
      </c>
      <c r="M283">
        <v>29.783999999999999</v>
      </c>
      <c r="N283" t="s">
        <v>206</v>
      </c>
      <c r="O283">
        <v>14.891999999999999</v>
      </c>
      <c r="Q283" t="s">
        <v>755</v>
      </c>
      <c r="R283">
        <v>1223</v>
      </c>
      <c r="S283">
        <v>4</v>
      </c>
      <c r="T283" t="b">
        <v>0</v>
      </c>
      <c r="U283" t="s">
        <v>172</v>
      </c>
      <c r="V283" t="s">
        <v>756</v>
      </c>
      <c r="W283">
        <v>0.2</v>
      </c>
      <c r="Y283">
        <v>1.67</v>
      </c>
      <c r="Z283">
        <v>0</v>
      </c>
      <c r="AC283" t="s">
        <v>90</v>
      </c>
      <c r="AD283">
        <v>250</v>
      </c>
      <c r="AF283" t="s">
        <v>91</v>
      </c>
      <c r="AG283">
        <v>298</v>
      </c>
      <c r="AH283">
        <v>54.8</v>
      </c>
      <c r="AL283" t="b">
        <v>1</v>
      </c>
      <c r="AM283" t="b">
        <v>0</v>
      </c>
      <c r="AN283" t="b">
        <v>0</v>
      </c>
      <c r="AO283" t="b">
        <v>0</v>
      </c>
      <c r="AP283" t="s">
        <v>405</v>
      </c>
      <c r="AQ283">
        <v>-1</v>
      </c>
      <c r="AR283" t="s">
        <v>754</v>
      </c>
      <c r="AS283">
        <v>4.00369019395397</v>
      </c>
      <c r="AT283">
        <v>1.882352941176471</v>
      </c>
      <c r="AU283">
        <v>2.3529411764705879</v>
      </c>
      <c r="AV283">
        <v>0.47058823529411759</v>
      </c>
      <c r="AW283">
        <v>0</v>
      </c>
      <c r="AX283">
        <v>0.4</v>
      </c>
      <c r="AY283">
        <v>0.5</v>
      </c>
      <c r="AZ283">
        <v>9.9999999999999992E-2</v>
      </c>
      <c r="BA283">
        <v>0</v>
      </c>
      <c r="BB283">
        <v>5.6898768502941177</v>
      </c>
      <c r="BC283">
        <v>20</v>
      </c>
      <c r="BD283">
        <v>229.90248606119221</v>
      </c>
      <c r="BE283">
        <v>1</v>
      </c>
      <c r="BF283">
        <v>8.6993404650164072E-2</v>
      </c>
      <c r="BG283">
        <v>15.28115725</v>
      </c>
      <c r="BH283">
        <v>15.28115725</v>
      </c>
      <c r="BI283">
        <v>15.28115725</v>
      </c>
      <c r="BJ283">
        <v>0</v>
      </c>
      <c r="BK283">
        <v>0</v>
      </c>
      <c r="BM283">
        <v>0</v>
      </c>
      <c r="BP283">
        <v>0</v>
      </c>
      <c r="BQ283">
        <v>0</v>
      </c>
      <c r="BS283">
        <v>0</v>
      </c>
      <c r="BT283">
        <v>0</v>
      </c>
      <c r="BU283">
        <v>0</v>
      </c>
      <c r="BV283">
        <v>446.30254754399999</v>
      </c>
      <c r="BW283">
        <v>8.9625300639935263E-2</v>
      </c>
      <c r="BX283">
        <v>10</v>
      </c>
      <c r="BY283">
        <v>4.4812650319967631E-2</v>
      </c>
      <c r="BZ283">
        <v>4.3496702325082043E-2</v>
      </c>
      <c r="CC283">
        <v>0.57369840599679478</v>
      </c>
      <c r="CF283">
        <v>0.59105506125305318</v>
      </c>
    </row>
    <row r="284" spans="1:84" x14ac:dyDescent="0.3">
      <c r="A284" s="1">
        <v>324</v>
      </c>
      <c r="B284" t="s">
        <v>402</v>
      </c>
      <c r="C284" t="s">
        <v>403</v>
      </c>
      <c r="E284" t="s">
        <v>404</v>
      </c>
      <c r="F284">
        <v>2.1</v>
      </c>
      <c r="G284" t="s">
        <v>405</v>
      </c>
      <c r="H284">
        <v>-1</v>
      </c>
      <c r="I284" t="s">
        <v>754</v>
      </c>
      <c r="J284">
        <v>2</v>
      </c>
      <c r="K284">
        <v>3.871</v>
      </c>
      <c r="L284">
        <v>3.871</v>
      </c>
      <c r="M284">
        <v>29.783999999999999</v>
      </c>
      <c r="N284" t="s">
        <v>206</v>
      </c>
      <c r="O284">
        <v>14.891999999999999</v>
      </c>
      <c r="Q284" t="s">
        <v>755</v>
      </c>
      <c r="R284">
        <v>1223</v>
      </c>
      <c r="S284">
        <v>4</v>
      </c>
      <c r="T284" t="b">
        <v>0</v>
      </c>
      <c r="U284" t="s">
        <v>172</v>
      </c>
      <c r="V284" t="s">
        <v>756</v>
      </c>
      <c r="W284">
        <v>0.2</v>
      </c>
      <c r="Y284">
        <v>1.67</v>
      </c>
      <c r="Z284">
        <v>0</v>
      </c>
      <c r="AC284" t="s">
        <v>165</v>
      </c>
      <c r="AD284">
        <v>250</v>
      </c>
      <c r="AF284" t="s">
        <v>91</v>
      </c>
      <c r="AG284">
        <v>298</v>
      </c>
      <c r="AH284">
        <v>15.8</v>
      </c>
      <c r="AL284" t="b">
        <v>1</v>
      </c>
      <c r="AM284" t="b">
        <v>0</v>
      </c>
      <c r="AN284" t="b">
        <v>0</v>
      </c>
      <c r="AO284" t="b">
        <v>0</v>
      </c>
      <c r="AP284" t="s">
        <v>405</v>
      </c>
      <c r="AQ284">
        <v>-1</v>
      </c>
      <c r="AR284" t="s">
        <v>754</v>
      </c>
      <c r="AS284">
        <v>2.760009940032921</v>
      </c>
      <c r="AT284">
        <v>1.882352941176471</v>
      </c>
      <c r="AU284">
        <v>2.3529411764705879</v>
      </c>
      <c r="AV284">
        <v>0.47058823529411759</v>
      </c>
      <c r="AW284">
        <v>0</v>
      </c>
      <c r="AX284">
        <v>0.4</v>
      </c>
      <c r="AY284">
        <v>0.5</v>
      </c>
      <c r="AZ284">
        <v>9.9999999999999992E-2</v>
      </c>
      <c r="BA284">
        <v>0</v>
      </c>
      <c r="BB284">
        <v>5.6898768502941177</v>
      </c>
      <c r="BC284">
        <v>20</v>
      </c>
      <c r="BD284">
        <v>229.90248606119221</v>
      </c>
      <c r="BE284">
        <v>1</v>
      </c>
      <c r="BF284">
        <v>8.6993404650164072E-2</v>
      </c>
      <c r="BG284">
        <v>15.28115725</v>
      </c>
      <c r="BH284">
        <v>15.28115725</v>
      </c>
      <c r="BI284">
        <v>15.28115725</v>
      </c>
      <c r="BJ284">
        <v>0</v>
      </c>
      <c r="BK284">
        <v>0</v>
      </c>
      <c r="BM284">
        <v>0</v>
      </c>
      <c r="BP284">
        <v>0</v>
      </c>
      <c r="BQ284">
        <v>0</v>
      </c>
      <c r="BS284">
        <v>0</v>
      </c>
      <c r="BT284">
        <v>0</v>
      </c>
      <c r="BU284">
        <v>0</v>
      </c>
      <c r="BV284">
        <v>446.30254754399999</v>
      </c>
      <c r="BW284">
        <v>8.9625300639935263E-2</v>
      </c>
      <c r="BX284">
        <v>10</v>
      </c>
      <c r="BY284">
        <v>4.4812650319967631E-2</v>
      </c>
      <c r="BZ284">
        <v>4.3496702325082043E-2</v>
      </c>
      <c r="CC284">
        <v>0.57369840599679478</v>
      </c>
      <c r="CF284">
        <v>0.59105506125305318</v>
      </c>
    </row>
    <row r="285" spans="1:84" x14ac:dyDescent="0.3">
      <c r="A285" s="1">
        <v>344</v>
      </c>
      <c r="B285" t="s">
        <v>773</v>
      </c>
      <c r="C285" t="s">
        <v>774</v>
      </c>
      <c r="F285">
        <v>3.08</v>
      </c>
      <c r="G285" t="s">
        <v>482</v>
      </c>
      <c r="H285" t="s">
        <v>483</v>
      </c>
      <c r="I285">
        <v>-1</v>
      </c>
      <c r="Q285" t="s">
        <v>755</v>
      </c>
      <c r="R285">
        <v>1023</v>
      </c>
      <c r="S285">
        <v>3</v>
      </c>
      <c r="T285" t="b">
        <v>0</v>
      </c>
      <c r="U285" t="s">
        <v>172</v>
      </c>
      <c r="V285" t="s">
        <v>173</v>
      </c>
      <c r="W285">
        <v>0.2</v>
      </c>
      <c r="Y285">
        <v>0.23799999999999999</v>
      </c>
      <c r="Z285">
        <v>4.76</v>
      </c>
      <c r="AC285" t="s">
        <v>165</v>
      </c>
      <c r="AD285">
        <v>350</v>
      </c>
      <c r="AE285">
        <v>400</v>
      </c>
      <c r="AF285" t="s">
        <v>407</v>
      </c>
      <c r="AH285">
        <v>63</v>
      </c>
      <c r="AI285" t="s">
        <v>775</v>
      </c>
      <c r="AJ285" t="s">
        <v>775</v>
      </c>
      <c r="AL285" t="b">
        <v>1</v>
      </c>
      <c r="AM285" t="b">
        <v>1</v>
      </c>
      <c r="AN285" t="b">
        <v>0</v>
      </c>
      <c r="AO285" t="b">
        <v>0</v>
      </c>
      <c r="AP285" t="s">
        <v>789</v>
      </c>
      <c r="AQ285" t="s">
        <v>790</v>
      </c>
      <c r="AS285">
        <v>4.1431347263915326</v>
      </c>
      <c r="AT285">
        <v>1.978947368421053</v>
      </c>
      <c r="AU285">
        <v>3.1578947368421049</v>
      </c>
      <c r="AV285">
        <v>2.4842105263157901</v>
      </c>
      <c r="AW285">
        <v>2.947368421052631</v>
      </c>
      <c r="AX285">
        <v>0.18725099601593631</v>
      </c>
      <c r="AY285">
        <v>0.29880478087649398</v>
      </c>
      <c r="AZ285">
        <v>0.23505976095617531</v>
      </c>
      <c r="BA285">
        <v>0.2788844621513944</v>
      </c>
      <c r="BB285">
        <v>6.1786324362105258</v>
      </c>
      <c r="BC285">
        <v>24</v>
      </c>
      <c r="BD285">
        <v>251.01098912285789</v>
      </c>
      <c r="BE285">
        <v>1</v>
      </c>
      <c r="BF285">
        <v>9.5613343797681868E-2</v>
      </c>
      <c r="BG285">
        <v>3.86469438</v>
      </c>
      <c r="BH285">
        <v>3.86469438</v>
      </c>
      <c r="BI285">
        <v>16.978874730000001</v>
      </c>
      <c r="BJ285">
        <v>967.79977224000004</v>
      </c>
      <c r="BK285">
        <v>1</v>
      </c>
      <c r="BL285">
        <v>2.4798517925305269E-2</v>
      </c>
      <c r="BM285">
        <v>32.83</v>
      </c>
      <c r="BN285">
        <v>5.4109999999999996</v>
      </c>
      <c r="BO285">
        <v>5.4480000000000004</v>
      </c>
      <c r="BP285">
        <v>0</v>
      </c>
      <c r="BQ285">
        <v>0</v>
      </c>
      <c r="BS285">
        <v>0</v>
      </c>
      <c r="BT285">
        <v>0</v>
      </c>
      <c r="BU285">
        <v>0</v>
      </c>
      <c r="BX285">
        <v>12</v>
      </c>
      <c r="BZ285">
        <v>4.7806671898840927E-2</v>
      </c>
      <c r="CA285">
        <v>1.239925896265264E-2</v>
      </c>
      <c r="CC285">
        <v>0.52673136262708065</v>
      </c>
      <c r="CD285">
        <v>0.1366143743028975</v>
      </c>
    </row>
    <row r="286" spans="1:84" x14ac:dyDescent="0.3">
      <c r="A286" s="1">
        <v>408</v>
      </c>
      <c r="B286" t="s">
        <v>817</v>
      </c>
      <c r="C286" t="s">
        <v>818</v>
      </c>
      <c r="F286">
        <v>4.5999999999999996</v>
      </c>
      <c r="G286" t="s">
        <v>819</v>
      </c>
      <c r="H286" t="s">
        <v>820</v>
      </c>
      <c r="I286">
        <v>-1</v>
      </c>
      <c r="Q286" t="s">
        <v>821</v>
      </c>
      <c r="R286">
        <v>873</v>
      </c>
      <c r="S286">
        <v>1</v>
      </c>
      <c r="T286" t="b">
        <v>0</v>
      </c>
      <c r="U286" t="s">
        <v>172</v>
      </c>
      <c r="V286" t="s">
        <v>173</v>
      </c>
      <c r="W286">
        <v>0.2</v>
      </c>
      <c r="X286">
        <v>51</v>
      </c>
      <c r="Y286">
        <v>1.25</v>
      </c>
      <c r="Z286">
        <v>0</v>
      </c>
      <c r="AC286" t="s">
        <v>90</v>
      </c>
      <c r="AD286">
        <v>450</v>
      </c>
      <c r="AE286">
        <v>200</v>
      </c>
      <c r="AF286" t="s">
        <v>91</v>
      </c>
      <c r="AG286">
        <v>293</v>
      </c>
      <c r="AH286">
        <v>782</v>
      </c>
      <c r="AL286" t="b">
        <v>1</v>
      </c>
      <c r="AM286" t="b">
        <v>0</v>
      </c>
      <c r="AN286" t="b">
        <v>0</v>
      </c>
      <c r="AO286" t="b">
        <v>0</v>
      </c>
      <c r="AP286" t="s">
        <v>819</v>
      </c>
      <c r="AQ286" t="s">
        <v>820</v>
      </c>
      <c r="AS286">
        <v>6.6618547405453112</v>
      </c>
      <c r="AT286">
        <v>1.8</v>
      </c>
      <c r="AU286">
        <v>2.4</v>
      </c>
      <c r="AV286">
        <v>0.6</v>
      </c>
      <c r="AW286">
        <v>2.8</v>
      </c>
      <c r="AX286">
        <v>0.23684210526315791</v>
      </c>
      <c r="AY286">
        <v>0.31578947368421051</v>
      </c>
      <c r="AZ286">
        <v>7.8947368421052627E-2</v>
      </c>
      <c r="BA286">
        <v>0.36842105263157893</v>
      </c>
      <c r="BB286">
        <v>5.8802937376999997</v>
      </c>
      <c r="BC286">
        <v>6</v>
      </c>
      <c r="BD286">
        <v>583.5490821720166</v>
      </c>
      <c r="BE286">
        <v>8</v>
      </c>
      <c r="BF286">
        <v>8.22552917422818E-2</v>
      </c>
      <c r="BG286">
        <v>7.5714817599999993</v>
      </c>
      <c r="BH286">
        <v>7.4441355800000011</v>
      </c>
      <c r="BI286">
        <v>14.785262019999999</v>
      </c>
      <c r="BJ286">
        <v>1138.547270888</v>
      </c>
      <c r="BK286">
        <v>1</v>
      </c>
      <c r="BL286">
        <v>5.2698734197661841E-3</v>
      </c>
      <c r="BM286">
        <v>10.442</v>
      </c>
      <c r="BN286">
        <v>10.442</v>
      </c>
      <c r="BO286">
        <v>10.442</v>
      </c>
      <c r="BP286">
        <v>0</v>
      </c>
      <c r="BQ286">
        <v>0</v>
      </c>
      <c r="BS286">
        <v>0</v>
      </c>
      <c r="BT286">
        <v>0</v>
      </c>
      <c r="BU286">
        <v>0</v>
      </c>
      <c r="BX286">
        <v>3</v>
      </c>
      <c r="BZ286">
        <v>4.11276458711409E-2</v>
      </c>
      <c r="CA286">
        <v>2.634936709883092E-3</v>
      </c>
      <c r="CC286">
        <v>0.46150059156666678</v>
      </c>
      <c r="CD286">
        <v>2.956709105504756E-2</v>
      </c>
    </row>
    <row r="287" spans="1:84" x14ac:dyDescent="0.3">
      <c r="A287" s="1">
        <v>409</v>
      </c>
      <c r="B287" t="s">
        <v>822</v>
      </c>
      <c r="C287" t="s">
        <v>351</v>
      </c>
      <c r="F287">
        <v>4.5</v>
      </c>
      <c r="G287" t="s">
        <v>352</v>
      </c>
      <c r="H287">
        <v>-1</v>
      </c>
      <c r="I287">
        <v>-1</v>
      </c>
      <c r="Q287" t="s">
        <v>821</v>
      </c>
      <c r="R287">
        <v>873</v>
      </c>
      <c r="S287">
        <v>1</v>
      </c>
      <c r="T287" t="b">
        <v>0</v>
      </c>
      <c r="U287" t="s">
        <v>172</v>
      </c>
      <c r="V287" t="s">
        <v>173</v>
      </c>
      <c r="W287">
        <v>0.2</v>
      </c>
      <c r="X287">
        <v>48</v>
      </c>
      <c r="Y287">
        <v>1.25</v>
      </c>
      <c r="Z287">
        <v>0</v>
      </c>
      <c r="AC287" t="s">
        <v>90</v>
      </c>
      <c r="AD287">
        <v>450</v>
      </c>
      <c r="AE287">
        <v>200</v>
      </c>
      <c r="AF287" t="s">
        <v>91</v>
      </c>
      <c r="AG287">
        <v>293</v>
      </c>
      <c r="AH287">
        <v>874</v>
      </c>
      <c r="AL287" t="b">
        <v>1</v>
      </c>
      <c r="AM287" t="b">
        <v>0</v>
      </c>
      <c r="AN287" t="b">
        <v>0</v>
      </c>
      <c r="AO287" t="b">
        <v>0</v>
      </c>
      <c r="AP287" t="s">
        <v>352</v>
      </c>
      <c r="AQ287">
        <v>-1</v>
      </c>
      <c r="AS287">
        <v>6.7730803756555353</v>
      </c>
      <c r="AT287">
        <v>1.8</v>
      </c>
      <c r="AU287">
        <v>2.4</v>
      </c>
      <c r="AV287">
        <v>0.6</v>
      </c>
      <c r="AW287">
        <v>2.8</v>
      </c>
      <c r="AX287">
        <v>0.23684210526315791</v>
      </c>
      <c r="AY287">
        <v>0.31578947368421051</v>
      </c>
      <c r="AZ287">
        <v>7.8947368421052627E-2</v>
      </c>
      <c r="BA287">
        <v>0.36842105263157893</v>
      </c>
      <c r="BB287">
        <v>5.7958057026999992</v>
      </c>
      <c r="BC287">
        <v>6</v>
      </c>
      <c r="BD287">
        <v>63.754620030366901</v>
      </c>
      <c r="BE287">
        <v>1</v>
      </c>
      <c r="BF287">
        <v>9.4110826747020773E-2</v>
      </c>
      <c r="BG287">
        <v>3.9948813699999999</v>
      </c>
      <c r="BH287">
        <v>3.9948813699999999</v>
      </c>
      <c r="BI287">
        <v>3.9948813699999999</v>
      </c>
      <c r="BJ287">
        <v>0</v>
      </c>
      <c r="BK287">
        <v>0</v>
      </c>
      <c r="BM287">
        <v>0</v>
      </c>
      <c r="BP287">
        <v>0</v>
      </c>
      <c r="BQ287">
        <v>0</v>
      </c>
      <c r="BS287">
        <v>0</v>
      </c>
      <c r="BT287">
        <v>0</v>
      </c>
      <c r="BU287">
        <v>0</v>
      </c>
      <c r="BX287">
        <v>3</v>
      </c>
      <c r="BZ287">
        <v>4.7055413373510387E-2</v>
      </c>
      <c r="CC287">
        <v>0.65619545508850963</v>
      </c>
    </row>
    <row r="288" spans="1:84" x14ac:dyDescent="0.3">
      <c r="A288" s="1">
        <v>410</v>
      </c>
      <c r="B288" t="s">
        <v>823</v>
      </c>
      <c r="C288" t="s">
        <v>824</v>
      </c>
      <c r="E288" t="s">
        <v>94</v>
      </c>
      <c r="F288">
        <v>4.4000000000000004</v>
      </c>
      <c r="G288" t="s">
        <v>825</v>
      </c>
      <c r="H288" t="s">
        <v>826</v>
      </c>
      <c r="I288">
        <v>-1</v>
      </c>
      <c r="Q288" t="s">
        <v>821</v>
      </c>
      <c r="R288">
        <v>873</v>
      </c>
      <c r="S288">
        <v>0</v>
      </c>
      <c r="T288" t="b">
        <v>0</v>
      </c>
      <c r="U288" t="s">
        <v>172</v>
      </c>
      <c r="V288" t="s">
        <v>173</v>
      </c>
      <c r="W288">
        <v>0.2</v>
      </c>
      <c r="X288">
        <v>145</v>
      </c>
      <c r="Y288">
        <v>1.25</v>
      </c>
      <c r="Z288">
        <v>0</v>
      </c>
      <c r="AC288" t="s">
        <v>90</v>
      </c>
      <c r="AD288">
        <v>450</v>
      </c>
      <c r="AE288">
        <v>200</v>
      </c>
      <c r="AF288" t="s">
        <v>91</v>
      </c>
      <c r="AG288">
        <v>293</v>
      </c>
      <c r="AH288">
        <v>90</v>
      </c>
      <c r="AL288" t="b">
        <v>1</v>
      </c>
      <c r="AM288" t="b">
        <v>0</v>
      </c>
      <c r="AN288" t="b">
        <v>0</v>
      </c>
      <c r="AO288" t="b">
        <v>0</v>
      </c>
      <c r="AP288" t="s">
        <v>825</v>
      </c>
      <c r="AQ288" t="s">
        <v>826</v>
      </c>
      <c r="AS288">
        <v>4.499809670330265</v>
      </c>
      <c r="AT288">
        <v>2</v>
      </c>
      <c r="AU288">
        <v>2.545454545454545</v>
      </c>
      <c r="AV288">
        <v>0.54545454545454541</v>
      </c>
      <c r="AW288">
        <v>2.545454545454545</v>
      </c>
      <c r="AX288">
        <v>0.26190476190476192</v>
      </c>
      <c r="AY288">
        <v>0.33333333333333331</v>
      </c>
      <c r="AZ288">
        <v>7.1428571428571425E-2</v>
      </c>
      <c r="BA288">
        <v>0.33333333333333331</v>
      </c>
      <c r="BB288">
        <v>6.0721113296818174</v>
      </c>
      <c r="BC288">
        <v>14</v>
      </c>
      <c r="BD288">
        <v>2333.5692942103669</v>
      </c>
      <c r="BE288">
        <v>16</v>
      </c>
      <c r="BF288">
        <v>9.5990292876988306E-2</v>
      </c>
      <c r="BG288">
        <v>7.4248940299999999</v>
      </c>
      <c r="BH288">
        <v>7.4248940300000008</v>
      </c>
      <c r="BI288">
        <v>48.809404000000001</v>
      </c>
      <c r="BJ288">
        <v>1115.157653</v>
      </c>
      <c r="BK288">
        <v>8</v>
      </c>
      <c r="BL288">
        <v>0.10043422981378219</v>
      </c>
      <c r="BM288">
        <v>10.37</v>
      </c>
      <c r="BN288">
        <v>10.37</v>
      </c>
      <c r="BO288">
        <v>10.37</v>
      </c>
      <c r="BP288">
        <v>0</v>
      </c>
      <c r="BQ288">
        <v>0</v>
      </c>
      <c r="BS288">
        <v>0</v>
      </c>
      <c r="BT288">
        <v>0</v>
      </c>
      <c r="BU288">
        <v>0</v>
      </c>
      <c r="BX288">
        <v>7</v>
      </c>
      <c r="BZ288">
        <v>4.7995146438494153E-2</v>
      </c>
      <c r="CA288">
        <v>5.0217114906891118E-2</v>
      </c>
      <c r="CC288">
        <v>0.51451783825131048</v>
      </c>
      <c r="CD288">
        <v>0.53833779709834206</v>
      </c>
    </row>
    <row r="289" spans="1:84" x14ac:dyDescent="0.3">
      <c r="A289" s="1">
        <v>411</v>
      </c>
      <c r="B289" t="s">
        <v>823</v>
      </c>
      <c r="C289" t="s">
        <v>824</v>
      </c>
      <c r="E289" t="s">
        <v>94</v>
      </c>
      <c r="F289">
        <v>4.4000000000000004</v>
      </c>
      <c r="G289" t="s">
        <v>825</v>
      </c>
      <c r="H289" t="s">
        <v>826</v>
      </c>
      <c r="I289">
        <v>-1</v>
      </c>
      <c r="Q289" t="s">
        <v>821</v>
      </c>
      <c r="R289">
        <v>750</v>
      </c>
      <c r="S289">
        <v>1</v>
      </c>
      <c r="T289" t="b">
        <v>0</v>
      </c>
      <c r="U289" t="s">
        <v>172</v>
      </c>
      <c r="V289" t="s">
        <v>173</v>
      </c>
      <c r="W289">
        <v>0.2</v>
      </c>
      <c r="X289">
        <v>110</v>
      </c>
      <c r="Y289">
        <v>1.25</v>
      </c>
      <c r="Z289">
        <v>0</v>
      </c>
      <c r="AC289" t="s">
        <v>90</v>
      </c>
      <c r="AD289">
        <v>450</v>
      </c>
      <c r="AE289">
        <v>200</v>
      </c>
      <c r="AF289" t="s">
        <v>91</v>
      </c>
      <c r="AG289">
        <v>293</v>
      </c>
      <c r="AH289">
        <v>180</v>
      </c>
      <c r="AL289" t="b">
        <v>1</v>
      </c>
      <c r="AM289" t="b">
        <v>0</v>
      </c>
      <c r="AN289" t="b">
        <v>0</v>
      </c>
      <c r="AO289" t="b">
        <v>0</v>
      </c>
      <c r="AP289" t="s">
        <v>825</v>
      </c>
      <c r="AQ289" t="s">
        <v>826</v>
      </c>
      <c r="AS289">
        <v>5.1929568508902104</v>
      </c>
      <c r="AT289">
        <v>2</v>
      </c>
      <c r="AU289">
        <v>2.545454545454545</v>
      </c>
      <c r="AV289">
        <v>0.54545454545454541</v>
      </c>
      <c r="AW289">
        <v>2.545454545454545</v>
      </c>
      <c r="AX289">
        <v>0.26190476190476192</v>
      </c>
      <c r="AY289">
        <v>0.33333333333333331</v>
      </c>
      <c r="AZ289">
        <v>7.1428571428571425E-2</v>
      </c>
      <c r="BA289">
        <v>0.33333333333333331</v>
      </c>
      <c r="BB289">
        <v>6.0721113296818174</v>
      </c>
      <c r="BC289">
        <v>14</v>
      </c>
      <c r="BD289">
        <v>2333.5692942103669</v>
      </c>
      <c r="BE289">
        <v>16</v>
      </c>
      <c r="BF289">
        <v>9.5990292876988306E-2</v>
      </c>
      <c r="BG289">
        <v>7.4248940299999999</v>
      </c>
      <c r="BH289">
        <v>7.4248940300000008</v>
      </c>
      <c r="BI289">
        <v>48.809404000000001</v>
      </c>
      <c r="BJ289">
        <v>1115.157653</v>
      </c>
      <c r="BK289">
        <v>8</v>
      </c>
      <c r="BL289">
        <v>0.10043422981378219</v>
      </c>
      <c r="BM289">
        <v>10.37</v>
      </c>
      <c r="BN289">
        <v>10.37</v>
      </c>
      <c r="BO289">
        <v>10.37</v>
      </c>
      <c r="BP289">
        <v>0</v>
      </c>
      <c r="BQ289">
        <v>0</v>
      </c>
      <c r="BS289">
        <v>0</v>
      </c>
      <c r="BT289">
        <v>0</v>
      </c>
      <c r="BU289">
        <v>0</v>
      </c>
      <c r="BX289">
        <v>7</v>
      </c>
      <c r="BZ289">
        <v>4.7995146438494153E-2</v>
      </c>
      <c r="CA289">
        <v>5.0217114906891118E-2</v>
      </c>
      <c r="CC289">
        <v>0.51451783825131048</v>
      </c>
      <c r="CD289">
        <v>0.53833779709834206</v>
      </c>
    </row>
    <row r="290" spans="1:84" x14ac:dyDescent="0.3">
      <c r="A290" s="1">
        <v>412</v>
      </c>
      <c r="B290" t="s">
        <v>823</v>
      </c>
      <c r="C290" t="s">
        <v>824</v>
      </c>
      <c r="E290" t="s">
        <v>94</v>
      </c>
      <c r="F290">
        <v>4.4000000000000004</v>
      </c>
      <c r="G290" t="s">
        <v>825</v>
      </c>
      <c r="H290" t="s">
        <v>826</v>
      </c>
      <c r="I290">
        <v>-1</v>
      </c>
      <c r="Q290" t="s">
        <v>821</v>
      </c>
      <c r="R290">
        <v>873</v>
      </c>
      <c r="S290">
        <v>1</v>
      </c>
      <c r="T290" t="b">
        <v>0</v>
      </c>
      <c r="U290" t="s">
        <v>172</v>
      </c>
      <c r="V290" t="s">
        <v>173</v>
      </c>
      <c r="W290">
        <v>0.2</v>
      </c>
      <c r="X290">
        <v>63</v>
      </c>
      <c r="Y290">
        <v>1.25</v>
      </c>
      <c r="Z290">
        <v>0</v>
      </c>
      <c r="AC290" t="s">
        <v>90</v>
      </c>
      <c r="AD290">
        <v>450</v>
      </c>
      <c r="AE290">
        <v>200</v>
      </c>
      <c r="AF290" t="s">
        <v>91</v>
      </c>
      <c r="AG290">
        <v>293</v>
      </c>
      <c r="AH290">
        <v>340</v>
      </c>
      <c r="AL290" t="b">
        <v>1</v>
      </c>
      <c r="AM290" t="b">
        <v>0</v>
      </c>
      <c r="AN290" t="b">
        <v>0</v>
      </c>
      <c r="AO290" t="b">
        <v>0</v>
      </c>
      <c r="AP290" t="s">
        <v>825</v>
      </c>
      <c r="AQ290" t="s">
        <v>826</v>
      </c>
      <c r="AS290">
        <v>5.8289456176102066</v>
      </c>
      <c r="AT290">
        <v>2</v>
      </c>
      <c r="AU290">
        <v>2.545454545454545</v>
      </c>
      <c r="AV290">
        <v>0.54545454545454541</v>
      </c>
      <c r="AW290">
        <v>2.545454545454545</v>
      </c>
      <c r="AX290">
        <v>0.26190476190476192</v>
      </c>
      <c r="AY290">
        <v>0.33333333333333331</v>
      </c>
      <c r="AZ290">
        <v>7.1428571428571425E-2</v>
      </c>
      <c r="BA290">
        <v>0.33333333333333331</v>
      </c>
      <c r="BB290">
        <v>6.0721113296818174</v>
      </c>
      <c r="BC290">
        <v>14</v>
      </c>
      <c r="BD290">
        <v>2333.5692942103669</v>
      </c>
      <c r="BE290">
        <v>16</v>
      </c>
      <c r="BF290">
        <v>9.5990292876988306E-2</v>
      </c>
      <c r="BG290">
        <v>7.4248940299999999</v>
      </c>
      <c r="BH290">
        <v>7.4248940300000008</v>
      </c>
      <c r="BI290">
        <v>48.809404000000001</v>
      </c>
      <c r="BJ290">
        <v>1115.157653</v>
      </c>
      <c r="BK290">
        <v>8</v>
      </c>
      <c r="BL290">
        <v>0.10043422981378219</v>
      </c>
      <c r="BM290">
        <v>10.37</v>
      </c>
      <c r="BN290">
        <v>10.37</v>
      </c>
      <c r="BO290">
        <v>10.37</v>
      </c>
      <c r="BP290">
        <v>0</v>
      </c>
      <c r="BQ290">
        <v>0</v>
      </c>
      <c r="BS290">
        <v>0</v>
      </c>
      <c r="BT290">
        <v>0</v>
      </c>
      <c r="BU290">
        <v>0</v>
      </c>
      <c r="BX290">
        <v>7</v>
      </c>
      <c r="BZ290">
        <v>4.7995146438494153E-2</v>
      </c>
      <c r="CA290">
        <v>5.0217114906891118E-2</v>
      </c>
      <c r="CC290">
        <v>0.51451783825131048</v>
      </c>
      <c r="CD290">
        <v>0.53833779709834206</v>
      </c>
    </row>
    <row r="291" spans="1:84" x14ac:dyDescent="0.3">
      <c r="A291" s="1">
        <v>413</v>
      </c>
      <c r="B291" t="s">
        <v>823</v>
      </c>
      <c r="C291" t="s">
        <v>824</v>
      </c>
      <c r="E291" t="s">
        <v>94</v>
      </c>
      <c r="F291">
        <v>4.4000000000000004</v>
      </c>
      <c r="G291" t="s">
        <v>825</v>
      </c>
      <c r="H291" t="s">
        <v>826</v>
      </c>
      <c r="I291">
        <v>-1</v>
      </c>
      <c r="Q291" t="s">
        <v>821</v>
      </c>
      <c r="R291">
        <v>950</v>
      </c>
      <c r="S291">
        <v>1</v>
      </c>
      <c r="T291" t="b">
        <v>0</v>
      </c>
      <c r="U291" t="s">
        <v>172</v>
      </c>
      <c r="V291" t="s">
        <v>173</v>
      </c>
      <c r="W291">
        <v>0.2</v>
      </c>
      <c r="X291">
        <v>25</v>
      </c>
      <c r="Y291">
        <v>1.25</v>
      </c>
      <c r="Z291">
        <v>0</v>
      </c>
      <c r="AC291" t="s">
        <v>90</v>
      </c>
      <c r="AD291">
        <v>450</v>
      </c>
      <c r="AE291">
        <v>200</v>
      </c>
      <c r="AF291" t="s">
        <v>91</v>
      </c>
      <c r="AG291">
        <v>293</v>
      </c>
      <c r="AH291">
        <v>240</v>
      </c>
      <c r="AL291" t="b">
        <v>1</v>
      </c>
      <c r="AM291" t="b">
        <v>0</v>
      </c>
      <c r="AN291" t="b">
        <v>0</v>
      </c>
      <c r="AO291" t="b">
        <v>0</v>
      </c>
      <c r="AP291" t="s">
        <v>825</v>
      </c>
      <c r="AQ291" t="s">
        <v>826</v>
      </c>
      <c r="AS291">
        <v>5.4806389233419912</v>
      </c>
      <c r="AT291">
        <v>2</v>
      </c>
      <c r="AU291">
        <v>2.545454545454545</v>
      </c>
      <c r="AV291">
        <v>0.54545454545454541</v>
      </c>
      <c r="AW291">
        <v>2.545454545454545</v>
      </c>
      <c r="AX291">
        <v>0.26190476190476192</v>
      </c>
      <c r="AY291">
        <v>0.33333333333333331</v>
      </c>
      <c r="AZ291">
        <v>7.1428571428571425E-2</v>
      </c>
      <c r="BA291">
        <v>0.33333333333333331</v>
      </c>
      <c r="BB291">
        <v>6.0721113296818174</v>
      </c>
      <c r="BC291">
        <v>14</v>
      </c>
      <c r="BD291">
        <v>2333.5692942103669</v>
      </c>
      <c r="BE291">
        <v>16</v>
      </c>
      <c r="BF291">
        <v>9.5990292876988306E-2</v>
      </c>
      <c r="BG291">
        <v>7.4248940299999999</v>
      </c>
      <c r="BH291">
        <v>7.4248940300000008</v>
      </c>
      <c r="BI291">
        <v>48.809404000000001</v>
      </c>
      <c r="BJ291">
        <v>1115.157653</v>
      </c>
      <c r="BK291">
        <v>8</v>
      </c>
      <c r="BL291">
        <v>0.10043422981378219</v>
      </c>
      <c r="BM291">
        <v>10.37</v>
      </c>
      <c r="BN291">
        <v>10.37</v>
      </c>
      <c r="BO291">
        <v>10.37</v>
      </c>
      <c r="BP291">
        <v>0</v>
      </c>
      <c r="BQ291">
        <v>0</v>
      </c>
      <c r="BS291">
        <v>0</v>
      </c>
      <c r="BT291">
        <v>0</v>
      </c>
      <c r="BU291">
        <v>0</v>
      </c>
      <c r="BX291">
        <v>7</v>
      </c>
      <c r="BZ291">
        <v>4.7995146438494153E-2</v>
      </c>
      <c r="CA291">
        <v>5.0217114906891118E-2</v>
      </c>
      <c r="CC291">
        <v>0.51451783825131048</v>
      </c>
      <c r="CD291">
        <v>0.53833779709834206</v>
      </c>
    </row>
    <row r="292" spans="1:84" x14ac:dyDescent="0.3">
      <c r="A292" s="1">
        <v>414</v>
      </c>
      <c r="B292" t="s">
        <v>823</v>
      </c>
      <c r="C292" t="s">
        <v>824</v>
      </c>
      <c r="E292" t="s">
        <v>94</v>
      </c>
      <c r="F292">
        <v>4.4000000000000004</v>
      </c>
      <c r="G292" t="s">
        <v>825</v>
      </c>
      <c r="H292" t="s">
        <v>826</v>
      </c>
      <c r="I292">
        <v>-1</v>
      </c>
      <c r="Q292" t="s">
        <v>821</v>
      </c>
      <c r="R292">
        <v>1250</v>
      </c>
      <c r="S292">
        <v>1</v>
      </c>
      <c r="T292" t="b">
        <v>0</v>
      </c>
      <c r="U292" t="s">
        <v>172</v>
      </c>
      <c r="V292" t="s">
        <v>173</v>
      </c>
      <c r="W292">
        <v>0.2</v>
      </c>
      <c r="X292">
        <v>5</v>
      </c>
      <c r="Y292">
        <v>1.25</v>
      </c>
      <c r="Z292">
        <v>0</v>
      </c>
      <c r="AC292" t="s">
        <v>90</v>
      </c>
      <c r="AD292">
        <v>450</v>
      </c>
      <c r="AE292">
        <v>200</v>
      </c>
      <c r="AF292" t="s">
        <v>91</v>
      </c>
      <c r="AG292">
        <v>293</v>
      </c>
      <c r="AH292">
        <v>210</v>
      </c>
      <c r="AL292" t="b">
        <v>1</v>
      </c>
      <c r="AM292" t="b">
        <v>0</v>
      </c>
      <c r="AN292" t="b">
        <v>0</v>
      </c>
      <c r="AO292" t="b">
        <v>0</v>
      </c>
      <c r="AP292" t="s">
        <v>825</v>
      </c>
      <c r="AQ292" t="s">
        <v>826</v>
      </c>
      <c r="AS292">
        <v>5.3471075307174676</v>
      </c>
      <c r="AT292">
        <v>2</v>
      </c>
      <c r="AU292">
        <v>2.545454545454545</v>
      </c>
      <c r="AV292">
        <v>0.54545454545454541</v>
      </c>
      <c r="AW292">
        <v>2.545454545454545</v>
      </c>
      <c r="AX292">
        <v>0.26190476190476192</v>
      </c>
      <c r="AY292">
        <v>0.33333333333333331</v>
      </c>
      <c r="AZ292">
        <v>7.1428571428571425E-2</v>
      </c>
      <c r="BA292">
        <v>0.33333333333333331</v>
      </c>
      <c r="BB292">
        <v>6.0721113296818174</v>
      </c>
      <c r="BC292">
        <v>14</v>
      </c>
      <c r="BD292">
        <v>2333.5692942103669</v>
      </c>
      <c r="BE292">
        <v>16</v>
      </c>
      <c r="BF292">
        <v>9.5990292876988306E-2</v>
      </c>
      <c r="BG292">
        <v>7.4248940299999999</v>
      </c>
      <c r="BH292">
        <v>7.4248940300000008</v>
      </c>
      <c r="BI292">
        <v>48.809404000000001</v>
      </c>
      <c r="BJ292">
        <v>1115.157653</v>
      </c>
      <c r="BK292">
        <v>8</v>
      </c>
      <c r="BL292">
        <v>0.10043422981378219</v>
      </c>
      <c r="BM292">
        <v>10.37</v>
      </c>
      <c r="BN292">
        <v>10.37</v>
      </c>
      <c r="BO292">
        <v>10.37</v>
      </c>
      <c r="BP292">
        <v>0</v>
      </c>
      <c r="BQ292">
        <v>0</v>
      </c>
      <c r="BS292">
        <v>0</v>
      </c>
      <c r="BT292">
        <v>0</v>
      </c>
      <c r="BU292">
        <v>0</v>
      </c>
      <c r="BX292">
        <v>7</v>
      </c>
      <c r="BZ292">
        <v>4.7995146438494153E-2</v>
      </c>
      <c r="CA292">
        <v>5.0217114906891118E-2</v>
      </c>
      <c r="CC292">
        <v>0.51451783825131048</v>
      </c>
      <c r="CD292">
        <v>0.53833779709834206</v>
      </c>
    </row>
    <row r="293" spans="1:84" x14ac:dyDescent="0.3">
      <c r="A293" s="1">
        <v>415</v>
      </c>
      <c r="B293" t="s">
        <v>686</v>
      </c>
      <c r="C293" t="s">
        <v>687</v>
      </c>
      <c r="E293" t="s">
        <v>94</v>
      </c>
      <c r="F293">
        <v>4.0999999999999996</v>
      </c>
      <c r="G293" t="s">
        <v>688</v>
      </c>
      <c r="H293" t="s">
        <v>689</v>
      </c>
      <c r="I293">
        <v>-1</v>
      </c>
      <c r="Q293" t="s">
        <v>821</v>
      </c>
      <c r="R293">
        <v>873</v>
      </c>
      <c r="S293">
        <v>1</v>
      </c>
      <c r="T293" t="b">
        <v>0</v>
      </c>
      <c r="U293" t="s">
        <v>172</v>
      </c>
      <c r="V293" t="s">
        <v>173</v>
      </c>
      <c r="W293">
        <v>0.2</v>
      </c>
      <c r="X293">
        <v>60</v>
      </c>
      <c r="Y293">
        <v>1.25</v>
      </c>
      <c r="Z293">
        <v>0</v>
      </c>
      <c r="AC293" t="s">
        <v>90</v>
      </c>
      <c r="AD293">
        <v>450</v>
      </c>
      <c r="AE293">
        <v>200</v>
      </c>
      <c r="AF293" t="s">
        <v>91</v>
      </c>
      <c r="AG293">
        <v>293</v>
      </c>
      <c r="AH293">
        <v>1.2</v>
      </c>
      <c r="AL293" t="b">
        <v>1</v>
      </c>
      <c r="AM293" t="b">
        <v>0</v>
      </c>
      <c r="AN293" t="b">
        <v>0</v>
      </c>
      <c r="AO293" t="b">
        <v>0</v>
      </c>
      <c r="AP293" t="s">
        <v>688</v>
      </c>
      <c r="AQ293" t="s">
        <v>689</v>
      </c>
      <c r="AS293">
        <v>0.18232155679395459</v>
      </c>
      <c r="AT293">
        <v>1.8181818181818179</v>
      </c>
      <c r="AU293">
        <v>2.545454545454545</v>
      </c>
      <c r="AV293">
        <v>0.72727272727272729</v>
      </c>
      <c r="AW293">
        <v>0</v>
      </c>
      <c r="AX293">
        <v>0.35714285714285721</v>
      </c>
      <c r="AY293">
        <v>0.5</v>
      </c>
      <c r="AZ293">
        <v>0.1428571428571429</v>
      </c>
      <c r="BA293">
        <v>0</v>
      </c>
      <c r="BB293">
        <v>6.0537319451363629</v>
      </c>
      <c r="BC293">
        <v>14</v>
      </c>
      <c r="BD293">
        <v>296.35915518228359</v>
      </c>
      <c r="BE293">
        <v>2</v>
      </c>
      <c r="BF293">
        <v>9.4479956196318104E-2</v>
      </c>
      <c r="BG293">
        <v>7.4836094600000003</v>
      </c>
      <c r="BH293">
        <v>7.4836094600000003</v>
      </c>
      <c r="BI293">
        <v>7.4836094600000003</v>
      </c>
      <c r="BJ293">
        <v>1105.507304</v>
      </c>
      <c r="BK293">
        <v>8</v>
      </c>
      <c r="BL293">
        <v>0.1013109543417363</v>
      </c>
      <c r="BM293">
        <v>10.34</v>
      </c>
      <c r="BN293">
        <v>10.34</v>
      </c>
      <c r="BO293">
        <v>10.34</v>
      </c>
      <c r="BP293">
        <v>0</v>
      </c>
      <c r="BQ293">
        <v>0</v>
      </c>
      <c r="BS293">
        <v>0</v>
      </c>
      <c r="BT293">
        <v>0</v>
      </c>
      <c r="BU293">
        <v>0</v>
      </c>
      <c r="BX293">
        <v>7</v>
      </c>
      <c r="BZ293">
        <v>4.7239978098159052E-2</v>
      </c>
      <c r="CA293">
        <v>5.0655477170868157E-2</v>
      </c>
      <c r="CC293">
        <v>0.50642227837041776</v>
      </c>
      <c r="CD293">
        <v>0.54303713070119819</v>
      </c>
    </row>
    <row r="294" spans="1:84" x14ac:dyDescent="0.3">
      <c r="A294" s="1">
        <v>89</v>
      </c>
      <c r="B294" t="s">
        <v>285</v>
      </c>
      <c r="C294" t="s">
        <v>286</v>
      </c>
      <c r="F294">
        <v>4.5999999999999996</v>
      </c>
      <c r="G294" t="s">
        <v>287</v>
      </c>
      <c r="H294" t="s">
        <v>288</v>
      </c>
      <c r="I294">
        <v>-1</v>
      </c>
      <c r="O294">
        <v>0</v>
      </c>
      <c r="Q294" t="s">
        <v>87</v>
      </c>
      <c r="R294">
        <v>1450</v>
      </c>
      <c r="S294">
        <v>200</v>
      </c>
      <c r="T294" t="b">
        <v>0</v>
      </c>
      <c r="U294" t="s">
        <v>172</v>
      </c>
      <c r="V294" t="s">
        <v>173</v>
      </c>
      <c r="W294">
        <v>0.15</v>
      </c>
      <c r="X294">
        <v>0.9</v>
      </c>
      <c r="Y294">
        <v>2.63</v>
      </c>
      <c r="Z294">
        <v>0</v>
      </c>
      <c r="AC294" t="s">
        <v>165</v>
      </c>
      <c r="AD294">
        <v>300</v>
      </c>
      <c r="AF294" t="s">
        <v>91</v>
      </c>
      <c r="AH294">
        <v>1000</v>
      </c>
      <c r="AL294" t="b">
        <v>1</v>
      </c>
      <c r="AM294" t="b">
        <v>1</v>
      </c>
      <c r="AN294" t="b">
        <v>0</v>
      </c>
      <c r="AO294" t="b">
        <v>0</v>
      </c>
      <c r="AP294" t="s">
        <v>287</v>
      </c>
      <c r="AQ294" t="s">
        <v>288</v>
      </c>
      <c r="AS294">
        <v>6.9077552789821368</v>
      </c>
      <c r="AT294">
        <v>2</v>
      </c>
      <c r="AU294">
        <v>2.545454545454545</v>
      </c>
      <c r="AV294">
        <v>0.54545454545454541</v>
      </c>
      <c r="AW294">
        <v>2.545454545454545</v>
      </c>
      <c r="AX294">
        <v>0.26190476190476192</v>
      </c>
      <c r="AY294">
        <v>0.33333333333333331</v>
      </c>
      <c r="AZ294">
        <v>7.1428571428571425E-2</v>
      </c>
      <c r="BA294">
        <v>0.33333333333333331</v>
      </c>
      <c r="BB294">
        <v>6.0365865096818183</v>
      </c>
      <c r="BC294">
        <v>14</v>
      </c>
      <c r="BD294">
        <v>309.44138863753989</v>
      </c>
      <c r="BE294">
        <v>2</v>
      </c>
      <c r="BF294">
        <v>9.0485633235046756E-2</v>
      </c>
      <c r="BG294">
        <v>13.81974189</v>
      </c>
      <c r="BH294">
        <v>13.81974189</v>
      </c>
      <c r="BI294">
        <v>5.7110870199999999</v>
      </c>
      <c r="BJ294">
        <v>608.87893199999996</v>
      </c>
      <c r="BK294">
        <v>4</v>
      </c>
      <c r="BL294">
        <v>9.1972306901891634E-2</v>
      </c>
      <c r="BM294">
        <v>3.94</v>
      </c>
      <c r="BN294">
        <v>27.15</v>
      </c>
      <c r="BO294">
        <v>5.6920000000000002</v>
      </c>
      <c r="BP294">
        <v>0</v>
      </c>
      <c r="BQ294">
        <v>0</v>
      </c>
      <c r="BS294">
        <v>0</v>
      </c>
      <c r="BT294">
        <v>0</v>
      </c>
      <c r="BU294">
        <v>0</v>
      </c>
      <c r="BX294">
        <v>7</v>
      </c>
      <c r="BZ294">
        <v>4.5242816617523378E-2</v>
      </c>
      <c r="CA294">
        <v>4.5986153450945817E-2</v>
      </c>
      <c r="CC294">
        <v>0.52932707238285004</v>
      </c>
      <c r="CD294">
        <v>0.53802388525275069</v>
      </c>
    </row>
    <row r="295" spans="1:84" x14ac:dyDescent="0.3">
      <c r="A295" s="1">
        <v>284</v>
      </c>
      <c r="B295" t="s">
        <v>285</v>
      </c>
      <c r="C295" t="s">
        <v>286</v>
      </c>
      <c r="F295">
        <v>4.55</v>
      </c>
      <c r="G295" t="s">
        <v>287</v>
      </c>
      <c r="H295" t="s">
        <v>288</v>
      </c>
      <c r="I295">
        <v>-1</v>
      </c>
      <c r="J295">
        <v>4</v>
      </c>
      <c r="K295">
        <v>3.9369999999999998</v>
      </c>
      <c r="L295">
        <v>27.198</v>
      </c>
      <c r="M295">
        <v>5.6920000000000002</v>
      </c>
      <c r="O295">
        <v>0</v>
      </c>
      <c r="Q295" t="s">
        <v>87</v>
      </c>
      <c r="R295">
        <v>1450</v>
      </c>
      <c r="S295">
        <v>200</v>
      </c>
      <c r="T295" t="b">
        <v>0</v>
      </c>
      <c r="U295" t="s">
        <v>172</v>
      </c>
      <c r="V295" t="s">
        <v>173</v>
      </c>
      <c r="W295">
        <v>0.15</v>
      </c>
      <c r="X295">
        <v>0.9</v>
      </c>
      <c r="Y295">
        <v>2.56</v>
      </c>
      <c r="Z295">
        <v>0</v>
      </c>
      <c r="AC295" t="s">
        <v>90</v>
      </c>
      <c r="AD295">
        <v>400</v>
      </c>
      <c r="AF295" t="s">
        <v>91</v>
      </c>
      <c r="AH295">
        <v>1000</v>
      </c>
      <c r="AL295" t="b">
        <v>1</v>
      </c>
      <c r="AM295" t="b">
        <v>1</v>
      </c>
      <c r="AN295" t="b">
        <v>0</v>
      </c>
      <c r="AO295" t="b">
        <v>0</v>
      </c>
      <c r="AP295" t="s">
        <v>287</v>
      </c>
      <c r="AQ295" t="s">
        <v>288</v>
      </c>
      <c r="AS295">
        <v>6.9077552789821368</v>
      </c>
      <c r="AT295">
        <v>2</v>
      </c>
      <c r="AU295">
        <v>2.545454545454545</v>
      </c>
      <c r="AV295">
        <v>0.54545454545454541</v>
      </c>
      <c r="AW295">
        <v>2.545454545454545</v>
      </c>
      <c r="AX295">
        <v>0.26190476190476192</v>
      </c>
      <c r="AY295">
        <v>0.33333333333333331</v>
      </c>
      <c r="AZ295">
        <v>7.1428571428571425E-2</v>
      </c>
      <c r="BA295">
        <v>0.33333333333333331</v>
      </c>
      <c r="BB295">
        <v>6.0365865096818183</v>
      </c>
      <c r="BC295">
        <v>14</v>
      </c>
      <c r="BD295">
        <v>309.44138863753989</v>
      </c>
      <c r="BE295">
        <v>2</v>
      </c>
      <c r="BF295">
        <v>9.0485633235046756E-2</v>
      </c>
      <c r="BG295">
        <v>13.81974189</v>
      </c>
      <c r="BH295">
        <v>13.81974189</v>
      </c>
      <c r="BI295">
        <v>5.7110870199999999</v>
      </c>
      <c r="BJ295">
        <v>608.87893199999996</v>
      </c>
      <c r="BK295">
        <v>4</v>
      </c>
      <c r="BL295">
        <v>9.1972306901891634E-2</v>
      </c>
      <c r="BM295">
        <v>3.94</v>
      </c>
      <c r="BN295">
        <v>27.15</v>
      </c>
      <c r="BO295">
        <v>5.6920000000000002</v>
      </c>
      <c r="BP295">
        <v>0</v>
      </c>
      <c r="BQ295">
        <v>0</v>
      </c>
      <c r="BS295">
        <v>0</v>
      </c>
      <c r="BT295">
        <v>0</v>
      </c>
      <c r="BU295">
        <v>0</v>
      </c>
      <c r="BV295">
        <v>609.49096999200003</v>
      </c>
      <c r="BW295">
        <v>9.1879950248869205E-2</v>
      </c>
      <c r="BX295">
        <v>7</v>
      </c>
      <c r="BY295">
        <v>4.5939975124434602E-2</v>
      </c>
      <c r="BZ295">
        <v>4.5242816617523378E-2</v>
      </c>
      <c r="CA295">
        <v>4.5986153450945817E-2</v>
      </c>
      <c r="CC295">
        <v>0.52932707238285004</v>
      </c>
      <c r="CD295">
        <v>0.53802388525275069</v>
      </c>
      <c r="CF295">
        <v>0.53748361300165814</v>
      </c>
    </row>
    <row r="296" spans="1:84" x14ac:dyDescent="0.3">
      <c r="A296" s="1">
        <v>285</v>
      </c>
      <c r="B296" t="s">
        <v>702</v>
      </c>
      <c r="C296" t="s">
        <v>703</v>
      </c>
      <c r="F296">
        <v>4.43</v>
      </c>
      <c r="G296" t="s">
        <v>287</v>
      </c>
      <c r="H296" t="s">
        <v>288</v>
      </c>
      <c r="I296">
        <v>-1</v>
      </c>
      <c r="J296">
        <v>4</v>
      </c>
      <c r="K296">
        <v>3.9369999999999998</v>
      </c>
      <c r="L296">
        <v>27.198</v>
      </c>
      <c r="M296">
        <v>5.6920000000000002</v>
      </c>
      <c r="O296">
        <v>0</v>
      </c>
      <c r="Q296" t="s">
        <v>87</v>
      </c>
      <c r="R296">
        <v>1450</v>
      </c>
      <c r="S296">
        <v>200</v>
      </c>
      <c r="T296" t="b">
        <v>0</v>
      </c>
      <c r="U296" t="s">
        <v>172</v>
      </c>
      <c r="V296" t="s">
        <v>173</v>
      </c>
      <c r="W296">
        <v>0.15</v>
      </c>
      <c r="X296">
        <v>1.2</v>
      </c>
      <c r="Y296">
        <v>2.56</v>
      </c>
      <c r="Z296">
        <v>0</v>
      </c>
      <c r="AC296" t="s">
        <v>90</v>
      </c>
      <c r="AD296">
        <v>400</v>
      </c>
      <c r="AF296" t="s">
        <v>91</v>
      </c>
      <c r="AH296">
        <v>190</v>
      </c>
      <c r="AI296" t="s">
        <v>704</v>
      </c>
      <c r="AL296" t="b">
        <v>1</v>
      </c>
      <c r="AM296" t="b">
        <v>0</v>
      </c>
      <c r="AN296" t="b">
        <v>0</v>
      </c>
      <c r="AO296" t="b">
        <v>0</v>
      </c>
      <c r="AP296" t="s">
        <v>705</v>
      </c>
      <c r="AQ296" t="s">
        <v>288</v>
      </c>
      <c r="AS296">
        <v>5.2470240721604862</v>
      </c>
      <c r="AT296">
        <v>1.990909090909091</v>
      </c>
      <c r="AU296">
        <v>2.545454545454545</v>
      </c>
      <c r="AV296">
        <v>0.55454545454545456</v>
      </c>
      <c r="AW296">
        <v>2.418181818181818</v>
      </c>
      <c r="AX296">
        <v>0.26513317191283292</v>
      </c>
      <c r="AY296">
        <v>0.33898305084745761</v>
      </c>
      <c r="AZ296">
        <v>7.3849878934624705E-2</v>
      </c>
      <c r="BA296">
        <v>0.32203389830508472</v>
      </c>
      <c r="BB296">
        <v>6.0356675404545452</v>
      </c>
      <c r="BC296">
        <v>14</v>
      </c>
      <c r="BD296">
        <v>309.44138863753989</v>
      </c>
      <c r="BE296">
        <v>1</v>
      </c>
      <c r="BF296">
        <v>4.5242816617523378E-2</v>
      </c>
      <c r="BG296">
        <v>13.81974189</v>
      </c>
      <c r="BH296">
        <v>13.81974189</v>
      </c>
      <c r="BI296">
        <v>5.7110870199999999</v>
      </c>
      <c r="BJ296">
        <v>608.87893199999996</v>
      </c>
      <c r="BK296">
        <v>4</v>
      </c>
      <c r="BL296">
        <v>9.1972306901891634E-2</v>
      </c>
      <c r="BM296">
        <v>3.94</v>
      </c>
      <c r="BN296">
        <v>27.15</v>
      </c>
      <c r="BO296">
        <v>5.6920000000000002</v>
      </c>
      <c r="BP296">
        <v>0</v>
      </c>
      <c r="BQ296">
        <v>0</v>
      </c>
      <c r="BS296">
        <v>0</v>
      </c>
      <c r="BT296">
        <v>0</v>
      </c>
      <c r="BU296">
        <v>0</v>
      </c>
      <c r="BV296">
        <v>609.49096999200003</v>
      </c>
      <c r="BW296">
        <v>9.1879950248869205E-2</v>
      </c>
      <c r="BX296">
        <v>7</v>
      </c>
      <c r="BY296">
        <v>4.5939975124434602E-2</v>
      </c>
      <c r="BZ296">
        <v>2.2621408308761689E-2</v>
      </c>
      <c r="CA296">
        <v>4.5986153450945817E-2</v>
      </c>
      <c r="CC296">
        <v>0.26466353619142502</v>
      </c>
      <c r="CD296">
        <v>0.53802388525275069</v>
      </c>
      <c r="CF296">
        <v>0.53748361300165814</v>
      </c>
    </row>
    <row r="297" spans="1:84" x14ac:dyDescent="0.3">
      <c r="A297" s="1">
        <v>286</v>
      </c>
      <c r="B297" t="s">
        <v>706</v>
      </c>
      <c r="C297" t="s">
        <v>707</v>
      </c>
      <c r="F297">
        <v>4.34</v>
      </c>
      <c r="G297" t="s">
        <v>287</v>
      </c>
      <c r="H297" t="s">
        <v>288</v>
      </c>
      <c r="I297">
        <v>-1</v>
      </c>
      <c r="J297">
        <v>4</v>
      </c>
      <c r="K297">
        <v>3.9369999999999998</v>
      </c>
      <c r="L297">
        <v>27.198</v>
      </c>
      <c r="M297">
        <v>5.6920000000000002</v>
      </c>
      <c r="O297">
        <v>0</v>
      </c>
      <c r="Q297" t="s">
        <v>87</v>
      </c>
      <c r="R297">
        <v>1450</v>
      </c>
      <c r="S297">
        <v>200</v>
      </c>
      <c r="T297" t="b">
        <v>0</v>
      </c>
      <c r="U297" t="s">
        <v>172</v>
      </c>
      <c r="V297" t="s">
        <v>173</v>
      </c>
      <c r="W297">
        <v>0.15</v>
      </c>
      <c r="X297">
        <v>1.3</v>
      </c>
      <c r="Y297">
        <v>2.56</v>
      </c>
      <c r="Z297">
        <v>0</v>
      </c>
      <c r="AC297" t="s">
        <v>90</v>
      </c>
      <c r="AD297">
        <v>400</v>
      </c>
      <c r="AF297" t="s">
        <v>91</v>
      </c>
      <c r="AH297">
        <v>130</v>
      </c>
      <c r="AI297" t="s">
        <v>708</v>
      </c>
      <c r="AL297" t="b">
        <v>1</v>
      </c>
      <c r="AM297" t="b">
        <v>0</v>
      </c>
      <c r="AN297" t="b">
        <v>0</v>
      </c>
      <c r="AO297" t="b">
        <v>0</v>
      </c>
      <c r="AP297" t="s">
        <v>709</v>
      </c>
      <c r="AQ297" t="s">
        <v>288</v>
      </c>
      <c r="AS297">
        <v>4.8675344504555822</v>
      </c>
      <c r="AT297">
        <v>1.9818181818181819</v>
      </c>
      <c r="AU297">
        <v>2.545454545454545</v>
      </c>
      <c r="AV297">
        <v>0.5636363636363636</v>
      </c>
      <c r="AW297">
        <v>2.290909090909091</v>
      </c>
      <c r="AX297">
        <v>0.26847290640394089</v>
      </c>
      <c r="AY297">
        <v>0.34482758620689652</v>
      </c>
      <c r="AZ297">
        <v>7.6354679802955655E-2</v>
      </c>
      <c r="BA297">
        <v>0.31034482758620691</v>
      </c>
      <c r="BB297">
        <v>6.0347485712272722</v>
      </c>
      <c r="BC297">
        <v>14</v>
      </c>
      <c r="BD297">
        <v>309.44138863753989</v>
      </c>
      <c r="BE297">
        <v>1</v>
      </c>
      <c r="BF297">
        <v>4.5242816617523378E-2</v>
      </c>
      <c r="BG297">
        <v>13.81974189</v>
      </c>
      <c r="BH297">
        <v>13.81974189</v>
      </c>
      <c r="BI297">
        <v>5.7110870199999999</v>
      </c>
      <c r="BJ297">
        <v>608.87893199999996</v>
      </c>
      <c r="BK297">
        <v>4</v>
      </c>
      <c r="BL297">
        <v>9.1972306901891634E-2</v>
      </c>
      <c r="BM297">
        <v>3.94</v>
      </c>
      <c r="BN297">
        <v>27.15</v>
      </c>
      <c r="BO297">
        <v>5.6920000000000002</v>
      </c>
      <c r="BP297">
        <v>0</v>
      </c>
      <c r="BQ297">
        <v>0</v>
      </c>
      <c r="BS297">
        <v>0</v>
      </c>
      <c r="BT297">
        <v>0</v>
      </c>
      <c r="BU297">
        <v>0</v>
      </c>
      <c r="BV297">
        <v>609.49096999200003</v>
      </c>
      <c r="BW297">
        <v>9.1879950248869205E-2</v>
      </c>
      <c r="BX297">
        <v>7</v>
      </c>
      <c r="BY297">
        <v>4.5939975124434602E-2</v>
      </c>
      <c r="BZ297">
        <v>2.2621408308761689E-2</v>
      </c>
      <c r="CA297">
        <v>4.5986153450945817E-2</v>
      </c>
      <c r="CC297">
        <v>0.26466353619142502</v>
      </c>
      <c r="CD297">
        <v>0.53802388525275069</v>
      </c>
      <c r="CF297">
        <v>0.53748361300165814</v>
      </c>
    </row>
    <row r="298" spans="1:84" x14ac:dyDescent="0.3">
      <c r="A298" s="1">
        <v>287</v>
      </c>
      <c r="B298" t="s">
        <v>710</v>
      </c>
      <c r="C298" t="s">
        <v>711</v>
      </c>
      <c r="F298">
        <v>4.2699999999999996</v>
      </c>
      <c r="G298" t="s">
        <v>287</v>
      </c>
      <c r="H298" t="s">
        <v>288</v>
      </c>
      <c r="I298">
        <v>-1</v>
      </c>
      <c r="J298">
        <v>4</v>
      </c>
      <c r="K298">
        <v>3.9369999999999998</v>
      </c>
      <c r="L298">
        <v>27.198</v>
      </c>
      <c r="M298">
        <v>5.6920000000000002</v>
      </c>
      <c r="O298">
        <v>0</v>
      </c>
      <c r="Q298" t="s">
        <v>87</v>
      </c>
      <c r="R298">
        <v>1450</v>
      </c>
      <c r="S298">
        <v>200</v>
      </c>
      <c r="T298" t="b">
        <v>0</v>
      </c>
      <c r="U298" t="s">
        <v>172</v>
      </c>
      <c r="V298" t="s">
        <v>173</v>
      </c>
      <c r="W298">
        <v>0.15</v>
      </c>
      <c r="X298">
        <v>1</v>
      </c>
      <c r="Y298">
        <v>2.56</v>
      </c>
      <c r="Z298">
        <v>0</v>
      </c>
      <c r="AC298" t="s">
        <v>90</v>
      </c>
      <c r="AD298">
        <v>400</v>
      </c>
      <c r="AF298" t="s">
        <v>91</v>
      </c>
      <c r="AH298">
        <v>200</v>
      </c>
      <c r="AI298" t="s">
        <v>712</v>
      </c>
      <c r="AL298" t="b">
        <v>1</v>
      </c>
      <c r="AM298" t="b">
        <v>0</v>
      </c>
      <c r="AN298" t="b">
        <v>0</v>
      </c>
      <c r="AO298" t="b">
        <v>0</v>
      </c>
      <c r="AP298" t="s">
        <v>713</v>
      </c>
      <c r="AQ298" t="s">
        <v>288</v>
      </c>
      <c r="AS298">
        <v>5.2983173665480363</v>
      </c>
      <c r="AT298">
        <v>1.9727272727272731</v>
      </c>
      <c r="AU298">
        <v>2.545454545454545</v>
      </c>
      <c r="AV298">
        <v>0.57272727272727275</v>
      </c>
      <c r="AW298">
        <v>2.163636363636364</v>
      </c>
      <c r="AX298">
        <v>0.27192982456140352</v>
      </c>
      <c r="AY298">
        <v>0.35087719298245618</v>
      </c>
      <c r="AZ298">
        <v>7.8947368421052641E-2</v>
      </c>
      <c r="BA298">
        <v>0.29824561403508781</v>
      </c>
      <c r="BB298">
        <v>6.033829602</v>
      </c>
      <c r="BC298">
        <v>14</v>
      </c>
      <c r="BD298">
        <v>309.44138863753989</v>
      </c>
      <c r="BE298">
        <v>1</v>
      </c>
      <c r="BF298">
        <v>4.5242816617523378E-2</v>
      </c>
      <c r="BG298">
        <v>13.81974189</v>
      </c>
      <c r="BH298">
        <v>13.81974189</v>
      </c>
      <c r="BI298">
        <v>5.7110870199999999</v>
      </c>
      <c r="BJ298">
        <v>608.87893199999996</v>
      </c>
      <c r="BK298">
        <v>4</v>
      </c>
      <c r="BL298">
        <v>9.1972306901891634E-2</v>
      </c>
      <c r="BM298">
        <v>3.94</v>
      </c>
      <c r="BN298">
        <v>27.15</v>
      </c>
      <c r="BO298">
        <v>5.6920000000000002</v>
      </c>
      <c r="BP298">
        <v>0</v>
      </c>
      <c r="BQ298">
        <v>0</v>
      </c>
      <c r="BS298">
        <v>0</v>
      </c>
      <c r="BT298">
        <v>0</v>
      </c>
      <c r="BU298">
        <v>0</v>
      </c>
      <c r="BV298">
        <v>609.49096999200003</v>
      </c>
      <c r="BW298">
        <v>9.1879950248869205E-2</v>
      </c>
      <c r="BX298">
        <v>7</v>
      </c>
      <c r="BY298">
        <v>4.5939975124434602E-2</v>
      </c>
      <c r="BZ298">
        <v>2.2621408308761689E-2</v>
      </c>
      <c r="CA298">
        <v>4.5986153450945817E-2</v>
      </c>
      <c r="CC298">
        <v>0.26466353619142502</v>
      </c>
      <c r="CD298">
        <v>0.53802388525275069</v>
      </c>
      <c r="CF298">
        <v>0.53748361300165814</v>
      </c>
    </row>
    <row r="299" spans="1:84" x14ac:dyDescent="0.3">
      <c r="A299" s="1">
        <v>288</v>
      </c>
      <c r="B299" t="s">
        <v>714</v>
      </c>
      <c r="C299" t="s">
        <v>715</v>
      </c>
      <c r="F299">
        <v>4.13</v>
      </c>
      <c r="G299" t="s">
        <v>287</v>
      </c>
      <c r="H299" t="s">
        <v>288</v>
      </c>
      <c r="I299">
        <v>-1</v>
      </c>
      <c r="J299">
        <v>4</v>
      </c>
      <c r="K299">
        <v>3.9369999999999998</v>
      </c>
      <c r="L299">
        <v>27.198</v>
      </c>
      <c r="M299">
        <v>5.6920000000000002</v>
      </c>
      <c r="O299">
        <v>0</v>
      </c>
      <c r="Q299" t="s">
        <v>87</v>
      </c>
      <c r="R299">
        <v>1450</v>
      </c>
      <c r="S299">
        <v>200</v>
      </c>
      <c r="T299" t="b">
        <v>0</v>
      </c>
      <c r="U299" t="s">
        <v>172</v>
      </c>
      <c r="V299" t="s">
        <v>173</v>
      </c>
      <c r="W299">
        <v>0.15</v>
      </c>
      <c r="X299">
        <v>1.2</v>
      </c>
      <c r="Y299">
        <v>2.56</v>
      </c>
      <c r="Z299">
        <v>0</v>
      </c>
      <c r="AC299" t="s">
        <v>90</v>
      </c>
      <c r="AD299">
        <v>400</v>
      </c>
      <c r="AF299" t="s">
        <v>91</v>
      </c>
      <c r="AH299">
        <v>240</v>
      </c>
      <c r="AI299" t="s">
        <v>716</v>
      </c>
      <c r="AL299" t="b">
        <v>1</v>
      </c>
      <c r="AM299" t="b">
        <v>0</v>
      </c>
      <c r="AN299" t="b">
        <v>0</v>
      </c>
      <c r="AO299" t="b">
        <v>0</v>
      </c>
      <c r="AP299" t="s">
        <v>717</v>
      </c>
      <c r="AQ299" t="s">
        <v>288</v>
      </c>
      <c r="AS299">
        <v>5.4806389233419912</v>
      </c>
      <c r="AT299">
        <v>1.954545454545455</v>
      </c>
      <c r="AU299">
        <v>2.545454545454545</v>
      </c>
      <c r="AV299">
        <v>0.59090909090909094</v>
      </c>
      <c r="AW299">
        <v>1.9090909090909089</v>
      </c>
      <c r="AX299">
        <v>0.2792207792207792</v>
      </c>
      <c r="AY299">
        <v>0.36363636363636359</v>
      </c>
      <c r="AZ299">
        <v>8.4415584415584416E-2</v>
      </c>
      <c r="BA299">
        <v>0.27272727272727282</v>
      </c>
      <c r="BB299">
        <v>6.0319916635454538</v>
      </c>
      <c r="BC299">
        <v>14</v>
      </c>
      <c r="BD299">
        <v>309.44138863753989</v>
      </c>
      <c r="BE299">
        <v>1</v>
      </c>
      <c r="BF299">
        <v>4.5242816617523378E-2</v>
      </c>
      <c r="BG299">
        <v>13.81974189</v>
      </c>
      <c r="BH299">
        <v>13.81974189</v>
      </c>
      <c r="BI299">
        <v>5.7110870199999999</v>
      </c>
      <c r="BJ299">
        <v>608.87893199999996</v>
      </c>
      <c r="BK299">
        <v>4</v>
      </c>
      <c r="BL299">
        <v>9.1972306901891634E-2</v>
      </c>
      <c r="BM299">
        <v>3.94</v>
      </c>
      <c r="BN299">
        <v>27.15</v>
      </c>
      <c r="BO299">
        <v>5.6920000000000002</v>
      </c>
      <c r="BP299">
        <v>0</v>
      </c>
      <c r="BQ299">
        <v>0</v>
      </c>
      <c r="BS299">
        <v>0</v>
      </c>
      <c r="BT299">
        <v>0</v>
      </c>
      <c r="BU299">
        <v>0</v>
      </c>
      <c r="BV299">
        <v>609.49096999200003</v>
      </c>
      <c r="BW299">
        <v>9.1879950248869205E-2</v>
      </c>
      <c r="BX299">
        <v>7</v>
      </c>
      <c r="BY299">
        <v>4.5939975124434602E-2</v>
      </c>
      <c r="BZ299">
        <v>2.2621408308761689E-2</v>
      </c>
      <c r="CA299">
        <v>4.5986153450945817E-2</v>
      </c>
      <c r="CC299">
        <v>0.26466353619142502</v>
      </c>
      <c r="CD299">
        <v>0.53802388525275069</v>
      </c>
      <c r="CF299">
        <v>0.53748361300165814</v>
      </c>
    </row>
    <row r="300" spans="1:84" x14ac:dyDescent="0.3">
      <c r="A300" s="1">
        <v>289</v>
      </c>
      <c r="B300" t="s">
        <v>718</v>
      </c>
      <c r="C300" t="s">
        <v>719</v>
      </c>
      <c r="F300">
        <v>4.07</v>
      </c>
      <c r="G300" t="s">
        <v>287</v>
      </c>
      <c r="H300" t="s">
        <v>288</v>
      </c>
      <c r="I300">
        <v>-1</v>
      </c>
      <c r="J300">
        <v>4</v>
      </c>
      <c r="K300">
        <v>3.9369999999999998</v>
      </c>
      <c r="L300">
        <v>27.198</v>
      </c>
      <c r="M300">
        <v>5.6920000000000002</v>
      </c>
      <c r="O300">
        <v>0</v>
      </c>
      <c r="Q300" t="s">
        <v>87</v>
      </c>
      <c r="R300">
        <v>1450</v>
      </c>
      <c r="S300">
        <v>200</v>
      </c>
      <c r="T300" t="b">
        <v>0</v>
      </c>
      <c r="U300" t="s">
        <v>172</v>
      </c>
      <c r="V300" t="s">
        <v>173</v>
      </c>
      <c r="W300">
        <v>0.15</v>
      </c>
      <c r="X300">
        <v>1</v>
      </c>
      <c r="Y300">
        <v>2.56</v>
      </c>
      <c r="Z300">
        <v>0</v>
      </c>
      <c r="AC300" t="s">
        <v>90</v>
      </c>
      <c r="AD300">
        <v>400</v>
      </c>
      <c r="AF300" t="s">
        <v>91</v>
      </c>
      <c r="AH300">
        <v>160</v>
      </c>
      <c r="AI300" t="s">
        <v>720</v>
      </c>
      <c r="AL300" t="b">
        <v>1</v>
      </c>
      <c r="AM300" t="b">
        <v>0</v>
      </c>
      <c r="AN300" t="b">
        <v>0</v>
      </c>
      <c r="AO300" t="b">
        <v>0</v>
      </c>
      <c r="AP300" t="s">
        <v>721</v>
      </c>
      <c r="AQ300" t="s">
        <v>288</v>
      </c>
      <c r="AS300">
        <v>5.0751738152338266</v>
      </c>
      <c r="AT300">
        <v>1.936363636363637</v>
      </c>
      <c r="AU300">
        <v>2.545454545454545</v>
      </c>
      <c r="AV300">
        <v>0.60909090909090913</v>
      </c>
      <c r="AW300">
        <v>1.654545454545455</v>
      </c>
      <c r="AX300">
        <v>0.28706199460916437</v>
      </c>
      <c r="AY300">
        <v>0.37735849056603771</v>
      </c>
      <c r="AZ300">
        <v>9.0296495956873307E-2</v>
      </c>
      <c r="BA300">
        <v>0.2452830188679245</v>
      </c>
      <c r="BB300">
        <v>6.0301537250909094</v>
      </c>
      <c r="BC300">
        <v>14</v>
      </c>
      <c r="BD300">
        <v>309.44138863753989</v>
      </c>
      <c r="BE300">
        <v>1</v>
      </c>
      <c r="BF300">
        <v>4.5242816617523378E-2</v>
      </c>
      <c r="BG300">
        <v>13.81974189</v>
      </c>
      <c r="BH300">
        <v>13.81974189</v>
      </c>
      <c r="BI300">
        <v>5.7110870199999999</v>
      </c>
      <c r="BJ300">
        <v>608.87893199999996</v>
      </c>
      <c r="BK300">
        <v>4</v>
      </c>
      <c r="BL300">
        <v>9.1972306901891634E-2</v>
      </c>
      <c r="BM300">
        <v>3.94</v>
      </c>
      <c r="BN300">
        <v>27.15</v>
      </c>
      <c r="BO300">
        <v>5.6920000000000002</v>
      </c>
      <c r="BP300">
        <v>0</v>
      </c>
      <c r="BQ300">
        <v>0</v>
      </c>
      <c r="BS300">
        <v>0</v>
      </c>
      <c r="BT300">
        <v>0</v>
      </c>
      <c r="BU300">
        <v>0</v>
      </c>
      <c r="BV300">
        <v>609.49096999200003</v>
      </c>
      <c r="BW300">
        <v>9.1879950248869205E-2</v>
      </c>
      <c r="BX300">
        <v>7</v>
      </c>
      <c r="BY300">
        <v>4.5939975124434602E-2</v>
      </c>
      <c r="BZ300">
        <v>2.2621408308761689E-2</v>
      </c>
      <c r="CA300">
        <v>4.5986153450945817E-2</v>
      </c>
      <c r="CC300">
        <v>0.26466353619142502</v>
      </c>
      <c r="CD300">
        <v>0.53802388525275069</v>
      </c>
      <c r="CF300">
        <v>0.53748361300165814</v>
      </c>
    </row>
    <row r="301" spans="1:84" x14ac:dyDescent="0.3">
      <c r="A301" s="1">
        <v>290</v>
      </c>
      <c r="B301" t="s">
        <v>722</v>
      </c>
      <c r="C301" t="s">
        <v>723</v>
      </c>
      <c r="F301">
        <v>4.03</v>
      </c>
      <c r="G301" t="s">
        <v>287</v>
      </c>
      <c r="H301" t="s">
        <v>288</v>
      </c>
      <c r="I301">
        <v>-1</v>
      </c>
      <c r="J301">
        <v>4</v>
      </c>
      <c r="K301">
        <v>3.9369999999999998</v>
      </c>
      <c r="L301">
        <v>27.198</v>
      </c>
      <c r="M301">
        <v>5.6920000000000002</v>
      </c>
      <c r="O301">
        <v>0</v>
      </c>
      <c r="Q301" t="s">
        <v>87</v>
      </c>
      <c r="R301">
        <v>1450</v>
      </c>
      <c r="S301">
        <v>200</v>
      </c>
      <c r="T301" t="b">
        <v>0</v>
      </c>
      <c r="U301" t="s">
        <v>172</v>
      </c>
      <c r="V301" t="s">
        <v>173</v>
      </c>
      <c r="W301">
        <v>0.15</v>
      </c>
      <c r="X301">
        <v>1.2</v>
      </c>
      <c r="Y301">
        <v>2.56</v>
      </c>
      <c r="Z301">
        <v>0</v>
      </c>
      <c r="AC301" t="s">
        <v>90</v>
      </c>
      <c r="AD301">
        <v>400</v>
      </c>
      <c r="AF301" t="s">
        <v>91</v>
      </c>
      <c r="AH301">
        <v>110</v>
      </c>
      <c r="AI301" t="s">
        <v>724</v>
      </c>
      <c r="AL301" t="b">
        <v>1</v>
      </c>
      <c r="AM301" t="b">
        <v>0</v>
      </c>
      <c r="AN301" t="b">
        <v>0</v>
      </c>
      <c r="AO301" t="b">
        <v>0</v>
      </c>
      <c r="AP301" t="s">
        <v>725</v>
      </c>
      <c r="AQ301" t="s">
        <v>288</v>
      </c>
      <c r="AS301">
        <v>4.7004803657924166</v>
      </c>
      <c r="AT301">
        <v>1.9090909090909089</v>
      </c>
      <c r="AU301">
        <v>2.545454545454545</v>
      </c>
      <c r="AV301">
        <v>0.63636363636363635</v>
      </c>
      <c r="AW301">
        <v>1.2727272727272729</v>
      </c>
      <c r="AX301">
        <v>0.3</v>
      </c>
      <c r="AY301">
        <v>0.4</v>
      </c>
      <c r="AZ301">
        <v>0.1</v>
      </c>
      <c r="BA301">
        <v>0.2</v>
      </c>
      <c r="BB301">
        <v>6.0273968174090902</v>
      </c>
      <c r="BC301">
        <v>14</v>
      </c>
      <c r="BD301">
        <v>309.44138863753989</v>
      </c>
      <c r="BE301">
        <v>2</v>
      </c>
      <c r="BF301">
        <v>9.0485633235046756E-2</v>
      </c>
      <c r="BG301">
        <v>13.81974189</v>
      </c>
      <c r="BH301">
        <v>13.81974189</v>
      </c>
      <c r="BI301">
        <v>5.7110870199999999</v>
      </c>
      <c r="BJ301">
        <v>608.87893199999996</v>
      </c>
      <c r="BK301">
        <v>4</v>
      </c>
      <c r="BL301">
        <v>9.1972306901891634E-2</v>
      </c>
      <c r="BM301">
        <v>3.94</v>
      </c>
      <c r="BN301">
        <v>27.15</v>
      </c>
      <c r="BO301">
        <v>5.6920000000000002</v>
      </c>
      <c r="BP301">
        <v>0</v>
      </c>
      <c r="BQ301">
        <v>0</v>
      </c>
      <c r="BS301">
        <v>0</v>
      </c>
      <c r="BT301">
        <v>0</v>
      </c>
      <c r="BU301">
        <v>0</v>
      </c>
      <c r="BV301">
        <v>609.49096999200003</v>
      </c>
      <c r="BW301">
        <v>9.1879950248869205E-2</v>
      </c>
      <c r="BX301">
        <v>7</v>
      </c>
      <c r="BY301">
        <v>4.5939975124434602E-2</v>
      </c>
      <c r="BZ301">
        <v>4.5242816617523378E-2</v>
      </c>
      <c r="CA301">
        <v>4.5986153450945817E-2</v>
      </c>
      <c r="CC301">
        <v>0.52932707238285004</v>
      </c>
      <c r="CD301">
        <v>0.53802388525275069</v>
      </c>
      <c r="CF301">
        <v>0.53748361300165814</v>
      </c>
    </row>
    <row r="302" spans="1:84" x14ac:dyDescent="0.3">
      <c r="A302" s="1">
        <v>291</v>
      </c>
      <c r="B302" t="s">
        <v>726</v>
      </c>
      <c r="C302" t="s">
        <v>727</v>
      </c>
      <c r="F302">
        <v>3.96</v>
      </c>
      <c r="G302" t="s">
        <v>287</v>
      </c>
      <c r="H302" t="s">
        <v>288</v>
      </c>
      <c r="I302">
        <v>-1</v>
      </c>
      <c r="J302">
        <v>4</v>
      </c>
      <c r="K302">
        <v>3.9369999999999998</v>
      </c>
      <c r="L302">
        <v>27.198</v>
      </c>
      <c r="M302">
        <v>5.6920000000000002</v>
      </c>
      <c r="O302">
        <v>0</v>
      </c>
      <c r="Q302" t="s">
        <v>87</v>
      </c>
      <c r="R302">
        <v>1450</v>
      </c>
      <c r="S302">
        <v>200</v>
      </c>
      <c r="T302" t="b">
        <v>0</v>
      </c>
      <c r="U302" t="s">
        <v>172</v>
      </c>
      <c r="V302" t="s">
        <v>173</v>
      </c>
      <c r="W302">
        <v>0.15</v>
      </c>
      <c r="X302">
        <v>0.8</v>
      </c>
      <c r="Y302">
        <v>2.56</v>
      </c>
      <c r="Z302">
        <v>0</v>
      </c>
      <c r="AC302" t="s">
        <v>90</v>
      </c>
      <c r="AD302">
        <v>400</v>
      </c>
      <c r="AF302" t="s">
        <v>91</v>
      </c>
      <c r="AH302">
        <v>50</v>
      </c>
      <c r="AI302" t="s">
        <v>728</v>
      </c>
      <c r="AL302" t="b">
        <v>1</v>
      </c>
      <c r="AM302" t="b">
        <v>0</v>
      </c>
      <c r="AN302" t="b">
        <v>0</v>
      </c>
      <c r="AO302" t="b">
        <v>0</v>
      </c>
      <c r="AP302" t="s">
        <v>729</v>
      </c>
      <c r="AQ302" t="s">
        <v>288</v>
      </c>
      <c r="AS302">
        <v>3.912023005428146</v>
      </c>
      <c r="AT302">
        <v>1.8545454545454541</v>
      </c>
      <c r="AU302">
        <v>2.545454545454545</v>
      </c>
      <c r="AV302">
        <v>0.69090909090909092</v>
      </c>
      <c r="AW302">
        <v>0.50909090909090915</v>
      </c>
      <c r="AX302">
        <v>0.33116883116883111</v>
      </c>
      <c r="AY302">
        <v>0.45454545454545447</v>
      </c>
      <c r="AZ302">
        <v>0.1233766233766234</v>
      </c>
      <c r="BA302">
        <v>9.0909090909090912E-2</v>
      </c>
      <c r="BB302">
        <v>6.0218830020454543</v>
      </c>
      <c r="BC302">
        <v>14</v>
      </c>
      <c r="BD302">
        <v>309.44138863753989</v>
      </c>
      <c r="BE302">
        <v>1</v>
      </c>
      <c r="BF302">
        <v>4.5242816617523378E-2</v>
      </c>
      <c r="BG302">
        <v>13.81974189</v>
      </c>
      <c r="BH302">
        <v>13.81974189</v>
      </c>
      <c r="BI302">
        <v>5.7110870199999999</v>
      </c>
      <c r="BJ302">
        <v>608.87893199999996</v>
      </c>
      <c r="BK302">
        <v>4</v>
      </c>
      <c r="BL302">
        <v>9.1972306901891634E-2</v>
      </c>
      <c r="BM302">
        <v>3.94</v>
      </c>
      <c r="BN302">
        <v>27.15</v>
      </c>
      <c r="BO302">
        <v>5.6920000000000002</v>
      </c>
      <c r="BP302">
        <v>0</v>
      </c>
      <c r="BQ302">
        <v>0</v>
      </c>
      <c r="BS302">
        <v>0</v>
      </c>
      <c r="BT302">
        <v>0</v>
      </c>
      <c r="BU302">
        <v>0</v>
      </c>
      <c r="BV302">
        <v>609.49096999200003</v>
      </c>
      <c r="BW302">
        <v>9.1879950248869205E-2</v>
      </c>
      <c r="BX302">
        <v>7</v>
      </c>
      <c r="BY302">
        <v>4.5939975124434602E-2</v>
      </c>
      <c r="BZ302">
        <v>2.2621408308761689E-2</v>
      </c>
      <c r="CA302">
        <v>4.5986153450945817E-2</v>
      </c>
      <c r="CC302">
        <v>0.26466353619142502</v>
      </c>
      <c r="CD302">
        <v>0.53802388525275069</v>
      </c>
      <c r="CF302">
        <v>0.53748361300165814</v>
      </c>
    </row>
    <row r="303" spans="1:84" x14ac:dyDescent="0.3">
      <c r="A303" s="1">
        <v>292</v>
      </c>
      <c r="B303" t="s">
        <v>289</v>
      </c>
      <c r="C303" t="s">
        <v>290</v>
      </c>
      <c r="F303">
        <v>3.92</v>
      </c>
      <c r="G303" t="s">
        <v>291</v>
      </c>
      <c r="H303">
        <v>2002850</v>
      </c>
      <c r="I303">
        <v>-1</v>
      </c>
      <c r="K303">
        <v>3.9329999999999998</v>
      </c>
      <c r="L303">
        <v>26.725999999999999</v>
      </c>
      <c r="M303">
        <v>5.8630000000000004</v>
      </c>
      <c r="N303" t="s">
        <v>730</v>
      </c>
      <c r="O303">
        <v>0</v>
      </c>
      <c r="Q303" t="s">
        <v>87</v>
      </c>
      <c r="R303">
        <v>1450</v>
      </c>
      <c r="S303">
        <v>200</v>
      </c>
      <c r="T303" t="b">
        <v>0</v>
      </c>
      <c r="U303" t="s">
        <v>172</v>
      </c>
      <c r="V303" t="s">
        <v>173</v>
      </c>
      <c r="W303">
        <v>0.15</v>
      </c>
      <c r="X303">
        <v>0.6</v>
      </c>
      <c r="Y303">
        <v>2.56</v>
      </c>
      <c r="Z303">
        <v>0</v>
      </c>
      <c r="AC303" t="s">
        <v>90</v>
      </c>
      <c r="AD303">
        <v>400</v>
      </c>
      <c r="AF303" t="s">
        <v>91</v>
      </c>
      <c r="AH303">
        <v>39</v>
      </c>
      <c r="AL303" t="b">
        <v>1</v>
      </c>
      <c r="AM303" t="b">
        <v>0</v>
      </c>
      <c r="AN303" t="b">
        <v>0</v>
      </c>
      <c r="AO303" t="b">
        <v>0</v>
      </c>
      <c r="AP303" t="s">
        <v>291</v>
      </c>
      <c r="AQ303">
        <v>2002850</v>
      </c>
      <c r="AS303">
        <v>3.6635616461296459</v>
      </c>
      <c r="AT303">
        <v>1.8181818181818179</v>
      </c>
      <c r="AU303">
        <v>2.545454545454545</v>
      </c>
      <c r="AV303">
        <v>0.72727272727272729</v>
      </c>
      <c r="AW303">
        <v>0</v>
      </c>
      <c r="AX303">
        <v>0.35714285714285721</v>
      </c>
      <c r="AY303">
        <v>0.5</v>
      </c>
      <c r="AZ303">
        <v>0.1428571428571429</v>
      </c>
      <c r="BA303">
        <v>0</v>
      </c>
      <c r="BB303">
        <v>6.0182071251363629</v>
      </c>
      <c r="BC303">
        <v>14</v>
      </c>
      <c r="BD303">
        <v>1265.6493143942739</v>
      </c>
      <c r="BE303">
        <v>8</v>
      </c>
      <c r="BF303">
        <v>8.8492127105210025E-2</v>
      </c>
      <c r="BG303">
        <v>5.8017180100000001</v>
      </c>
      <c r="BH303">
        <v>7.9756520899999996</v>
      </c>
      <c r="BI303">
        <v>27.352093400000001</v>
      </c>
      <c r="BJ303">
        <v>1206.4392746112001</v>
      </c>
      <c r="BK303">
        <v>8</v>
      </c>
      <c r="BL303">
        <v>9.2835174017436004E-2</v>
      </c>
      <c r="BM303">
        <v>26.646989999999999</v>
      </c>
      <c r="BN303">
        <v>7.9359999999999999</v>
      </c>
      <c r="BO303">
        <v>5.7050000000000001</v>
      </c>
      <c r="BP303">
        <v>0</v>
      </c>
      <c r="BQ303">
        <v>0</v>
      </c>
      <c r="BS303">
        <v>0</v>
      </c>
      <c r="BT303">
        <v>0</v>
      </c>
      <c r="BU303">
        <v>0</v>
      </c>
      <c r="BV303">
        <v>616.27961795399995</v>
      </c>
      <c r="BX303">
        <v>7</v>
      </c>
      <c r="BZ303">
        <v>4.4246063552605013E-2</v>
      </c>
      <c r="CA303">
        <v>4.6417587008718002E-2</v>
      </c>
      <c r="CC303">
        <v>0.5176653673612065</v>
      </c>
      <c r="CD303">
        <v>0.54307152550012683</v>
      </c>
    </row>
    <row r="304" spans="1:84" x14ac:dyDescent="0.3">
      <c r="A304" s="1">
        <v>343</v>
      </c>
      <c r="B304" t="s">
        <v>773</v>
      </c>
      <c r="C304" t="s">
        <v>774</v>
      </c>
      <c r="F304">
        <v>3.08</v>
      </c>
      <c r="G304" t="s">
        <v>482</v>
      </c>
      <c r="H304" t="s">
        <v>483</v>
      </c>
      <c r="I304">
        <v>-1</v>
      </c>
      <c r="Q304" t="s">
        <v>755</v>
      </c>
      <c r="R304">
        <v>1023</v>
      </c>
      <c r="S304">
        <v>3</v>
      </c>
      <c r="T304" t="b">
        <v>0</v>
      </c>
      <c r="U304" t="s">
        <v>172</v>
      </c>
      <c r="V304" t="s">
        <v>173</v>
      </c>
      <c r="W304">
        <v>0.15</v>
      </c>
      <c r="Y304">
        <v>0.23799999999999999</v>
      </c>
      <c r="Z304">
        <v>4.76</v>
      </c>
      <c r="AC304" t="s">
        <v>165</v>
      </c>
      <c r="AD304">
        <v>350</v>
      </c>
      <c r="AE304">
        <v>400</v>
      </c>
      <c r="AF304" t="s">
        <v>407</v>
      </c>
      <c r="AH304">
        <v>61.7</v>
      </c>
      <c r="AI304" t="s">
        <v>775</v>
      </c>
      <c r="AJ304" t="s">
        <v>775</v>
      </c>
      <c r="AL304" t="b">
        <v>1</v>
      </c>
      <c r="AM304" t="b">
        <v>1</v>
      </c>
      <c r="AN304" t="b">
        <v>0</v>
      </c>
      <c r="AO304" t="b">
        <v>0</v>
      </c>
      <c r="AP304" t="s">
        <v>787</v>
      </c>
      <c r="AQ304" t="s">
        <v>788</v>
      </c>
      <c r="AS304">
        <v>4.1222839309113422</v>
      </c>
      <c r="AT304">
        <v>1.978947368421053</v>
      </c>
      <c r="AU304">
        <v>3.1578947368421049</v>
      </c>
      <c r="AV304">
        <v>2.4842105263157901</v>
      </c>
      <c r="AW304">
        <v>2.947368421052631</v>
      </c>
      <c r="AX304">
        <v>0.18725099601593631</v>
      </c>
      <c r="AY304">
        <v>0.29880478087649398</v>
      </c>
      <c r="AZ304">
        <v>0.23505976095617531</v>
      </c>
      <c r="BA304">
        <v>0.2788844621513944</v>
      </c>
      <c r="BB304">
        <v>6.1786324362105258</v>
      </c>
      <c r="BC304">
        <v>24</v>
      </c>
      <c r="BD304">
        <v>251.01098912285789</v>
      </c>
      <c r="BE304">
        <v>1</v>
      </c>
      <c r="BF304">
        <v>9.5613343797681868E-2</v>
      </c>
      <c r="BG304">
        <v>3.86469438</v>
      </c>
      <c r="BH304">
        <v>3.86469438</v>
      </c>
      <c r="BI304">
        <v>16.978874730000001</v>
      </c>
      <c r="BJ304">
        <v>967.79977224000004</v>
      </c>
      <c r="BK304">
        <v>1</v>
      </c>
      <c r="BL304">
        <v>2.4798517925305269E-2</v>
      </c>
      <c r="BM304">
        <v>32.83</v>
      </c>
      <c r="BN304">
        <v>5.4109999999999996</v>
      </c>
      <c r="BO304">
        <v>5.4480000000000004</v>
      </c>
      <c r="BP304">
        <v>0</v>
      </c>
      <c r="BQ304">
        <v>0</v>
      </c>
      <c r="BS304">
        <v>0</v>
      </c>
      <c r="BT304">
        <v>0</v>
      </c>
      <c r="BU304">
        <v>0</v>
      </c>
      <c r="BX304">
        <v>12</v>
      </c>
      <c r="BZ304">
        <v>4.7806671898840927E-2</v>
      </c>
      <c r="CA304">
        <v>1.239925896265264E-2</v>
      </c>
      <c r="CC304">
        <v>0.52673136262708065</v>
      </c>
      <c r="CD304">
        <v>0.1366143743028975</v>
      </c>
    </row>
    <row r="305" spans="1:84" x14ac:dyDescent="0.3">
      <c r="A305" s="1">
        <v>429</v>
      </c>
      <c r="B305" t="s">
        <v>827</v>
      </c>
      <c r="C305" t="s">
        <v>828</v>
      </c>
      <c r="F305">
        <v>4.49</v>
      </c>
      <c r="G305" t="s">
        <v>829</v>
      </c>
      <c r="H305" t="s">
        <v>830</v>
      </c>
      <c r="I305">
        <v>-1</v>
      </c>
      <c r="O305">
        <v>0</v>
      </c>
      <c r="Q305" t="s">
        <v>467</v>
      </c>
      <c r="R305">
        <v>1273</v>
      </c>
      <c r="S305">
        <v>12</v>
      </c>
      <c r="T305" t="b">
        <v>0</v>
      </c>
      <c r="U305" t="s">
        <v>172</v>
      </c>
      <c r="V305" t="s">
        <v>173</v>
      </c>
      <c r="W305">
        <v>0.15</v>
      </c>
      <c r="X305">
        <v>3.94</v>
      </c>
      <c r="Y305">
        <v>1.28</v>
      </c>
      <c r="Z305">
        <v>0</v>
      </c>
      <c r="AC305" t="s">
        <v>90</v>
      </c>
      <c r="AD305">
        <v>400</v>
      </c>
      <c r="AF305" t="s">
        <v>91</v>
      </c>
      <c r="AH305">
        <v>394</v>
      </c>
      <c r="AL305" t="b">
        <v>1</v>
      </c>
      <c r="AM305" t="b">
        <v>1</v>
      </c>
      <c r="AN305" t="b">
        <v>0</v>
      </c>
      <c r="AO305" t="b">
        <v>0</v>
      </c>
      <c r="AP305" t="s">
        <v>829</v>
      </c>
      <c r="AQ305" t="s">
        <v>830</v>
      </c>
      <c r="AS305">
        <v>5.9763509092979339</v>
      </c>
      <c r="AT305">
        <v>2</v>
      </c>
      <c r="AU305">
        <v>2.666666666666667</v>
      </c>
      <c r="AV305">
        <v>0.66666666666666663</v>
      </c>
      <c r="AW305">
        <v>3.1111111111111112</v>
      </c>
      <c r="AX305">
        <v>0.23684210526315791</v>
      </c>
      <c r="AY305">
        <v>0.31578947368421051</v>
      </c>
      <c r="AZ305">
        <v>7.8947368421052627E-2</v>
      </c>
      <c r="BA305">
        <v>0.36842105263157893</v>
      </c>
      <c r="BB305">
        <v>6.2210445435555553</v>
      </c>
      <c r="BC305">
        <v>12</v>
      </c>
      <c r="BD305">
        <v>476.5212686940929</v>
      </c>
      <c r="BE305">
        <v>4</v>
      </c>
      <c r="BF305">
        <v>0.1007300264509579</v>
      </c>
      <c r="BG305">
        <v>5.63450966</v>
      </c>
      <c r="BH305">
        <v>7.6422105</v>
      </c>
      <c r="BI305">
        <v>11.066420430000001</v>
      </c>
      <c r="BJ305">
        <v>472.45188513599999</v>
      </c>
      <c r="BK305">
        <v>4</v>
      </c>
      <c r="BL305">
        <v>0.1015976473163669</v>
      </c>
      <c r="BM305">
        <v>11.013</v>
      </c>
      <c r="BN305">
        <v>7.6319999999999997</v>
      </c>
      <c r="BO305">
        <v>5.6210000000000004</v>
      </c>
      <c r="BP305">
        <v>0</v>
      </c>
      <c r="BQ305">
        <v>0</v>
      </c>
      <c r="BS305">
        <v>0</v>
      </c>
      <c r="BT305">
        <v>0</v>
      </c>
      <c r="BU305">
        <v>0</v>
      </c>
      <c r="BX305">
        <v>6</v>
      </c>
      <c r="BZ305">
        <v>5.0365013225478962E-2</v>
      </c>
      <c r="CA305">
        <v>5.0798823658183431E-2</v>
      </c>
      <c r="CC305">
        <v>0.53625823259860173</v>
      </c>
      <c r="CD305">
        <v>0.54087720122437088</v>
      </c>
    </row>
    <row r="306" spans="1:84" x14ac:dyDescent="0.3">
      <c r="A306" s="1">
        <v>430</v>
      </c>
      <c r="B306" t="s">
        <v>285</v>
      </c>
      <c r="C306" t="s">
        <v>286</v>
      </c>
      <c r="F306">
        <v>4.18</v>
      </c>
      <c r="G306" t="s">
        <v>287</v>
      </c>
      <c r="H306" t="s">
        <v>288</v>
      </c>
      <c r="I306">
        <v>-1</v>
      </c>
      <c r="O306">
        <v>0</v>
      </c>
      <c r="Q306" t="s">
        <v>467</v>
      </c>
      <c r="R306">
        <v>1273</v>
      </c>
      <c r="S306">
        <v>5</v>
      </c>
      <c r="T306" t="b">
        <v>0</v>
      </c>
      <c r="U306" t="s">
        <v>172</v>
      </c>
      <c r="V306" t="s">
        <v>173</v>
      </c>
      <c r="W306">
        <v>0.15</v>
      </c>
      <c r="X306">
        <v>4.5</v>
      </c>
      <c r="Y306">
        <v>1.28</v>
      </c>
      <c r="Z306">
        <v>0</v>
      </c>
      <c r="AC306" t="s">
        <v>90</v>
      </c>
      <c r="AD306">
        <v>400</v>
      </c>
      <c r="AF306" t="s">
        <v>91</v>
      </c>
      <c r="AH306">
        <v>2141</v>
      </c>
      <c r="AL306" t="b">
        <v>1</v>
      </c>
      <c r="AM306" t="b">
        <v>1</v>
      </c>
      <c r="AN306" t="b">
        <v>0</v>
      </c>
      <c r="AO306" t="b">
        <v>0</v>
      </c>
      <c r="AP306" t="s">
        <v>287</v>
      </c>
      <c r="AQ306" t="s">
        <v>288</v>
      </c>
      <c r="AS306">
        <v>7.6690282885896828</v>
      </c>
      <c r="AT306">
        <v>2</v>
      </c>
      <c r="AU306">
        <v>2.545454545454545</v>
      </c>
      <c r="AV306">
        <v>0.54545454545454541</v>
      </c>
      <c r="AW306">
        <v>2.545454545454545</v>
      </c>
      <c r="AX306">
        <v>0.26190476190476192</v>
      </c>
      <c r="AY306">
        <v>0.33333333333333331</v>
      </c>
      <c r="AZ306">
        <v>7.1428571428571425E-2</v>
      </c>
      <c r="BA306">
        <v>0.33333333333333331</v>
      </c>
      <c r="BB306">
        <v>6.0365865096818183</v>
      </c>
      <c r="BC306">
        <v>14</v>
      </c>
      <c r="BD306">
        <v>309.44138863753989</v>
      </c>
      <c r="BE306">
        <v>2</v>
      </c>
      <c r="BF306">
        <v>9.0485633235046756E-2</v>
      </c>
      <c r="BG306">
        <v>13.81974189</v>
      </c>
      <c r="BH306">
        <v>13.81974189</v>
      </c>
      <c r="BI306">
        <v>5.7110870199999999</v>
      </c>
      <c r="BJ306">
        <v>608.87893199999996</v>
      </c>
      <c r="BK306">
        <v>4</v>
      </c>
      <c r="BL306">
        <v>9.1972306901891634E-2</v>
      </c>
      <c r="BM306">
        <v>3.94</v>
      </c>
      <c r="BN306">
        <v>27.15</v>
      </c>
      <c r="BO306">
        <v>5.6920000000000002</v>
      </c>
      <c r="BP306">
        <v>0</v>
      </c>
      <c r="BQ306">
        <v>0</v>
      </c>
      <c r="BS306">
        <v>0</v>
      </c>
      <c r="BT306">
        <v>0</v>
      </c>
      <c r="BU306">
        <v>0</v>
      </c>
      <c r="BX306">
        <v>7</v>
      </c>
      <c r="BZ306">
        <v>4.5242816617523378E-2</v>
      </c>
      <c r="CA306">
        <v>4.5986153450945817E-2</v>
      </c>
      <c r="CC306">
        <v>0.52932707238285004</v>
      </c>
      <c r="CD306">
        <v>0.53802388525275069</v>
      </c>
    </row>
    <row r="307" spans="1:84" x14ac:dyDescent="0.3">
      <c r="A307" s="1">
        <v>431</v>
      </c>
      <c r="B307" t="s">
        <v>831</v>
      </c>
      <c r="C307" t="s">
        <v>832</v>
      </c>
      <c r="F307">
        <v>4.8099999999999996</v>
      </c>
      <c r="G307" t="s">
        <v>833</v>
      </c>
      <c r="H307">
        <v>-1</v>
      </c>
      <c r="I307">
        <v>-1</v>
      </c>
      <c r="Q307" t="s">
        <v>467</v>
      </c>
      <c r="R307">
        <v>1273</v>
      </c>
      <c r="S307">
        <v>12</v>
      </c>
      <c r="T307" t="b">
        <v>0</v>
      </c>
      <c r="U307" t="s">
        <v>172</v>
      </c>
      <c r="V307" t="s">
        <v>173</v>
      </c>
      <c r="W307">
        <v>0.15</v>
      </c>
      <c r="X307">
        <v>2.61</v>
      </c>
      <c r="Y307">
        <v>1.28</v>
      </c>
      <c r="Z307">
        <v>0</v>
      </c>
      <c r="AC307" t="s">
        <v>90</v>
      </c>
      <c r="AD307">
        <v>400</v>
      </c>
      <c r="AF307" t="s">
        <v>91</v>
      </c>
      <c r="AH307">
        <v>32</v>
      </c>
      <c r="AL307" t="b">
        <v>1</v>
      </c>
      <c r="AM307" t="b">
        <v>0</v>
      </c>
      <c r="AN307" t="b">
        <v>0</v>
      </c>
      <c r="AO307" t="b">
        <v>0</v>
      </c>
      <c r="AP307" t="s">
        <v>833</v>
      </c>
      <c r="AQ307">
        <v>-1</v>
      </c>
      <c r="AS307">
        <v>3.465735902799727</v>
      </c>
      <c r="AT307">
        <v>2</v>
      </c>
      <c r="AU307">
        <v>2.4</v>
      </c>
      <c r="AV307">
        <v>0.4</v>
      </c>
      <c r="AW307">
        <v>1.8666666666666669</v>
      </c>
      <c r="AX307">
        <v>0.3</v>
      </c>
      <c r="AY307">
        <v>0.36</v>
      </c>
      <c r="AZ307">
        <v>0.06</v>
      </c>
      <c r="BA307">
        <v>0.28000000000000003</v>
      </c>
      <c r="BB307">
        <v>5.8152368690333329</v>
      </c>
      <c r="BC307">
        <v>18</v>
      </c>
      <c r="BD307">
        <v>882.26177591634428</v>
      </c>
      <c r="BE307">
        <v>4</v>
      </c>
      <c r="BF307">
        <v>8.1608431834438916E-2</v>
      </c>
      <c r="BG307">
        <v>5.8119930000000002</v>
      </c>
      <c r="BH307">
        <v>10.228956</v>
      </c>
      <c r="BI307">
        <v>17.904929589999998</v>
      </c>
      <c r="BJ307">
        <v>0</v>
      </c>
      <c r="BK307">
        <v>0</v>
      </c>
      <c r="BM307">
        <v>0</v>
      </c>
      <c r="BP307">
        <v>0</v>
      </c>
      <c r="BQ307">
        <v>0</v>
      </c>
      <c r="BS307">
        <v>0</v>
      </c>
      <c r="BT307">
        <v>0</v>
      </c>
      <c r="BU307">
        <v>0</v>
      </c>
      <c r="BX307">
        <v>9</v>
      </c>
      <c r="BZ307">
        <v>4.0804215917219458E-2</v>
      </c>
      <c r="CC307">
        <v>0.53464553504946011</v>
      </c>
    </row>
    <row r="308" spans="1:84" x14ac:dyDescent="0.3">
      <c r="A308" s="1">
        <v>432</v>
      </c>
      <c r="B308" t="s">
        <v>834</v>
      </c>
      <c r="C308" t="s">
        <v>835</v>
      </c>
      <c r="F308">
        <v>4.75</v>
      </c>
      <c r="G308" t="s">
        <v>836</v>
      </c>
      <c r="H308">
        <v>-1</v>
      </c>
      <c r="I308">
        <v>-1</v>
      </c>
      <c r="O308">
        <v>0</v>
      </c>
      <c r="Q308" t="s">
        <v>467</v>
      </c>
      <c r="R308">
        <v>1273</v>
      </c>
      <c r="S308">
        <v>60</v>
      </c>
      <c r="T308" t="b">
        <v>0</v>
      </c>
      <c r="U308" t="s">
        <v>172</v>
      </c>
      <c r="V308" t="s">
        <v>173</v>
      </c>
      <c r="W308">
        <v>0.15</v>
      </c>
      <c r="X308">
        <v>2.99</v>
      </c>
      <c r="Y308">
        <v>1.28</v>
      </c>
      <c r="Z308">
        <v>0</v>
      </c>
      <c r="AC308" t="s">
        <v>90</v>
      </c>
      <c r="AD308">
        <v>400</v>
      </c>
      <c r="AF308" t="s">
        <v>91</v>
      </c>
      <c r="AH308">
        <v>1194</v>
      </c>
      <c r="AL308" t="b">
        <v>1</v>
      </c>
      <c r="AM308" t="b">
        <v>0</v>
      </c>
      <c r="AN308" t="b">
        <v>0</v>
      </c>
      <c r="AO308" t="b">
        <v>0</v>
      </c>
      <c r="AP308" t="s">
        <v>836</v>
      </c>
      <c r="AQ308">
        <v>-1</v>
      </c>
      <c r="AS308">
        <v>7.0850642939525477</v>
      </c>
      <c r="AT308">
        <v>2</v>
      </c>
      <c r="AU308">
        <v>2.5</v>
      </c>
      <c r="AV308">
        <v>0.5</v>
      </c>
      <c r="AW308">
        <v>2.333333333333333</v>
      </c>
      <c r="AX308">
        <v>0.27272727272727282</v>
      </c>
      <c r="AY308">
        <v>0.34090909090909088</v>
      </c>
      <c r="AZ308">
        <v>6.8181818181818191E-2</v>
      </c>
      <c r="BA308">
        <v>0.31818181818181818</v>
      </c>
      <c r="BB308">
        <v>5.9674147469791663</v>
      </c>
      <c r="BC308">
        <v>30</v>
      </c>
      <c r="BD308">
        <v>321.30962315738361</v>
      </c>
      <c r="BE308">
        <v>1</v>
      </c>
      <c r="BF308">
        <v>9.3367885173191417E-2</v>
      </c>
      <c r="BG308">
        <v>5.6694849300000003</v>
      </c>
      <c r="BH308">
        <v>5.6694842000000003</v>
      </c>
      <c r="BI308">
        <v>11.54266629</v>
      </c>
      <c r="BJ308">
        <v>0</v>
      </c>
      <c r="BK308">
        <v>0</v>
      </c>
      <c r="BM308">
        <v>0</v>
      </c>
      <c r="BP308">
        <v>0</v>
      </c>
      <c r="BQ308">
        <v>0</v>
      </c>
      <c r="BS308">
        <v>0</v>
      </c>
      <c r="BT308">
        <v>0</v>
      </c>
      <c r="BU308">
        <v>0</v>
      </c>
      <c r="BX308">
        <v>15</v>
      </c>
      <c r="BZ308">
        <v>4.6683942586595709E-2</v>
      </c>
      <c r="CC308">
        <v>0.56583721757051497</v>
      </c>
    </row>
    <row r="309" spans="1:84" x14ac:dyDescent="0.3">
      <c r="A309" s="1">
        <v>461</v>
      </c>
      <c r="B309" t="s">
        <v>844</v>
      </c>
      <c r="C309" t="s">
        <v>845</v>
      </c>
      <c r="E309" t="s">
        <v>106</v>
      </c>
      <c r="F309">
        <v>2.92</v>
      </c>
      <c r="G309">
        <v>-1</v>
      </c>
      <c r="H309">
        <v>-1</v>
      </c>
      <c r="I309" t="s">
        <v>846</v>
      </c>
      <c r="Q309" t="s">
        <v>87</v>
      </c>
      <c r="R309">
        <v>1273</v>
      </c>
      <c r="S309">
        <v>10</v>
      </c>
      <c r="T309" t="b">
        <v>0</v>
      </c>
      <c r="U309" t="s">
        <v>125</v>
      </c>
      <c r="V309" t="s">
        <v>839</v>
      </c>
      <c r="W309">
        <v>0.15</v>
      </c>
      <c r="Y309">
        <v>1</v>
      </c>
      <c r="Z309">
        <v>20</v>
      </c>
      <c r="AC309" t="s">
        <v>165</v>
      </c>
      <c r="AD309">
        <v>500</v>
      </c>
      <c r="AF309" t="s">
        <v>91</v>
      </c>
      <c r="AH309">
        <v>16.55</v>
      </c>
      <c r="AK309" t="s">
        <v>847</v>
      </c>
      <c r="AL309" t="b">
        <v>0</v>
      </c>
      <c r="AM309" t="b">
        <v>0</v>
      </c>
      <c r="AN309" t="b">
        <v>1</v>
      </c>
      <c r="AO309" t="b">
        <v>0</v>
      </c>
      <c r="AR309" t="s">
        <v>848</v>
      </c>
      <c r="AS309">
        <v>2.806386101823072</v>
      </c>
      <c r="AT309">
        <v>1.9375</v>
      </c>
      <c r="AU309">
        <v>2.5</v>
      </c>
      <c r="AV309">
        <v>0.5625</v>
      </c>
      <c r="AW309">
        <v>2.625</v>
      </c>
      <c r="AX309">
        <v>0.25409836065573771</v>
      </c>
      <c r="AY309">
        <v>0.32786885245901642</v>
      </c>
      <c r="AZ309">
        <v>7.3770491803278687E-2</v>
      </c>
      <c r="BA309">
        <v>0.34426229508196721</v>
      </c>
      <c r="BB309">
        <v>5.9403443756384373</v>
      </c>
      <c r="BC309">
        <v>20</v>
      </c>
      <c r="BD309">
        <v>0</v>
      </c>
      <c r="BE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M309">
        <v>0</v>
      </c>
      <c r="BN309">
        <v>0</v>
      </c>
      <c r="BO309">
        <v>0</v>
      </c>
      <c r="BP309">
        <v>236.1798745159</v>
      </c>
      <c r="BQ309">
        <v>1</v>
      </c>
      <c r="BR309">
        <v>8.4681220366443918E-2</v>
      </c>
      <c r="BS309">
        <v>3.899</v>
      </c>
      <c r="BT309">
        <v>3.899</v>
      </c>
      <c r="BU309">
        <v>15.5359</v>
      </c>
      <c r="BX309">
        <v>10</v>
      </c>
      <c r="CB309">
        <v>4.2340610183221959E-2</v>
      </c>
      <c r="CE309">
        <v>0.57571657568307866</v>
      </c>
    </row>
    <row r="310" spans="1:84" x14ac:dyDescent="0.3">
      <c r="A310" s="1">
        <v>462</v>
      </c>
      <c r="B310" t="s">
        <v>849</v>
      </c>
      <c r="C310" t="s">
        <v>850</v>
      </c>
      <c r="E310" t="s">
        <v>106</v>
      </c>
      <c r="G310">
        <v>-1</v>
      </c>
      <c r="H310">
        <v>-1</v>
      </c>
      <c r="I310" t="s">
        <v>846</v>
      </c>
      <c r="Q310" t="s">
        <v>87</v>
      </c>
      <c r="R310">
        <v>1273</v>
      </c>
      <c r="S310">
        <v>10</v>
      </c>
      <c r="T310" t="b">
        <v>0</v>
      </c>
      <c r="U310" t="s">
        <v>125</v>
      </c>
      <c r="V310" t="s">
        <v>839</v>
      </c>
      <c r="W310">
        <v>0.15</v>
      </c>
      <c r="Y310">
        <v>1</v>
      </c>
      <c r="Z310">
        <v>20</v>
      </c>
      <c r="AC310" t="s">
        <v>165</v>
      </c>
      <c r="AD310">
        <v>500</v>
      </c>
      <c r="AF310" t="s">
        <v>91</v>
      </c>
      <c r="AH310">
        <v>13</v>
      </c>
      <c r="AK310" t="s">
        <v>851</v>
      </c>
      <c r="AL310" t="b">
        <v>0</v>
      </c>
      <c r="AM310" t="b">
        <v>0</v>
      </c>
      <c r="AN310" t="b">
        <v>1</v>
      </c>
      <c r="AO310" t="b">
        <v>0</v>
      </c>
      <c r="AR310" t="s">
        <v>852</v>
      </c>
      <c r="AS310">
        <v>2.5649493574615372</v>
      </c>
      <c r="AT310">
        <v>1.9375</v>
      </c>
      <c r="AU310">
        <v>2.5</v>
      </c>
      <c r="AV310">
        <v>0.5625</v>
      </c>
      <c r="AW310">
        <v>2.625</v>
      </c>
      <c r="AX310">
        <v>0.25409836065573771</v>
      </c>
      <c r="AY310">
        <v>0.32786885245901642</v>
      </c>
      <c r="AZ310">
        <v>7.3770491803278687E-2</v>
      </c>
      <c r="BA310">
        <v>0.34426229508196721</v>
      </c>
      <c r="BB310">
        <v>6.2524420545219366</v>
      </c>
      <c r="BC310">
        <v>20</v>
      </c>
      <c r="BD310">
        <v>0</v>
      </c>
      <c r="BE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M310">
        <v>0</v>
      </c>
      <c r="BN310">
        <v>0</v>
      </c>
      <c r="BO310">
        <v>0</v>
      </c>
      <c r="BP310">
        <v>236.1798745159</v>
      </c>
      <c r="BQ310">
        <v>1</v>
      </c>
      <c r="BR310">
        <v>8.4681220366443918E-2</v>
      </c>
      <c r="BS310">
        <v>3.899</v>
      </c>
      <c r="BT310">
        <v>3.899</v>
      </c>
      <c r="BU310">
        <v>15.5359</v>
      </c>
      <c r="BX310">
        <v>10</v>
      </c>
      <c r="CB310">
        <v>4.2340610183221959E-2</v>
      </c>
      <c r="CE310">
        <v>0.47054924269880072</v>
      </c>
    </row>
    <row r="311" spans="1:84" x14ac:dyDescent="0.3">
      <c r="A311" s="1">
        <v>9</v>
      </c>
      <c r="B311" t="s">
        <v>83</v>
      </c>
      <c r="C311" t="s">
        <v>84</v>
      </c>
      <c r="E311" t="s">
        <v>83</v>
      </c>
      <c r="F311">
        <v>3.5</v>
      </c>
      <c r="G311" t="s">
        <v>85</v>
      </c>
      <c r="H311" t="s">
        <v>86</v>
      </c>
      <c r="I311">
        <v>-1</v>
      </c>
      <c r="J311">
        <v>4</v>
      </c>
      <c r="K311">
        <v>6.6</v>
      </c>
      <c r="L311">
        <v>7.94</v>
      </c>
      <c r="M311">
        <v>33.700000000000003</v>
      </c>
      <c r="O311">
        <v>16.850000000000001</v>
      </c>
      <c r="Q311" t="s">
        <v>87</v>
      </c>
      <c r="R311">
        <v>1473</v>
      </c>
      <c r="S311">
        <v>48</v>
      </c>
      <c r="T311" t="b">
        <v>0</v>
      </c>
      <c r="U311" t="s">
        <v>125</v>
      </c>
      <c r="V311" t="s">
        <v>126</v>
      </c>
      <c r="W311">
        <v>0.1</v>
      </c>
      <c r="Y311">
        <v>2.85</v>
      </c>
      <c r="Z311">
        <v>14.3</v>
      </c>
      <c r="AC311" t="s">
        <v>90</v>
      </c>
      <c r="AD311">
        <v>450</v>
      </c>
      <c r="AF311" t="s">
        <v>91</v>
      </c>
      <c r="AH311">
        <v>270</v>
      </c>
      <c r="AL311" t="b">
        <v>1</v>
      </c>
      <c r="AM311" t="b">
        <v>0</v>
      </c>
      <c r="AN311" t="b">
        <v>0</v>
      </c>
      <c r="AO311" t="b">
        <v>0</v>
      </c>
      <c r="AP311" t="s">
        <v>85</v>
      </c>
      <c r="AQ311" t="s">
        <v>86</v>
      </c>
      <c r="AS311">
        <v>5.598421958998375</v>
      </c>
      <c r="AT311">
        <v>1.62962962962963</v>
      </c>
      <c r="AU311">
        <v>2.518518518518519</v>
      </c>
      <c r="AV311">
        <v>0.88888888888888884</v>
      </c>
      <c r="AW311">
        <v>0</v>
      </c>
      <c r="AX311">
        <v>0.32352941176470579</v>
      </c>
      <c r="AY311">
        <v>0.5</v>
      </c>
      <c r="AZ311">
        <v>0.1764705882352941</v>
      </c>
      <c r="BA311">
        <v>0</v>
      </c>
      <c r="BB311">
        <v>5.9587386867222234</v>
      </c>
      <c r="BC311">
        <v>34</v>
      </c>
      <c r="BD311">
        <v>1767.0449718798691</v>
      </c>
      <c r="BE311">
        <v>4</v>
      </c>
      <c r="BF311">
        <v>7.6964651247849417E-2</v>
      </c>
      <c r="BG311">
        <v>6.6040679999999998</v>
      </c>
      <c r="BH311">
        <v>7.9389519999999996</v>
      </c>
      <c r="BI311">
        <v>33.703336</v>
      </c>
      <c r="BJ311">
        <v>1679.8210721820001</v>
      </c>
      <c r="BK311">
        <v>4</v>
      </c>
      <c r="BL311">
        <v>8.0961003676030277E-2</v>
      </c>
      <c r="BM311">
        <v>7.83</v>
      </c>
      <c r="BN311">
        <v>33.209989999999998</v>
      </c>
      <c r="BO311">
        <v>6.46</v>
      </c>
      <c r="BP311">
        <v>0</v>
      </c>
      <c r="BQ311">
        <v>0</v>
      </c>
      <c r="BS311">
        <v>0</v>
      </c>
      <c r="BT311">
        <v>0</v>
      </c>
      <c r="BU311">
        <v>0</v>
      </c>
      <c r="BV311">
        <v>1766.0147999999999</v>
      </c>
      <c r="BW311">
        <v>7.7009547145358015E-2</v>
      </c>
      <c r="BX311">
        <v>17</v>
      </c>
      <c r="BY311">
        <v>3.8504773572679007E-2</v>
      </c>
      <c r="BZ311">
        <v>3.8482325623924708E-2</v>
      </c>
      <c r="CA311">
        <v>4.0480501838015139E-2</v>
      </c>
      <c r="CC311">
        <v>0.48264383878002193</v>
      </c>
      <c r="CD311">
        <v>0.50770488753139875</v>
      </c>
      <c r="CF311">
        <v>0.48292538008460401</v>
      </c>
    </row>
    <row r="312" spans="1:84" x14ac:dyDescent="0.3">
      <c r="A312" s="1">
        <v>10</v>
      </c>
      <c r="B312" t="s">
        <v>92</v>
      </c>
      <c r="C312" t="s">
        <v>93</v>
      </c>
      <c r="E312" t="s">
        <v>94</v>
      </c>
      <c r="F312">
        <v>3.2</v>
      </c>
      <c r="G312" t="s">
        <v>95</v>
      </c>
      <c r="H312" t="s">
        <v>96</v>
      </c>
      <c r="I312">
        <v>-1</v>
      </c>
      <c r="J312">
        <v>8</v>
      </c>
      <c r="K312">
        <v>7.806</v>
      </c>
      <c r="L312">
        <v>7.6680000000000001</v>
      </c>
      <c r="M312">
        <v>21.54</v>
      </c>
      <c r="N312" t="s">
        <v>97</v>
      </c>
      <c r="O312">
        <v>10.77</v>
      </c>
      <c r="P312">
        <v>2</v>
      </c>
      <c r="Q312" t="s">
        <v>87</v>
      </c>
      <c r="R312">
        <v>1473</v>
      </c>
      <c r="S312">
        <v>48</v>
      </c>
      <c r="T312" t="b">
        <v>0</v>
      </c>
      <c r="U312" t="s">
        <v>125</v>
      </c>
      <c r="V312" t="s">
        <v>126</v>
      </c>
      <c r="W312">
        <v>0.1</v>
      </c>
      <c r="Y312">
        <v>2.85</v>
      </c>
      <c r="Z312">
        <v>14.3</v>
      </c>
      <c r="AC312" t="s">
        <v>90</v>
      </c>
      <c r="AD312">
        <v>450</v>
      </c>
      <c r="AF312" t="s">
        <v>91</v>
      </c>
      <c r="AH312">
        <v>54</v>
      </c>
      <c r="AL312" t="b">
        <v>1</v>
      </c>
      <c r="AM312" t="b">
        <v>0</v>
      </c>
      <c r="AN312" t="b">
        <v>0</v>
      </c>
      <c r="AO312" t="b">
        <v>0</v>
      </c>
      <c r="AP312" t="s">
        <v>95</v>
      </c>
      <c r="AQ312" t="s">
        <v>96</v>
      </c>
      <c r="AS312">
        <v>3.988984046564275</v>
      </c>
      <c r="AT312">
        <v>1.7272727272727271</v>
      </c>
      <c r="AU312">
        <v>2.545454545454545</v>
      </c>
      <c r="AV312">
        <v>0.81818181818181823</v>
      </c>
      <c r="AW312">
        <v>0</v>
      </c>
      <c r="AX312">
        <v>0.3392857142857143</v>
      </c>
      <c r="AY312">
        <v>0.5</v>
      </c>
      <c r="AZ312">
        <v>0.1607142857142857</v>
      </c>
      <c r="BA312">
        <v>0</v>
      </c>
      <c r="BB312">
        <v>5.9946935869545452</v>
      </c>
      <c r="BC312">
        <v>14</v>
      </c>
      <c r="BD312">
        <v>173.54502164551991</v>
      </c>
      <c r="BE312">
        <v>1</v>
      </c>
      <c r="BF312">
        <v>8.0670709348241429E-2</v>
      </c>
      <c r="BG312">
        <v>3.9327019999999999</v>
      </c>
      <c r="BH312">
        <v>3.9458000000000002</v>
      </c>
      <c r="BI312">
        <v>11.356398779999999</v>
      </c>
      <c r="BJ312">
        <v>328.06612625219998</v>
      </c>
      <c r="BK312">
        <v>1</v>
      </c>
      <c r="BL312">
        <v>4.2674323496713393E-2</v>
      </c>
      <c r="BM312">
        <v>3.9060000000000001</v>
      </c>
      <c r="BN312">
        <v>21.603000000000002</v>
      </c>
      <c r="BO312">
        <v>3.8879000000000001</v>
      </c>
      <c r="BP312">
        <v>0</v>
      </c>
      <c r="BQ312">
        <v>0</v>
      </c>
      <c r="BS312">
        <v>0</v>
      </c>
      <c r="BT312">
        <v>0</v>
      </c>
      <c r="BU312">
        <v>0</v>
      </c>
      <c r="BV312">
        <v>1289.30702832</v>
      </c>
      <c r="BW312">
        <v>8.6868370015743157E-2</v>
      </c>
      <c r="BX312">
        <v>7</v>
      </c>
      <c r="BY312">
        <v>4.3434185007871579E-2</v>
      </c>
      <c r="BZ312">
        <v>4.0335354674120708E-2</v>
      </c>
      <c r="CA312">
        <v>2.1337161748356689E-2</v>
      </c>
      <c r="CC312">
        <v>0.48450364842179572</v>
      </c>
      <c r="CD312">
        <v>0.25629953666126182</v>
      </c>
      <c r="CF312">
        <v>0.52172644253560874</v>
      </c>
    </row>
    <row r="313" spans="1:84" x14ac:dyDescent="0.3">
      <c r="A313" s="1">
        <v>11</v>
      </c>
      <c r="B313" t="s">
        <v>98</v>
      </c>
      <c r="C313" t="s">
        <v>99</v>
      </c>
      <c r="E313" t="s">
        <v>94</v>
      </c>
      <c r="F313">
        <v>3.35</v>
      </c>
      <c r="G313" t="s">
        <v>100</v>
      </c>
      <c r="H313">
        <v>-1</v>
      </c>
      <c r="I313">
        <v>-1</v>
      </c>
      <c r="J313">
        <v>1</v>
      </c>
      <c r="K313">
        <v>3.8849999999999998</v>
      </c>
      <c r="L313">
        <v>3.8849999999999998</v>
      </c>
      <c r="M313">
        <v>10.989000000000001</v>
      </c>
      <c r="N313" t="s">
        <v>101</v>
      </c>
      <c r="O313">
        <v>10.989000000000001</v>
      </c>
      <c r="P313">
        <v>2</v>
      </c>
      <c r="Q313" t="s">
        <v>87</v>
      </c>
      <c r="R313">
        <v>1473</v>
      </c>
      <c r="S313">
        <v>48</v>
      </c>
      <c r="T313" t="b">
        <v>0</v>
      </c>
      <c r="U313" t="s">
        <v>125</v>
      </c>
      <c r="V313" t="s">
        <v>126</v>
      </c>
      <c r="W313">
        <v>0.1</v>
      </c>
      <c r="Y313">
        <v>2.85</v>
      </c>
      <c r="Z313">
        <v>14.3</v>
      </c>
      <c r="AC313" t="s">
        <v>90</v>
      </c>
      <c r="AD313">
        <v>450</v>
      </c>
      <c r="AF313" t="s">
        <v>91</v>
      </c>
      <c r="AH313">
        <v>90</v>
      </c>
      <c r="AL313" t="b">
        <v>1</v>
      </c>
      <c r="AM313" t="b">
        <v>0</v>
      </c>
      <c r="AN313" t="b">
        <v>0</v>
      </c>
      <c r="AO313" t="b">
        <v>0</v>
      </c>
      <c r="AP313" t="s">
        <v>100</v>
      </c>
      <c r="AQ313">
        <v>-1</v>
      </c>
      <c r="AS313">
        <v>4.499809670330265</v>
      </c>
      <c r="AT313">
        <v>1.7272727272727271</v>
      </c>
      <c r="AU313">
        <v>2.545454545454545</v>
      </c>
      <c r="AV313">
        <v>0.81818181818181823</v>
      </c>
      <c r="AW313">
        <v>0</v>
      </c>
      <c r="AX313">
        <v>0.3392857142857143</v>
      </c>
      <c r="AY313">
        <v>0.5</v>
      </c>
      <c r="AZ313">
        <v>0.1607142857142857</v>
      </c>
      <c r="BA313">
        <v>0</v>
      </c>
      <c r="BB313">
        <v>5.9865536528636358</v>
      </c>
      <c r="BC313">
        <v>14</v>
      </c>
      <c r="BD313">
        <v>349.00875366799971</v>
      </c>
      <c r="BE313">
        <v>2</v>
      </c>
      <c r="BF313">
        <v>8.0227214090553903E-2</v>
      </c>
      <c r="BG313">
        <v>11.92921406</v>
      </c>
      <c r="BH313">
        <v>11.92921406</v>
      </c>
      <c r="BI313">
        <v>11.92921406</v>
      </c>
      <c r="BJ313">
        <v>0</v>
      </c>
      <c r="BK313">
        <v>0</v>
      </c>
      <c r="BM313">
        <v>0</v>
      </c>
      <c r="BP313">
        <v>0</v>
      </c>
      <c r="BQ313">
        <v>0</v>
      </c>
      <c r="BS313">
        <v>0</v>
      </c>
      <c r="BT313">
        <v>0</v>
      </c>
      <c r="BU313">
        <v>0</v>
      </c>
      <c r="BV313">
        <v>165.859449525</v>
      </c>
      <c r="BW313">
        <v>8.4408817466199174E-2</v>
      </c>
      <c r="BX313">
        <v>7</v>
      </c>
      <c r="BY313">
        <v>4.2204408733099587E-2</v>
      </c>
      <c r="BZ313">
        <v>4.0113607045276951E-2</v>
      </c>
      <c r="CC313">
        <v>0.50734392504100989</v>
      </c>
      <c r="CF313">
        <v>0.53378770840821022</v>
      </c>
    </row>
    <row r="314" spans="1:84" x14ac:dyDescent="0.3">
      <c r="A314" s="1">
        <v>12</v>
      </c>
      <c r="B314" t="s">
        <v>102</v>
      </c>
      <c r="C314" t="s">
        <v>103</v>
      </c>
      <c r="E314" t="s">
        <v>94</v>
      </c>
      <c r="F314">
        <v>3.3</v>
      </c>
      <c r="G314" t="s">
        <v>104</v>
      </c>
      <c r="H314" t="s">
        <v>105</v>
      </c>
      <c r="I314">
        <v>-1</v>
      </c>
      <c r="J314">
        <v>1</v>
      </c>
      <c r="K314">
        <v>3.9049999999999998</v>
      </c>
      <c r="L314">
        <v>3.9049999999999998</v>
      </c>
      <c r="M314">
        <v>11.185</v>
      </c>
      <c r="N314" t="s">
        <v>101</v>
      </c>
      <c r="O314">
        <v>11.185</v>
      </c>
      <c r="P314">
        <v>2</v>
      </c>
      <c r="Q314" t="s">
        <v>87</v>
      </c>
      <c r="R314">
        <v>1473</v>
      </c>
      <c r="S314">
        <v>48</v>
      </c>
      <c r="T314" t="b">
        <v>0</v>
      </c>
      <c r="U314" t="s">
        <v>125</v>
      </c>
      <c r="V314" t="s">
        <v>126</v>
      </c>
      <c r="W314">
        <v>0.1</v>
      </c>
      <c r="Y314">
        <v>2.85</v>
      </c>
      <c r="Z314">
        <v>14.3</v>
      </c>
      <c r="AC314" t="s">
        <v>90</v>
      </c>
      <c r="AD314">
        <v>450</v>
      </c>
      <c r="AF314" t="s">
        <v>91</v>
      </c>
      <c r="AH314">
        <v>28</v>
      </c>
      <c r="AL314" t="b">
        <v>1</v>
      </c>
      <c r="AM314" t="b">
        <v>1</v>
      </c>
      <c r="AN314" t="b">
        <v>0</v>
      </c>
      <c r="AO314" t="b">
        <v>0</v>
      </c>
      <c r="AP314" t="s">
        <v>104</v>
      </c>
      <c r="AQ314" t="s">
        <v>105</v>
      </c>
      <c r="AS314">
        <v>3.3322045101752038</v>
      </c>
      <c r="AT314">
        <v>1.7272727272727271</v>
      </c>
      <c r="AU314">
        <v>2.545454545454545</v>
      </c>
      <c r="AV314">
        <v>0.81818181818181823</v>
      </c>
      <c r="AW314">
        <v>0</v>
      </c>
      <c r="AX314">
        <v>0.3392857142857143</v>
      </c>
      <c r="AY314">
        <v>0.5</v>
      </c>
      <c r="AZ314">
        <v>0.1607142857142857</v>
      </c>
      <c r="BA314">
        <v>0</v>
      </c>
      <c r="BB314">
        <v>5.9730290962922723</v>
      </c>
      <c r="BC314">
        <v>14</v>
      </c>
      <c r="BD314">
        <v>179.6799083471451</v>
      </c>
      <c r="BE314">
        <v>1</v>
      </c>
      <c r="BF314">
        <v>7.7916335380980528E-2</v>
      </c>
      <c r="BG314">
        <v>3.952105</v>
      </c>
      <c r="BH314">
        <v>3.952105</v>
      </c>
      <c r="BI314">
        <v>11.503833</v>
      </c>
      <c r="BJ314">
        <v>170.44069823999999</v>
      </c>
      <c r="BK314">
        <v>1</v>
      </c>
      <c r="BL314">
        <v>8.2140006140355049E-2</v>
      </c>
      <c r="BM314">
        <v>3.9079999999999999</v>
      </c>
      <c r="BN314">
        <v>3.9079999999999999</v>
      </c>
      <c r="BO314">
        <v>11.16</v>
      </c>
      <c r="BP314">
        <v>0</v>
      </c>
      <c r="BQ314">
        <v>0</v>
      </c>
      <c r="BS314">
        <v>0</v>
      </c>
      <c r="BT314">
        <v>0</v>
      </c>
      <c r="BU314">
        <v>0</v>
      </c>
      <c r="BV314">
        <v>170.560344625</v>
      </c>
      <c r="BW314">
        <v>8.2082385743186062E-2</v>
      </c>
      <c r="BX314">
        <v>7</v>
      </c>
      <c r="BY314">
        <v>4.1041192871593031E-2</v>
      </c>
      <c r="BZ314">
        <v>3.8958167690490257E-2</v>
      </c>
      <c r="CA314">
        <v>4.1070003070177517E-2</v>
      </c>
      <c r="CC314">
        <v>0.5243291310951993</v>
      </c>
      <c r="CD314">
        <v>0.55275184384813547</v>
      </c>
      <c r="CF314">
        <v>0.5523640939285166</v>
      </c>
    </row>
    <row r="315" spans="1:84" x14ac:dyDescent="0.3">
      <c r="A315" s="1">
        <v>13</v>
      </c>
      <c r="B315" t="s">
        <v>106</v>
      </c>
      <c r="C315" t="s">
        <v>107</v>
      </c>
      <c r="E315" t="s">
        <v>106</v>
      </c>
      <c r="F315">
        <v>3.35</v>
      </c>
      <c r="G315" t="s">
        <v>108</v>
      </c>
      <c r="H315" t="s">
        <v>109</v>
      </c>
      <c r="I315">
        <v>-1</v>
      </c>
      <c r="J315">
        <v>8</v>
      </c>
      <c r="K315">
        <v>7.7270000000000003</v>
      </c>
      <c r="L315">
        <v>7.7270000000000003</v>
      </c>
      <c r="M315">
        <v>29.466000000000001</v>
      </c>
      <c r="N315" t="s">
        <v>110</v>
      </c>
      <c r="O315">
        <v>14.733000000000001</v>
      </c>
      <c r="P315">
        <v>3</v>
      </c>
      <c r="Q315" t="s">
        <v>87</v>
      </c>
      <c r="R315">
        <v>1473</v>
      </c>
      <c r="S315">
        <v>48</v>
      </c>
      <c r="T315" t="b">
        <v>0</v>
      </c>
      <c r="U315" t="s">
        <v>125</v>
      </c>
      <c r="V315" t="s">
        <v>126</v>
      </c>
      <c r="W315">
        <v>0.1</v>
      </c>
      <c r="Y315">
        <v>2.85</v>
      </c>
      <c r="Z315">
        <v>14.3</v>
      </c>
      <c r="AC315" t="s">
        <v>90</v>
      </c>
      <c r="AD315">
        <v>450</v>
      </c>
      <c r="AF315" t="s">
        <v>91</v>
      </c>
      <c r="AH315">
        <v>100</v>
      </c>
      <c r="AL315" t="b">
        <v>1</v>
      </c>
      <c r="AM315" t="b">
        <v>1</v>
      </c>
      <c r="AN315" t="b">
        <v>0</v>
      </c>
      <c r="AO315" t="b">
        <v>0</v>
      </c>
      <c r="AP315" t="s">
        <v>108</v>
      </c>
      <c r="AQ315" t="s">
        <v>109</v>
      </c>
      <c r="AS315">
        <v>4.6051701859880918</v>
      </c>
      <c r="AT315">
        <v>1.75</v>
      </c>
      <c r="AU315">
        <v>2.5</v>
      </c>
      <c r="AV315">
        <v>0.75</v>
      </c>
      <c r="AW315">
        <v>0</v>
      </c>
      <c r="AX315">
        <v>0.35</v>
      </c>
      <c r="AY315">
        <v>0.5</v>
      </c>
      <c r="AZ315">
        <v>0.15</v>
      </c>
      <c r="BA315">
        <v>0</v>
      </c>
      <c r="BB315">
        <v>5.9668120809374994</v>
      </c>
      <c r="BC315">
        <v>20</v>
      </c>
      <c r="BD315">
        <v>924.74694800021894</v>
      </c>
      <c r="BE315">
        <v>4</v>
      </c>
      <c r="BF315">
        <v>8.6510153045653584E-2</v>
      </c>
      <c r="BG315">
        <v>7.8084429999999996</v>
      </c>
      <c r="BH315">
        <v>7.8548809999999998</v>
      </c>
      <c r="BI315">
        <v>15.19056011</v>
      </c>
      <c r="BJ315">
        <v>883.22940750240002</v>
      </c>
      <c r="BK315">
        <v>4</v>
      </c>
      <c r="BL315">
        <v>9.0576694254581439E-2</v>
      </c>
      <c r="BM315">
        <v>3.8801999999999999</v>
      </c>
      <c r="BN315">
        <v>29.507999999999999</v>
      </c>
      <c r="BO315">
        <v>7.7140000000000004</v>
      </c>
      <c r="BP315">
        <v>0</v>
      </c>
      <c r="BQ315">
        <v>0</v>
      </c>
      <c r="BS315">
        <v>0</v>
      </c>
      <c r="BT315">
        <v>0</v>
      </c>
      <c r="BU315">
        <v>0</v>
      </c>
      <c r="BV315">
        <v>1759.3125835139999</v>
      </c>
      <c r="BW315">
        <v>9.0944611832662864E-2</v>
      </c>
      <c r="BX315">
        <v>10</v>
      </c>
      <c r="BY315">
        <v>4.5472305916331432E-2</v>
      </c>
      <c r="BZ315">
        <v>4.3255076522826792E-2</v>
      </c>
      <c r="CA315">
        <v>4.5288347127290719E-2</v>
      </c>
      <c r="CC315">
        <v>0.50555206026575006</v>
      </c>
      <c r="CD315">
        <v>0.52931630311992839</v>
      </c>
      <c r="CF315">
        <v>0.53146635699289846</v>
      </c>
    </row>
    <row r="316" spans="1:84" x14ac:dyDescent="0.3">
      <c r="A316" s="1">
        <v>14</v>
      </c>
      <c r="B316" t="s">
        <v>111</v>
      </c>
      <c r="C316" t="s">
        <v>112</v>
      </c>
      <c r="E316" t="s">
        <v>106</v>
      </c>
      <c r="F316">
        <v>3.5</v>
      </c>
      <c r="G316" t="s">
        <v>113</v>
      </c>
      <c r="H316" t="s">
        <v>114</v>
      </c>
      <c r="I316">
        <v>-1</v>
      </c>
      <c r="J316">
        <v>4</v>
      </c>
      <c r="K316">
        <v>7.7249999999999996</v>
      </c>
      <c r="L316">
        <v>7.7249999999999996</v>
      </c>
      <c r="M316">
        <v>14.909000000000001</v>
      </c>
      <c r="N316" t="s">
        <v>115</v>
      </c>
      <c r="O316">
        <v>14.909000000000001</v>
      </c>
      <c r="P316">
        <v>3</v>
      </c>
      <c r="Q316" t="s">
        <v>87</v>
      </c>
      <c r="R316">
        <v>1473</v>
      </c>
      <c r="S316">
        <v>48</v>
      </c>
      <c r="T316" t="b">
        <v>0</v>
      </c>
      <c r="U316" t="s">
        <v>125</v>
      </c>
      <c r="V316" t="s">
        <v>126</v>
      </c>
      <c r="W316">
        <v>0.1</v>
      </c>
      <c r="Y316">
        <v>2.85</v>
      </c>
      <c r="Z316">
        <v>14.3</v>
      </c>
      <c r="AC316" t="s">
        <v>90</v>
      </c>
      <c r="AD316">
        <v>450</v>
      </c>
      <c r="AF316" t="s">
        <v>91</v>
      </c>
      <c r="AH316">
        <v>26</v>
      </c>
      <c r="AL316" t="b">
        <v>1</v>
      </c>
      <c r="AM316" t="b">
        <v>1</v>
      </c>
      <c r="AN316" t="b">
        <v>0</v>
      </c>
      <c r="AO316" t="b">
        <v>0</v>
      </c>
      <c r="AP316" t="s">
        <v>113</v>
      </c>
      <c r="AQ316" t="s">
        <v>114</v>
      </c>
      <c r="AS316">
        <v>3.2580965380214821</v>
      </c>
      <c r="AT316">
        <v>1.75</v>
      </c>
      <c r="AU316">
        <v>2.5</v>
      </c>
      <c r="AV316">
        <v>0.75</v>
      </c>
      <c r="AW316">
        <v>0</v>
      </c>
      <c r="AX316">
        <v>0.35</v>
      </c>
      <c r="AY316">
        <v>0.5</v>
      </c>
      <c r="AZ316">
        <v>0.15</v>
      </c>
      <c r="BA316">
        <v>0</v>
      </c>
      <c r="BB316">
        <v>5.9612158762499998</v>
      </c>
      <c r="BC316">
        <v>20</v>
      </c>
      <c r="BD316">
        <v>240.40623599981481</v>
      </c>
      <c r="BE316">
        <v>1</v>
      </c>
      <c r="BF316">
        <v>8.3192517518619641E-2</v>
      </c>
      <c r="BG316">
        <v>3.9661010000000001</v>
      </c>
      <c r="BH316">
        <v>3.9661010000000001</v>
      </c>
      <c r="BI316">
        <v>15.283337</v>
      </c>
      <c r="BJ316">
        <v>222.00958249733301</v>
      </c>
      <c r="BK316">
        <v>1</v>
      </c>
      <c r="BL316">
        <v>9.0086201573034624E-2</v>
      </c>
      <c r="BM316">
        <v>3.8586499999999999</v>
      </c>
      <c r="BN316">
        <v>3.8586499999999999</v>
      </c>
      <c r="BO316">
        <v>14.9108</v>
      </c>
      <c r="BP316">
        <v>0</v>
      </c>
      <c r="BQ316">
        <v>0</v>
      </c>
      <c r="BS316">
        <v>0</v>
      </c>
      <c r="BT316">
        <v>0</v>
      </c>
      <c r="BU316">
        <v>0</v>
      </c>
      <c r="BV316">
        <v>889.70389312500004</v>
      </c>
      <c r="BW316">
        <v>8.9917556411951427E-2</v>
      </c>
      <c r="BX316">
        <v>10</v>
      </c>
      <c r="BY316">
        <v>4.4958778205975707E-2</v>
      </c>
      <c r="BZ316">
        <v>4.159625875930982E-2</v>
      </c>
      <c r="CA316">
        <v>4.5043100786517312E-2</v>
      </c>
      <c r="CC316">
        <v>0.50467688585120685</v>
      </c>
      <c r="CD316">
        <v>0.54649654829675809</v>
      </c>
      <c r="CF316">
        <v>0.54547348375624471</v>
      </c>
    </row>
    <row r="317" spans="1:84" x14ac:dyDescent="0.3">
      <c r="A317" s="1">
        <v>15</v>
      </c>
      <c r="B317" t="s">
        <v>116</v>
      </c>
      <c r="C317" t="s">
        <v>117</v>
      </c>
      <c r="E317" t="s">
        <v>106</v>
      </c>
      <c r="F317">
        <v>3.5</v>
      </c>
      <c r="G317" t="s">
        <v>118</v>
      </c>
      <c r="H317" t="s">
        <v>119</v>
      </c>
      <c r="I317">
        <v>-1</v>
      </c>
      <c r="J317">
        <v>2</v>
      </c>
      <c r="K317">
        <v>7.7270000000000003</v>
      </c>
      <c r="L317">
        <v>7.7270000000000003</v>
      </c>
      <c r="M317">
        <v>30.175999999999998</v>
      </c>
      <c r="N317" t="s">
        <v>110</v>
      </c>
      <c r="O317">
        <v>15.087999999999999</v>
      </c>
      <c r="P317">
        <v>3</v>
      </c>
      <c r="Q317" t="s">
        <v>87</v>
      </c>
      <c r="R317">
        <v>1473</v>
      </c>
      <c r="S317">
        <v>48</v>
      </c>
      <c r="T317" t="b">
        <v>0</v>
      </c>
      <c r="U317" t="s">
        <v>125</v>
      </c>
      <c r="V317" t="s">
        <v>126</v>
      </c>
      <c r="W317">
        <v>0.1</v>
      </c>
      <c r="Y317">
        <v>2.85</v>
      </c>
      <c r="Z317">
        <v>14.3</v>
      </c>
      <c r="AC317" t="s">
        <v>90</v>
      </c>
      <c r="AD317">
        <v>450</v>
      </c>
      <c r="AF317" t="s">
        <v>91</v>
      </c>
      <c r="AH317">
        <v>10</v>
      </c>
      <c r="AL317" t="b">
        <v>1</v>
      </c>
      <c r="AM317" t="b">
        <v>1</v>
      </c>
      <c r="AN317" t="b">
        <v>0</v>
      </c>
      <c r="AO317" t="b">
        <v>0</v>
      </c>
      <c r="AP317" t="s">
        <v>118</v>
      </c>
      <c r="AQ317" t="s">
        <v>119</v>
      </c>
      <c r="AS317">
        <v>2.3025850929940459</v>
      </c>
      <c r="AT317">
        <v>1.75</v>
      </c>
      <c r="AU317">
        <v>2.5</v>
      </c>
      <c r="AV317">
        <v>0.75</v>
      </c>
      <c r="AW317">
        <v>0</v>
      </c>
      <c r="AX317">
        <v>0.35</v>
      </c>
      <c r="AY317">
        <v>0.5</v>
      </c>
      <c r="AZ317">
        <v>0.15</v>
      </c>
      <c r="BA317">
        <v>0</v>
      </c>
      <c r="BB317">
        <v>5.9519177436071873</v>
      </c>
      <c r="BC317">
        <v>20</v>
      </c>
      <c r="BD317">
        <v>1902.4394671889761</v>
      </c>
      <c r="BE317">
        <v>8</v>
      </c>
      <c r="BF317">
        <v>8.4102544527429435E-2</v>
      </c>
      <c r="BG317">
        <v>7.8252249999999997</v>
      </c>
      <c r="BH317">
        <v>7.8345229999999999</v>
      </c>
      <c r="BI317">
        <v>31.031406</v>
      </c>
      <c r="BJ317">
        <v>1809.7126974</v>
      </c>
      <c r="BK317">
        <v>8</v>
      </c>
      <c r="BL317">
        <v>8.8411823727529093E-2</v>
      </c>
      <c r="BM317">
        <v>30.184999999999999</v>
      </c>
      <c r="BN317">
        <v>7.74</v>
      </c>
      <c r="BO317">
        <v>7.7460000000000004</v>
      </c>
      <c r="BP317">
        <v>0</v>
      </c>
      <c r="BQ317">
        <v>0</v>
      </c>
      <c r="BS317">
        <v>0</v>
      </c>
      <c r="BT317">
        <v>0</v>
      </c>
      <c r="BU317">
        <v>0</v>
      </c>
      <c r="BV317">
        <v>1801.704219104</v>
      </c>
      <c r="BW317">
        <v>2.2201202381538668E-2</v>
      </c>
      <c r="BX317">
        <v>10</v>
      </c>
      <c r="BY317">
        <v>1.1100601190769339E-2</v>
      </c>
      <c r="BZ317">
        <v>4.2051272263714717E-2</v>
      </c>
      <c r="CA317">
        <v>4.4205911863764553E-2</v>
      </c>
      <c r="CC317">
        <v>0.53407279423354248</v>
      </c>
      <c r="CD317">
        <v>0.56143782577285706</v>
      </c>
      <c r="CF317">
        <v>0.14098334667372209</v>
      </c>
    </row>
    <row r="318" spans="1:84" x14ac:dyDescent="0.3">
      <c r="A318" s="1">
        <v>16</v>
      </c>
      <c r="B318" t="s">
        <v>120</v>
      </c>
      <c r="C318" t="s">
        <v>121</v>
      </c>
      <c r="E318" t="s">
        <v>106</v>
      </c>
      <c r="F318">
        <v>3.16</v>
      </c>
      <c r="G318" t="s">
        <v>108</v>
      </c>
      <c r="H318">
        <v>-1</v>
      </c>
      <c r="I318">
        <v>-1</v>
      </c>
      <c r="J318">
        <v>4</v>
      </c>
      <c r="K318">
        <v>7.8310000000000004</v>
      </c>
      <c r="L318">
        <v>7.8010000000000002</v>
      </c>
      <c r="M318">
        <v>15.05</v>
      </c>
      <c r="N318" t="s">
        <v>122</v>
      </c>
      <c r="O318">
        <v>15.05</v>
      </c>
      <c r="P318">
        <v>3</v>
      </c>
      <c r="Q318" t="s">
        <v>87</v>
      </c>
      <c r="R318">
        <v>1473</v>
      </c>
      <c r="S318">
        <v>48</v>
      </c>
      <c r="T318" t="b">
        <v>0</v>
      </c>
      <c r="U318" t="s">
        <v>125</v>
      </c>
      <c r="V318" t="s">
        <v>126</v>
      </c>
      <c r="W318">
        <v>0.1</v>
      </c>
      <c r="Y318">
        <v>2.85</v>
      </c>
      <c r="Z318">
        <v>14.3</v>
      </c>
      <c r="AC318" t="s">
        <v>90</v>
      </c>
      <c r="AD318">
        <v>450</v>
      </c>
      <c r="AF318" t="s">
        <v>91</v>
      </c>
      <c r="AH318">
        <v>110</v>
      </c>
      <c r="AI318" t="s">
        <v>123</v>
      </c>
      <c r="AL318" t="b">
        <v>1</v>
      </c>
      <c r="AM318" t="b">
        <v>0</v>
      </c>
      <c r="AN318" t="b">
        <v>0</v>
      </c>
      <c r="AO318" t="b">
        <v>0</v>
      </c>
      <c r="AP318" t="s">
        <v>127</v>
      </c>
      <c r="AQ318">
        <v>-1</v>
      </c>
      <c r="AS318">
        <v>4.7004803657924166</v>
      </c>
      <c r="AT318">
        <v>1.75</v>
      </c>
      <c r="AU318">
        <v>2.5</v>
      </c>
      <c r="AV318">
        <v>0.75</v>
      </c>
      <c r="AW318">
        <v>0</v>
      </c>
      <c r="AX318">
        <v>0.35</v>
      </c>
      <c r="AY318">
        <v>0.5</v>
      </c>
      <c r="AZ318">
        <v>0.15</v>
      </c>
      <c r="BA318">
        <v>0</v>
      </c>
      <c r="BB318">
        <v>5.9423887671875004</v>
      </c>
      <c r="BC318">
        <v>20</v>
      </c>
      <c r="BD318">
        <v>924.74694800021894</v>
      </c>
      <c r="BE318">
        <v>4</v>
      </c>
      <c r="BF318">
        <v>8.6510153045653584E-2</v>
      </c>
      <c r="BG318">
        <v>7.8084429999999996</v>
      </c>
      <c r="BH318">
        <v>7.8548809999999998</v>
      </c>
      <c r="BI318">
        <v>15.19056011</v>
      </c>
      <c r="BJ318">
        <v>0</v>
      </c>
      <c r="BK318">
        <v>0</v>
      </c>
      <c r="BM318">
        <v>0</v>
      </c>
      <c r="BP318">
        <v>0</v>
      </c>
      <c r="BQ318">
        <v>0</v>
      </c>
      <c r="BS318">
        <v>0</v>
      </c>
      <c r="BT318">
        <v>0</v>
      </c>
      <c r="BU318">
        <v>0</v>
      </c>
      <c r="BV318">
        <v>919.39894655000012</v>
      </c>
      <c r="BW318">
        <v>8.7013369223660861E-2</v>
      </c>
      <c r="BX318">
        <v>10</v>
      </c>
      <c r="BY318">
        <v>4.350668461183043E-2</v>
      </c>
      <c r="BZ318">
        <v>4.3255076522826792E-2</v>
      </c>
      <c r="CC318">
        <v>0.53520952659835619</v>
      </c>
      <c r="CF318">
        <v>0.5383227576229942</v>
      </c>
    </row>
    <row r="319" spans="1:84" x14ac:dyDescent="0.3">
      <c r="A319" s="1">
        <v>17</v>
      </c>
      <c r="B319" t="s">
        <v>128</v>
      </c>
      <c r="C319" t="s">
        <v>129</v>
      </c>
      <c r="E319" t="s">
        <v>130</v>
      </c>
      <c r="F319">
        <v>3</v>
      </c>
      <c r="G319" t="s">
        <v>131</v>
      </c>
      <c r="H319" t="s">
        <v>132</v>
      </c>
      <c r="I319">
        <v>-1</v>
      </c>
      <c r="O319">
        <v>0</v>
      </c>
      <c r="P319" t="s">
        <v>133</v>
      </c>
      <c r="Q319" t="s">
        <v>87</v>
      </c>
      <c r="T319" t="b">
        <v>0</v>
      </c>
      <c r="U319" t="s">
        <v>125</v>
      </c>
      <c r="V319" t="s">
        <v>126</v>
      </c>
      <c r="W319">
        <v>0.1</v>
      </c>
      <c r="Y319">
        <v>2.85</v>
      </c>
      <c r="Z319">
        <v>14.3</v>
      </c>
      <c r="AC319" t="s">
        <v>90</v>
      </c>
      <c r="AD319">
        <v>450</v>
      </c>
      <c r="AF319" t="s">
        <v>91</v>
      </c>
      <c r="AH319">
        <v>7400</v>
      </c>
      <c r="AL319" t="b">
        <v>1</v>
      </c>
      <c r="AM319" t="b">
        <v>0</v>
      </c>
      <c r="AN319" t="b">
        <v>0</v>
      </c>
      <c r="AO319" t="b">
        <v>0</v>
      </c>
      <c r="AP319" t="s">
        <v>131</v>
      </c>
      <c r="AQ319" t="s">
        <v>132</v>
      </c>
      <c r="AS319">
        <v>8.9092352791922611</v>
      </c>
      <c r="AT319">
        <v>2</v>
      </c>
      <c r="AU319">
        <v>2.666666666666667</v>
      </c>
      <c r="AV319">
        <v>0.66666666666666663</v>
      </c>
      <c r="AW319">
        <v>0</v>
      </c>
      <c r="AX319">
        <v>0.375</v>
      </c>
      <c r="AY319">
        <v>0.5</v>
      </c>
      <c r="AZ319">
        <v>0.125</v>
      </c>
      <c r="BA319">
        <v>0</v>
      </c>
      <c r="BB319">
        <v>6.1770001596666662</v>
      </c>
      <c r="BC319">
        <v>4</v>
      </c>
      <c r="BD319">
        <v>1182.741260108548</v>
      </c>
      <c r="BE319">
        <v>30</v>
      </c>
      <c r="BF319">
        <v>0.1014592151701775</v>
      </c>
      <c r="BG319">
        <v>10.59112378</v>
      </c>
      <c r="BH319">
        <v>10.784736629999999</v>
      </c>
      <c r="BI319">
        <v>10.486176179999999</v>
      </c>
      <c r="BJ319">
        <v>130.36387300000001</v>
      </c>
      <c r="BK319">
        <v>4</v>
      </c>
      <c r="BL319">
        <v>0.1227333894874388</v>
      </c>
      <c r="BM319">
        <v>3.73</v>
      </c>
      <c r="BN319">
        <v>3.73</v>
      </c>
      <c r="BO319">
        <v>9.3699999999999992</v>
      </c>
      <c r="BP319">
        <v>0</v>
      </c>
      <c r="BQ319">
        <v>0</v>
      </c>
      <c r="BS319">
        <v>0</v>
      </c>
      <c r="BT319">
        <v>0</v>
      </c>
      <c r="BU319">
        <v>0</v>
      </c>
      <c r="BX319">
        <v>2</v>
      </c>
      <c r="BZ319">
        <v>5.0729607585088737E-2</v>
      </c>
      <c r="CA319">
        <v>6.1366694743719377E-2</v>
      </c>
      <c r="CC319">
        <v>0.46900407026869612</v>
      </c>
      <c r="CD319">
        <v>0.56734579634715776</v>
      </c>
    </row>
    <row r="320" spans="1:84" x14ac:dyDescent="0.3">
      <c r="A320" s="1">
        <v>26</v>
      </c>
      <c r="B320" t="s">
        <v>134</v>
      </c>
      <c r="C320" t="s">
        <v>135</v>
      </c>
      <c r="E320" t="s">
        <v>83</v>
      </c>
      <c r="F320">
        <v>3.5</v>
      </c>
      <c r="G320" t="s">
        <v>85</v>
      </c>
      <c r="H320">
        <v>-1</v>
      </c>
      <c r="I320">
        <v>-1</v>
      </c>
      <c r="J320">
        <v>4</v>
      </c>
      <c r="Q320" t="s">
        <v>87</v>
      </c>
      <c r="R320">
        <v>1473</v>
      </c>
      <c r="S320">
        <v>48</v>
      </c>
      <c r="T320" t="b">
        <v>0</v>
      </c>
      <c r="U320" t="s">
        <v>125</v>
      </c>
      <c r="V320" t="s">
        <v>126</v>
      </c>
      <c r="W320">
        <v>0.1</v>
      </c>
      <c r="Y320">
        <v>2.85</v>
      </c>
      <c r="Z320">
        <v>14.3</v>
      </c>
      <c r="AC320" t="s">
        <v>90</v>
      </c>
      <c r="AD320">
        <v>450</v>
      </c>
      <c r="AF320" t="s">
        <v>91</v>
      </c>
      <c r="AH320">
        <v>740</v>
      </c>
      <c r="AI320" t="s">
        <v>136</v>
      </c>
      <c r="AL320" t="b">
        <v>1</v>
      </c>
      <c r="AM320" t="b">
        <v>0</v>
      </c>
      <c r="AN320" t="b">
        <v>0</v>
      </c>
      <c r="AO320" t="b">
        <v>0</v>
      </c>
      <c r="AP320" t="s">
        <v>156</v>
      </c>
      <c r="AS320">
        <v>6.6066501861982152</v>
      </c>
      <c r="AT320">
        <v>1.62962962962963</v>
      </c>
      <c r="AU320">
        <v>2.518518518518519</v>
      </c>
      <c r="AV320">
        <v>0.88888888888888884</v>
      </c>
      <c r="AW320">
        <v>0</v>
      </c>
      <c r="AX320">
        <v>0.32352941176470579</v>
      </c>
      <c r="AY320">
        <v>0.5</v>
      </c>
      <c r="AZ320">
        <v>0.1764705882352941</v>
      </c>
      <c r="BA320">
        <v>0</v>
      </c>
      <c r="BB320">
        <v>6.6632206815149626</v>
      </c>
      <c r="BC320">
        <v>34</v>
      </c>
      <c r="BD320">
        <v>1767.0449718798691</v>
      </c>
      <c r="BE320">
        <v>4</v>
      </c>
      <c r="BF320">
        <v>7.6964651247849417E-2</v>
      </c>
      <c r="BG320">
        <v>6.6040679999999998</v>
      </c>
      <c r="BH320">
        <v>7.9389519999999996</v>
      </c>
      <c r="BI320">
        <v>33.703336</v>
      </c>
      <c r="BJ320">
        <v>0</v>
      </c>
      <c r="BK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S320">
        <v>0</v>
      </c>
      <c r="BT320">
        <v>0</v>
      </c>
      <c r="BU320">
        <v>0</v>
      </c>
      <c r="BX320">
        <v>17</v>
      </c>
      <c r="BZ320">
        <v>3.8482325623924708E-2</v>
      </c>
      <c r="CC320">
        <v>0.34944796725202643</v>
      </c>
    </row>
    <row r="321" spans="1:84" x14ac:dyDescent="0.3">
      <c r="A321" s="1">
        <v>27</v>
      </c>
      <c r="B321" t="s">
        <v>94</v>
      </c>
      <c r="C321" t="s">
        <v>138</v>
      </c>
      <c r="E321" t="s">
        <v>94</v>
      </c>
      <c r="F321">
        <v>3.2</v>
      </c>
      <c r="G321" t="s">
        <v>139</v>
      </c>
      <c r="H321">
        <v>-1</v>
      </c>
      <c r="I321">
        <v>-1</v>
      </c>
      <c r="J321">
        <v>8</v>
      </c>
      <c r="K321">
        <v>7.806</v>
      </c>
      <c r="L321">
        <v>7.6680000000000001</v>
      </c>
      <c r="M321">
        <v>21.54</v>
      </c>
      <c r="N321" t="s">
        <v>97</v>
      </c>
      <c r="O321">
        <v>10.77</v>
      </c>
      <c r="P321">
        <v>2</v>
      </c>
      <c r="Q321" t="s">
        <v>87</v>
      </c>
      <c r="R321">
        <v>1473</v>
      </c>
      <c r="S321">
        <v>48</v>
      </c>
      <c r="T321" t="b">
        <v>0</v>
      </c>
      <c r="U321" t="s">
        <v>125</v>
      </c>
      <c r="V321" t="s">
        <v>126</v>
      </c>
      <c r="W321">
        <v>0.1</v>
      </c>
      <c r="Y321">
        <v>2.85</v>
      </c>
      <c r="Z321">
        <v>14.3</v>
      </c>
      <c r="AC321" t="s">
        <v>90</v>
      </c>
      <c r="AD321">
        <v>450</v>
      </c>
      <c r="AF321" t="s">
        <v>91</v>
      </c>
      <c r="AH321">
        <v>3800</v>
      </c>
      <c r="AL321" t="b">
        <v>1</v>
      </c>
      <c r="AM321" t="b">
        <v>0</v>
      </c>
      <c r="AN321" t="b">
        <v>0</v>
      </c>
      <c r="AO321" t="b">
        <v>0</v>
      </c>
      <c r="AP321" t="s">
        <v>139</v>
      </c>
      <c r="AS321">
        <v>8.2427563457144775</v>
      </c>
      <c r="AT321">
        <v>1.7272727272727271</v>
      </c>
      <c r="AU321">
        <v>2.545454545454545</v>
      </c>
      <c r="AV321">
        <v>0.81818181818181823</v>
      </c>
      <c r="AW321">
        <v>0</v>
      </c>
      <c r="AX321">
        <v>0.3392857142857143</v>
      </c>
      <c r="AY321">
        <v>0.5</v>
      </c>
      <c r="AZ321">
        <v>0.1607142857142857</v>
      </c>
      <c r="BA321">
        <v>0</v>
      </c>
      <c r="BB321">
        <v>6.4269893564864544</v>
      </c>
      <c r="BC321">
        <v>14</v>
      </c>
      <c r="BD321">
        <v>165.66723991337099</v>
      </c>
      <c r="BE321">
        <v>1</v>
      </c>
      <c r="BF321">
        <v>8.4506749839743392E-2</v>
      </c>
      <c r="BG321">
        <v>3.9263319999999999</v>
      </c>
      <c r="BH321">
        <v>3.9263319999999999</v>
      </c>
      <c r="BI321">
        <v>10.74639</v>
      </c>
      <c r="BJ321">
        <v>0</v>
      </c>
      <c r="BK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S321">
        <v>0</v>
      </c>
      <c r="BT321">
        <v>0</v>
      </c>
      <c r="BU321">
        <v>0</v>
      </c>
      <c r="BV321">
        <v>1289.30702832</v>
      </c>
      <c r="BW321">
        <v>8.6868370015743157E-2</v>
      </c>
      <c r="BX321">
        <v>7</v>
      </c>
      <c r="BY321">
        <v>4.3434185007871579E-2</v>
      </c>
      <c r="BZ321">
        <v>4.2253374919871703E-2</v>
      </c>
      <c r="CC321">
        <v>0.41874907041247761</v>
      </c>
      <c r="CF321">
        <v>0.43045140490342221</v>
      </c>
    </row>
    <row r="322" spans="1:84" x14ac:dyDescent="0.3">
      <c r="A322" s="1">
        <v>28</v>
      </c>
      <c r="B322" t="s">
        <v>94</v>
      </c>
      <c r="C322" t="s">
        <v>138</v>
      </c>
      <c r="E322" t="s">
        <v>94</v>
      </c>
      <c r="F322">
        <v>3.35</v>
      </c>
      <c r="G322" t="s">
        <v>139</v>
      </c>
      <c r="H322">
        <v>-1</v>
      </c>
      <c r="I322">
        <v>-1</v>
      </c>
      <c r="J322">
        <v>1</v>
      </c>
      <c r="K322">
        <v>3.8849999999999998</v>
      </c>
      <c r="L322">
        <v>3.8849999999999998</v>
      </c>
      <c r="M322">
        <v>10.989000000000001</v>
      </c>
      <c r="N322" t="s">
        <v>101</v>
      </c>
      <c r="O322">
        <v>10.989000000000001</v>
      </c>
      <c r="P322">
        <v>2</v>
      </c>
      <c r="Q322" t="s">
        <v>87</v>
      </c>
      <c r="R322">
        <v>1473</v>
      </c>
      <c r="S322">
        <v>48</v>
      </c>
      <c r="T322" t="b">
        <v>0</v>
      </c>
      <c r="U322" t="s">
        <v>125</v>
      </c>
      <c r="V322" t="s">
        <v>126</v>
      </c>
      <c r="W322">
        <v>0.1</v>
      </c>
      <c r="Y322">
        <v>2.85</v>
      </c>
      <c r="Z322">
        <v>14.3</v>
      </c>
      <c r="AC322" t="s">
        <v>90</v>
      </c>
      <c r="AD322">
        <v>450</v>
      </c>
      <c r="AF322" t="s">
        <v>91</v>
      </c>
      <c r="AH322">
        <v>2600</v>
      </c>
      <c r="AL322" t="b">
        <v>1</v>
      </c>
      <c r="AM322" t="b">
        <v>0</v>
      </c>
      <c r="AN322" t="b">
        <v>0</v>
      </c>
      <c r="AO322" t="b">
        <v>0</v>
      </c>
      <c r="AP322" t="s">
        <v>139</v>
      </c>
      <c r="AS322">
        <v>7.8632667240095726</v>
      </c>
      <c r="AT322">
        <v>1.7272727272727271</v>
      </c>
      <c r="AU322">
        <v>2.545454545454545</v>
      </c>
      <c r="AV322">
        <v>0.81818181818181823</v>
      </c>
      <c r="AW322">
        <v>0</v>
      </c>
      <c r="AX322">
        <v>0.3392857142857143</v>
      </c>
      <c r="AY322">
        <v>0.5</v>
      </c>
      <c r="AZ322">
        <v>0.1607142857142857</v>
      </c>
      <c r="BA322">
        <v>0</v>
      </c>
      <c r="BB322">
        <v>6.4269893564864544</v>
      </c>
      <c r="BC322">
        <v>14</v>
      </c>
      <c r="BD322">
        <v>165.66723991337099</v>
      </c>
      <c r="BE322">
        <v>1</v>
      </c>
      <c r="BF322">
        <v>8.4506749839743392E-2</v>
      </c>
      <c r="BG322">
        <v>3.9263319999999999</v>
      </c>
      <c r="BH322">
        <v>3.9263319999999999</v>
      </c>
      <c r="BI322">
        <v>10.74639</v>
      </c>
      <c r="BJ322">
        <v>0</v>
      </c>
      <c r="BK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S322">
        <v>0</v>
      </c>
      <c r="BT322">
        <v>0</v>
      </c>
      <c r="BU322">
        <v>0</v>
      </c>
      <c r="BV322">
        <v>165.859449525</v>
      </c>
      <c r="BW322">
        <v>8.4408817466199174E-2</v>
      </c>
      <c r="BX322">
        <v>7</v>
      </c>
      <c r="BY322">
        <v>4.2204408733099587E-2</v>
      </c>
      <c r="BZ322">
        <v>4.2253374919871703E-2</v>
      </c>
      <c r="CC322">
        <v>0.41874907041247761</v>
      </c>
      <c r="CF322">
        <v>0.41826379449708978</v>
      </c>
    </row>
    <row r="323" spans="1:84" x14ac:dyDescent="0.3">
      <c r="A323" s="1">
        <v>29</v>
      </c>
      <c r="B323" t="s">
        <v>94</v>
      </c>
      <c r="C323" t="s">
        <v>138</v>
      </c>
      <c r="E323" t="s">
        <v>94</v>
      </c>
      <c r="F323">
        <v>3.3</v>
      </c>
      <c r="G323" t="s">
        <v>139</v>
      </c>
      <c r="H323">
        <v>-1</v>
      </c>
      <c r="I323">
        <v>-1</v>
      </c>
      <c r="J323">
        <v>1</v>
      </c>
      <c r="K323">
        <v>3.9049999999999998</v>
      </c>
      <c r="L323">
        <v>3.9049999999999998</v>
      </c>
      <c r="M323">
        <v>11.185</v>
      </c>
      <c r="N323" t="s">
        <v>101</v>
      </c>
      <c r="O323">
        <v>11.185</v>
      </c>
      <c r="P323">
        <v>2</v>
      </c>
      <c r="Q323" t="s">
        <v>87</v>
      </c>
      <c r="R323">
        <v>1473</v>
      </c>
      <c r="S323">
        <v>48</v>
      </c>
      <c r="T323" t="b">
        <v>0</v>
      </c>
      <c r="U323" t="s">
        <v>125</v>
      </c>
      <c r="V323" t="s">
        <v>126</v>
      </c>
      <c r="W323">
        <v>0.1</v>
      </c>
      <c r="Y323">
        <v>2.85</v>
      </c>
      <c r="Z323">
        <v>14.3</v>
      </c>
      <c r="AC323" t="s">
        <v>90</v>
      </c>
      <c r="AD323">
        <v>450</v>
      </c>
      <c r="AF323" t="s">
        <v>91</v>
      </c>
      <c r="AH323">
        <v>2200</v>
      </c>
      <c r="AL323" t="b">
        <v>1</v>
      </c>
      <c r="AM323" t="b">
        <v>0</v>
      </c>
      <c r="AN323" t="b">
        <v>0</v>
      </c>
      <c r="AO323" t="b">
        <v>0</v>
      </c>
      <c r="AP323" t="s">
        <v>139</v>
      </c>
      <c r="AS323">
        <v>7.696212639346407</v>
      </c>
      <c r="AT323">
        <v>1.7272727272727271</v>
      </c>
      <c r="AU323">
        <v>2.545454545454545</v>
      </c>
      <c r="AV323">
        <v>0.81818181818181823</v>
      </c>
      <c r="AW323">
        <v>0</v>
      </c>
      <c r="AX323">
        <v>0.3392857142857143</v>
      </c>
      <c r="AY323">
        <v>0.5</v>
      </c>
      <c r="AZ323">
        <v>0.1607142857142857</v>
      </c>
      <c r="BA323">
        <v>0</v>
      </c>
      <c r="BB323">
        <v>6.4269893564864544</v>
      </c>
      <c r="BC323">
        <v>14</v>
      </c>
      <c r="BD323">
        <v>165.66723991337099</v>
      </c>
      <c r="BE323">
        <v>1</v>
      </c>
      <c r="BF323">
        <v>8.4506749839743392E-2</v>
      </c>
      <c r="BG323">
        <v>3.9263319999999999</v>
      </c>
      <c r="BH323">
        <v>3.9263319999999999</v>
      </c>
      <c r="BI323">
        <v>10.74639</v>
      </c>
      <c r="BJ323">
        <v>0</v>
      </c>
      <c r="BK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S323">
        <v>0</v>
      </c>
      <c r="BT323">
        <v>0</v>
      </c>
      <c r="BU323">
        <v>0</v>
      </c>
      <c r="BV323">
        <v>170.560344625</v>
      </c>
      <c r="BW323">
        <v>8.2082385743186062E-2</v>
      </c>
      <c r="BX323">
        <v>7</v>
      </c>
      <c r="BY323">
        <v>4.1041192871593031E-2</v>
      </c>
      <c r="BZ323">
        <v>4.2253374919871703E-2</v>
      </c>
      <c r="CC323">
        <v>0.41874907041247761</v>
      </c>
      <c r="CF323">
        <v>0.40673582633789218</v>
      </c>
    </row>
    <row r="324" spans="1:84" x14ac:dyDescent="0.3">
      <c r="A324" s="1">
        <v>30</v>
      </c>
      <c r="B324" t="s">
        <v>140</v>
      </c>
      <c r="C324" t="s">
        <v>141</v>
      </c>
      <c r="E324" t="s">
        <v>106</v>
      </c>
      <c r="F324">
        <v>3.35</v>
      </c>
      <c r="G324" t="s">
        <v>142</v>
      </c>
      <c r="H324">
        <v>1522043</v>
      </c>
      <c r="I324">
        <v>-1</v>
      </c>
      <c r="K324">
        <v>7.7270000000000003</v>
      </c>
      <c r="L324">
        <v>7.7270000000000003</v>
      </c>
      <c r="M324">
        <v>29.466000000000001</v>
      </c>
      <c r="N324" t="s">
        <v>110</v>
      </c>
      <c r="O324">
        <v>14.733000000000001</v>
      </c>
      <c r="P324">
        <v>3</v>
      </c>
      <c r="Q324" t="s">
        <v>87</v>
      </c>
      <c r="R324">
        <v>1473</v>
      </c>
      <c r="S324">
        <v>48</v>
      </c>
      <c r="T324" t="b">
        <v>0</v>
      </c>
      <c r="U324" t="s">
        <v>125</v>
      </c>
      <c r="V324" t="s">
        <v>126</v>
      </c>
      <c r="W324">
        <v>0.1</v>
      </c>
      <c r="Y324">
        <v>2.85</v>
      </c>
      <c r="Z324">
        <v>14.3</v>
      </c>
      <c r="AC324" t="s">
        <v>90</v>
      </c>
      <c r="AD324">
        <v>450</v>
      </c>
      <c r="AF324" t="s">
        <v>91</v>
      </c>
      <c r="AH324">
        <v>19000</v>
      </c>
      <c r="AI324" t="s">
        <v>144</v>
      </c>
      <c r="AJ324" t="s">
        <v>144</v>
      </c>
      <c r="AL324" t="b">
        <v>1</v>
      </c>
      <c r="AM324" t="b">
        <v>1</v>
      </c>
      <c r="AN324" t="b">
        <v>0</v>
      </c>
      <c r="AO324" t="b">
        <v>0</v>
      </c>
      <c r="AP324" t="s">
        <v>157</v>
      </c>
      <c r="AQ324" t="s">
        <v>158</v>
      </c>
      <c r="AS324">
        <v>9.8521942581485771</v>
      </c>
      <c r="AT324">
        <v>1.75</v>
      </c>
      <c r="AU324">
        <v>2.5</v>
      </c>
      <c r="AV324">
        <v>0.75</v>
      </c>
      <c r="AW324">
        <v>0</v>
      </c>
      <c r="AX324">
        <v>0.35</v>
      </c>
      <c r="AY324">
        <v>0.5</v>
      </c>
      <c r="AZ324">
        <v>0.15</v>
      </c>
      <c r="BA324">
        <v>0</v>
      </c>
      <c r="BB324">
        <v>6.2640154224906874</v>
      </c>
      <c r="BC324">
        <v>20</v>
      </c>
      <c r="BD324">
        <v>242.1279024923125</v>
      </c>
      <c r="BE324">
        <v>1</v>
      </c>
      <c r="BF324">
        <v>8.2600971611006269E-2</v>
      </c>
      <c r="BG324">
        <v>3.950634</v>
      </c>
      <c r="BH324">
        <v>3.950634</v>
      </c>
      <c r="BI324">
        <v>15.513552000000001</v>
      </c>
      <c r="BJ324">
        <v>227.970829547178</v>
      </c>
      <c r="BK324">
        <v>1</v>
      </c>
      <c r="BL324">
        <v>8.7730522539775438E-2</v>
      </c>
      <c r="BM324">
        <v>3.8658999999999999</v>
      </c>
      <c r="BN324">
        <v>3.8658999999999999</v>
      </c>
      <c r="BO324">
        <v>15.2538</v>
      </c>
      <c r="BP324">
        <v>0</v>
      </c>
      <c r="BQ324">
        <v>0</v>
      </c>
      <c r="BS324">
        <v>0</v>
      </c>
      <c r="BT324">
        <v>0</v>
      </c>
      <c r="BU324">
        <v>0</v>
      </c>
      <c r="BV324">
        <v>1759.3125835139999</v>
      </c>
      <c r="BX324">
        <v>10</v>
      </c>
      <c r="BZ324">
        <v>4.1300485805503127E-2</v>
      </c>
      <c r="CA324">
        <v>4.3865261269887719E-2</v>
      </c>
      <c r="CC324">
        <v>0.42195359024583579</v>
      </c>
      <c r="CD324">
        <v>0.44815706447294301</v>
      </c>
    </row>
    <row r="325" spans="1:84" x14ac:dyDescent="0.3">
      <c r="A325" s="1">
        <v>31</v>
      </c>
      <c r="B325" t="s">
        <v>140</v>
      </c>
      <c r="C325" t="s">
        <v>141</v>
      </c>
      <c r="E325" t="s">
        <v>106</v>
      </c>
      <c r="F325">
        <v>3.5</v>
      </c>
      <c r="G325" t="s">
        <v>142</v>
      </c>
      <c r="H325">
        <v>1522043</v>
      </c>
      <c r="I325">
        <v>-1</v>
      </c>
      <c r="K325">
        <v>7.7249999999999996</v>
      </c>
      <c r="L325">
        <v>7.7249999999999996</v>
      </c>
      <c r="M325">
        <v>14.909000000000001</v>
      </c>
      <c r="N325" t="s">
        <v>115</v>
      </c>
      <c r="O325">
        <v>14.909000000000001</v>
      </c>
      <c r="P325">
        <v>3</v>
      </c>
      <c r="Q325" t="s">
        <v>87</v>
      </c>
      <c r="R325">
        <v>1473</v>
      </c>
      <c r="S325">
        <v>48</v>
      </c>
      <c r="T325" t="b">
        <v>0</v>
      </c>
      <c r="U325" t="s">
        <v>125</v>
      </c>
      <c r="V325" t="s">
        <v>126</v>
      </c>
      <c r="W325">
        <v>0.1</v>
      </c>
      <c r="Y325">
        <v>2.85</v>
      </c>
      <c r="Z325">
        <v>14.3</v>
      </c>
      <c r="AC325" t="s">
        <v>90</v>
      </c>
      <c r="AD325">
        <v>450</v>
      </c>
      <c r="AF325" t="s">
        <v>91</v>
      </c>
      <c r="AH325">
        <v>17000</v>
      </c>
      <c r="AI325" t="s">
        <v>144</v>
      </c>
      <c r="AJ325" t="s">
        <v>144</v>
      </c>
      <c r="AL325" t="b">
        <v>1</v>
      </c>
      <c r="AM325" t="b">
        <v>1</v>
      </c>
      <c r="AN325" t="b">
        <v>0</v>
      </c>
      <c r="AO325" t="b">
        <v>0</v>
      </c>
      <c r="AP325" t="s">
        <v>159</v>
      </c>
      <c r="AQ325" t="s">
        <v>160</v>
      </c>
      <c r="AS325">
        <v>9.7409686230383539</v>
      </c>
      <c r="AT325">
        <v>1.75</v>
      </c>
      <c r="AU325">
        <v>2.5</v>
      </c>
      <c r="AV325">
        <v>0.75</v>
      </c>
      <c r="AW325">
        <v>0</v>
      </c>
      <c r="AX325">
        <v>0.35</v>
      </c>
      <c r="AY325">
        <v>0.5</v>
      </c>
      <c r="AZ325">
        <v>0.15</v>
      </c>
      <c r="BA325">
        <v>0</v>
      </c>
      <c r="BB325">
        <v>6.2640154224906874</v>
      </c>
      <c r="BC325">
        <v>20</v>
      </c>
      <c r="BD325">
        <v>242.1279024923125</v>
      </c>
      <c r="BE325">
        <v>1</v>
      </c>
      <c r="BF325">
        <v>8.2600971611006269E-2</v>
      </c>
      <c r="BG325">
        <v>3.950634</v>
      </c>
      <c r="BH325">
        <v>3.950634</v>
      </c>
      <c r="BI325">
        <v>15.513552000000001</v>
      </c>
      <c r="BJ325">
        <v>227.970829547178</v>
      </c>
      <c r="BK325">
        <v>1</v>
      </c>
      <c r="BL325">
        <v>8.7730522539775438E-2</v>
      </c>
      <c r="BM325">
        <v>3.8658999999999999</v>
      </c>
      <c r="BN325">
        <v>3.8658999999999999</v>
      </c>
      <c r="BO325">
        <v>15.2538</v>
      </c>
      <c r="BP325">
        <v>0</v>
      </c>
      <c r="BQ325">
        <v>0</v>
      </c>
      <c r="BS325">
        <v>0</v>
      </c>
      <c r="BT325">
        <v>0</v>
      </c>
      <c r="BU325">
        <v>0</v>
      </c>
      <c r="BV325">
        <v>889.70389312500004</v>
      </c>
      <c r="BX325">
        <v>10</v>
      </c>
      <c r="BZ325">
        <v>4.1300485805503127E-2</v>
      </c>
      <c r="CA325">
        <v>4.3865261269887719E-2</v>
      </c>
      <c r="CC325">
        <v>0.42195359024583579</v>
      </c>
      <c r="CD325">
        <v>0.44815706447294301</v>
      </c>
    </row>
    <row r="326" spans="1:84" x14ac:dyDescent="0.3">
      <c r="A326" s="1">
        <v>32</v>
      </c>
      <c r="B326" t="s">
        <v>140</v>
      </c>
      <c r="C326" t="s">
        <v>141</v>
      </c>
      <c r="E326" t="s">
        <v>106</v>
      </c>
      <c r="F326">
        <v>3.5</v>
      </c>
      <c r="G326" t="s">
        <v>142</v>
      </c>
      <c r="H326">
        <v>1522043</v>
      </c>
      <c r="I326">
        <v>-1</v>
      </c>
      <c r="K326">
        <v>7.7270000000000003</v>
      </c>
      <c r="L326">
        <v>7.7270000000000003</v>
      </c>
      <c r="M326">
        <v>30.175999999999998</v>
      </c>
      <c r="N326" t="s">
        <v>110</v>
      </c>
      <c r="O326">
        <v>15.087999999999999</v>
      </c>
      <c r="P326">
        <v>3</v>
      </c>
      <c r="Q326" t="s">
        <v>87</v>
      </c>
      <c r="R326">
        <v>1473</v>
      </c>
      <c r="S326">
        <v>48</v>
      </c>
      <c r="T326" t="b">
        <v>0</v>
      </c>
      <c r="U326" t="s">
        <v>125</v>
      </c>
      <c r="V326" t="s">
        <v>126</v>
      </c>
      <c r="W326">
        <v>0.1</v>
      </c>
      <c r="Y326">
        <v>2.85</v>
      </c>
      <c r="Z326">
        <v>14.3</v>
      </c>
      <c r="AC326" t="s">
        <v>90</v>
      </c>
      <c r="AD326">
        <v>450</v>
      </c>
      <c r="AF326" t="s">
        <v>91</v>
      </c>
      <c r="AH326">
        <v>8300</v>
      </c>
      <c r="AI326" t="s">
        <v>144</v>
      </c>
      <c r="AJ326" t="s">
        <v>144</v>
      </c>
      <c r="AL326" t="b">
        <v>1</v>
      </c>
      <c r="AM326" t="b">
        <v>1</v>
      </c>
      <c r="AN326" t="b">
        <v>0</v>
      </c>
      <c r="AO326" t="b">
        <v>0</v>
      </c>
      <c r="AP326" t="s">
        <v>161</v>
      </c>
      <c r="AQ326" t="s">
        <v>162</v>
      </c>
      <c r="AS326">
        <v>9.0240107937846901</v>
      </c>
      <c r="AT326">
        <v>1.75</v>
      </c>
      <c r="AU326">
        <v>2.5</v>
      </c>
      <c r="AV326">
        <v>0.75</v>
      </c>
      <c r="AW326">
        <v>0</v>
      </c>
      <c r="AX326">
        <v>0.35</v>
      </c>
      <c r="AY326">
        <v>0.5</v>
      </c>
      <c r="AZ326">
        <v>0.15</v>
      </c>
      <c r="BA326">
        <v>0</v>
      </c>
      <c r="BB326">
        <v>6.2640154224906874</v>
      </c>
      <c r="BC326">
        <v>20</v>
      </c>
      <c r="BD326">
        <v>242.1279024923125</v>
      </c>
      <c r="BE326">
        <v>1</v>
      </c>
      <c r="BF326">
        <v>8.2600971611006269E-2</v>
      </c>
      <c r="BG326">
        <v>3.950634</v>
      </c>
      <c r="BH326">
        <v>3.950634</v>
      </c>
      <c r="BI326">
        <v>15.513552000000001</v>
      </c>
      <c r="BJ326">
        <v>227.970829547178</v>
      </c>
      <c r="BK326">
        <v>1</v>
      </c>
      <c r="BL326">
        <v>8.7730522539775438E-2</v>
      </c>
      <c r="BM326">
        <v>3.8658999999999999</v>
      </c>
      <c r="BN326">
        <v>3.8658999999999999</v>
      </c>
      <c r="BO326">
        <v>15.2538</v>
      </c>
      <c r="BP326">
        <v>0</v>
      </c>
      <c r="BQ326">
        <v>0</v>
      </c>
      <c r="BS326">
        <v>0</v>
      </c>
      <c r="BT326">
        <v>0</v>
      </c>
      <c r="BU326">
        <v>0</v>
      </c>
      <c r="BV326">
        <v>1801.704219104</v>
      </c>
      <c r="BX326">
        <v>10</v>
      </c>
      <c r="BZ326">
        <v>4.1300485805503127E-2</v>
      </c>
      <c r="CA326">
        <v>4.3865261269887719E-2</v>
      </c>
      <c r="CC326">
        <v>0.42195359024583579</v>
      </c>
      <c r="CD326">
        <v>0.44815706447294301</v>
      </c>
    </row>
    <row r="327" spans="1:84" x14ac:dyDescent="0.3">
      <c r="A327" s="1">
        <v>33</v>
      </c>
      <c r="B327" t="s">
        <v>151</v>
      </c>
      <c r="C327" t="s">
        <v>152</v>
      </c>
      <c r="E327" t="s">
        <v>106</v>
      </c>
      <c r="F327">
        <v>3.16</v>
      </c>
      <c r="G327" t="s">
        <v>142</v>
      </c>
      <c r="H327">
        <v>1522043</v>
      </c>
      <c r="I327">
        <v>-1</v>
      </c>
      <c r="J327">
        <v>4</v>
      </c>
      <c r="K327">
        <v>7.8310000000000004</v>
      </c>
      <c r="L327">
        <v>7.8010000000000002</v>
      </c>
      <c r="M327">
        <v>15.05</v>
      </c>
      <c r="N327" t="s">
        <v>122</v>
      </c>
      <c r="O327">
        <v>15.05</v>
      </c>
      <c r="P327">
        <v>3</v>
      </c>
      <c r="Q327" t="s">
        <v>87</v>
      </c>
      <c r="R327">
        <v>1473</v>
      </c>
      <c r="S327">
        <v>48</v>
      </c>
      <c r="T327" t="b">
        <v>0</v>
      </c>
      <c r="U327" t="s">
        <v>125</v>
      </c>
      <c r="V327" t="s">
        <v>126</v>
      </c>
      <c r="W327">
        <v>0.1</v>
      </c>
      <c r="Y327">
        <v>2.85</v>
      </c>
      <c r="Z327">
        <v>14.3</v>
      </c>
      <c r="AC327" t="s">
        <v>90</v>
      </c>
      <c r="AD327">
        <v>450</v>
      </c>
      <c r="AF327" t="s">
        <v>91</v>
      </c>
      <c r="AH327">
        <v>43000</v>
      </c>
      <c r="AI327" t="s">
        <v>153</v>
      </c>
      <c r="AJ327" t="s">
        <v>153</v>
      </c>
      <c r="AL327" t="b">
        <v>1</v>
      </c>
      <c r="AM327" t="b">
        <v>1</v>
      </c>
      <c r="AN327" t="b">
        <v>0</v>
      </c>
      <c r="AO327" t="b">
        <v>0</v>
      </c>
      <c r="AP327" t="s">
        <v>163</v>
      </c>
      <c r="AQ327" t="s">
        <v>164</v>
      </c>
      <c r="AS327">
        <v>10.668955394675701</v>
      </c>
      <c r="AT327">
        <v>1.75</v>
      </c>
      <c r="AU327">
        <v>2.5</v>
      </c>
      <c r="AV327">
        <v>0.75</v>
      </c>
      <c r="AW327">
        <v>0</v>
      </c>
      <c r="AX327">
        <v>0.35</v>
      </c>
      <c r="AY327">
        <v>0.5</v>
      </c>
      <c r="AZ327">
        <v>0.15</v>
      </c>
      <c r="BA327">
        <v>0</v>
      </c>
      <c r="BB327">
        <v>6.2395921087406876</v>
      </c>
      <c r="BC327">
        <v>20</v>
      </c>
      <c r="BD327">
        <v>242.1279024923125</v>
      </c>
      <c r="BE327">
        <v>1</v>
      </c>
      <c r="BF327">
        <v>8.2600971611006269E-2</v>
      </c>
      <c r="BG327">
        <v>3.950634</v>
      </c>
      <c r="BH327">
        <v>3.950634</v>
      </c>
      <c r="BI327">
        <v>15.513552000000001</v>
      </c>
      <c r="BJ327">
        <v>227.970829547178</v>
      </c>
      <c r="BK327">
        <v>1</v>
      </c>
      <c r="BL327">
        <v>8.7730522539775438E-2</v>
      </c>
      <c r="BM327">
        <v>3.8658999999999999</v>
      </c>
      <c r="BN327">
        <v>3.8658999999999999</v>
      </c>
      <c r="BO327">
        <v>15.2538</v>
      </c>
      <c r="BP327">
        <v>0</v>
      </c>
      <c r="BQ327">
        <v>0</v>
      </c>
      <c r="BS327">
        <v>0</v>
      </c>
      <c r="BT327">
        <v>0</v>
      </c>
      <c r="BU327">
        <v>0</v>
      </c>
      <c r="BV327">
        <v>919.39894655000012</v>
      </c>
      <c r="BW327">
        <v>8.7013369223660861E-2</v>
      </c>
      <c r="BX327">
        <v>10</v>
      </c>
      <c r="BY327">
        <v>4.350668461183043E-2</v>
      </c>
      <c r="BZ327">
        <v>4.1300485805503127E-2</v>
      </c>
      <c r="CA327">
        <v>4.3865261269887719E-2</v>
      </c>
      <c r="CC327">
        <v>0.45027090848362911</v>
      </c>
      <c r="CD327">
        <v>0.47823289866077828</v>
      </c>
      <c r="CF327">
        <v>0.47432358296059918</v>
      </c>
    </row>
    <row r="328" spans="1:84" x14ac:dyDescent="0.3">
      <c r="A328" s="1">
        <v>39</v>
      </c>
      <c r="B328" t="s">
        <v>83</v>
      </c>
      <c r="C328" t="s">
        <v>84</v>
      </c>
      <c r="E328" t="s">
        <v>83</v>
      </c>
      <c r="F328">
        <v>3.3</v>
      </c>
      <c r="G328" t="s">
        <v>85</v>
      </c>
      <c r="H328" t="s">
        <v>86</v>
      </c>
      <c r="I328">
        <v>-1</v>
      </c>
      <c r="J328">
        <v>4</v>
      </c>
      <c r="K328">
        <v>6.6</v>
      </c>
      <c r="L328">
        <v>7.94</v>
      </c>
      <c r="M328">
        <v>33.700000000000003</v>
      </c>
      <c r="O328">
        <v>16.850000000000001</v>
      </c>
      <c r="Q328" t="s">
        <v>87</v>
      </c>
      <c r="R328">
        <v>1473</v>
      </c>
      <c r="S328">
        <v>48</v>
      </c>
      <c r="T328" t="b">
        <v>0</v>
      </c>
      <c r="U328" t="s">
        <v>172</v>
      </c>
      <c r="V328" t="s">
        <v>173</v>
      </c>
      <c r="W328">
        <v>0.1</v>
      </c>
      <c r="X328">
        <v>1</v>
      </c>
      <c r="Y328">
        <v>3.33</v>
      </c>
      <c r="Z328">
        <v>0</v>
      </c>
      <c r="AC328" t="s">
        <v>90</v>
      </c>
      <c r="AD328">
        <v>450</v>
      </c>
      <c r="AF328" t="s">
        <v>91</v>
      </c>
      <c r="AH328">
        <v>4</v>
      </c>
      <c r="AL328" t="b">
        <v>1</v>
      </c>
      <c r="AM328" t="b">
        <v>0</v>
      </c>
      <c r="AN328" t="b">
        <v>0</v>
      </c>
      <c r="AO328" t="b">
        <v>0</v>
      </c>
      <c r="AP328" t="s">
        <v>85</v>
      </c>
      <c r="AQ328" t="s">
        <v>86</v>
      </c>
      <c r="AS328">
        <v>1.386294361119891</v>
      </c>
      <c r="AT328">
        <v>1.62962962962963</v>
      </c>
      <c r="AU328">
        <v>2.518518518518519</v>
      </c>
      <c r="AV328">
        <v>0.88888888888888884</v>
      </c>
      <c r="AW328">
        <v>0</v>
      </c>
      <c r="AX328">
        <v>0.32352941176470579</v>
      </c>
      <c r="AY328">
        <v>0.5</v>
      </c>
      <c r="AZ328">
        <v>0.1764705882352941</v>
      </c>
      <c r="BA328">
        <v>0</v>
      </c>
      <c r="BB328">
        <v>5.9587386867222234</v>
      </c>
      <c r="BC328">
        <v>34</v>
      </c>
      <c r="BD328">
        <v>1767.0449718798691</v>
      </c>
      <c r="BE328">
        <v>4</v>
      </c>
      <c r="BF328">
        <v>7.6964651247849417E-2</v>
      </c>
      <c r="BG328">
        <v>6.6040679999999998</v>
      </c>
      <c r="BH328">
        <v>7.9389519999999996</v>
      </c>
      <c r="BI328">
        <v>33.703336</v>
      </c>
      <c r="BJ328">
        <v>1679.8210721820001</v>
      </c>
      <c r="BK328">
        <v>4</v>
      </c>
      <c r="BL328">
        <v>8.0961003676030277E-2</v>
      </c>
      <c r="BM328">
        <v>7.83</v>
      </c>
      <c r="BN328">
        <v>33.209989999999998</v>
      </c>
      <c r="BO328">
        <v>6.46</v>
      </c>
      <c r="BP328">
        <v>0</v>
      </c>
      <c r="BQ328">
        <v>0</v>
      </c>
      <c r="BS328">
        <v>0</v>
      </c>
      <c r="BT328">
        <v>0</v>
      </c>
      <c r="BU328">
        <v>0</v>
      </c>
      <c r="BV328">
        <v>1766.0147999999999</v>
      </c>
      <c r="BW328">
        <v>7.7009547145358015E-2</v>
      </c>
      <c r="BX328">
        <v>17</v>
      </c>
      <c r="BY328">
        <v>3.8504773572679007E-2</v>
      </c>
      <c r="BZ328">
        <v>3.8482325623924708E-2</v>
      </c>
      <c r="CA328">
        <v>4.0480501838015139E-2</v>
      </c>
      <c r="CC328">
        <v>0.48264383878002193</v>
      </c>
      <c r="CD328">
        <v>0.50770488753139875</v>
      </c>
      <c r="CF328">
        <v>0.48292538008460401</v>
      </c>
    </row>
    <row r="329" spans="1:84" x14ac:dyDescent="0.3">
      <c r="A329" s="1">
        <v>40</v>
      </c>
      <c r="B329" t="s">
        <v>83</v>
      </c>
      <c r="C329" t="s">
        <v>84</v>
      </c>
      <c r="E329" t="s">
        <v>83</v>
      </c>
      <c r="F329">
        <v>3.3</v>
      </c>
      <c r="G329" t="s">
        <v>85</v>
      </c>
      <c r="H329" t="s">
        <v>86</v>
      </c>
      <c r="I329">
        <v>-1</v>
      </c>
      <c r="J329">
        <v>4</v>
      </c>
      <c r="K329">
        <v>6.6</v>
      </c>
      <c r="L329">
        <v>7.94</v>
      </c>
      <c r="M329">
        <v>33.700000000000003</v>
      </c>
      <c r="O329">
        <v>16.850000000000001</v>
      </c>
      <c r="Q329" t="s">
        <v>87</v>
      </c>
      <c r="R329">
        <v>1473</v>
      </c>
      <c r="S329">
        <v>48</v>
      </c>
      <c r="T329" t="b">
        <v>0</v>
      </c>
      <c r="U329" t="s">
        <v>172</v>
      </c>
      <c r="V329" t="s">
        <v>173</v>
      </c>
      <c r="W329">
        <v>0.1</v>
      </c>
      <c r="X329">
        <v>1</v>
      </c>
      <c r="Y329">
        <v>3.33</v>
      </c>
      <c r="Z329">
        <v>3</v>
      </c>
      <c r="AC329" t="s">
        <v>90</v>
      </c>
      <c r="AD329">
        <v>450</v>
      </c>
      <c r="AF329" t="s">
        <v>91</v>
      </c>
      <c r="AH329">
        <v>667</v>
      </c>
      <c r="AL329" t="b">
        <v>1</v>
      </c>
      <c r="AM329" t="b">
        <v>0</v>
      </c>
      <c r="AN329" t="b">
        <v>0</v>
      </c>
      <c r="AO329" t="b">
        <v>0</v>
      </c>
      <c r="AP329" t="s">
        <v>85</v>
      </c>
      <c r="AQ329" t="s">
        <v>86</v>
      </c>
      <c r="AS329">
        <v>6.5027900459156234</v>
      </c>
      <c r="AT329">
        <v>1.62962962962963</v>
      </c>
      <c r="AU329">
        <v>2.518518518518519</v>
      </c>
      <c r="AV329">
        <v>0.88888888888888884</v>
      </c>
      <c r="AW329">
        <v>0</v>
      </c>
      <c r="AX329">
        <v>0.32352941176470579</v>
      </c>
      <c r="AY329">
        <v>0.5</v>
      </c>
      <c r="AZ329">
        <v>0.1764705882352941</v>
      </c>
      <c r="BA329">
        <v>0</v>
      </c>
      <c r="BB329">
        <v>5.9587386867222234</v>
      </c>
      <c r="BC329">
        <v>34</v>
      </c>
      <c r="BD329">
        <v>1767.0449718798691</v>
      </c>
      <c r="BE329">
        <v>4</v>
      </c>
      <c r="BF329">
        <v>7.6964651247849417E-2</v>
      </c>
      <c r="BG329">
        <v>6.6040679999999998</v>
      </c>
      <c r="BH329">
        <v>7.9389519999999996</v>
      </c>
      <c r="BI329">
        <v>33.703336</v>
      </c>
      <c r="BJ329">
        <v>1679.8210721820001</v>
      </c>
      <c r="BK329">
        <v>4</v>
      </c>
      <c r="BL329">
        <v>8.0961003676030277E-2</v>
      </c>
      <c r="BM329">
        <v>7.83</v>
      </c>
      <c r="BN329">
        <v>33.209989999999998</v>
      </c>
      <c r="BO329">
        <v>6.46</v>
      </c>
      <c r="BP329">
        <v>0</v>
      </c>
      <c r="BQ329">
        <v>0</v>
      </c>
      <c r="BS329">
        <v>0</v>
      </c>
      <c r="BT329">
        <v>0</v>
      </c>
      <c r="BU329">
        <v>0</v>
      </c>
      <c r="BV329">
        <v>1766.0147999999999</v>
      </c>
      <c r="BW329">
        <v>7.7009547145358015E-2</v>
      </c>
      <c r="BX329">
        <v>17</v>
      </c>
      <c r="BY329">
        <v>3.8504773572679007E-2</v>
      </c>
      <c r="BZ329">
        <v>3.8482325623924708E-2</v>
      </c>
      <c r="CA329">
        <v>4.0480501838015139E-2</v>
      </c>
      <c r="CC329">
        <v>0.48264383878002193</v>
      </c>
      <c r="CD329">
        <v>0.50770488753139875</v>
      </c>
      <c r="CF329">
        <v>0.48292538008460401</v>
      </c>
    </row>
    <row r="330" spans="1:84" x14ac:dyDescent="0.3">
      <c r="A330" s="1">
        <v>50</v>
      </c>
      <c r="B330" t="s">
        <v>128</v>
      </c>
      <c r="C330" t="s">
        <v>129</v>
      </c>
      <c r="E330" t="s">
        <v>130</v>
      </c>
      <c r="F330">
        <v>3</v>
      </c>
      <c r="G330" t="s">
        <v>131</v>
      </c>
      <c r="H330" t="s">
        <v>132</v>
      </c>
      <c r="I330">
        <v>-1</v>
      </c>
      <c r="O330">
        <v>0</v>
      </c>
      <c r="Q330" t="s">
        <v>87</v>
      </c>
      <c r="T330" t="b">
        <v>0</v>
      </c>
      <c r="U330" t="s">
        <v>125</v>
      </c>
      <c r="V330" t="s">
        <v>126</v>
      </c>
      <c r="W330">
        <v>0.1</v>
      </c>
      <c r="X330">
        <v>42.7</v>
      </c>
      <c r="Y330">
        <v>1</v>
      </c>
      <c r="Z330">
        <v>0</v>
      </c>
      <c r="AC330" t="s">
        <v>90</v>
      </c>
      <c r="AD330">
        <v>400</v>
      </c>
      <c r="AE330">
        <v>254</v>
      </c>
      <c r="AF330" t="s">
        <v>91</v>
      </c>
      <c r="AH330">
        <v>0.3</v>
      </c>
      <c r="AL330" t="b">
        <v>1</v>
      </c>
      <c r="AM330" t="b">
        <v>0</v>
      </c>
      <c r="AN330" t="b">
        <v>0</v>
      </c>
      <c r="AO330" t="b">
        <v>0</v>
      </c>
      <c r="AP330" t="s">
        <v>131</v>
      </c>
      <c r="AQ330" t="s">
        <v>132</v>
      </c>
      <c r="AS330">
        <v>-1.2039728043259359</v>
      </c>
      <c r="AT330">
        <v>2</v>
      </c>
      <c r="AU330">
        <v>2.666666666666667</v>
      </c>
      <c r="AV330">
        <v>0.66666666666666663</v>
      </c>
      <c r="AW330">
        <v>0</v>
      </c>
      <c r="AX330">
        <v>0.375</v>
      </c>
      <c r="AY330">
        <v>0.5</v>
      </c>
      <c r="AZ330">
        <v>0.125</v>
      </c>
      <c r="BA330">
        <v>0</v>
      </c>
      <c r="BB330">
        <v>6.1770001596666662</v>
      </c>
      <c r="BC330">
        <v>4</v>
      </c>
      <c r="BD330">
        <v>1182.741260108548</v>
      </c>
      <c r="BE330">
        <v>30</v>
      </c>
      <c r="BF330">
        <v>0.1014592151701775</v>
      </c>
      <c r="BG330">
        <v>10.59112378</v>
      </c>
      <c r="BH330">
        <v>10.784736629999999</v>
      </c>
      <c r="BI330">
        <v>10.486176179999999</v>
      </c>
      <c r="BJ330">
        <v>130.36387300000001</v>
      </c>
      <c r="BK330">
        <v>4</v>
      </c>
      <c r="BL330">
        <v>0.1227333894874388</v>
      </c>
      <c r="BM330">
        <v>3.73</v>
      </c>
      <c r="BN330">
        <v>3.73</v>
      </c>
      <c r="BO330">
        <v>9.3699999999999992</v>
      </c>
      <c r="BP330">
        <v>0</v>
      </c>
      <c r="BQ330">
        <v>0</v>
      </c>
      <c r="BS330">
        <v>0</v>
      </c>
      <c r="BT330">
        <v>0</v>
      </c>
      <c r="BU330">
        <v>0</v>
      </c>
      <c r="BX330">
        <v>2</v>
      </c>
      <c r="BZ330">
        <v>5.0729607585088737E-2</v>
      </c>
      <c r="CA330">
        <v>6.1366694743719377E-2</v>
      </c>
      <c r="CC330">
        <v>0.46900407026869612</v>
      </c>
      <c r="CD330">
        <v>0.56734579634715776</v>
      </c>
    </row>
    <row r="331" spans="1:84" x14ac:dyDescent="0.3">
      <c r="A331" s="1">
        <v>60</v>
      </c>
      <c r="B331" t="s">
        <v>218</v>
      </c>
      <c r="C331" t="s">
        <v>219</v>
      </c>
      <c r="F331">
        <v>2.74</v>
      </c>
      <c r="G331" t="s">
        <v>220</v>
      </c>
      <c r="H331" t="s">
        <v>221</v>
      </c>
      <c r="I331">
        <v>-1</v>
      </c>
      <c r="Q331" t="s">
        <v>87</v>
      </c>
      <c r="R331">
        <v>1323</v>
      </c>
      <c r="S331">
        <v>24</v>
      </c>
      <c r="T331" t="b">
        <v>0</v>
      </c>
      <c r="U331" t="s">
        <v>125</v>
      </c>
      <c r="V331" t="s">
        <v>126</v>
      </c>
      <c r="W331">
        <v>0.1</v>
      </c>
      <c r="Y331">
        <v>1.5</v>
      </c>
      <c r="Z331">
        <v>15</v>
      </c>
      <c r="AC331" t="s">
        <v>165</v>
      </c>
      <c r="AD331">
        <v>450</v>
      </c>
      <c r="AE331">
        <v>420</v>
      </c>
      <c r="AF331" t="s">
        <v>91</v>
      </c>
      <c r="AH331">
        <v>11.7</v>
      </c>
      <c r="AI331" t="s">
        <v>222</v>
      </c>
      <c r="AJ331" t="s">
        <v>222</v>
      </c>
      <c r="AL331" t="b">
        <v>1</v>
      </c>
      <c r="AM331" t="b">
        <v>1</v>
      </c>
      <c r="AN331" t="b">
        <v>0</v>
      </c>
      <c r="AO331" t="b">
        <v>0</v>
      </c>
      <c r="AP331" t="s">
        <v>223</v>
      </c>
      <c r="AQ331" t="s">
        <v>224</v>
      </c>
      <c r="AS331">
        <v>2.45958884180371</v>
      </c>
      <c r="AT331">
        <v>1.871428571428571</v>
      </c>
      <c r="AU331">
        <v>3.1428571428571428</v>
      </c>
      <c r="AV331">
        <v>2.714285714285714</v>
      </c>
      <c r="AW331">
        <v>3.2</v>
      </c>
      <c r="AX331">
        <v>0.17124183006535951</v>
      </c>
      <c r="AY331">
        <v>0.28758169934640521</v>
      </c>
      <c r="AZ331">
        <v>0.2483660130718954</v>
      </c>
      <c r="BA331">
        <v>0.29281045751633977</v>
      </c>
      <c r="BB331">
        <v>6.2676799262499996</v>
      </c>
      <c r="BC331">
        <v>18</v>
      </c>
      <c r="BD331">
        <v>197.4403766939285</v>
      </c>
      <c r="BE331">
        <v>1</v>
      </c>
      <c r="BF331">
        <v>9.1166762854710051E-2</v>
      </c>
      <c r="BG331">
        <v>12.868820120000001</v>
      </c>
      <c r="BH331">
        <v>12.868820120000001</v>
      </c>
      <c r="BI331">
        <v>12.868820120000001</v>
      </c>
      <c r="BJ331">
        <v>789.87506903020289</v>
      </c>
      <c r="BK331">
        <v>1</v>
      </c>
      <c r="BL331">
        <v>2.2788413897023151E-2</v>
      </c>
      <c r="BM331">
        <v>5.5453000000000001</v>
      </c>
      <c r="BN331">
        <v>5.5453000000000001</v>
      </c>
      <c r="BO331">
        <v>25.686699999999998</v>
      </c>
      <c r="BP331">
        <v>0</v>
      </c>
      <c r="BQ331">
        <v>0</v>
      </c>
      <c r="BS331">
        <v>0</v>
      </c>
      <c r="BT331">
        <v>0</v>
      </c>
      <c r="BU331">
        <v>0</v>
      </c>
      <c r="BX331">
        <v>9</v>
      </c>
      <c r="BZ331">
        <v>4.5583381427355033E-2</v>
      </c>
      <c r="CA331">
        <v>1.1394206948511581E-2</v>
      </c>
      <c r="CC331">
        <v>0.51966199737279162</v>
      </c>
      <c r="CD331">
        <v>0.1298968210767518</v>
      </c>
    </row>
    <row r="332" spans="1:84" x14ac:dyDescent="0.3">
      <c r="A332" s="1">
        <v>61</v>
      </c>
      <c r="B332" t="s">
        <v>225</v>
      </c>
      <c r="C332" t="s">
        <v>226</v>
      </c>
      <c r="F332">
        <v>2.74</v>
      </c>
      <c r="G332" t="s">
        <v>220</v>
      </c>
      <c r="H332" t="s">
        <v>221</v>
      </c>
      <c r="I332">
        <v>-1</v>
      </c>
      <c r="Q332" t="s">
        <v>87</v>
      </c>
      <c r="R332">
        <v>1323</v>
      </c>
      <c r="S332">
        <v>24</v>
      </c>
      <c r="T332" t="b">
        <v>0</v>
      </c>
      <c r="U332" t="s">
        <v>125</v>
      </c>
      <c r="V332" t="s">
        <v>126</v>
      </c>
      <c r="W332">
        <v>0.1</v>
      </c>
      <c r="Y332">
        <v>1.5</v>
      </c>
      <c r="Z332">
        <v>15</v>
      </c>
      <c r="AC332" t="s">
        <v>165</v>
      </c>
      <c r="AD332">
        <v>450</v>
      </c>
      <c r="AE332">
        <v>420</v>
      </c>
      <c r="AF332" t="s">
        <v>91</v>
      </c>
      <c r="AH332">
        <v>15.3</v>
      </c>
      <c r="AI332" t="s">
        <v>227</v>
      </c>
      <c r="AJ332" t="s">
        <v>227</v>
      </c>
      <c r="AL332" t="b">
        <v>1</v>
      </c>
      <c r="AM332" t="b">
        <v>1</v>
      </c>
      <c r="AN332" t="b">
        <v>0</v>
      </c>
      <c r="AO332" t="b">
        <v>0</v>
      </c>
      <c r="AP332" t="s">
        <v>228</v>
      </c>
      <c r="AQ332" t="s">
        <v>229</v>
      </c>
      <c r="AS332">
        <v>2.7278528283983898</v>
      </c>
      <c r="AT332">
        <v>1.8678571428571431</v>
      </c>
      <c r="AU332">
        <v>3.1428571428571428</v>
      </c>
      <c r="AV332">
        <v>2.714285714285714</v>
      </c>
      <c r="AW332">
        <v>3.15</v>
      </c>
      <c r="AX332">
        <v>0.1717569786535304</v>
      </c>
      <c r="AY332">
        <v>0.28899835796387519</v>
      </c>
      <c r="AZ332">
        <v>0.24958949096880129</v>
      </c>
      <c r="BA332">
        <v>0.28965517241379313</v>
      </c>
      <c r="BB332">
        <v>6.2658865801428556</v>
      </c>
      <c r="BC332">
        <v>18</v>
      </c>
      <c r="BD332">
        <v>197.4403766939285</v>
      </c>
      <c r="BE332">
        <v>1</v>
      </c>
      <c r="BF332">
        <v>9.1166762854710051E-2</v>
      </c>
      <c r="BG332">
        <v>12.868820120000001</v>
      </c>
      <c r="BH332">
        <v>12.868820120000001</v>
      </c>
      <c r="BI332">
        <v>12.868820120000001</v>
      </c>
      <c r="BJ332">
        <v>789.87506903020289</v>
      </c>
      <c r="BK332">
        <v>1</v>
      </c>
      <c r="BL332">
        <v>2.2788413897023151E-2</v>
      </c>
      <c r="BM332">
        <v>5.5453000000000001</v>
      </c>
      <c r="BN332">
        <v>5.5453000000000001</v>
      </c>
      <c r="BO332">
        <v>25.686699999999998</v>
      </c>
      <c r="BP332">
        <v>0</v>
      </c>
      <c r="BQ332">
        <v>0</v>
      </c>
      <c r="BS332">
        <v>0</v>
      </c>
      <c r="BT332">
        <v>0</v>
      </c>
      <c r="BU332">
        <v>0</v>
      </c>
      <c r="BX332">
        <v>9</v>
      </c>
      <c r="BZ332">
        <v>4.5583381427355033E-2</v>
      </c>
      <c r="CA332">
        <v>1.1394206948511581E-2</v>
      </c>
      <c r="CC332">
        <v>0.51973553867477351</v>
      </c>
      <c r="CD332">
        <v>0.1299152037589445</v>
      </c>
    </row>
    <row r="333" spans="1:84" x14ac:dyDescent="0.3">
      <c r="A333" s="1">
        <v>62</v>
      </c>
      <c r="B333" t="s">
        <v>230</v>
      </c>
      <c r="C333" t="s">
        <v>231</v>
      </c>
      <c r="F333">
        <v>2.75</v>
      </c>
      <c r="G333" t="s">
        <v>220</v>
      </c>
      <c r="H333" t="s">
        <v>221</v>
      </c>
      <c r="I333">
        <v>-1</v>
      </c>
      <c r="Q333" t="s">
        <v>87</v>
      </c>
      <c r="R333">
        <v>1323</v>
      </c>
      <c r="S333">
        <v>24</v>
      </c>
      <c r="T333" t="b">
        <v>0</v>
      </c>
      <c r="U333" t="s">
        <v>125</v>
      </c>
      <c r="V333" t="s">
        <v>126</v>
      </c>
      <c r="W333">
        <v>0.1</v>
      </c>
      <c r="Y333">
        <v>1.5</v>
      </c>
      <c r="Z333">
        <v>15</v>
      </c>
      <c r="AC333" t="s">
        <v>165</v>
      </c>
      <c r="AD333">
        <v>450</v>
      </c>
      <c r="AE333">
        <v>420</v>
      </c>
      <c r="AF333" t="s">
        <v>91</v>
      </c>
      <c r="AH333">
        <v>9.1</v>
      </c>
      <c r="AI333" t="s">
        <v>232</v>
      </c>
      <c r="AJ333" t="s">
        <v>232</v>
      </c>
      <c r="AL333" t="b">
        <v>1</v>
      </c>
      <c r="AM333" t="b">
        <v>1</v>
      </c>
      <c r="AN333" t="b">
        <v>0</v>
      </c>
      <c r="AO333" t="b">
        <v>0</v>
      </c>
      <c r="AP333" t="s">
        <v>233</v>
      </c>
      <c r="AQ333" t="s">
        <v>234</v>
      </c>
      <c r="AS333">
        <v>2.2082744135228038</v>
      </c>
      <c r="AT333">
        <v>1.8642857142857141</v>
      </c>
      <c r="AU333">
        <v>3.1428571428571428</v>
      </c>
      <c r="AV333">
        <v>2.714285714285714</v>
      </c>
      <c r="AW333">
        <v>3.1</v>
      </c>
      <c r="AX333">
        <v>0.17227722772277229</v>
      </c>
      <c r="AY333">
        <v>0.29042904290429039</v>
      </c>
      <c r="AZ333">
        <v>0.25082508250825092</v>
      </c>
      <c r="BA333">
        <v>0.28646864686468648</v>
      </c>
      <c r="BB333">
        <v>6.2640932340357143</v>
      </c>
      <c r="BC333">
        <v>18</v>
      </c>
      <c r="BD333">
        <v>197.4403766939285</v>
      </c>
      <c r="BE333">
        <v>1</v>
      </c>
      <c r="BF333">
        <v>9.1166762854710051E-2</v>
      </c>
      <c r="BG333">
        <v>12.868820120000001</v>
      </c>
      <c r="BH333">
        <v>12.868820120000001</v>
      </c>
      <c r="BI333">
        <v>12.868820120000001</v>
      </c>
      <c r="BJ333">
        <v>789.87506903020289</v>
      </c>
      <c r="BK333">
        <v>1</v>
      </c>
      <c r="BL333">
        <v>2.2788413897023151E-2</v>
      </c>
      <c r="BM333">
        <v>5.5453000000000001</v>
      </c>
      <c r="BN333">
        <v>5.5453000000000001</v>
      </c>
      <c r="BO333">
        <v>25.686699999999998</v>
      </c>
      <c r="BP333">
        <v>0</v>
      </c>
      <c r="BQ333">
        <v>0</v>
      </c>
      <c r="BS333">
        <v>0</v>
      </c>
      <c r="BT333">
        <v>0</v>
      </c>
      <c r="BU333">
        <v>0</v>
      </c>
      <c r="BX333">
        <v>9</v>
      </c>
      <c r="BZ333">
        <v>4.5583381427355033E-2</v>
      </c>
      <c r="CA333">
        <v>1.1394206948511581E-2</v>
      </c>
      <c r="CC333">
        <v>0.51980907997675552</v>
      </c>
      <c r="CD333">
        <v>0.12993358644113709</v>
      </c>
    </row>
    <row r="334" spans="1:84" x14ac:dyDescent="0.3">
      <c r="A334" s="1">
        <v>63</v>
      </c>
      <c r="B334" t="s">
        <v>235</v>
      </c>
      <c r="C334" t="s">
        <v>236</v>
      </c>
      <c r="F334">
        <v>2.88</v>
      </c>
      <c r="G334" t="s">
        <v>220</v>
      </c>
      <c r="H334" t="s">
        <v>221</v>
      </c>
      <c r="I334">
        <v>-1</v>
      </c>
      <c r="J334">
        <v>4</v>
      </c>
      <c r="K334">
        <v>5.4960000000000004</v>
      </c>
      <c r="L334">
        <v>5.4960000000000004</v>
      </c>
      <c r="M334">
        <v>25.55</v>
      </c>
      <c r="N334" t="s">
        <v>197</v>
      </c>
      <c r="O334">
        <v>12.775</v>
      </c>
      <c r="P334">
        <v>4</v>
      </c>
      <c r="Q334" t="s">
        <v>87</v>
      </c>
      <c r="R334">
        <v>1323</v>
      </c>
      <c r="S334">
        <v>24</v>
      </c>
      <c r="T334" t="b">
        <v>0</v>
      </c>
      <c r="U334" t="s">
        <v>125</v>
      </c>
      <c r="V334" t="s">
        <v>126</v>
      </c>
      <c r="W334">
        <v>0.1</v>
      </c>
      <c r="Y334">
        <v>1.5</v>
      </c>
      <c r="Z334">
        <v>15</v>
      </c>
      <c r="AC334" t="s">
        <v>165</v>
      </c>
      <c r="AD334">
        <v>450</v>
      </c>
      <c r="AE334">
        <v>420</v>
      </c>
      <c r="AF334" t="s">
        <v>91</v>
      </c>
      <c r="AH334">
        <v>7.6</v>
      </c>
      <c r="AL334" t="b">
        <v>1</v>
      </c>
      <c r="AM334" t="b">
        <v>1</v>
      </c>
      <c r="AN334" t="b">
        <v>0</v>
      </c>
      <c r="AO334" t="b">
        <v>0</v>
      </c>
      <c r="AP334" t="s">
        <v>220</v>
      </c>
      <c r="AQ334" t="s">
        <v>221</v>
      </c>
      <c r="AS334">
        <v>2.0281482472922852</v>
      </c>
      <c r="AT334">
        <v>1.857142857142857</v>
      </c>
      <c r="AU334">
        <v>3.1428571428571428</v>
      </c>
      <c r="AV334">
        <v>2.714285714285714</v>
      </c>
      <c r="AW334">
        <v>3</v>
      </c>
      <c r="AX334">
        <v>0.17333333333333331</v>
      </c>
      <c r="AY334">
        <v>0.29333333333333328</v>
      </c>
      <c r="AZ334">
        <v>0.25333333333333341</v>
      </c>
      <c r="BA334">
        <v>0.28000000000000003</v>
      </c>
      <c r="BB334">
        <v>6.2605065418214281</v>
      </c>
      <c r="BC334">
        <v>18</v>
      </c>
      <c r="BD334">
        <v>197.4403766939285</v>
      </c>
      <c r="BE334">
        <v>1</v>
      </c>
      <c r="BF334">
        <v>9.1166762854710051E-2</v>
      </c>
      <c r="BG334">
        <v>12.868820120000001</v>
      </c>
      <c r="BH334">
        <v>12.868820120000001</v>
      </c>
      <c r="BI334">
        <v>12.868820120000001</v>
      </c>
      <c r="BJ334">
        <v>789.87506903020289</v>
      </c>
      <c r="BK334">
        <v>4</v>
      </c>
      <c r="BL334">
        <v>9.1153655588092616E-2</v>
      </c>
      <c r="BM334">
        <v>5.5453000000000001</v>
      </c>
      <c r="BN334">
        <v>5.5453000000000001</v>
      </c>
      <c r="BO334">
        <v>25.686699999999998</v>
      </c>
      <c r="BP334">
        <v>0</v>
      </c>
      <c r="BQ334">
        <v>0</v>
      </c>
      <c r="BS334">
        <v>0</v>
      </c>
      <c r="BT334">
        <v>0</v>
      </c>
      <c r="BU334">
        <v>0</v>
      </c>
      <c r="BV334">
        <v>771.76370880000013</v>
      </c>
      <c r="BW334">
        <v>9.3292803456580448E-2</v>
      </c>
      <c r="BX334">
        <v>9</v>
      </c>
      <c r="BY334">
        <v>4.6646401728290217E-2</v>
      </c>
      <c r="BZ334">
        <v>4.5583381427355033E-2</v>
      </c>
      <c r="CA334">
        <v>4.5576827794046308E-2</v>
      </c>
      <c r="CC334">
        <v>0.51995616258071931</v>
      </c>
      <c r="CD334">
        <v>0.51988140722208953</v>
      </c>
      <c r="CF334">
        <v>0.53208172104330353</v>
      </c>
    </row>
    <row r="335" spans="1:84" x14ac:dyDescent="0.3">
      <c r="A335" s="1">
        <v>64</v>
      </c>
      <c r="B335" t="s">
        <v>237</v>
      </c>
      <c r="C335" t="s">
        <v>238</v>
      </c>
      <c r="F335">
        <v>2.91</v>
      </c>
      <c r="G335" t="s">
        <v>220</v>
      </c>
      <c r="H335" t="s">
        <v>221</v>
      </c>
      <c r="I335">
        <v>-1</v>
      </c>
      <c r="Q335" t="s">
        <v>87</v>
      </c>
      <c r="R335">
        <v>1323</v>
      </c>
      <c r="S335">
        <v>24</v>
      </c>
      <c r="T335" t="b">
        <v>0</v>
      </c>
      <c r="U335" t="s">
        <v>125</v>
      </c>
      <c r="V335" t="s">
        <v>126</v>
      </c>
      <c r="W335">
        <v>0.1</v>
      </c>
      <c r="Y335">
        <v>1.5</v>
      </c>
      <c r="Z335">
        <v>15</v>
      </c>
      <c r="AC335" t="s">
        <v>165</v>
      </c>
      <c r="AD335">
        <v>450</v>
      </c>
      <c r="AE335">
        <v>420</v>
      </c>
      <c r="AF335" t="s">
        <v>91</v>
      </c>
      <c r="AH335">
        <v>2.8</v>
      </c>
      <c r="AI335" t="s">
        <v>239</v>
      </c>
      <c r="AJ335" t="s">
        <v>239</v>
      </c>
      <c r="AL335" t="b">
        <v>1</v>
      </c>
      <c r="AM335" t="b">
        <v>1</v>
      </c>
      <c r="AN335" t="b">
        <v>0</v>
      </c>
      <c r="AO335" t="b">
        <v>0</v>
      </c>
      <c r="AP335" t="s">
        <v>240</v>
      </c>
      <c r="AQ335" t="s">
        <v>241</v>
      </c>
      <c r="AS335">
        <v>1.0296194171811579</v>
      </c>
      <c r="AT335">
        <v>1.8642857142857141</v>
      </c>
      <c r="AU335">
        <v>3.1428571428571428</v>
      </c>
      <c r="AV335">
        <v>2.7</v>
      </c>
      <c r="AW335">
        <v>3</v>
      </c>
      <c r="AX335">
        <v>0.1741160773849233</v>
      </c>
      <c r="AY335">
        <v>0.29352901934623082</v>
      </c>
      <c r="AZ335">
        <v>0.25216811207471651</v>
      </c>
      <c r="BA335">
        <v>0.28018679119412943</v>
      </c>
      <c r="BB335">
        <v>6.2577472846785707</v>
      </c>
      <c r="BC335">
        <v>18</v>
      </c>
      <c r="BD335">
        <v>197.4403766939285</v>
      </c>
      <c r="BE335">
        <v>1</v>
      </c>
      <c r="BF335">
        <v>9.1166762854710051E-2</v>
      </c>
      <c r="BG335">
        <v>12.868820120000001</v>
      </c>
      <c r="BH335">
        <v>12.868820120000001</v>
      </c>
      <c r="BI335">
        <v>12.868820120000001</v>
      </c>
      <c r="BJ335">
        <v>789.87506903020289</v>
      </c>
      <c r="BK335">
        <v>1</v>
      </c>
      <c r="BL335">
        <v>2.2788413897023151E-2</v>
      </c>
      <c r="BM335">
        <v>5.5453000000000001</v>
      </c>
      <c r="BN335">
        <v>5.5453000000000001</v>
      </c>
      <c r="BO335">
        <v>25.686699999999998</v>
      </c>
      <c r="BP335">
        <v>0</v>
      </c>
      <c r="BQ335">
        <v>0</v>
      </c>
      <c r="BS335">
        <v>0</v>
      </c>
      <c r="BT335">
        <v>0</v>
      </c>
      <c r="BU335">
        <v>0</v>
      </c>
      <c r="BX335">
        <v>9</v>
      </c>
      <c r="BZ335">
        <v>4.5583381427355033E-2</v>
      </c>
      <c r="CA335">
        <v>1.1394206948511581E-2</v>
      </c>
      <c r="CC335">
        <v>0.51982662437409566</v>
      </c>
      <c r="CD335">
        <v>0.129937971909872</v>
      </c>
    </row>
    <row r="336" spans="1:84" x14ac:dyDescent="0.3">
      <c r="A336" s="1">
        <v>72</v>
      </c>
      <c r="B336" t="s">
        <v>252</v>
      </c>
      <c r="C336" t="s">
        <v>253</v>
      </c>
      <c r="F336">
        <v>3.02</v>
      </c>
      <c r="G336">
        <v>-1</v>
      </c>
      <c r="H336">
        <v>-1</v>
      </c>
      <c r="I336" t="s">
        <v>254</v>
      </c>
      <c r="Q336" t="s">
        <v>87</v>
      </c>
      <c r="R336">
        <v>1373</v>
      </c>
      <c r="S336">
        <v>48</v>
      </c>
      <c r="T336" t="b">
        <v>0</v>
      </c>
      <c r="U336" t="s">
        <v>172</v>
      </c>
      <c r="V336" t="s">
        <v>126</v>
      </c>
      <c r="W336">
        <v>0.1</v>
      </c>
      <c r="Y336">
        <v>1.5</v>
      </c>
      <c r="Z336">
        <v>15</v>
      </c>
      <c r="AC336" t="s">
        <v>165</v>
      </c>
      <c r="AD336">
        <v>450</v>
      </c>
      <c r="AE336">
        <v>400</v>
      </c>
      <c r="AF336" t="s">
        <v>91</v>
      </c>
      <c r="AH336">
        <v>37.33</v>
      </c>
      <c r="AL336" t="b">
        <v>0</v>
      </c>
      <c r="AM336" t="b">
        <v>0</v>
      </c>
      <c r="AN336" t="b">
        <v>1</v>
      </c>
      <c r="AO336" t="b">
        <v>0</v>
      </c>
      <c r="AP336">
        <v>-1</v>
      </c>
      <c r="AQ336">
        <v>-1</v>
      </c>
      <c r="AR336" t="s">
        <v>254</v>
      </c>
      <c r="AS336">
        <v>3.619797292926493</v>
      </c>
      <c r="AT336">
        <v>2</v>
      </c>
      <c r="AU336">
        <v>3.083333333333333</v>
      </c>
      <c r="AV336">
        <v>2.416666666666667</v>
      </c>
      <c r="AW336">
        <v>2.916666666666667</v>
      </c>
      <c r="AX336">
        <v>0.192</v>
      </c>
      <c r="AY336">
        <v>0.29599999999999999</v>
      </c>
      <c r="AZ336">
        <v>0.23200000000000001</v>
      </c>
      <c r="BA336">
        <v>0.28000000000000003</v>
      </c>
      <c r="BB336">
        <v>6.1351477771875</v>
      </c>
      <c r="BC336">
        <v>30</v>
      </c>
      <c r="BD336">
        <v>0</v>
      </c>
      <c r="BE336">
        <v>0</v>
      </c>
      <c r="BG336">
        <v>0</v>
      </c>
      <c r="BJ336">
        <v>0</v>
      </c>
      <c r="BK336">
        <v>0</v>
      </c>
      <c r="BM336">
        <v>0</v>
      </c>
      <c r="BP336">
        <v>1248.0524760000001</v>
      </c>
      <c r="BQ336">
        <v>4</v>
      </c>
      <c r="BR336">
        <v>9.6149803239523393E-2</v>
      </c>
      <c r="BS336">
        <v>41.36</v>
      </c>
      <c r="BT336">
        <v>5.4370000000000003</v>
      </c>
      <c r="BU336">
        <v>5.55</v>
      </c>
      <c r="BX336">
        <v>15</v>
      </c>
      <c r="CB336">
        <v>4.8074901619761697E-2</v>
      </c>
      <c r="CE336">
        <v>0.54262291872081636</v>
      </c>
    </row>
    <row r="337" spans="1:84" x14ac:dyDescent="0.3">
      <c r="A337" s="1">
        <v>73</v>
      </c>
      <c r="B337" t="s">
        <v>235</v>
      </c>
      <c r="C337" t="s">
        <v>236</v>
      </c>
      <c r="F337">
        <v>2.88</v>
      </c>
      <c r="G337" t="s">
        <v>220</v>
      </c>
      <c r="H337" t="s">
        <v>221</v>
      </c>
      <c r="I337">
        <v>-1</v>
      </c>
      <c r="J337">
        <v>4</v>
      </c>
      <c r="K337">
        <v>5.4960000000000004</v>
      </c>
      <c r="L337">
        <v>5.4960000000000004</v>
      </c>
      <c r="M337">
        <v>25.55</v>
      </c>
      <c r="O337">
        <v>12.775</v>
      </c>
      <c r="P337">
        <v>2</v>
      </c>
      <c r="Q337" t="s">
        <v>87</v>
      </c>
      <c r="R337">
        <v>1373</v>
      </c>
      <c r="S337">
        <v>48</v>
      </c>
      <c r="T337" t="b">
        <v>0</v>
      </c>
      <c r="U337" t="s">
        <v>172</v>
      </c>
      <c r="V337" t="s">
        <v>126</v>
      </c>
      <c r="W337">
        <v>0.1</v>
      </c>
      <c r="Y337">
        <v>1.5</v>
      </c>
      <c r="Z337">
        <v>15</v>
      </c>
      <c r="AC337" t="s">
        <v>165</v>
      </c>
      <c r="AD337">
        <v>450</v>
      </c>
      <c r="AE337">
        <v>420</v>
      </c>
      <c r="AF337" t="s">
        <v>91</v>
      </c>
      <c r="AH337">
        <v>10.67</v>
      </c>
      <c r="AL337" t="b">
        <v>1</v>
      </c>
      <c r="AM337" t="b">
        <v>1</v>
      </c>
      <c r="AN337" t="b">
        <v>0</v>
      </c>
      <c r="AO337" t="b">
        <v>0</v>
      </c>
      <c r="AP337" t="s">
        <v>220</v>
      </c>
      <c r="AQ337" t="s">
        <v>221</v>
      </c>
      <c r="AS337">
        <v>2.3674360653136621</v>
      </c>
      <c r="AT337">
        <v>1.857142857142857</v>
      </c>
      <c r="AU337">
        <v>3.1428571428571428</v>
      </c>
      <c r="AV337">
        <v>2.714285714285714</v>
      </c>
      <c r="AW337">
        <v>3</v>
      </c>
      <c r="AX337">
        <v>0.17333333333333331</v>
      </c>
      <c r="AY337">
        <v>0.29333333333333328</v>
      </c>
      <c r="AZ337">
        <v>0.25333333333333341</v>
      </c>
      <c r="BA337">
        <v>0.28000000000000003</v>
      </c>
      <c r="BB337">
        <v>6.2605065418214281</v>
      </c>
      <c r="BC337">
        <v>18</v>
      </c>
      <c r="BD337">
        <v>197.4403766939285</v>
      </c>
      <c r="BE337">
        <v>1</v>
      </c>
      <c r="BF337">
        <v>9.1166762854710051E-2</v>
      </c>
      <c r="BG337">
        <v>12.868820120000001</v>
      </c>
      <c r="BH337">
        <v>12.868820120000001</v>
      </c>
      <c r="BI337">
        <v>12.868820120000001</v>
      </c>
      <c r="BJ337">
        <v>789.87506903020289</v>
      </c>
      <c r="BK337">
        <v>4</v>
      </c>
      <c r="BL337">
        <v>9.1153655588092616E-2</v>
      </c>
      <c r="BM337">
        <v>5.5453000000000001</v>
      </c>
      <c r="BN337">
        <v>5.5453000000000001</v>
      </c>
      <c r="BO337">
        <v>25.686699999999998</v>
      </c>
      <c r="BP337">
        <v>0</v>
      </c>
      <c r="BQ337">
        <v>0</v>
      </c>
      <c r="BS337">
        <v>0</v>
      </c>
      <c r="BT337">
        <v>0</v>
      </c>
      <c r="BU337">
        <v>0</v>
      </c>
      <c r="BV337">
        <v>771.76370880000013</v>
      </c>
      <c r="BW337">
        <v>9.3292803456580448E-2</v>
      </c>
      <c r="BX337">
        <v>9</v>
      </c>
      <c r="BY337">
        <v>4.6646401728290217E-2</v>
      </c>
      <c r="BZ337">
        <v>4.5583381427355033E-2</v>
      </c>
      <c r="CA337">
        <v>4.5576827794046308E-2</v>
      </c>
      <c r="CC337">
        <v>0.51995616258071931</v>
      </c>
      <c r="CD337">
        <v>0.51988140722208953</v>
      </c>
      <c r="CF337">
        <v>0.53208172104330353</v>
      </c>
    </row>
    <row r="338" spans="1:84" x14ac:dyDescent="0.3">
      <c r="A338" s="1">
        <v>75</v>
      </c>
      <c r="B338" t="s">
        <v>255</v>
      </c>
      <c r="C338" t="s">
        <v>256</v>
      </c>
      <c r="F338">
        <v>2.98</v>
      </c>
      <c r="G338" t="s">
        <v>257</v>
      </c>
      <c r="H338" t="s">
        <v>258</v>
      </c>
      <c r="I338">
        <v>-1</v>
      </c>
      <c r="N338" t="s">
        <v>206</v>
      </c>
      <c r="Q338" t="s">
        <v>87</v>
      </c>
      <c r="R338">
        <v>1373</v>
      </c>
      <c r="S338">
        <v>48</v>
      </c>
      <c r="T338" t="b">
        <v>0</v>
      </c>
      <c r="U338" t="s">
        <v>172</v>
      </c>
      <c r="V338" t="s">
        <v>126</v>
      </c>
      <c r="W338">
        <v>0.1</v>
      </c>
      <c r="Y338">
        <v>1.5</v>
      </c>
      <c r="Z338">
        <v>15</v>
      </c>
      <c r="AC338" t="s">
        <v>165</v>
      </c>
      <c r="AD338">
        <v>450</v>
      </c>
      <c r="AE338">
        <v>400</v>
      </c>
      <c r="AF338" t="s">
        <v>91</v>
      </c>
      <c r="AH338">
        <v>45.3</v>
      </c>
      <c r="AL338" t="b">
        <v>1</v>
      </c>
      <c r="AM338" t="b">
        <v>0</v>
      </c>
      <c r="AN338" t="b">
        <v>0</v>
      </c>
      <c r="AO338" t="b">
        <v>0</v>
      </c>
      <c r="AP338" t="s">
        <v>257</v>
      </c>
      <c r="AQ338" t="s">
        <v>258</v>
      </c>
      <c r="AS338">
        <v>3.8133070324889879</v>
      </c>
      <c r="AT338">
        <v>2</v>
      </c>
      <c r="AU338">
        <v>2.8</v>
      </c>
      <c r="AV338">
        <v>2.4</v>
      </c>
      <c r="AW338">
        <v>2.8</v>
      </c>
      <c r="AX338">
        <v>0.2</v>
      </c>
      <c r="AY338">
        <v>0.28000000000000003</v>
      </c>
      <c r="AZ338">
        <v>0.24</v>
      </c>
      <c r="BA338">
        <v>0.28000000000000003</v>
      </c>
      <c r="BB338">
        <v>5.9914570036999999</v>
      </c>
      <c r="BC338">
        <v>6</v>
      </c>
      <c r="BD338">
        <v>62.525817922855822</v>
      </c>
      <c r="BE338">
        <v>1</v>
      </c>
      <c r="BF338">
        <v>9.5960360045234158E-2</v>
      </c>
      <c r="BG338">
        <v>3.969049</v>
      </c>
      <c r="BH338">
        <v>3.969049</v>
      </c>
      <c r="BI338">
        <v>3.969049</v>
      </c>
      <c r="BJ338">
        <v>65.270499999999998</v>
      </c>
      <c r="BK338">
        <v>1</v>
      </c>
      <c r="BL338">
        <v>9.1925142292459849E-2</v>
      </c>
      <c r="BM338">
        <v>4</v>
      </c>
      <c r="BN338">
        <v>4.2110000000000003</v>
      </c>
      <c r="BO338">
        <v>3.875</v>
      </c>
      <c r="BP338">
        <v>0</v>
      </c>
      <c r="BQ338">
        <v>0</v>
      </c>
      <c r="BS338">
        <v>0</v>
      </c>
      <c r="BT338">
        <v>0</v>
      </c>
      <c r="BU338">
        <v>0</v>
      </c>
      <c r="BX338">
        <v>3</v>
      </c>
      <c r="BZ338">
        <v>4.7980180022617079E-2</v>
      </c>
      <c r="CA338">
        <v>4.5962571146229918E-2</v>
      </c>
      <c r="CC338">
        <v>0.58734468850194366</v>
      </c>
      <c r="CD338">
        <v>0.56264632646033053</v>
      </c>
    </row>
    <row r="339" spans="1:84" x14ac:dyDescent="0.3">
      <c r="A339" s="1">
        <v>91</v>
      </c>
      <c r="B339" t="s">
        <v>83</v>
      </c>
      <c r="C339" t="s">
        <v>84</v>
      </c>
      <c r="E339" t="s">
        <v>83</v>
      </c>
      <c r="F339">
        <v>3.3</v>
      </c>
      <c r="G339" t="s">
        <v>85</v>
      </c>
      <c r="H339" t="s">
        <v>86</v>
      </c>
      <c r="I339" t="s">
        <v>293</v>
      </c>
      <c r="J339">
        <v>4</v>
      </c>
      <c r="K339">
        <v>6.6</v>
      </c>
      <c r="L339">
        <v>7.94</v>
      </c>
      <c r="M339">
        <v>33.700000000000003</v>
      </c>
      <c r="O339">
        <v>16.850000000000001</v>
      </c>
      <c r="Q339" t="s">
        <v>87</v>
      </c>
      <c r="R339">
        <v>1673</v>
      </c>
      <c r="S339">
        <v>0.25</v>
      </c>
      <c r="T339" t="b">
        <v>0</v>
      </c>
      <c r="U339" t="s">
        <v>172</v>
      </c>
      <c r="V339" t="s">
        <v>173</v>
      </c>
      <c r="W339">
        <v>0.1</v>
      </c>
      <c r="Y339">
        <v>2.85</v>
      </c>
      <c r="Z339">
        <v>0</v>
      </c>
      <c r="AC339" t="s">
        <v>90</v>
      </c>
      <c r="AD339">
        <v>400</v>
      </c>
      <c r="AF339" t="s">
        <v>91</v>
      </c>
      <c r="AG339">
        <v>293</v>
      </c>
      <c r="AH339">
        <v>403</v>
      </c>
      <c r="AL339" t="b">
        <v>1</v>
      </c>
      <c r="AM339" t="b">
        <v>0</v>
      </c>
      <c r="AN339" t="b">
        <v>0</v>
      </c>
      <c r="AO339" t="b">
        <v>0</v>
      </c>
      <c r="AP339" t="s">
        <v>85</v>
      </c>
      <c r="AQ339" t="s">
        <v>86</v>
      </c>
      <c r="AR339" t="s">
        <v>293</v>
      </c>
      <c r="AS339">
        <v>5.9989365619466826</v>
      </c>
      <c r="AT339">
        <v>1.62962962962963</v>
      </c>
      <c r="AU339">
        <v>2.518518518518519</v>
      </c>
      <c r="AV339">
        <v>0.88888888888888884</v>
      </c>
      <c r="AW339">
        <v>0</v>
      </c>
      <c r="AX339">
        <v>0.32352941176470579</v>
      </c>
      <c r="AY339">
        <v>0.5</v>
      </c>
      <c r="AZ339">
        <v>0.1764705882352941</v>
      </c>
      <c r="BA339">
        <v>0</v>
      </c>
      <c r="BB339">
        <v>5.9587386867222234</v>
      </c>
      <c r="BC339">
        <v>34</v>
      </c>
      <c r="BD339">
        <v>1767.0449718798691</v>
      </c>
      <c r="BE339">
        <v>4</v>
      </c>
      <c r="BF339">
        <v>7.6964651247849417E-2</v>
      </c>
      <c r="BG339">
        <v>6.6040679999999998</v>
      </c>
      <c r="BH339">
        <v>7.9389519999999996</v>
      </c>
      <c r="BI339">
        <v>33.703336</v>
      </c>
      <c r="BJ339">
        <v>1679.8210721820001</v>
      </c>
      <c r="BK339">
        <v>4</v>
      </c>
      <c r="BL339">
        <v>8.0961003676030277E-2</v>
      </c>
      <c r="BM339">
        <v>7.83</v>
      </c>
      <c r="BN339">
        <v>33.209989999999998</v>
      </c>
      <c r="BO339">
        <v>6.46</v>
      </c>
      <c r="BP339">
        <v>1745.3062</v>
      </c>
      <c r="BQ339">
        <v>4</v>
      </c>
      <c r="BR339">
        <v>7.7923289334559179E-2</v>
      </c>
      <c r="BS339">
        <v>34.1</v>
      </c>
      <c r="BT339">
        <v>7.85</v>
      </c>
      <c r="BU339">
        <v>6.52</v>
      </c>
      <c r="BV339">
        <v>1766.0147999999999</v>
      </c>
      <c r="BW339">
        <v>7.7009547145358015E-2</v>
      </c>
      <c r="BX339">
        <v>17</v>
      </c>
      <c r="BY339">
        <v>3.8504773572679007E-2</v>
      </c>
      <c r="BZ339">
        <v>3.8482325623924708E-2</v>
      </c>
      <c r="CA339">
        <v>4.0480501838015139E-2</v>
      </c>
      <c r="CB339">
        <v>3.8961644667279589E-2</v>
      </c>
      <c r="CC339">
        <v>0.48264383878002193</v>
      </c>
      <c r="CD339">
        <v>0.50770488753139875</v>
      </c>
      <c r="CE339">
        <v>0.48865543967301323</v>
      </c>
      <c r="CF339">
        <v>0.48292538008460401</v>
      </c>
    </row>
    <row r="340" spans="1:84" x14ac:dyDescent="0.3">
      <c r="A340" s="1">
        <v>92</v>
      </c>
      <c r="B340" t="s">
        <v>294</v>
      </c>
      <c r="C340" t="s">
        <v>295</v>
      </c>
      <c r="E340" t="s">
        <v>83</v>
      </c>
      <c r="F340">
        <v>3.1</v>
      </c>
      <c r="G340" t="s">
        <v>85</v>
      </c>
      <c r="H340" t="s">
        <v>86</v>
      </c>
      <c r="I340" t="s">
        <v>293</v>
      </c>
      <c r="Q340" t="s">
        <v>87</v>
      </c>
      <c r="R340">
        <v>1673</v>
      </c>
      <c r="S340">
        <v>0.25</v>
      </c>
      <c r="T340" t="b">
        <v>0</v>
      </c>
      <c r="U340" t="s">
        <v>172</v>
      </c>
      <c r="V340" t="s">
        <v>173</v>
      </c>
      <c r="W340">
        <v>0.1</v>
      </c>
      <c r="Y340">
        <v>2.85</v>
      </c>
      <c r="Z340">
        <v>0</v>
      </c>
      <c r="AC340" t="s">
        <v>90</v>
      </c>
      <c r="AD340">
        <v>400</v>
      </c>
      <c r="AF340" t="s">
        <v>91</v>
      </c>
      <c r="AG340">
        <v>293</v>
      </c>
      <c r="AH340">
        <v>409</v>
      </c>
      <c r="AI340" t="s">
        <v>296</v>
      </c>
      <c r="AJ340" t="s">
        <v>296</v>
      </c>
      <c r="AK340" t="s">
        <v>296</v>
      </c>
      <c r="AL340" t="b">
        <v>1</v>
      </c>
      <c r="AM340" t="b">
        <v>1</v>
      </c>
      <c r="AN340" t="b">
        <v>0</v>
      </c>
      <c r="AO340" t="b">
        <v>0</v>
      </c>
      <c r="AP340" t="s">
        <v>297</v>
      </c>
      <c r="AQ340" t="s">
        <v>298</v>
      </c>
      <c r="AR340" t="s">
        <v>299</v>
      </c>
      <c r="AS340">
        <v>6.0137151560428022</v>
      </c>
      <c r="AT340">
        <v>1.7037037037037039</v>
      </c>
      <c r="AU340">
        <v>2.518518518518519</v>
      </c>
      <c r="AV340">
        <v>0.81481481481481477</v>
      </c>
      <c r="AW340">
        <v>1.037037037037037</v>
      </c>
      <c r="AX340">
        <v>0.28048780487804881</v>
      </c>
      <c r="AY340">
        <v>0.41463414634146339</v>
      </c>
      <c r="AZ340">
        <v>0.13414634146341459</v>
      </c>
      <c r="BA340">
        <v>0.17073170731707321</v>
      </c>
      <c r="BB340">
        <v>5.9662265841296298</v>
      </c>
      <c r="BC340">
        <v>34</v>
      </c>
      <c r="BD340">
        <v>1767.0449718798691</v>
      </c>
      <c r="BE340">
        <v>4</v>
      </c>
      <c r="BF340">
        <v>7.6964651247849417E-2</v>
      </c>
      <c r="BG340">
        <v>6.6040679999999998</v>
      </c>
      <c r="BH340">
        <v>7.9389519999999996</v>
      </c>
      <c r="BI340">
        <v>33.703336</v>
      </c>
      <c r="BJ340">
        <v>1679.8210721820001</v>
      </c>
      <c r="BK340">
        <v>4</v>
      </c>
      <c r="BL340">
        <v>8.0961003676030277E-2</v>
      </c>
      <c r="BM340">
        <v>7.83</v>
      </c>
      <c r="BN340">
        <v>33.209989999999998</v>
      </c>
      <c r="BO340">
        <v>6.46</v>
      </c>
      <c r="BP340">
        <v>1745.3062</v>
      </c>
      <c r="BQ340">
        <v>4</v>
      </c>
      <c r="BR340">
        <v>7.7923289334559179E-2</v>
      </c>
      <c r="BS340">
        <v>34.1</v>
      </c>
      <c r="BT340">
        <v>7.85</v>
      </c>
      <c r="BU340">
        <v>6.52</v>
      </c>
      <c r="BX340">
        <v>17</v>
      </c>
      <c r="BZ340">
        <v>3.8482325623924708E-2</v>
      </c>
      <c r="CA340">
        <v>4.0480501838015139E-2</v>
      </c>
      <c r="CB340">
        <v>3.8961644667279589E-2</v>
      </c>
      <c r="CC340">
        <v>0.48264383878002193</v>
      </c>
      <c r="CD340">
        <v>0.50770488753139875</v>
      </c>
      <c r="CE340">
        <v>0.48865543967301323</v>
      </c>
    </row>
    <row r="341" spans="1:84" x14ac:dyDescent="0.3">
      <c r="A341" s="1">
        <v>93</v>
      </c>
      <c r="B341" t="s">
        <v>300</v>
      </c>
      <c r="C341" t="s">
        <v>301</v>
      </c>
      <c r="E341" t="s">
        <v>83</v>
      </c>
      <c r="F341">
        <v>3.1</v>
      </c>
      <c r="G341" t="s">
        <v>85</v>
      </c>
      <c r="H341" t="s">
        <v>86</v>
      </c>
      <c r="I341" t="s">
        <v>293</v>
      </c>
      <c r="Q341" t="s">
        <v>87</v>
      </c>
      <c r="R341">
        <v>1673</v>
      </c>
      <c r="S341">
        <v>0.25</v>
      </c>
      <c r="T341" t="b">
        <v>0</v>
      </c>
      <c r="U341" t="s">
        <v>172</v>
      </c>
      <c r="V341" t="s">
        <v>173</v>
      </c>
      <c r="W341">
        <v>0.1</v>
      </c>
      <c r="Y341">
        <v>2.85</v>
      </c>
      <c r="Z341">
        <v>0</v>
      </c>
      <c r="AC341" t="s">
        <v>90</v>
      </c>
      <c r="AD341">
        <v>400</v>
      </c>
      <c r="AF341" t="s">
        <v>91</v>
      </c>
      <c r="AG341">
        <v>293</v>
      </c>
      <c r="AH341">
        <v>233</v>
      </c>
      <c r="AI341" t="s">
        <v>302</v>
      </c>
      <c r="AJ341" t="s">
        <v>302</v>
      </c>
      <c r="AK341" t="s">
        <v>302</v>
      </c>
      <c r="AL341" t="b">
        <v>1</v>
      </c>
      <c r="AM341" t="b">
        <v>1</v>
      </c>
      <c r="AN341" t="b">
        <v>0</v>
      </c>
      <c r="AO341" t="b">
        <v>0</v>
      </c>
      <c r="AP341" t="s">
        <v>303</v>
      </c>
      <c r="AQ341" t="s">
        <v>304</v>
      </c>
      <c r="AR341" t="s">
        <v>305</v>
      </c>
      <c r="AS341">
        <v>5.4510384535657002</v>
      </c>
      <c r="AT341">
        <v>1.7407407407407409</v>
      </c>
      <c r="AU341">
        <v>2.518518518518519</v>
      </c>
      <c r="AV341">
        <v>0.77777777777777779</v>
      </c>
      <c r="AW341">
        <v>1.555555555555556</v>
      </c>
      <c r="AX341">
        <v>0.2640449438202247</v>
      </c>
      <c r="AY341">
        <v>0.38202247191011229</v>
      </c>
      <c r="AZ341">
        <v>0.1179775280898876</v>
      </c>
      <c r="BA341">
        <v>0.2359550561797753</v>
      </c>
      <c r="BB341">
        <v>5.969970532833333</v>
      </c>
      <c r="BC341">
        <v>34</v>
      </c>
      <c r="BD341">
        <v>1767.0449718798691</v>
      </c>
      <c r="BE341">
        <v>4</v>
      </c>
      <c r="BF341">
        <v>7.6964651247849417E-2</v>
      </c>
      <c r="BG341">
        <v>6.6040679999999998</v>
      </c>
      <c r="BH341">
        <v>7.9389519999999996</v>
      </c>
      <c r="BI341">
        <v>33.703336</v>
      </c>
      <c r="BJ341">
        <v>1679.8210721820001</v>
      </c>
      <c r="BK341">
        <v>4</v>
      </c>
      <c r="BL341">
        <v>8.0961003676030277E-2</v>
      </c>
      <c r="BM341">
        <v>7.83</v>
      </c>
      <c r="BN341">
        <v>33.209989999999998</v>
      </c>
      <c r="BO341">
        <v>6.46</v>
      </c>
      <c r="BP341">
        <v>1745.3062</v>
      </c>
      <c r="BQ341">
        <v>4</v>
      </c>
      <c r="BR341">
        <v>7.7923289334559179E-2</v>
      </c>
      <c r="BS341">
        <v>34.1</v>
      </c>
      <c r="BT341">
        <v>7.85</v>
      </c>
      <c r="BU341">
        <v>6.52</v>
      </c>
      <c r="BX341">
        <v>17</v>
      </c>
      <c r="BZ341">
        <v>3.8482325623924708E-2</v>
      </c>
      <c r="CA341">
        <v>4.0480501838015139E-2</v>
      </c>
      <c r="CB341">
        <v>3.8961644667279589E-2</v>
      </c>
      <c r="CC341">
        <v>0.48264383878002193</v>
      </c>
      <c r="CD341">
        <v>0.50770488753139875</v>
      </c>
      <c r="CE341">
        <v>0.48865543967301323</v>
      </c>
    </row>
    <row r="342" spans="1:84" x14ac:dyDescent="0.3">
      <c r="A342" s="1">
        <v>94</v>
      </c>
      <c r="B342" t="s">
        <v>306</v>
      </c>
      <c r="C342" t="s">
        <v>307</v>
      </c>
      <c r="E342" t="s">
        <v>83</v>
      </c>
      <c r="F342">
        <v>3.02</v>
      </c>
      <c r="G342" t="s">
        <v>85</v>
      </c>
      <c r="H342" t="s">
        <v>86</v>
      </c>
      <c r="I342" t="s">
        <v>293</v>
      </c>
      <c r="Q342" t="s">
        <v>87</v>
      </c>
      <c r="R342">
        <v>1673</v>
      </c>
      <c r="S342">
        <v>0.25</v>
      </c>
      <c r="T342" t="b">
        <v>0</v>
      </c>
      <c r="U342" t="s">
        <v>172</v>
      </c>
      <c r="V342" t="s">
        <v>173</v>
      </c>
      <c r="W342">
        <v>0.1</v>
      </c>
      <c r="Y342">
        <v>2.85</v>
      </c>
      <c r="Z342">
        <v>0</v>
      </c>
      <c r="AC342" t="s">
        <v>90</v>
      </c>
      <c r="AD342">
        <v>400</v>
      </c>
      <c r="AF342" t="s">
        <v>91</v>
      </c>
      <c r="AG342">
        <v>293</v>
      </c>
      <c r="AH342">
        <v>31</v>
      </c>
      <c r="AI342" t="s">
        <v>308</v>
      </c>
      <c r="AJ342" t="s">
        <v>308</v>
      </c>
      <c r="AK342" t="s">
        <v>308</v>
      </c>
      <c r="AL342" t="b">
        <v>1</v>
      </c>
      <c r="AM342" t="b">
        <v>1</v>
      </c>
      <c r="AN342" t="b">
        <v>0</v>
      </c>
      <c r="AO342" t="b">
        <v>0</v>
      </c>
      <c r="AP342" t="s">
        <v>309</v>
      </c>
      <c r="AQ342" t="s">
        <v>310</v>
      </c>
      <c r="AR342" t="s">
        <v>311</v>
      </c>
      <c r="AS342">
        <v>3.4339872044851458</v>
      </c>
      <c r="AT342">
        <v>1.7777777777777779</v>
      </c>
      <c r="AU342">
        <v>2.518518518518519</v>
      </c>
      <c r="AV342">
        <v>0.7407407407407407</v>
      </c>
      <c r="AW342">
        <v>2.074074074074074</v>
      </c>
      <c r="AX342">
        <v>0.25</v>
      </c>
      <c r="AY342">
        <v>0.35416666666666669</v>
      </c>
      <c r="AZ342">
        <v>0.1041666666666667</v>
      </c>
      <c r="BA342">
        <v>0.29166666666666669</v>
      </c>
      <c r="BB342">
        <v>5.9737144815370371</v>
      </c>
      <c r="BC342">
        <v>34</v>
      </c>
      <c r="BD342">
        <v>1767.0449718798691</v>
      </c>
      <c r="BE342">
        <v>4</v>
      </c>
      <c r="BF342">
        <v>7.6964651247849417E-2</v>
      </c>
      <c r="BG342">
        <v>6.6040679999999998</v>
      </c>
      <c r="BH342">
        <v>7.9389519999999996</v>
      </c>
      <c r="BI342">
        <v>33.703336</v>
      </c>
      <c r="BJ342">
        <v>1679.8210721820001</v>
      </c>
      <c r="BK342">
        <v>4</v>
      </c>
      <c r="BL342">
        <v>8.0961003676030277E-2</v>
      </c>
      <c r="BM342">
        <v>7.83</v>
      </c>
      <c r="BN342">
        <v>33.209989999999998</v>
      </c>
      <c r="BO342">
        <v>6.46</v>
      </c>
      <c r="BP342">
        <v>1745.3062</v>
      </c>
      <c r="BQ342">
        <v>4</v>
      </c>
      <c r="BR342">
        <v>7.7923289334559179E-2</v>
      </c>
      <c r="BS342">
        <v>34.1</v>
      </c>
      <c r="BT342">
        <v>7.85</v>
      </c>
      <c r="BU342">
        <v>6.52</v>
      </c>
      <c r="BX342">
        <v>17</v>
      </c>
      <c r="BZ342">
        <v>3.8482325623924708E-2</v>
      </c>
      <c r="CA342">
        <v>4.0480501838015139E-2</v>
      </c>
      <c r="CB342">
        <v>3.8961644667279589E-2</v>
      </c>
      <c r="CC342">
        <v>0.48264383878002193</v>
      </c>
      <c r="CD342">
        <v>0.50770488753139875</v>
      </c>
      <c r="CE342">
        <v>0.48865543967301323</v>
      </c>
    </row>
    <row r="343" spans="1:84" x14ac:dyDescent="0.3">
      <c r="A343" s="1">
        <v>95</v>
      </c>
      <c r="B343" t="s">
        <v>312</v>
      </c>
      <c r="C343" t="s">
        <v>313</v>
      </c>
      <c r="E343" t="s">
        <v>83</v>
      </c>
      <c r="F343">
        <v>3.5</v>
      </c>
      <c r="G343" t="s">
        <v>85</v>
      </c>
      <c r="H343" t="s">
        <v>86</v>
      </c>
      <c r="I343" t="s">
        <v>293</v>
      </c>
      <c r="Q343" t="s">
        <v>87</v>
      </c>
      <c r="R343">
        <v>1673</v>
      </c>
      <c r="S343">
        <v>0.25</v>
      </c>
      <c r="T343" t="b">
        <v>0</v>
      </c>
      <c r="U343" t="s">
        <v>172</v>
      </c>
      <c r="V343" t="s">
        <v>173</v>
      </c>
      <c r="W343">
        <v>0.1</v>
      </c>
      <c r="Y343">
        <v>2.85</v>
      </c>
      <c r="Z343">
        <v>0</v>
      </c>
      <c r="AC343" t="s">
        <v>90</v>
      </c>
      <c r="AD343">
        <v>400</v>
      </c>
      <c r="AF343" t="s">
        <v>91</v>
      </c>
      <c r="AG343">
        <v>293</v>
      </c>
      <c r="AH343">
        <v>11</v>
      </c>
      <c r="AI343" t="s">
        <v>314</v>
      </c>
      <c r="AJ343" t="s">
        <v>314</v>
      </c>
      <c r="AK343" t="s">
        <v>314</v>
      </c>
      <c r="AL343" t="b">
        <v>1</v>
      </c>
      <c r="AM343" t="b">
        <v>1</v>
      </c>
      <c r="AN343" t="b">
        <v>0</v>
      </c>
      <c r="AO343" t="b">
        <v>0</v>
      </c>
      <c r="AP343" t="s">
        <v>315</v>
      </c>
      <c r="AQ343" t="s">
        <v>316</v>
      </c>
      <c r="AR343" t="s">
        <v>317</v>
      </c>
      <c r="AS343">
        <v>2.3978952727983711</v>
      </c>
      <c r="AT343">
        <v>1.8518518518518521</v>
      </c>
      <c r="AU343">
        <v>2.518518518518519</v>
      </c>
      <c r="AV343">
        <v>0.66666666666666663</v>
      </c>
      <c r="AW343">
        <v>3.1111111111111112</v>
      </c>
      <c r="AX343">
        <v>0.22727272727272729</v>
      </c>
      <c r="AY343">
        <v>0.30909090909090908</v>
      </c>
      <c r="AZ343">
        <v>8.1818181818181804E-2</v>
      </c>
      <c r="BA343">
        <v>0.38181818181818178</v>
      </c>
      <c r="BB343">
        <v>5.9812023789444444</v>
      </c>
      <c r="BC343">
        <v>34</v>
      </c>
      <c r="BD343">
        <v>1767.0449718798691</v>
      </c>
      <c r="BE343">
        <v>4</v>
      </c>
      <c r="BF343">
        <v>7.6964651247849417E-2</v>
      </c>
      <c r="BG343">
        <v>6.6040679999999998</v>
      </c>
      <c r="BH343">
        <v>7.9389519999999996</v>
      </c>
      <c r="BI343">
        <v>33.703336</v>
      </c>
      <c r="BJ343">
        <v>1679.8210721820001</v>
      </c>
      <c r="BK343">
        <v>4</v>
      </c>
      <c r="BL343">
        <v>8.0961003676030277E-2</v>
      </c>
      <c r="BM343">
        <v>7.83</v>
      </c>
      <c r="BN343">
        <v>33.209989999999998</v>
      </c>
      <c r="BO343">
        <v>6.46</v>
      </c>
      <c r="BP343">
        <v>1745.3062</v>
      </c>
      <c r="BQ343">
        <v>4</v>
      </c>
      <c r="BR343">
        <v>7.7923289334559179E-2</v>
      </c>
      <c r="BS343">
        <v>34.1</v>
      </c>
      <c r="BT343">
        <v>7.85</v>
      </c>
      <c r="BU343">
        <v>6.52</v>
      </c>
      <c r="BX343">
        <v>17</v>
      </c>
      <c r="BZ343">
        <v>3.8482325623924708E-2</v>
      </c>
      <c r="CA343">
        <v>4.0480501838015139E-2</v>
      </c>
      <c r="CB343">
        <v>3.8961644667279589E-2</v>
      </c>
      <c r="CC343">
        <v>0.48264383878002193</v>
      </c>
      <c r="CD343">
        <v>0.50770488753139875</v>
      </c>
      <c r="CE343">
        <v>0.48865543967301323</v>
      </c>
    </row>
    <row r="344" spans="1:84" x14ac:dyDescent="0.3">
      <c r="A344" s="1">
        <v>96</v>
      </c>
      <c r="B344" t="s">
        <v>318</v>
      </c>
      <c r="C344" t="s">
        <v>319</v>
      </c>
      <c r="E344" t="s">
        <v>83</v>
      </c>
      <c r="F344">
        <v>3.55</v>
      </c>
      <c r="G344" t="s">
        <v>85</v>
      </c>
      <c r="H344" t="s">
        <v>86</v>
      </c>
      <c r="I344" t="s">
        <v>293</v>
      </c>
      <c r="Q344" t="s">
        <v>87</v>
      </c>
      <c r="R344">
        <v>1300</v>
      </c>
      <c r="S344">
        <v>40</v>
      </c>
      <c r="T344" t="b">
        <v>0</v>
      </c>
      <c r="U344" t="s">
        <v>172</v>
      </c>
      <c r="V344" t="s">
        <v>173</v>
      </c>
      <c r="W344">
        <v>0.1</v>
      </c>
      <c r="Y344">
        <v>2.85</v>
      </c>
      <c r="Z344">
        <v>0</v>
      </c>
      <c r="AC344" t="s">
        <v>90</v>
      </c>
      <c r="AD344">
        <v>400</v>
      </c>
      <c r="AF344" t="s">
        <v>91</v>
      </c>
      <c r="AG344">
        <v>293</v>
      </c>
      <c r="AH344">
        <v>936</v>
      </c>
      <c r="AI344" t="s">
        <v>320</v>
      </c>
      <c r="AJ344" t="s">
        <v>320</v>
      </c>
      <c r="AK344" t="s">
        <v>320</v>
      </c>
      <c r="AL344" t="b">
        <v>1</v>
      </c>
      <c r="AM344" t="b">
        <v>1</v>
      </c>
      <c r="AN344" t="b">
        <v>1</v>
      </c>
      <c r="AO344" t="b">
        <v>0</v>
      </c>
      <c r="AP344" t="s">
        <v>321</v>
      </c>
      <c r="AQ344" t="s">
        <v>322</v>
      </c>
      <c r="AR344" t="s">
        <v>323</v>
      </c>
      <c r="AS344">
        <v>6.8416154764775916</v>
      </c>
      <c r="AT344">
        <v>1.62962962962963</v>
      </c>
      <c r="AU344">
        <v>2.518518518518519</v>
      </c>
      <c r="AV344">
        <v>0.88888888888888884</v>
      </c>
      <c r="AW344">
        <v>0</v>
      </c>
      <c r="AX344">
        <v>0.32352941176470579</v>
      </c>
      <c r="AY344">
        <v>0.5</v>
      </c>
      <c r="AZ344">
        <v>0.1764705882352941</v>
      </c>
      <c r="BA344">
        <v>0</v>
      </c>
      <c r="BB344">
        <v>5.945473608944444</v>
      </c>
      <c r="BC344">
        <v>34</v>
      </c>
      <c r="BD344">
        <v>1767.0449718798691</v>
      </c>
      <c r="BE344">
        <v>4</v>
      </c>
      <c r="BF344">
        <v>7.6964651247849417E-2</v>
      </c>
      <c r="BG344">
        <v>6.6040679999999998</v>
      </c>
      <c r="BH344">
        <v>7.9389519999999996</v>
      </c>
      <c r="BI344">
        <v>33.703336</v>
      </c>
      <c r="BJ344">
        <v>1679.8210721820001</v>
      </c>
      <c r="BK344">
        <v>4</v>
      </c>
      <c r="BL344">
        <v>8.0961003676030277E-2</v>
      </c>
      <c r="BM344">
        <v>7.83</v>
      </c>
      <c r="BN344">
        <v>33.209989999999998</v>
      </c>
      <c r="BO344">
        <v>6.46</v>
      </c>
      <c r="BP344">
        <v>1745.3062</v>
      </c>
      <c r="BQ344">
        <v>4</v>
      </c>
      <c r="BR344">
        <v>7.7923289334559179E-2</v>
      </c>
      <c r="BS344">
        <v>34.1</v>
      </c>
      <c r="BT344">
        <v>7.85</v>
      </c>
      <c r="BU344">
        <v>6.52</v>
      </c>
      <c r="BX344">
        <v>17</v>
      </c>
      <c r="BZ344">
        <v>3.8482325623924708E-2</v>
      </c>
      <c r="CA344">
        <v>4.0480501838015139E-2</v>
      </c>
      <c r="CB344">
        <v>3.8961644667279589E-2</v>
      </c>
      <c r="CC344">
        <v>0.52294198080064858</v>
      </c>
      <c r="CD344">
        <v>0.55009549115750578</v>
      </c>
      <c r="CE344">
        <v>0.52945551775309407</v>
      </c>
    </row>
    <row r="345" spans="1:84" x14ac:dyDescent="0.3">
      <c r="A345" s="1">
        <v>97</v>
      </c>
      <c r="B345" t="s">
        <v>324</v>
      </c>
      <c r="C345" t="s">
        <v>325</v>
      </c>
      <c r="E345" t="s">
        <v>83</v>
      </c>
      <c r="F345">
        <v>3.7</v>
      </c>
      <c r="G345" t="s">
        <v>85</v>
      </c>
      <c r="H345" t="s">
        <v>86</v>
      </c>
      <c r="I345" t="s">
        <v>293</v>
      </c>
      <c r="Q345" t="s">
        <v>87</v>
      </c>
      <c r="R345">
        <v>1300</v>
      </c>
      <c r="S345">
        <v>40</v>
      </c>
      <c r="T345" t="b">
        <v>0</v>
      </c>
      <c r="U345" t="s">
        <v>172</v>
      </c>
      <c r="V345" t="s">
        <v>173</v>
      </c>
      <c r="W345">
        <v>0.1</v>
      </c>
      <c r="Y345">
        <v>2.85</v>
      </c>
      <c r="Z345">
        <v>0</v>
      </c>
      <c r="AC345" t="s">
        <v>90</v>
      </c>
      <c r="AD345">
        <v>400</v>
      </c>
      <c r="AF345" t="s">
        <v>91</v>
      </c>
      <c r="AG345">
        <v>293</v>
      </c>
      <c r="AH345">
        <v>362</v>
      </c>
      <c r="AI345" t="s">
        <v>326</v>
      </c>
      <c r="AJ345" t="s">
        <v>326</v>
      </c>
      <c r="AK345" t="s">
        <v>326</v>
      </c>
      <c r="AL345" t="b">
        <v>1</v>
      </c>
      <c r="AM345" t="b">
        <v>1</v>
      </c>
      <c r="AN345" t="b">
        <v>1</v>
      </c>
      <c r="AO345" t="b">
        <v>0</v>
      </c>
      <c r="AP345" t="s">
        <v>327</v>
      </c>
      <c r="AQ345" t="s">
        <v>328</v>
      </c>
      <c r="AR345" t="s">
        <v>329</v>
      </c>
      <c r="AS345">
        <v>5.8916442118257706</v>
      </c>
      <c r="AT345">
        <v>1.7037037037037039</v>
      </c>
      <c r="AU345">
        <v>2.518518518518519</v>
      </c>
      <c r="AV345">
        <v>0.81481481481481477</v>
      </c>
      <c r="AW345">
        <v>1.037037037037037</v>
      </c>
      <c r="AX345">
        <v>0.28048780487804881</v>
      </c>
      <c r="AY345">
        <v>0.41463414634146339</v>
      </c>
      <c r="AZ345">
        <v>0.13414634146341459</v>
      </c>
      <c r="BA345">
        <v>0.17073170731707321</v>
      </c>
      <c r="BB345">
        <v>5.9529615063518513</v>
      </c>
      <c r="BC345">
        <v>34</v>
      </c>
      <c r="BD345">
        <v>1767.0449718798691</v>
      </c>
      <c r="BE345">
        <v>4</v>
      </c>
      <c r="BF345">
        <v>7.6964651247849417E-2</v>
      </c>
      <c r="BG345">
        <v>6.6040679999999998</v>
      </c>
      <c r="BH345">
        <v>7.9389519999999996</v>
      </c>
      <c r="BI345">
        <v>33.703336</v>
      </c>
      <c r="BJ345">
        <v>1679.8210721820001</v>
      </c>
      <c r="BK345">
        <v>4</v>
      </c>
      <c r="BL345">
        <v>8.0961003676030277E-2</v>
      </c>
      <c r="BM345">
        <v>7.83</v>
      </c>
      <c r="BN345">
        <v>33.209989999999998</v>
      </c>
      <c r="BO345">
        <v>6.46</v>
      </c>
      <c r="BP345">
        <v>1745.3062</v>
      </c>
      <c r="BQ345">
        <v>4</v>
      </c>
      <c r="BR345">
        <v>7.7923289334559179E-2</v>
      </c>
      <c r="BS345">
        <v>34.1</v>
      </c>
      <c r="BT345">
        <v>7.85</v>
      </c>
      <c r="BU345">
        <v>6.52</v>
      </c>
      <c r="BX345">
        <v>17</v>
      </c>
      <c r="BZ345">
        <v>3.8482325623924708E-2</v>
      </c>
      <c r="CA345">
        <v>4.0480501838015139E-2</v>
      </c>
      <c r="CB345">
        <v>3.8961644667279589E-2</v>
      </c>
      <c r="CC345">
        <v>0.52294198080064858</v>
      </c>
      <c r="CD345">
        <v>0.55009549115750578</v>
      </c>
      <c r="CE345">
        <v>0.52945551775309407</v>
      </c>
    </row>
    <row r="346" spans="1:84" x14ac:dyDescent="0.3">
      <c r="A346" s="1">
        <v>98</v>
      </c>
      <c r="B346" t="s">
        <v>330</v>
      </c>
      <c r="C346" t="s">
        <v>331</v>
      </c>
      <c r="E346" t="s">
        <v>83</v>
      </c>
      <c r="F346">
        <v>3.65</v>
      </c>
      <c r="G346" t="s">
        <v>85</v>
      </c>
      <c r="H346" t="s">
        <v>86</v>
      </c>
      <c r="I346" t="s">
        <v>293</v>
      </c>
      <c r="Q346" t="s">
        <v>87</v>
      </c>
      <c r="R346">
        <v>1300</v>
      </c>
      <c r="S346">
        <v>40</v>
      </c>
      <c r="T346" t="b">
        <v>0</v>
      </c>
      <c r="U346" t="s">
        <v>172</v>
      </c>
      <c r="V346" t="s">
        <v>173</v>
      </c>
      <c r="W346">
        <v>0.1</v>
      </c>
      <c r="Y346">
        <v>2.85</v>
      </c>
      <c r="Z346">
        <v>0</v>
      </c>
      <c r="AC346" t="s">
        <v>90</v>
      </c>
      <c r="AD346">
        <v>400</v>
      </c>
      <c r="AF346" t="s">
        <v>91</v>
      </c>
      <c r="AG346">
        <v>293</v>
      </c>
      <c r="AH346">
        <v>126</v>
      </c>
      <c r="AI346" t="s">
        <v>332</v>
      </c>
      <c r="AJ346" t="s">
        <v>332</v>
      </c>
      <c r="AK346" t="s">
        <v>332</v>
      </c>
      <c r="AL346" t="b">
        <v>1</v>
      </c>
      <c r="AM346" t="b">
        <v>1</v>
      </c>
      <c r="AN346" t="b">
        <v>1</v>
      </c>
      <c r="AO346" t="b">
        <v>0</v>
      </c>
      <c r="AP346" t="s">
        <v>333</v>
      </c>
      <c r="AQ346" t="s">
        <v>334</v>
      </c>
      <c r="AR346" t="s">
        <v>335</v>
      </c>
      <c r="AS346">
        <v>4.836281906951478</v>
      </c>
      <c r="AT346">
        <v>1.7407407407407409</v>
      </c>
      <c r="AU346">
        <v>2.518518518518519</v>
      </c>
      <c r="AV346">
        <v>0.77777777777777779</v>
      </c>
      <c r="AW346">
        <v>1.555555555555556</v>
      </c>
      <c r="AX346">
        <v>0.2640449438202247</v>
      </c>
      <c r="AY346">
        <v>0.38202247191011229</v>
      </c>
      <c r="AZ346">
        <v>0.1179775280898876</v>
      </c>
      <c r="BA346">
        <v>0.2359550561797753</v>
      </c>
      <c r="BB346">
        <v>5.9567054550555554</v>
      </c>
      <c r="BC346">
        <v>34</v>
      </c>
      <c r="BD346">
        <v>1767.0449718798691</v>
      </c>
      <c r="BE346">
        <v>4</v>
      </c>
      <c r="BF346">
        <v>7.6964651247849417E-2</v>
      </c>
      <c r="BG346">
        <v>6.6040679999999998</v>
      </c>
      <c r="BH346">
        <v>7.9389519999999996</v>
      </c>
      <c r="BI346">
        <v>33.703336</v>
      </c>
      <c r="BJ346">
        <v>1679.8210721820001</v>
      </c>
      <c r="BK346">
        <v>4</v>
      </c>
      <c r="BL346">
        <v>8.0961003676030277E-2</v>
      </c>
      <c r="BM346">
        <v>7.83</v>
      </c>
      <c r="BN346">
        <v>33.209989999999998</v>
      </c>
      <c r="BO346">
        <v>6.46</v>
      </c>
      <c r="BP346">
        <v>1745.3062</v>
      </c>
      <c r="BQ346">
        <v>4</v>
      </c>
      <c r="BR346">
        <v>7.7923289334559179E-2</v>
      </c>
      <c r="BS346">
        <v>34.1</v>
      </c>
      <c r="BT346">
        <v>7.85</v>
      </c>
      <c r="BU346">
        <v>6.52</v>
      </c>
      <c r="BX346">
        <v>17</v>
      </c>
      <c r="BZ346">
        <v>3.8482325623924708E-2</v>
      </c>
      <c r="CA346">
        <v>4.0480501838015139E-2</v>
      </c>
      <c r="CB346">
        <v>3.8961644667279589E-2</v>
      </c>
      <c r="CC346">
        <v>0.52294198080064858</v>
      </c>
      <c r="CD346">
        <v>0.55009549115750578</v>
      </c>
      <c r="CE346">
        <v>0.52945551775309407</v>
      </c>
    </row>
    <row r="347" spans="1:84" x14ac:dyDescent="0.3">
      <c r="A347" s="1">
        <v>99</v>
      </c>
      <c r="B347" t="s">
        <v>336</v>
      </c>
      <c r="C347" t="s">
        <v>337</v>
      </c>
      <c r="E347" t="s">
        <v>83</v>
      </c>
      <c r="F347">
        <v>3.6</v>
      </c>
      <c r="G347" t="s">
        <v>85</v>
      </c>
      <c r="H347" t="s">
        <v>86</v>
      </c>
      <c r="I347" t="s">
        <v>293</v>
      </c>
      <c r="Q347" t="s">
        <v>87</v>
      </c>
      <c r="R347">
        <v>1300</v>
      </c>
      <c r="S347">
        <v>40</v>
      </c>
      <c r="T347" t="b">
        <v>0</v>
      </c>
      <c r="U347" t="s">
        <v>172</v>
      </c>
      <c r="V347" t="s">
        <v>173</v>
      </c>
      <c r="W347">
        <v>0.1</v>
      </c>
      <c r="Y347">
        <v>2.85</v>
      </c>
      <c r="Z347">
        <v>0</v>
      </c>
      <c r="AC347" t="s">
        <v>90</v>
      </c>
      <c r="AD347">
        <v>400</v>
      </c>
      <c r="AF347" t="s">
        <v>91</v>
      </c>
      <c r="AG347">
        <v>293</v>
      </c>
      <c r="AH347">
        <v>101</v>
      </c>
      <c r="AI347" t="s">
        <v>338</v>
      </c>
      <c r="AJ347" t="s">
        <v>338</v>
      </c>
      <c r="AK347" t="s">
        <v>338</v>
      </c>
      <c r="AL347" t="b">
        <v>1</v>
      </c>
      <c r="AM347" t="b">
        <v>1</v>
      </c>
      <c r="AN347" t="b">
        <v>1</v>
      </c>
      <c r="AO347" t="b">
        <v>0</v>
      </c>
      <c r="AP347" t="s">
        <v>339</v>
      </c>
      <c r="AQ347" t="s">
        <v>340</v>
      </c>
      <c r="AR347" t="s">
        <v>341</v>
      </c>
      <c r="AS347">
        <v>4.6151205168412597</v>
      </c>
      <c r="AT347">
        <v>1.7777777777777779</v>
      </c>
      <c r="AU347">
        <v>2.518518518518519</v>
      </c>
      <c r="AV347">
        <v>0.7407407407407407</v>
      </c>
      <c r="AW347">
        <v>2.074074074074074</v>
      </c>
      <c r="AX347">
        <v>0.25</v>
      </c>
      <c r="AY347">
        <v>0.35416666666666669</v>
      </c>
      <c r="AZ347">
        <v>0.1041666666666667</v>
      </c>
      <c r="BA347">
        <v>0.29166666666666669</v>
      </c>
      <c r="BB347">
        <v>5.9604494037592586</v>
      </c>
      <c r="BC347">
        <v>34</v>
      </c>
      <c r="BD347">
        <v>1767.0449718798691</v>
      </c>
      <c r="BE347">
        <v>4</v>
      </c>
      <c r="BF347">
        <v>7.6964651247849417E-2</v>
      </c>
      <c r="BG347">
        <v>6.6040679999999998</v>
      </c>
      <c r="BH347">
        <v>7.9389519999999996</v>
      </c>
      <c r="BI347">
        <v>33.703336</v>
      </c>
      <c r="BJ347">
        <v>1679.8210721820001</v>
      </c>
      <c r="BK347">
        <v>4</v>
      </c>
      <c r="BL347">
        <v>8.0961003676030277E-2</v>
      </c>
      <c r="BM347">
        <v>7.83</v>
      </c>
      <c r="BN347">
        <v>33.209989999999998</v>
      </c>
      <c r="BO347">
        <v>6.46</v>
      </c>
      <c r="BP347">
        <v>1745.3062</v>
      </c>
      <c r="BQ347">
        <v>4</v>
      </c>
      <c r="BR347">
        <v>7.7923289334559179E-2</v>
      </c>
      <c r="BS347">
        <v>34.1</v>
      </c>
      <c r="BT347">
        <v>7.85</v>
      </c>
      <c r="BU347">
        <v>6.52</v>
      </c>
      <c r="BX347">
        <v>17</v>
      </c>
      <c r="BZ347">
        <v>3.8482325623924708E-2</v>
      </c>
      <c r="CA347">
        <v>4.0480501838015139E-2</v>
      </c>
      <c r="CB347">
        <v>3.8961644667279589E-2</v>
      </c>
      <c r="CC347">
        <v>0.52294198080064858</v>
      </c>
      <c r="CD347">
        <v>0.55009549115750578</v>
      </c>
      <c r="CE347">
        <v>0.52945551775309407</v>
      </c>
    </row>
    <row r="348" spans="1:84" x14ac:dyDescent="0.3">
      <c r="A348" s="1">
        <v>100</v>
      </c>
      <c r="B348" t="s">
        <v>342</v>
      </c>
      <c r="C348" t="s">
        <v>343</v>
      </c>
      <c r="E348" t="s">
        <v>83</v>
      </c>
      <c r="F348">
        <v>4.0999999999999996</v>
      </c>
      <c r="G348" t="s">
        <v>85</v>
      </c>
      <c r="H348" t="s">
        <v>86</v>
      </c>
      <c r="I348" t="s">
        <v>293</v>
      </c>
      <c r="Q348" t="s">
        <v>87</v>
      </c>
      <c r="R348">
        <v>1300</v>
      </c>
      <c r="S348">
        <v>40</v>
      </c>
      <c r="T348" t="b">
        <v>0</v>
      </c>
      <c r="U348" t="s">
        <v>172</v>
      </c>
      <c r="V348" t="s">
        <v>173</v>
      </c>
      <c r="W348">
        <v>0.1</v>
      </c>
      <c r="Y348">
        <v>2.85</v>
      </c>
      <c r="Z348">
        <v>0</v>
      </c>
      <c r="AC348" t="s">
        <v>90</v>
      </c>
      <c r="AD348">
        <v>400</v>
      </c>
      <c r="AF348" t="s">
        <v>91</v>
      </c>
      <c r="AG348">
        <v>293</v>
      </c>
      <c r="AH348">
        <v>92</v>
      </c>
      <c r="AI348" t="s">
        <v>344</v>
      </c>
      <c r="AJ348" t="s">
        <v>344</v>
      </c>
      <c r="AK348" t="s">
        <v>344</v>
      </c>
      <c r="AL348" t="b">
        <v>1</v>
      </c>
      <c r="AM348" t="b">
        <v>1</v>
      </c>
      <c r="AN348" t="b">
        <v>1</v>
      </c>
      <c r="AO348" t="b">
        <v>0</v>
      </c>
      <c r="AP348" t="s">
        <v>345</v>
      </c>
      <c r="AQ348" t="s">
        <v>346</v>
      </c>
      <c r="AR348" t="s">
        <v>347</v>
      </c>
      <c r="AS348">
        <v>4.5217885770490396</v>
      </c>
      <c r="AT348">
        <v>1.8518518518518521</v>
      </c>
      <c r="AU348">
        <v>2.518518518518519</v>
      </c>
      <c r="AV348">
        <v>0.66666666666666663</v>
      </c>
      <c r="AW348">
        <v>3.1111111111111112</v>
      </c>
      <c r="AX348">
        <v>0.22727272727272729</v>
      </c>
      <c r="AY348">
        <v>0.30909090909090908</v>
      </c>
      <c r="AZ348">
        <v>8.1818181818181804E-2</v>
      </c>
      <c r="BA348">
        <v>0.38181818181818178</v>
      </c>
      <c r="BB348">
        <v>5.9679373011666668</v>
      </c>
      <c r="BC348">
        <v>34</v>
      </c>
      <c r="BD348">
        <v>1767.0449718798691</v>
      </c>
      <c r="BE348">
        <v>4</v>
      </c>
      <c r="BF348">
        <v>7.6964651247849417E-2</v>
      </c>
      <c r="BG348">
        <v>6.6040679999999998</v>
      </c>
      <c r="BH348">
        <v>7.9389519999999996</v>
      </c>
      <c r="BI348">
        <v>33.703336</v>
      </c>
      <c r="BJ348">
        <v>1679.8210721820001</v>
      </c>
      <c r="BK348">
        <v>4</v>
      </c>
      <c r="BL348">
        <v>8.0961003676030277E-2</v>
      </c>
      <c r="BM348">
        <v>7.83</v>
      </c>
      <c r="BN348">
        <v>33.209989999999998</v>
      </c>
      <c r="BO348">
        <v>6.46</v>
      </c>
      <c r="BP348">
        <v>1745.3062</v>
      </c>
      <c r="BQ348">
        <v>4</v>
      </c>
      <c r="BR348">
        <v>7.7923289334559179E-2</v>
      </c>
      <c r="BS348">
        <v>34.1</v>
      </c>
      <c r="BT348">
        <v>7.85</v>
      </c>
      <c r="BU348">
        <v>6.52</v>
      </c>
      <c r="BX348">
        <v>17</v>
      </c>
      <c r="BZ348">
        <v>3.8482325623924708E-2</v>
      </c>
      <c r="CA348">
        <v>4.0480501838015139E-2</v>
      </c>
      <c r="CB348">
        <v>3.8961644667279589E-2</v>
      </c>
      <c r="CC348">
        <v>0.52294198080064858</v>
      </c>
      <c r="CD348">
        <v>0.55009549115750578</v>
      </c>
      <c r="CE348">
        <v>0.52945551775309407</v>
      </c>
    </row>
    <row r="349" spans="1:84" x14ac:dyDescent="0.3">
      <c r="A349" s="1">
        <v>101</v>
      </c>
      <c r="B349" t="s">
        <v>249</v>
      </c>
      <c r="C349" t="s">
        <v>250</v>
      </c>
      <c r="E349" t="s">
        <v>130</v>
      </c>
      <c r="F349">
        <v>3</v>
      </c>
      <c r="G349">
        <v>-1</v>
      </c>
      <c r="H349">
        <v>-1</v>
      </c>
      <c r="I349" t="s">
        <v>251</v>
      </c>
      <c r="Q349" t="s">
        <v>248</v>
      </c>
      <c r="T349" t="b">
        <v>0</v>
      </c>
      <c r="U349" t="s">
        <v>172</v>
      </c>
      <c r="V349" t="s">
        <v>173</v>
      </c>
      <c r="W349">
        <v>0.1</v>
      </c>
      <c r="Y349">
        <v>2.85</v>
      </c>
      <c r="Z349">
        <v>0</v>
      </c>
      <c r="AC349" t="s">
        <v>90</v>
      </c>
      <c r="AD349">
        <v>400</v>
      </c>
      <c r="AF349" t="s">
        <v>91</v>
      </c>
      <c r="AG349">
        <v>293</v>
      </c>
      <c r="AH349">
        <v>1</v>
      </c>
      <c r="AL349" t="b">
        <v>0</v>
      </c>
      <c r="AM349" t="b">
        <v>0</v>
      </c>
      <c r="AN349" t="b">
        <v>1</v>
      </c>
      <c r="AO349" t="b">
        <v>0</v>
      </c>
      <c r="AR349" t="s">
        <v>251</v>
      </c>
      <c r="AS349">
        <v>0</v>
      </c>
      <c r="AT349">
        <v>1.714285714285714</v>
      </c>
      <c r="AU349">
        <v>2.8571428571428572</v>
      </c>
      <c r="AV349">
        <v>1.142857142857143</v>
      </c>
      <c r="AW349">
        <v>0</v>
      </c>
      <c r="AX349">
        <v>0.3</v>
      </c>
      <c r="AY349">
        <v>0.5</v>
      </c>
      <c r="AZ349">
        <v>0.2</v>
      </c>
      <c r="BA349">
        <v>0</v>
      </c>
      <c r="BB349">
        <v>6.4820252782142864</v>
      </c>
      <c r="BC349">
        <v>10</v>
      </c>
      <c r="BD349">
        <v>0</v>
      </c>
      <c r="BE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M349">
        <v>0</v>
      </c>
      <c r="BN349">
        <v>0</v>
      </c>
      <c r="BO349">
        <v>0</v>
      </c>
      <c r="BP349">
        <v>1351.782831723561</v>
      </c>
      <c r="BQ349">
        <v>14</v>
      </c>
      <c r="BR349">
        <v>0.10356693154735221</v>
      </c>
      <c r="BS349">
        <v>19.329999999999998</v>
      </c>
      <c r="BT349">
        <v>3.823</v>
      </c>
      <c r="BU349">
        <v>20.322500000000002</v>
      </c>
      <c r="BX349">
        <v>5</v>
      </c>
      <c r="CB349">
        <v>5.1783465773676103E-2</v>
      </c>
      <c r="CE349">
        <v>0.47507575040644112</v>
      </c>
    </row>
    <row r="350" spans="1:84" x14ac:dyDescent="0.3">
      <c r="A350" s="1">
        <v>102</v>
      </c>
      <c r="B350" t="s">
        <v>169</v>
      </c>
      <c r="C350" t="s">
        <v>170</v>
      </c>
      <c r="G350">
        <v>-1</v>
      </c>
      <c r="H350">
        <v>-1</v>
      </c>
      <c r="I350" t="s">
        <v>171</v>
      </c>
      <c r="Q350" t="s">
        <v>87</v>
      </c>
      <c r="R350">
        <v>1673</v>
      </c>
      <c r="S350">
        <v>0.25</v>
      </c>
      <c r="T350" t="b">
        <v>0</v>
      </c>
      <c r="U350" t="s">
        <v>172</v>
      </c>
      <c r="V350" t="s">
        <v>173</v>
      </c>
      <c r="W350">
        <v>0.1</v>
      </c>
      <c r="Y350">
        <v>2.85</v>
      </c>
      <c r="Z350">
        <v>0</v>
      </c>
      <c r="AC350" t="s">
        <v>90</v>
      </c>
      <c r="AD350">
        <v>400</v>
      </c>
      <c r="AF350" t="s">
        <v>91</v>
      </c>
      <c r="AG350">
        <v>293</v>
      </c>
      <c r="AH350">
        <v>1</v>
      </c>
      <c r="AL350" t="b">
        <v>0</v>
      </c>
      <c r="AM350" t="b">
        <v>0</v>
      </c>
      <c r="AN350" t="b">
        <v>1</v>
      </c>
      <c r="AO350" t="b">
        <v>0</v>
      </c>
      <c r="AR350" t="s">
        <v>171</v>
      </c>
      <c r="AS350">
        <v>0</v>
      </c>
      <c r="AT350">
        <v>1.6</v>
      </c>
      <c r="AU350">
        <v>2.4</v>
      </c>
      <c r="AV350">
        <v>0.8</v>
      </c>
      <c r="AW350">
        <v>0</v>
      </c>
      <c r="AX350">
        <v>0.33333333333333343</v>
      </c>
      <c r="AY350">
        <v>0.5</v>
      </c>
      <c r="AZ350">
        <v>0.16666666666666671</v>
      </c>
      <c r="BA350">
        <v>0</v>
      </c>
      <c r="BB350">
        <v>5.7755883796999994</v>
      </c>
      <c r="BC350">
        <v>6</v>
      </c>
      <c r="BD350">
        <v>0</v>
      </c>
      <c r="BE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M350">
        <v>0</v>
      </c>
      <c r="BN350">
        <v>0</v>
      </c>
      <c r="BO350">
        <v>0</v>
      </c>
      <c r="BP350">
        <v>65.158925823999994</v>
      </c>
      <c r="BQ350">
        <v>1</v>
      </c>
      <c r="BR350">
        <v>9.208254930731255E-2</v>
      </c>
      <c r="BS350">
        <v>4.024</v>
      </c>
      <c r="BT350">
        <v>4.024</v>
      </c>
      <c r="BU350">
        <v>4.024</v>
      </c>
      <c r="BX350">
        <v>3</v>
      </c>
      <c r="CB350">
        <v>4.6041274653656282E-2</v>
      </c>
      <c r="CE350">
        <v>0.64205312435356865</v>
      </c>
    </row>
    <row r="351" spans="1:84" x14ac:dyDescent="0.3">
      <c r="A351" s="1">
        <v>103</v>
      </c>
      <c r="B351" t="s">
        <v>348</v>
      </c>
      <c r="C351" t="s">
        <v>167</v>
      </c>
      <c r="G351">
        <v>-1</v>
      </c>
      <c r="H351">
        <v>-1</v>
      </c>
      <c r="I351" t="s">
        <v>349</v>
      </c>
      <c r="Q351" t="s">
        <v>87</v>
      </c>
      <c r="R351">
        <v>1673</v>
      </c>
      <c r="S351">
        <v>0.25</v>
      </c>
      <c r="T351" t="b">
        <v>0</v>
      </c>
      <c r="U351" t="s">
        <v>172</v>
      </c>
      <c r="V351" t="s">
        <v>173</v>
      </c>
      <c r="W351">
        <v>0.1</v>
      </c>
      <c r="Y351">
        <v>2.85</v>
      </c>
      <c r="Z351">
        <v>0</v>
      </c>
      <c r="AC351" t="s">
        <v>90</v>
      </c>
      <c r="AD351">
        <v>400</v>
      </c>
      <c r="AF351" t="s">
        <v>91</v>
      </c>
      <c r="AG351">
        <v>293</v>
      </c>
      <c r="AH351">
        <v>1</v>
      </c>
      <c r="AL351" t="b">
        <v>0</v>
      </c>
      <c r="AM351" t="b">
        <v>0</v>
      </c>
      <c r="AN351" t="b">
        <v>1</v>
      </c>
      <c r="AO351" t="b">
        <v>0</v>
      </c>
      <c r="AR351" t="s">
        <v>349</v>
      </c>
      <c r="AS351">
        <v>0</v>
      </c>
      <c r="AT351">
        <v>1.666666666666667</v>
      </c>
      <c r="AU351">
        <v>2.666666666666667</v>
      </c>
      <c r="AV351">
        <v>1</v>
      </c>
      <c r="AW351">
        <v>0</v>
      </c>
      <c r="AX351">
        <v>0.31250000000000011</v>
      </c>
      <c r="AY351">
        <v>0.5</v>
      </c>
      <c r="AZ351">
        <v>0.1875</v>
      </c>
      <c r="BA351">
        <v>0</v>
      </c>
      <c r="BB351">
        <v>6.187676570499999</v>
      </c>
      <c r="BC351">
        <v>16</v>
      </c>
      <c r="BD351">
        <v>0</v>
      </c>
      <c r="BE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M351">
        <v>0</v>
      </c>
      <c r="BN351">
        <v>0</v>
      </c>
      <c r="BO351">
        <v>0</v>
      </c>
      <c r="BP351">
        <v>721.10203483500015</v>
      </c>
      <c r="BQ351">
        <v>4</v>
      </c>
      <c r="BR351">
        <v>8.8753043131606521E-2</v>
      </c>
      <c r="BS351">
        <v>3.8090000000000002</v>
      </c>
      <c r="BT351">
        <v>21.2118</v>
      </c>
      <c r="BU351">
        <v>8.9250000000000007</v>
      </c>
      <c r="BX351">
        <v>8</v>
      </c>
      <c r="CB351">
        <v>4.4376521565803261E-2</v>
      </c>
      <c r="CE351">
        <v>0.48651570612673622</v>
      </c>
    </row>
    <row r="352" spans="1:84" x14ac:dyDescent="0.3">
      <c r="A352" s="1">
        <v>104</v>
      </c>
      <c r="B352" t="s">
        <v>245</v>
      </c>
      <c r="C352" t="s">
        <v>246</v>
      </c>
      <c r="E352" t="s">
        <v>130</v>
      </c>
      <c r="F352">
        <v>3.7</v>
      </c>
      <c r="G352">
        <v>-1</v>
      </c>
      <c r="H352">
        <v>-1</v>
      </c>
      <c r="I352" t="s">
        <v>247</v>
      </c>
      <c r="O352">
        <v>0</v>
      </c>
      <c r="Q352" t="s">
        <v>248</v>
      </c>
      <c r="S352">
        <v>0.25</v>
      </c>
      <c r="T352" t="b">
        <v>0</v>
      </c>
      <c r="U352" t="s">
        <v>172</v>
      </c>
      <c r="V352" t="s">
        <v>173</v>
      </c>
      <c r="W352">
        <v>0.1</v>
      </c>
      <c r="Y352">
        <v>2.85</v>
      </c>
      <c r="Z352">
        <v>0</v>
      </c>
      <c r="AC352" t="s">
        <v>90</v>
      </c>
      <c r="AD352">
        <v>400</v>
      </c>
      <c r="AF352" t="s">
        <v>91</v>
      </c>
      <c r="AG352">
        <v>293</v>
      </c>
      <c r="AH352">
        <v>4</v>
      </c>
      <c r="AL352" t="b">
        <v>0</v>
      </c>
      <c r="AM352" t="b">
        <v>0</v>
      </c>
      <c r="AN352" t="b">
        <v>1</v>
      </c>
      <c r="AO352" t="b">
        <v>0</v>
      </c>
      <c r="AR352" t="s">
        <v>247</v>
      </c>
      <c r="AS352">
        <v>1.386294361119891</v>
      </c>
      <c r="AT352">
        <v>2</v>
      </c>
      <c r="AU352">
        <v>2.8571428571428572</v>
      </c>
      <c r="AV352">
        <v>0.8571428571428571</v>
      </c>
      <c r="AW352">
        <v>4</v>
      </c>
      <c r="AX352">
        <v>0.20588235294117649</v>
      </c>
      <c r="AY352">
        <v>0.29411764705882348</v>
      </c>
      <c r="AZ352">
        <v>8.8235294117647065E-2</v>
      </c>
      <c r="BA352">
        <v>0.41176470588235298</v>
      </c>
      <c r="BB352">
        <v>6.5109071682142856</v>
      </c>
      <c r="BC352">
        <v>10</v>
      </c>
      <c r="BD352">
        <v>0</v>
      </c>
      <c r="BE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M352">
        <v>0</v>
      </c>
      <c r="BN352">
        <v>0</v>
      </c>
      <c r="BO352">
        <v>0</v>
      </c>
      <c r="BP352">
        <v>332.44572469099347</v>
      </c>
      <c r="BQ352">
        <v>4</v>
      </c>
      <c r="BR352">
        <v>0.12032039226005931</v>
      </c>
      <c r="BS352">
        <v>12.785299999999999</v>
      </c>
      <c r="BT352">
        <v>4.8536999999999999</v>
      </c>
      <c r="BU352">
        <v>5.5275999999999996</v>
      </c>
      <c r="BX352">
        <v>5</v>
      </c>
      <c r="CB352">
        <v>6.0160196130029632E-2</v>
      </c>
      <c r="CE352">
        <v>0.55192617747886141</v>
      </c>
    </row>
    <row r="353" spans="1:84" x14ac:dyDescent="0.3">
      <c r="A353" s="1">
        <v>105</v>
      </c>
      <c r="B353" t="s">
        <v>350</v>
      </c>
      <c r="C353" t="s">
        <v>351</v>
      </c>
      <c r="G353" t="s">
        <v>352</v>
      </c>
      <c r="H353" t="s">
        <v>353</v>
      </c>
      <c r="I353">
        <v>-1</v>
      </c>
      <c r="Q353" t="s">
        <v>87</v>
      </c>
      <c r="R353">
        <v>1673</v>
      </c>
      <c r="S353">
        <v>0.25</v>
      </c>
      <c r="T353" t="b">
        <v>0</v>
      </c>
      <c r="U353" t="s">
        <v>172</v>
      </c>
      <c r="V353" t="s">
        <v>173</v>
      </c>
      <c r="W353">
        <v>0.1</v>
      </c>
      <c r="Y353">
        <v>2.85</v>
      </c>
      <c r="Z353">
        <v>0</v>
      </c>
      <c r="AC353" t="s">
        <v>90</v>
      </c>
      <c r="AD353">
        <v>400</v>
      </c>
      <c r="AF353" t="s">
        <v>91</v>
      </c>
      <c r="AG353">
        <v>293</v>
      </c>
      <c r="AH353">
        <v>6</v>
      </c>
      <c r="AL353" t="b">
        <v>1</v>
      </c>
      <c r="AM353" t="b">
        <v>1</v>
      </c>
      <c r="AN353" t="b">
        <v>0</v>
      </c>
      <c r="AO353" t="b">
        <v>0</v>
      </c>
      <c r="AP353" t="s">
        <v>352</v>
      </c>
      <c r="AQ353" t="s">
        <v>353</v>
      </c>
      <c r="AS353">
        <v>1.791759469228055</v>
      </c>
      <c r="AT353">
        <v>1.8</v>
      </c>
      <c r="AU353">
        <v>2.4</v>
      </c>
      <c r="AV353">
        <v>0.6</v>
      </c>
      <c r="AW353">
        <v>2.8</v>
      </c>
      <c r="AX353">
        <v>0.23684210526315791</v>
      </c>
      <c r="AY353">
        <v>0.31578947368421051</v>
      </c>
      <c r="AZ353">
        <v>7.8947368421052627E-2</v>
      </c>
      <c r="BA353">
        <v>0.36842105263157893</v>
      </c>
      <c r="BB353">
        <v>5.7958057026999992</v>
      </c>
      <c r="BC353">
        <v>6</v>
      </c>
      <c r="BD353">
        <v>63.754620030366901</v>
      </c>
      <c r="BE353">
        <v>1</v>
      </c>
      <c r="BF353">
        <v>9.4110826747020773E-2</v>
      </c>
      <c r="BG353">
        <v>3.9948813699999999</v>
      </c>
      <c r="BH353">
        <v>3.9948813699999999</v>
      </c>
      <c r="BI353">
        <v>3.9948813699999999</v>
      </c>
      <c r="BJ353">
        <v>63.440041078387011</v>
      </c>
      <c r="BK353">
        <v>1</v>
      </c>
      <c r="BL353">
        <v>9.4577492353549286E-2</v>
      </c>
      <c r="BM353">
        <v>3.9883000000000002</v>
      </c>
      <c r="BN353">
        <v>3.9883000000000002</v>
      </c>
      <c r="BO353">
        <v>3.9883000000000002</v>
      </c>
      <c r="BP353">
        <v>0</v>
      </c>
      <c r="BQ353">
        <v>0</v>
      </c>
      <c r="BS353">
        <v>0</v>
      </c>
      <c r="BT353">
        <v>0</v>
      </c>
      <c r="BU353">
        <v>0</v>
      </c>
      <c r="BX353">
        <v>3</v>
      </c>
      <c r="BZ353">
        <v>4.7055413373510387E-2</v>
      </c>
      <c r="CA353">
        <v>4.7288746176774643E-2</v>
      </c>
      <c r="CC353">
        <v>0.65619545508850963</v>
      </c>
      <c r="CD353">
        <v>0.65944931928920669</v>
      </c>
    </row>
    <row r="354" spans="1:84" x14ac:dyDescent="0.3">
      <c r="A354" s="1">
        <v>282</v>
      </c>
      <c r="B354" t="s">
        <v>83</v>
      </c>
      <c r="C354" t="s">
        <v>84</v>
      </c>
      <c r="E354" t="s">
        <v>83</v>
      </c>
      <c r="F354">
        <v>3.3</v>
      </c>
      <c r="G354" t="s">
        <v>85</v>
      </c>
      <c r="H354" t="s">
        <v>86</v>
      </c>
      <c r="I354">
        <v>-1</v>
      </c>
      <c r="J354">
        <v>4</v>
      </c>
      <c r="K354">
        <v>6.6</v>
      </c>
      <c r="L354">
        <v>7.94</v>
      </c>
      <c r="M354">
        <v>33.700000000000003</v>
      </c>
      <c r="O354">
        <v>16.850000000000001</v>
      </c>
      <c r="Q354" t="s">
        <v>87</v>
      </c>
      <c r="R354">
        <v>1173</v>
      </c>
      <c r="S354">
        <v>6</v>
      </c>
      <c r="T354" t="b">
        <v>0</v>
      </c>
      <c r="U354" t="s">
        <v>172</v>
      </c>
      <c r="V354" t="s">
        <v>173</v>
      </c>
      <c r="W354">
        <v>0.1</v>
      </c>
      <c r="X354">
        <v>4.5</v>
      </c>
      <c r="Y354">
        <v>2.86</v>
      </c>
      <c r="Z354">
        <v>0</v>
      </c>
      <c r="AC354" t="s">
        <v>90</v>
      </c>
      <c r="AD354">
        <v>450</v>
      </c>
      <c r="AF354" t="s">
        <v>91</v>
      </c>
      <c r="AH354">
        <v>210</v>
      </c>
      <c r="AL354" t="b">
        <v>1</v>
      </c>
      <c r="AM354" t="b">
        <v>0</v>
      </c>
      <c r="AN354" t="b">
        <v>0</v>
      </c>
      <c r="AO354" t="b">
        <v>0</v>
      </c>
      <c r="AP354" t="s">
        <v>85</v>
      </c>
      <c r="AQ354" t="s">
        <v>86</v>
      </c>
      <c r="AS354">
        <v>5.3471075307174676</v>
      </c>
      <c r="AT354">
        <v>1.62962962962963</v>
      </c>
      <c r="AU354">
        <v>2.518518518518519</v>
      </c>
      <c r="AV354">
        <v>0.88888888888888884</v>
      </c>
      <c r="AW354">
        <v>0</v>
      </c>
      <c r="AX354">
        <v>0.32352941176470579</v>
      </c>
      <c r="AY354">
        <v>0.5</v>
      </c>
      <c r="AZ354">
        <v>0.1764705882352941</v>
      </c>
      <c r="BA354">
        <v>0</v>
      </c>
      <c r="BB354">
        <v>5.9587386867222234</v>
      </c>
      <c r="BC354">
        <v>34</v>
      </c>
      <c r="BD354">
        <v>1767.0449718798691</v>
      </c>
      <c r="BE354">
        <v>4</v>
      </c>
      <c r="BF354">
        <v>7.6964651247849417E-2</v>
      </c>
      <c r="BG354">
        <v>6.6040679999999998</v>
      </c>
      <c r="BH354">
        <v>7.9389519999999996</v>
      </c>
      <c r="BI354">
        <v>33.703336</v>
      </c>
      <c r="BJ354">
        <v>1679.8210721820001</v>
      </c>
      <c r="BK354">
        <v>4</v>
      </c>
      <c r="BL354">
        <v>8.0961003676030277E-2</v>
      </c>
      <c r="BM354">
        <v>7.83</v>
      </c>
      <c r="BN354">
        <v>33.209989999999998</v>
      </c>
      <c r="BO354">
        <v>6.46</v>
      </c>
      <c r="BP354">
        <v>0</v>
      </c>
      <c r="BQ354">
        <v>0</v>
      </c>
      <c r="BS354">
        <v>0</v>
      </c>
      <c r="BT354">
        <v>0</v>
      </c>
      <c r="BU354">
        <v>0</v>
      </c>
      <c r="BV354">
        <v>1766.0147999999999</v>
      </c>
      <c r="BW354">
        <v>7.7009547145358015E-2</v>
      </c>
      <c r="BX354">
        <v>17</v>
      </c>
      <c r="BY354">
        <v>3.8504773572679007E-2</v>
      </c>
      <c r="BZ354">
        <v>3.8482325623924708E-2</v>
      </c>
      <c r="CA354">
        <v>4.0480501838015139E-2</v>
      </c>
      <c r="CC354">
        <v>0.48264383878002193</v>
      </c>
      <c r="CD354">
        <v>0.50770488753139875</v>
      </c>
      <c r="CF354">
        <v>0.48292538008460401</v>
      </c>
    </row>
    <row r="355" spans="1:84" x14ac:dyDescent="0.3">
      <c r="A355" s="1">
        <v>283</v>
      </c>
      <c r="B355" t="s">
        <v>697</v>
      </c>
      <c r="C355" t="s">
        <v>698</v>
      </c>
      <c r="E355" t="s">
        <v>106</v>
      </c>
      <c r="F355">
        <v>3.5</v>
      </c>
      <c r="G355" t="s">
        <v>113</v>
      </c>
      <c r="H355" t="s">
        <v>114</v>
      </c>
      <c r="I355">
        <v>-1</v>
      </c>
      <c r="Q355" t="s">
        <v>87</v>
      </c>
      <c r="R355">
        <v>1173</v>
      </c>
      <c r="S355">
        <v>6</v>
      </c>
      <c r="T355" t="b">
        <v>0</v>
      </c>
      <c r="U355" t="s">
        <v>172</v>
      </c>
      <c r="V355" t="s">
        <v>173</v>
      </c>
      <c r="W355">
        <v>0.1</v>
      </c>
      <c r="X355">
        <v>4.2</v>
      </c>
      <c r="Y355">
        <v>2.86</v>
      </c>
      <c r="Z355">
        <v>0</v>
      </c>
      <c r="AC355" t="s">
        <v>90</v>
      </c>
      <c r="AD355">
        <v>450</v>
      </c>
      <c r="AF355" t="s">
        <v>91</v>
      </c>
      <c r="AH355">
        <v>150</v>
      </c>
      <c r="AI355" t="s">
        <v>699</v>
      </c>
      <c r="AJ355" t="s">
        <v>699</v>
      </c>
      <c r="AL355" t="b">
        <v>1</v>
      </c>
      <c r="AM355" t="b">
        <v>1</v>
      </c>
      <c r="AN355" t="b">
        <v>0</v>
      </c>
      <c r="AO355" t="b">
        <v>0</v>
      </c>
      <c r="AP355" t="s">
        <v>700</v>
      </c>
      <c r="AQ355" t="s">
        <v>701</v>
      </c>
      <c r="AS355">
        <v>5.0106352940962564</v>
      </c>
      <c r="AT355">
        <v>1.9375</v>
      </c>
      <c r="AU355">
        <v>2.5</v>
      </c>
      <c r="AV355">
        <v>0.5625</v>
      </c>
      <c r="AW355">
        <v>2.625</v>
      </c>
      <c r="AX355">
        <v>0.25409836065573771</v>
      </c>
      <c r="AY355">
        <v>0.32786885245901642</v>
      </c>
      <c r="AZ355">
        <v>7.3770491803278687E-2</v>
      </c>
      <c r="BA355">
        <v>0.34426229508196721</v>
      </c>
      <c r="BB355">
        <v>5.936927329375</v>
      </c>
      <c r="BC355">
        <v>20</v>
      </c>
      <c r="BD355">
        <v>240.40623599981481</v>
      </c>
      <c r="BE355">
        <v>1</v>
      </c>
      <c r="BF355">
        <v>8.3192517518619641E-2</v>
      </c>
      <c r="BG355">
        <v>3.9661010000000001</v>
      </c>
      <c r="BH355">
        <v>3.9661010000000001</v>
      </c>
      <c r="BI355">
        <v>15.283337</v>
      </c>
      <c r="BJ355">
        <v>222.00958249733301</v>
      </c>
      <c r="BK355">
        <v>1</v>
      </c>
      <c r="BL355">
        <v>9.0086201573034624E-2</v>
      </c>
      <c r="BM355">
        <v>3.8586499999999999</v>
      </c>
      <c r="BN355">
        <v>3.8586499999999999</v>
      </c>
      <c r="BO355">
        <v>14.9108</v>
      </c>
      <c r="BP355">
        <v>0</v>
      </c>
      <c r="BQ355">
        <v>0</v>
      </c>
      <c r="BS355">
        <v>0</v>
      </c>
      <c r="BT355">
        <v>0</v>
      </c>
      <c r="BU355">
        <v>0</v>
      </c>
      <c r="BX355">
        <v>10</v>
      </c>
      <c r="BZ355">
        <v>4.159625875930982E-2</v>
      </c>
      <c r="CA355">
        <v>4.5043100786517312E-2</v>
      </c>
      <c r="CC355">
        <v>0.54981013863775718</v>
      </c>
      <c r="CD355">
        <v>0.59536973340341026</v>
      </c>
    </row>
    <row r="356" spans="1:84" x14ac:dyDescent="0.3">
      <c r="A356" s="1">
        <v>342</v>
      </c>
      <c r="B356" t="s">
        <v>773</v>
      </c>
      <c r="C356" t="s">
        <v>774</v>
      </c>
      <c r="F356">
        <v>3.08</v>
      </c>
      <c r="G356" t="s">
        <v>482</v>
      </c>
      <c r="H356" t="s">
        <v>483</v>
      </c>
      <c r="I356">
        <v>-1</v>
      </c>
      <c r="Q356" t="s">
        <v>755</v>
      </c>
      <c r="R356">
        <v>1023</v>
      </c>
      <c r="S356">
        <v>3</v>
      </c>
      <c r="T356" t="b">
        <v>0</v>
      </c>
      <c r="U356" t="s">
        <v>172</v>
      </c>
      <c r="V356" t="s">
        <v>173</v>
      </c>
      <c r="W356">
        <v>0.1</v>
      </c>
      <c r="Y356">
        <v>0.23799999999999999</v>
      </c>
      <c r="Z356">
        <v>4.76</v>
      </c>
      <c r="AC356" t="s">
        <v>165</v>
      </c>
      <c r="AD356">
        <v>350</v>
      </c>
      <c r="AE356">
        <v>400</v>
      </c>
      <c r="AF356" t="s">
        <v>407</v>
      </c>
      <c r="AH356">
        <v>61.3</v>
      </c>
      <c r="AI356" t="s">
        <v>775</v>
      </c>
      <c r="AJ356" t="s">
        <v>775</v>
      </c>
      <c r="AL356" t="b">
        <v>1</v>
      </c>
      <c r="AM356" t="b">
        <v>1</v>
      </c>
      <c r="AN356" t="b">
        <v>0</v>
      </c>
      <c r="AO356" t="b">
        <v>0</v>
      </c>
      <c r="AP356" t="s">
        <v>785</v>
      </c>
      <c r="AQ356" t="s">
        <v>786</v>
      </c>
      <c r="AS356">
        <v>4.1157798429421657</v>
      </c>
      <c r="AT356">
        <v>1.978947368421053</v>
      </c>
      <c r="AU356">
        <v>3.1578947368421049</v>
      </c>
      <c r="AV356">
        <v>2.4842105263157901</v>
      </c>
      <c r="AW356">
        <v>2.947368421052631</v>
      </c>
      <c r="AX356">
        <v>0.18725099601593631</v>
      </c>
      <c r="AY356">
        <v>0.29880478087649398</v>
      </c>
      <c r="AZ356">
        <v>0.23505976095617531</v>
      </c>
      <c r="BA356">
        <v>0.2788844621513944</v>
      </c>
      <c r="BB356">
        <v>6.1786324362105258</v>
      </c>
      <c r="BC356">
        <v>24</v>
      </c>
      <c r="BD356">
        <v>251.01098912285789</v>
      </c>
      <c r="BE356">
        <v>1</v>
      </c>
      <c r="BF356">
        <v>9.5613343797681868E-2</v>
      </c>
      <c r="BG356">
        <v>3.86469438</v>
      </c>
      <c r="BH356">
        <v>3.86469438</v>
      </c>
      <c r="BI356">
        <v>16.978874730000001</v>
      </c>
      <c r="BJ356">
        <v>967.79977224000004</v>
      </c>
      <c r="BK356">
        <v>1</v>
      </c>
      <c r="BL356">
        <v>2.4798517925305269E-2</v>
      </c>
      <c r="BM356">
        <v>32.83</v>
      </c>
      <c r="BN356">
        <v>5.4109999999999996</v>
      </c>
      <c r="BO356">
        <v>5.4480000000000004</v>
      </c>
      <c r="BP356">
        <v>0</v>
      </c>
      <c r="BQ356">
        <v>0</v>
      </c>
      <c r="BS356">
        <v>0</v>
      </c>
      <c r="BT356">
        <v>0</v>
      </c>
      <c r="BU356">
        <v>0</v>
      </c>
      <c r="BX356">
        <v>12</v>
      </c>
      <c r="BZ356">
        <v>4.7806671898840927E-2</v>
      </c>
      <c r="CA356">
        <v>1.239925896265264E-2</v>
      </c>
      <c r="CC356">
        <v>0.52673136262708065</v>
      </c>
      <c r="CD356">
        <v>0.1366143743028975</v>
      </c>
    </row>
    <row r="357" spans="1:84" x14ac:dyDescent="0.3">
      <c r="A357" s="1">
        <v>351</v>
      </c>
      <c r="B357" t="s">
        <v>795</v>
      </c>
      <c r="C357" t="s">
        <v>796</v>
      </c>
      <c r="E357" t="s">
        <v>106</v>
      </c>
      <c r="F357">
        <v>2.58</v>
      </c>
      <c r="G357" t="s">
        <v>142</v>
      </c>
      <c r="H357" t="s">
        <v>356</v>
      </c>
      <c r="I357">
        <v>-1</v>
      </c>
      <c r="J357">
        <v>1</v>
      </c>
      <c r="K357">
        <v>3.93</v>
      </c>
      <c r="L357">
        <v>3.93</v>
      </c>
      <c r="M357">
        <v>15.3</v>
      </c>
      <c r="O357">
        <v>15.3</v>
      </c>
      <c r="Q357" t="s">
        <v>87</v>
      </c>
      <c r="R357">
        <v>1273</v>
      </c>
      <c r="S357">
        <v>48</v>
      </c>
      <c r="T357" t="b">
        <v>0</v>
      </c>
      <c r="U357" t="s">
        <v>125</v>
      </c>
      <c r="V357" t="s">
        <v>126</v>
      </c>
      <c r="W357">
        <v>0.1</v>
      </c>
      <c r="Y357">
        <v>2.5</v>
      </c>
      <c r="Z357">
        <v>20</v>
      </c>
      <c r="AC357" t="s">
        <v>165</v>
      </c>
      <c r="AD357">
        <v>300</v>
      </c>
      <c r="AE357">
        <v>290</v>
      </c>
      <c r="AF357" t="s">
        <v>407</v>
      </c>
      <c r="AG357">
        <v>303</v>
      </c>
      <c r="AH357">
        <v>65</v>
      </c>
      <c r="AI357" t="s">
        <v>797</v>
      </c>
      <c r="AJ357" t="s">
        <v>797</v>
      </c>
      <c r="AL357" t="b">
        <v>1</v>
      </c>
      <c r="AM357" t="b">
        <v>1</v>
      </c>
      <c r="AN357" t="b">
        <v>0</v>
      </c>
      <c r="AO357" t="b">
        <v>0</v>
      </c>
      <c r="AP357" t="s">
        <v>798</v>
      </c>
      <c r="AQ357" t="s">
        <v>799</v>
      </c>
      <c r="AS357">
        <v>4.1743872698956368</v>
      </c>
      <c r="AT357">
        <v>1.75</v>
      </c>
      <c r="AU357">
        <v>2.75</v>
      </c>
      <c r="AV357">
        <v>2</v>
      </c>
      <c r="AW357">
        <v>1.75</v>
      </c>
      <c r="AX357">
        <v>0.2121212121212121</v>
      </c>
      <c r="AY357">
        <v>0.33333333333333331</v>
      </c>
      <c r="AZ357">
        <v>0.2424242424242424</v>
      </c>
      <c r="BA357">
        <v>0.2121212121212121</v>
      </c>
      <c r="BB357">
        <v>6.3662463368656868</v>
      </c>
      <c r="BC357">
        <v>20</v>
      </c>
      <c r="BD357">
        <v>242.1279024923125</v>
      </c>
      <c r="BE357">
        <v>1</v>
      </c>
      <c r="BF357">
        <v>8.2600971611006269E-2</v>
      </c>
      <c r="BG357">
        <v>3.950634</v>
      </c>
      <c r="BH357">
        <v>3.950634</v>
      </c>
      <c r="BI357">
        <v>15.513552000000001</v>
      </c>
      <c r="BJ357">
        <v>227.970829547178</v>
      </c>
      <c r="BK357">
        <v>1</v>
      </c>
      <c r="BL357">
        <v>8.7730522539775438E-2</v>
      </c>
      <c r="BM357">
        <v>3.8658999999999999</v>
      </c>
      <c r="BN357">
        <v>3.8658999999999999</v>
      </c>
      <c r="BO357">
        <v>15.2538</v>
      </c>
      <c r="BP357">
        <v>0</v>
      </c>
      <c r="BQ357">
        <v>0</v>
      </c>
      <c r="BS357">
        <v>0</v>
      </c>
      <c r="BT357">
        <v>0</v>
      </c>
      <c r="BU357">
        <v>0</v>
      </c>
      <c r="BV357">
        <v>236.30697000000001</v>
      </c>
      <c r="BW357">
        <v>8.4635675367510321E-2</v>
      </c>
      <c r="BX357">
        <v>10</v>
      </c>
      <c r="BY357">
        <v>4.2317837683755161E-2</v>
      </c>
      <c r="BZ357">
        <v>4.1300485805503127E-2</v>
      </c>
      <c r="CA357">
        <v>4.3865261269887719E-2</v>
      </c>
      <c r="CC357">
        <v>0.45209324609135609</v>
      </c>
      <c r="CD357">
        <v>0.48016840410885803</v>
      </c>
      <c r="CF357">
        <v>0.46322962630785253</v>
      </c>
    </row>
    <row r="358" spans="1:84" x14ac:dyDescent="0.3">
      <c r="A358" s="1">
        <v>352</v>
      </c>
      <c r="B358" t="s">
        <v>795</v>
      </c>
      <c r="C358" t="s">
        <v>796</v>
      </c>
      <c r="E358" t="s">
        <v>106</v>
      </c>
      <c r="F358">
        <v>2.58</v>
      </c>
      <c r="G358" t="s">
        <v>142</v>
      </c>
      <c r="H358" t="s">
        <v>356</v>
      </c>
      <c r="I358">
        <v>-1</v>
      </c>
      <c r="J358">
        <v>1</v>
      </c>
      <c r="K358">
        <v>3.93</v>
      </c>
      <c r="L358">
        <v>3.93</v>
      </c>
      <c r="M358">
        <v>15.3</v>
      </c>
      <c r="O358">
        <v>15.3</v>
      </c>
      <c r="Q358" t="s">
        <v>87</v>
      </c>
      <c r="R358">
        <v>1273</v>
      </c>
      <c r="S358">
        <v>48</v>
      </c>
      <c r="T358" t="b">
        <v>0</v>
      </c>
      <c r="U358" t="s">
        <v>125</v>
      </c>
      <c r="V358" t="s">
        <v>126</v>
      </c>
      <c r="W358">
        <v>0.1</v>
      </c>
      <c r="Y358">
        <v>2.5</v>
      </c>
      <c r="Z358">
        <v>20</v>
      </c>
      <c r="AC358" t="s">
        <v>165</v>
      </c>
      <c r="AD358">
        <v>300</v>
      </c>
      <c r="AE358">
        <v>400</v>
      </c>
      <c r="AF358" t="s">
        <v>407</v>
      </c>
      <c r="AG358">
        <v>303</v>
      </c>
      <c r="AH358">
        <v>12</v>
      </c>
      <c r="AI358" t="s">
        <v>797</v>
      </c>
      <c r="AJ358" t="s">
        <v>797</v>
      </c>
      <c r="AL358" t="b">
        <v>1</v>
      </c>
      <c r="AM358" t="b">
        <v>1</v>
      </c>
      <c r="AN358" t="b">
        <v>0</v>
      </c>
      <c r="AO358" t="b">
        <v>0</v>
      </c>
      <c r="AP358" t="s">
        <v>800</v>
      </c>
      <c r="AQ358" t="s">
        <v>801</v>
      </c>
      <c r="AS358">
        <v>2.4849066497879999</v>
      </c>
      <c r="AT358">
        <v>1.75</v>
      </c>
      <c r="AU358">
        <v>2.75</v>
      </c>
      <c r="AV358">
        <v>2</v>
      </c>
      <c r="AW358">
        <v>1.75</v>
      </c>
      <c r="AX358">
        <v>0.2121212121212121</v>
      </c>
      <c r="AY358">
        <v>0.33333333333333331</v>
      </c>
      <c r="AZ358">
        <v>0.2424242424242424</v>
      </c>
      <c r="BA358">
        <v>0.2121212121212121</v>
      </c>
      <c r="BB358">
        <v>6.3662463368656868</v>
      </c>
      <c r="BC358">
        <v>20</v>
      </c>
      <c r="BD358">
        <v>242.1279024923125</v>
      </c>
      <c r="BE358">
        <v>1</v>
      </c>
      <c r="BF358">
        <v>8.2600971611006269E-2</v>
      </c>
      <c r="BG358">
        <v>3.950634</v>
      </c>
      <c r="BH358">
        <v>3.950634</v>
      </c>
      <c r="BI358">
        <v>15.513552000000001</v>
      </c>
      <c r="BJ358">
        <v>227.970829547178</v>
      </c>
      <c r="BK358">
        <v>1</v>
      </c>
      <c r="BL358">
        <v>8.7730522539775438E-2</v>
      </c>
      <c r="BM358">
        <v>3.8658999999999999</v>
      </c>
      <c r="BN358">
        <v>3.8658999999999999</v>
      </c>
      <c r="BO358">
        <v>15.2538</v>
      </c>
      <c r="BP358">
        <v>0</v>
      </c>
      <c r="BQ358">
        <v>0</v>
      </c>
      <c r="BS358">
        <v>0</v>
      </c>
      <c r="BT358">
        <v>0</v>
      </c>
      <c r="BU358">
        <v>0</v>
      </c>
      <c r="BV358">
        <v>236.30697000000001</v>
      </c>
      <c r="BW358">
        <v>8.4635675367510321E-2</v>
      </c>
      <c r="BX358">
        <v>10</v>
      </c>
      <c r="BY358">
        <v>4.2317837683755161E-2</v>
      </c>
      <c r="BZ358">
        <v>4.1300485805503127E-2</v>
      </c>
      <c r="CA358">
        <v>4.3865261269887719E-2</v>
      </c>
      <c r="CC358">
        <v>0.45209324609135609</v>
      </c>
      <c r="CD358">
        <v>0.48016840410885803</v>
      </c>
      <c r="CF358">
        <v>0.46322962630785253</v>
      </c>
    </row>
    <row r="359" spans="1:84" x14ac:dyDescent="0.3">
      <c r="A359" s="1">
        <v>353</v>
      </c>
      <c r="B359" t="s">
        <v>802</v>
      </c>
      <c r="C359" t="s">
        <v>803</v>
      </c>
      <c r="F359">
        <v>4.05</v>
      </c>
      <c r="G359" t="s">
        <v>804</v>
      </c>
      <c r="H359" t="s">
        <v>805</v>
      </c>
      <c r="I359">
        <v>-1</v>
      </c>
      <c r="Q359" t="s">
        <v>87</v>
      </c>
      <c r="R359">
        <v>1173</v>
      </c>
      <c r="T359" t="b">
        <v>0</v>
      </c>
      <c r="U359" t="s">
        <v>125</v>
      </c>
      <c r="V359" t="s">
        <v>126</v>
      </c>
      <c r="W359">
        <v>0.1</v>
      </c>
      <c r="Y359">
        <v>10</v>
      </c>
      <c r="Z359">
        <v>20</v>
      </c>
      <c r="AC359" t="s">
        <v>806</v>
      </c>
      <c r="AF359" t="s">
        <v>91</v>
      </c>
      <c r="AH359">
        <v>3050</v>
      </c>
      <c r="AL359" t="b">
        <v>1</v>
      </c>
      <c r="AM359" t="b">
        <v>1</v>
      </c>
      <c r="AN359" t="b">
        <v>0</v>
      </c>
      <c r="AO359" t="b">
        <v>0</v>
      </c>
      <c r="AP359" t="s">
        <v>804</v>
      </c>
      <c r="AQ359" t="s">
        <v>805</v>
      </c>
      <c r="AS359">
        <v>8.0228968696014569</v>
      </c>
      <c r="AT359">
        <v>2</v>
      </c>
      <c r="AU359">
        <v>2.5</v>
      </c>
      <c r="AV359">
        <v>0.5</v>
      </c>
      <c r="AW359">
        <v>2.333333333333333</v>
      </c>
      <c r="AX359">
        <v>0.27272727272727282</v>
      </c>
      <c r="AY359">
        <v>0.34090909090909088</v>
      </c>
      <c r="AZ359">
        <v>6.8181818181818191E-2</v>
      </c>
      <c r="BA359">
        <v>0.31818181818181818</v>
      </c>
      <c r="BB359">
        <v>5.9267227834374996</v>
      </c>
      <c r="BC359">
        <v>30</v>
      </c>
      <c r="BD359">
        <v>348.60249769877402</v>
      </c>
      <c r="BE359">
        <v>1</v>
      </c>
      <c r="BF359">
        <v>8.6057903193576313E-2</v>
      </c>
      <c r="BG359">
        <v>5.81978595</v>
      </c>
      <c r="BH359">
        <v>5.81978595</v>
      </c>
      <c r="BI359">
        <v>11.88463337</v>
      </c>
      <c r="BJ359">
        <v>341.50925474885508</v>
      </c>
      <c r="BK359">
        <v>1</v>
      </c>
      <c r="BL359">
        <v>8.7845349965879865E-2</v>
      </c>
      <c r="BM359">
        <v>5.7759999999999998</v>
      </c>
      <c r="BN359">
        <v>5.7759999999999998</v>
      </c>
      <c r="BO359">
        <v>11.82</v>
      </c>
      <c r="BP359">
        <v>0</v>
      </c>
      <c r="BQ359">
        <v>0</v>
      </c>
      <c r="BS359">
        <v>0</v>
      </c>
      <c r="BT359">
        <v>0</v>
      </c>
      <c r="BU359">
        <v>0</v>
      </c>
      <c r="BX359">
        <v>15</v>
      </c>
      <c r="BZ359">
        <v>4.3028951596788163E-2</v>
      </c>
      <c r="CA359">
        <v>4.3922674982939933E-2</v>
      </c>
      <c r="CC359">
        <v>0.58209579444379367</v>
      </c>
      <c r="CD359">
        <v>0.59418608726221889</v>
      </c>
    </row>
    <row r="360" spans="1:84" x14ac:dyDescent="0.3">
      <c r="A360" s="1">
        <v>433</v>
      </c>
      <c r="B360" t="s">
        <v>83</v>
      </c>
      <c r="C360" t="s">
        <v>84</v>
      </c>
      <c r="E360" t="s">
        <v>83</v>
      </c>
      <c r="F360">
        <v>3.3</v>
      </c>
      <c r="G360" t="s">
        <v>85</v>
      </c>
      <c r="H360" t="s">
        <v>86</v>
      </c>
      <c r="I360">
        <v>-1</v>
      </c>
      <c r="J360">
        <v>4</v>
      </c>
      <c r="K360">
        <v>6.6</v>
      </c>
      <c r="L360">
        <v>7.94</v>
      </c>
      <c r="M360">
        <v>33.700000000000003</v>
      </c>
      <c r="O360">
        <v>16.850000000000001</v>
      </c>
      <c r="Q360" t="s">
        <v>87</v>
      </c>
      <c r="R360">
        <v>1473</v>
      </c>
      <c r="T360" t="b">
        <v>0</v>
      </c>
      <c r="U360" t="s">
        <v>172</v>
      </c>
      <c r="V360" t="s">
        <v>173</v>
      </c>
      <c r="W360">
        <v>0.1</v>
      </c>
      <c r="X360">
        <v>1</v>
      </c>
      <c r="Y360">
        <v>1.51</v>
      </c>
      <c r="Z360">
        <v>0</v>
      </c>
      <c r="AC360" t="s">
        <v>90</v>
      </c>
      <c r="AD360">
        <v>450</v>
      </c>
      <c r="AF360" t="s">
        <v>91</v>
      </c>
      <c r="AH360">
        <v>1548</v>
      </c>
      <c r="AL360" t="b">
        <v>1</v>
      </c>
      <c r="AM360" t="b">
        <v>0</v>
      </c>
      <c r="AN360" t="b">
        <v>0</v>
      </c>
      <c r="AO360" t="b">
        <v>0</v>
      </c>
      <c r="AP360" t="s">
        <v>85</v>
      </c>
      <c r="AQ360" t="s">
        <v>86</v>
      </c>
      <c r="AS360">
        <v>7.3447190541496727</v>
      </c>
      <c r="AT360">
        <v>1.62962962962963</v>
      </c>
      <c r="AU360">
        <v>2.518518518518519</v>
      </c>
      <c r="AV360">
        <v>0.88888888888888884</v>
      </c>
      <c r="AW360">
        <v>0</v>
      </c>
      <c r="AX360">
        <v>0.32352941176470579</v>
      </c>
      <c r="AY360">
        <v>0.5</v>
      </c>
      <c r="AZ360">
        <v>0.1764705882352941</v>
      </c>
      <c r="BA360">
        <v>0</v>
      </c>
      <c r="BB360">
        <v>5.9587386867222234</v>
      </c>
      <c r="BC360">
        <v>34</v>
      </c>
      <c r="BD360">
        <v>1767.0449718798691</v>
      </c>
      <c r="BE360">
        <v>4</v>
      </c>
      <c r="BF360">
        <v>7.6964651247849417E-2</v>
      </c>
      <c r="BG360">
        <v>6.6040679999999998</v>
      </c>
      <c r="BH360">
        <v>7.9389519999999996</v>
      </c>
      <c r="BI360">
        <v>33.703336</v>
      </c>
      <c r="BJ360">
        <v>1679.8210721820001</v>
      </c>
      <c r="BK360">
        <v>4</v>
      </c>
      <c r="BL360">
        <v>8.0961003676030277E-2</v>
      </c>
      <c r="BM360">
        <v>7.83</v>
      </c>
      <c r="BN360">
        <v>33.209989999999998</v>
      </c>
      <c r="BO360">
        <v>6.46</v>
      </c>
      <c r="BP360">
        <v>0</v>
      </c>
      <c r="BQ360">
        <v>0</v>
      </c>
      <c r="BS360">
        <v>0</v>
      </c>
      <c r="BT360">
        <v>0</v>
      </c>
      <c r="BU360">
        <v>0</v>
      </c>
      <c r="BV360">
        <v>1766.0147999999999</v>
      </c>
      <c r="BW360">
        <v>7.7009547145358015E-2</v>
      </c>
      <c r="BX360">
        <v>17</v>
      </c>
      <c r="BY360">
        <v>3.8504773572679007E-2</v>
      </c>
      <c r="BZ360">
        <v>3.8482325623924708E-2</v>
      </c>
      <c r="CA360">
        <v>4.0480501838015139E-2</v>
      </c>
      <c r="CC360">
        <v>0.48264383878002193</v>
      </c>
      <c r="CD360">
        <v>0.50770488753139875</v>
      </c>
      <c r="CF360">
        <v>0.48292538008460401</v>
      </c>
    </row>
    <row r="361" spans="1:84" x14ac:dyDescent="0.3">
      <c r="A361" s="1">
        <v>434</v>
      </c>
      <c r="B361" t="s">
        <v>83</v>
      </c>
      <c r="C361" t="s">
        <v>84</v>
      </c>
      <c r="E361" t="s">
        <v>83</v>
      </c>
      <c r="F361">
        <v>3.3</v>
      </c>
      <c r="G361" t="s">
        <v>85</v>
      </c>
      <c r="H361" t="s">
        <v>86</v>
      </c>
      <c r="I361">
        <v>-1</v>
      </c>
      <c r="J361">
        <v>4</v>
      </c>
      <c r="K361">
        <v>6.6</v>
      </c>
      <c r="L361">
        <v>7.94</v>
      </c>
      <c r="M361">
        <v>33.700000000000003</v>
      </c>
      <c r="O361">
        <v>16.850000000000001</v>
      </c>
      <c r="Q361" t="s">
        <v>87</v>
      </c>
      <c r="R361">
        <v>1473</v>
      </c>
      <c r="T361" t="b">
        <v>0</v>
      </c>
      <c r="U361" t="s">
        <v>172</v>
      </c>
      <c r="V361" t="s">
        <v>173</v>
      </c>
      <c r="W361">
        <v>0.1</v>
      </c>
      <c r="X361">
        <v>17.3</v>
      </c>
      <c r="Y361">
        <v>1.51</v>
      </c>
      <c r="Z361">
        <v>0</v>
      </c>
      <c r="AC361" t="s">
        <v>90</v>
      </c>
      <c r="AD361">
        <v>450</v>
      </c>
      <c r="AF361" t="s">
        <v>91</v>
      </c>
      <c r="AH361">
        <v>1156</v>
      </c>
      <c r="AL361" t="b">
        <v>1</v>
      </c>
      <c r="AM361" t="b">
        <v>0</v>
      </c>
      <c r="AN361" t="b">
        <v>0</v>
      </c>
      <c r="AO361" t="b">
        <v>0</v>
      </c>
      <c r="AP361" t="s">
        <v>85</v>
      </c>
      <c r="AQ361" t="s">
        <v>86</v>
      </c>
      <c r="AS361">
        <v>7.0527210492323231</v>
      </c>
      <c r="AT361">
        <v>1.62962962962963</v>
      </c>
      <c r="AU361">
        <v>2.518518518518519</v>
      </c>
      <c r="AV361">
        <v>0.88888888888888884</v>
      </c>
      <c r="AW361">
        <v>0</v>
      </c>
      <c r="AX361">
        <v>0.32352941176470579</v>
      </c>
      <c r="AY361">
        <v>0.5</v>
      </c>
      <c r="AZ361">
        <v>0.1764705882352941</v>
      </c>
      <c r="BA361">
        <v>0</v>
      </c>
      <c r="BB361">
        <v>5.9587386867222234</v>
      </c>
      <c r="BC361">
        <v>34</v>
      </c>
      <c r="BD361">
        <v>1767.0449718798691</v>
      </c>
      <c r="BE361">
        <v>4</v>
      </c>
      <c r="BF361">
        <v>7.6964651247849417E-2</v>
      </c>
      <c r="BG361">
        <v>6.6040679999999998</v>
      </c>
      <c r="BH361">
        <v>7.9389519999999996</v>
      </c>
      <c r="BI361">
        <v>33.703336</v>
      </c>
      <c r="BJ361">
        <v>1679.8210721820001</v>
      </c>
      <c r="BK361">
        <v>4</v>
      </c>
      <c r="BL361">
        <v>8.0961003676030277E-2</v>
      </c>
      <c r="BM361">
        <v>7.83</v>
      </c>
      <c r="BN361">
        <v>33.209989999999998</v>
      </c>
      <c r="BO361">
        <v>6.46</v>
      </c>
      <c r="BP361">
        <v>0</v>
      </c>
      <c r="BQ361">
        <v>0</v>
      </c>
      <c r="BS361">
        <v>0</v>
      </c>
      <c r="BT361">
        <v>0</v>
      </c>
      <c r="BU361">
        <v>0</v>
      </c>
      <c r="BV361">
        <v>1766.0147999999999</v>
      </c>
      <c r="BW361">
        <v>7.7009547145358015E-2</v>
      </c>
      <c r="BX361">
        <v>17</v>
      </c>
      <c r="BY361">
        <v>3.8504773572679007E-2</v>
      </c>
      <c r="BZ361">
        <v>3.8482325623924708E-2</v>
      </c>
      <c r="CA361">
        <v>4.0480501838015139E-2</v>
      </c>
      <c r="CC361">
        <v>0.48264383878002193</v>
      </c>
      <c r="CD361">
        <v>0.50770488753139875</v>
      </c>
      <c r="CF361">
        <v>0.48292538008460401</v>
      </c>
    </row>
    <row r="362" spans="1:84" x14ac:dyDescent="0.3">
      <c r="A362" s="1">
        <v>435</v>
      </c>
      <c r="B362" t="s">
        <v>83</v>
      </c>
      <c r="C362" t="s">
        <v>84</v>
      </c>
      <c r="E362" t="s">
        <v>83</v>
      </c>
      <c r="F362">
        <v>3.3</v>
      </c>
      <c r="G362" t="s">
        <v>85</v>
      </c>
      <c r="H362" t="s">
        <v>86</v>
      </c>
      <c r="I362">
        <v>-1</v>
      </c>
      <c r="J362">
        <v>4</v>
      </c>
      <c r="K362">
        <v>6.6</v>
      </c>
      <c r="L362">
        <v>7.94</v>
      </c>
      <c r="M362">
        <v>33.700000000000003</v>
      </c>
      <c r="O362">
        <v>16.850000000000001</v>
      </c>
      <c r="Q362" t="s">
        <v>87</v>
      </c>
      <c r="R362">
        <v>1473</v>
      </c>
      <c r="T362" t="b">
        <v>0</v>
      </c>
      <c r="U362" t="s">
        <v>172</v>
      </c>
      <c r="V362" t="s">
        <v>173</v>
      </c>
      <c r="W362">
        <v>0.1</v>
      </c>
      <c r="X362">
        <v>14.6</v>
      </c>
      <c r="Y362">
        <v>1.51</v>
      </c>
      <c r="Z362">
        <v>0</v>
      </c>
      <c r="AC362" t="s">
        <v>90</v>
      </c>
      <c r="AD362">
        <v>450</v>
      </c>
      <c r="AF362" t="s">
        <v>91</v>
      </c>
      <c r="AH362">
        <v>1212</v>
      </c>
      <c r="AL362" t="b">
        <v>1</v>
      </c>
      <c r="AM362" t="b">
        <v>0</v>
      </c>
      <c r="AN362" t="b">
        <v>0</v>
      </c>
      <c r="AO362" t="b">
        <v>0</v>
      </c>
      <c r="AP362" t="s">
        <v>85</v>
      </c>
      <c r="AQ362" t="s">
        <v>86</v>
      </c>
      <c r="AS362">
        <v>7.1000271666292596</v>
      </c>
      <c r="AT362">
        <v>1.62962962962963</v>
      </c>
      <c r="AU362">
        <v>2.518518518518519</v>
      </c>
      <c r="AV362">
        <v>0.88888888888888884</v>
      </c>
      <c r="AW362">
        <v>0</v>
      </c>
      <c r="AX362">
        <v>0.32352941176470579</v>
      </c>
      <c r="AY362">
        <v>0.5</v>
      </c>
      <c r="AZ362">
        <v>0.1764705882352941</v>
      </c>
      <c r="BA362">
        <v>0</v>
      </c>
      <c r="BB362">
        <v>5.9587386867222234</v>
      </c>
      <c r="BC362">
        <v>34</v>
      </c>
      <c r="BD362">
        <v>1767.0449718798691</v>
      </c>
      <c r="BE362">
        <v>4</v>
      </c>
      <c r="BF362">
        <v>7.6964651247849417E-2</v>
      </c>
      <c r="BG362">
        <v>6.6040679999999998</v>
      </c>
      <c r="BH362">
        <v>7.9389519999999996</v>
      </c>
      <c r="BI362">
        <v>33.703336</v>
      </c>
      <c r="BJ362">
        <v>1679.8210721820001</v>
      </c>
      <c r="BK362">
        <v>4</v>
      </c>
      <c r="BL362">
        <v>8.0961003676030277E-2</v>
      </c>
      <c r="BM362">
        <v>7.83</v>
      </c>
      <c r="BN362">
        <v>33.209989999999998</v>
      </c>
      <c r="BO362">
        <v>6.46</v>
      </c>
      <c r="BP362">
        <v>0</v>
      </c>
      <c r="BQ362">
        <v>0</v>
      </c>
      <c r="BS362">
        <v>0</v>
      </c>
      <c r="BT362">
        <v>0</v>
      </c>
      <c r="BU362">
        <v>0</v>
      </c>
      <c r="BV362">
        <v>1766.0147999999999</v>
      </c>
      <c r="BW362">
        <v>7.7009547145358015E-2</v>
      </c>
      <c r="BX362">
        <v>17</v>
      </c>
      <c r="BY362">
        <v>3.8504773572679007E-2</v>
      </c>
      <c r="BZ362">
        <v>3.8482325623924708E-2</v>
      </c>
      <c r="CA362">
        <v>4.0480501838015139E-2</v>
      </c>
      <c r="CC362">
        <v>0.48264383878002193</v>
      </c>
      <c r="CD362">
        <v>0.50770488753139875</v>
      </c>
      <c r="CF362">
        <v>0.48292538008460401</v>
      </c>
    </row>
    <row r="363" spans="1:84" x14ac:dyDescent="0.3">
      <c r="A363" s="1">
        <v>436</v>
      </c>
      <c r="B363" t="s">
        <v>83</v>
      </c>
      <c r="C363" t="s">
        <v>84</v>
      </c>
      <c r="E363" t="s">
        <v>83</v>
      </c>
      <c r="F363">
        <v>3.3</v>
      </c>
      <c r="G363" t="s">
        <v>85</v>
      </c>
      <c r="H363" t="s">
        <v>86</v>
      </c>
      <c r="I363">
        <v>-1</v>
      </c>
      <c r="J363">
        <v>4</v>
      </c>
      <c r="K363">
        <v>6.6</v>
      </c>
      <c r="L363">
        <v>7.94</v>
      </c>
      <c r="M363">
        <v>33.700000000000003</v>
      </c>
      <c r="O363">
        <v>16.850000000000001</v>
      </c>
      <c r="Q363" t="s">
        <v>87</v>
      </c>
      <c r="R363">
        <v>1473</v>
      </c>
      <c r="T363" t="b">
        <v>0</v>
      </c>
      <c r="U363" t="s">
        <v>172</v>
      </c>
      <c r="V363" t="s">
        <v>173</v>
      </c>
      <c r="W363">
        <v>0.1</v>
      </c>
      <c r="X363">
        <v>13.9</v>
      </c>
      <c r="Y363">
        <v>1.51</v>
      </c>
      <c r="Z363">
        <v>0</v>
      </c>
      <c r="AC363" t="s">
        <v>90</v>
      </c>
      <c r="AD363">
        <v>450</v>
      </c>
      <c r="AF363" t="s">
        <v>91</v>
      </c>
      <c r="AH363">
        <v>1812</v>
      </c>
      <c r="AL363" t="b">
        <v>1</v>
      </c>
      <c r="AM363" t="b">
        <v>0</v>
      </c>
      <c r="AN363" t="b">
        <v>0</v>
      </c>
      <c r="AO363" t="b">
        <v>0</v>
      </c>
      <c r="AP363" t="s">
        <v>85</v>
      </c>
      <c r="AQ363" t="s">
        <v>86</v>
      </c>
      <c r="AS363">
        <v>7.5021864866029242</v>
      </c>
      <c r="AT363">
        <v>1.62962962962963</v>
      </c>
      <c r="AU363">
        <v>2.518518518518519</v>
      </c>
      <c r="AV363">
        <v>0.88888888888888884</v>
      </c>
      <c r="AW363">
        <v>0</v>
      </c>
      <c r="AX363">
        <v>0.32352941176470579</v>
      </c>
      <c r="AY363">
        <v>0.5</v>
      </c>
      <c r="AZ363">
        <v>0.1764705882352941</v>
      </c>
      <c r="BA363">
        <v>0</v>
      </c>
      <c r="BB363">
        <v>5.9587386867222234</v>
      </c>
      <c r="BC363">
        <v>34</v>
      </c>
      <c r="BD363">
        <v>1767.0449718798691</v>
      </c>
      <c r="BE363">
        <v>4</v>
      </c>
      <c r="BF363">
        <v>7.6964651247849417E-2</v>
      </c>
      <c r="BG363">
        <v>6.6040679999999998</v>
      </c>
      <c r="BH363">
        <v>7.9389519999999996</v>
      </c>
      <c r="BI363">
        <v>33.703336</v>
      </c>
      <c r="BJ363">
        <v>1679.8210721820001</v>
      </c>
      <c r="BK363">
        <v>4</v>
      </c>
      <c r="BL363">
        <v>8.0961003676030277E-2</v>
      </c>
      <c r="BM363">
        <v>7.83</v>
      </c>
      <c r="BN363">
        <v>33.209989999999998</v>
      </c>
      <c r="BO363">
        <v>6.46</v>
      </c>
      <c r="BP363">
        <v>0</v>
      </c>
      <c r="BQ363">
        <v>0</v>
      </c>
      <c r="BS363">
        <v>0</v>
      </c>
      <c r="BT363">
        <v>0</v>
      </c>
      <c r="BU363">
        <v>0</v>
      </c>
      <c r="BV363">
        <v>1766.0147999999999</v>
      </c>
      <c r="BW363">
        <v>7.7009547145358015E-2</v>
      </c>
      <c r="BX363">
        <v>17</v>
      </c>
      <c r="BY363">
        <v>3.8504773572679007E-2</v>
      </c>
      <c r="BZ363">
        <v>3.8482325623924708E-2</v>
      </c>
      <c r="CA363">
        <v>4.0480501838015139E-2</v>
      </c>
      <c r="CC363">
        <v>0.48264383878002193</v>
      </c>
      <c r="CD363">
        <v>0.50770488753139875</v>
      </c>
      <c r="CF363">
        <v>0.48292538008460401</v>
      </c>
    </row>
    <row r="364" spans="1:84" x14ac:dyDescent="0.3">
      <c r="A364" s="1">
        <v>437</v>
      </c>
      <c r="B364" t="s">
        <v>83</v>
      </c>
      <c r="C364" t="s">
        <v>84</v>
      </c>
      <c r="E364" t="s">
        <v>83</v>
      </c>
      <c r="F364">
        <v>3.3</v>
      </c>
      <c r="G364" t="s">
        <v>85</v>
      </c>
      <c r="H364" t="s">
        <v>86</v>
      </c>
      <c r="I364">
        <v>-1</v>
      </c>
      <c r="J364">
        <v>4</v>
      </c>
      <c r="K364">
        <v>6.6</v>
      </c>
      <c r="L364">
        <v>7.94</v>
      </c>
      <c r="M364">
        <v>33.700000000000003</v>
      </c>
      <c r="O364">
        <v>16.850000000000001</v>
      </c>
      <c r="Q364" t="s">
        <v>87</v>
      </c>
      <c r="R364">
        <v>1473</v>
      </c>
      <c r="T364" t="b">
        <v>0</v>
      </c>
      <c r="U364" t="s">
        <v>172</v>
      </c>
      <c r="V364" t="s">
        <v>173</v>
      </c>
      <c r="W364">
        <v>0.1</v>
      </c>
      <c r="X364">
        <v>11.3</v>
      </c>
      <c r="Y364">
        <v>1.51</v>
      </c>
      <c r="Z364">
        <v>0</v>
      </c>
      <c r="AC364" t="s">
        <v>90</v>
      </c>
      <c r="AD364">
        <v>450</v>
      </c>
      <c r="AF364" t="s">
        <v>91</v>
      </c>
      <c r="AH364">
        <v>1472</v>
      </c>
      <c r="AL364" t="b">
        <v>1</v>
      </c>
      <c r="AM364" t="b">
        <v>0</v>
      </c>
      <c r="AN364" t="b">
        <v>0</v>
      </c>
      <c r="AO364" t="b">
        <v>0</v>
      </c>
      <c r="AP364" t="s">
        <v>85</v>
      </c>
      <c r="AQ364" t="s">
        <v>86</v>
      </c>
      <c r="AS364">
        <v>7.2943772992888212</v>
      </c>
      <c r="AT364">
        <v>1.62962962962963</v>
      </c>
      <c r="AU364">
        <v>2.518518518518519</v>
      </c>
      <c r="AV364">
        <v>0.88888888888888884</v>
      </c>
      <c r="AW364">
        <v>0</v>
      </c>
      <c r="AX364">
        <v>0.32352941176470579</v>
      </c>
      <c r="AY364">
        <v>0.5</v>
      </c>
      <c r="AZ364">
        <v>0.1764705882352941</v>
      </c>
      <c r="BA364">
        <v>0</v>
      </c>
      <c r="BB364">
        <v>5.9587386867222234</v>
      </c>
      <c r="BC364">
        <v>34</v>
      </c>
      <c r="BD364">
        <v>1767.0449718798691</v>
      </c>
      <c r="BE364">
        <v>4</v>
      </c>
      <c r="BF364">
        <v>7.6964651247849417E-2</v>
      </c>
      <c r="BG364">
        <v>6.6040679999999998</v>
      </c>
      <c r="BH364">
        <v>7.9389519999999996</v>
      </c>
      <c r="BI364">
        <v>33.703336</v>
      </c>
      <c r="BJ364">
        <v>1679.8210721820001</v>
      </c>
      <c r="BK364">
        <v>4</v>
      </c>
      <c r="BL364">
        <v>8.0961003676030277E-2</v>
      </c>
      <c r="BM364">
        <v>7.83</v>
      </c>
      <c r="BN364">
        <v>33.209989999999998</v>
      </c>
      <c r="BO364">
        <v>6.46</v>
      </c>
      <c r="BP364">
        <v>0</v>
      </c>
      <c r="BQ364">
        <v>0</v>
      </c>
      <c r="BS364">
        <v>0</v>
      </c>
      <c r="BT364">
        <v>0</v>
      </c>
      <c r="BU364">
        <v>0</v>
      </c>
      <c r="BV364">
        <v>1766.0147999999999</v>
      </c>
      <c r="BW364">
        <v>7.7009547145358015E-2</v>
      </c>
      <c r="BX364">
        <v>17</v>
      </c>
      <c r="BY364">
        <v>3.8504773572679007E-2</v>
      </c>
      <c r="BZ364">
        <v>3.8482325623924708E-2</v>
      </c>
      <c r="CA364">
        <v>4.0480501838015139E-2</v>
      </c>
      <c r="CC364">
        <v>0.48264383878002193</v>
      </c>
      <c r="CD364">
        <v>0.50770488753139875</v>
      </c>
      <c r="CF364">
        <v>0.48292538008460401</v>
      </c>
    </row>
    <row r="365" spans="1:84" x14ac:dyDescent="0.3">
      <c r="A365" s="1">
        <v>438</v>
      </c>
      <c r="B365" t="s">
        <v>83</v>
      </c>
      <c r="C365" t="s">
        <v>84</v>
      </c>
      <c r="E365" t="s">
        <v>83</v>
      </c>
      <c r="F365">
        <v>3.3</v>
      </c>
      <c r="G365" t="s">
        <v>85</v>
      </c>
      <c r="H365" t="s">
        <v>86</v>
      </c>
      <c r="I365">
        <v>-1</v>
      </c>
      <c r="J365">
        <v>4</v>
      </c>
      <c r="K365">
        <v>6.6</v>
      </c>
      <c r="L365">
        <v>7.94</v>
      </c>
      <c r="M365">
        <v>33.700000000000003</v>
      </c>
      <c r="O365">
        <v>16.850000000000001</v>
      </c>
      <c r="Q365" t="s">
        <v>87</v>
      </c>
      <c r="R365">
        <v>1473</v>
      </c>
      <c r="T365" t="b">
        <v>0</v>
      </c>
      <c r="U365" t="s">
        <v>172</v>
      </c>
      <c r="V365" t="s">
        <v>173</v>
      </c>
      <c r="W365">
        <v>0.1</v>
      </c>
      <c r="X365">
        <v>11.2</v>
      </c>
      <c r="Y365">
        <v>1.51</v>
      </c>
      <c r="Z365">
        <v>0</v>
      </c>
      <c r="AC365" t="s">
        <v>90</v>
      </c>
      <c r="AD365">
        <v>450</v>
      </c>
      <c r="AF365" t="s">
        <v>91</v>
      </c>
      <c r="AH365">
        <v>1304</v>
      </c>
      <c r="AL365" t="b">
        <v>1</v>
      </c>
      <c r="AM365" t="b">
        <v>0</v>
      </c>
      <c r="AN365" t="b">
        <v>0</v>
      </c>
      <c r="AO365" t="b">
        <v>0</v>
      </c>
      <c r="AP365" t="s">
        <v>85</v>
      </c>
      <c r="AQ365" t="s">
        <v>86</v>
      </c>
      <c r="AS365">
        <v>7.1731917424865994</v>
      </c>
      <c r="AT365">
        <v>1.62962962962963</v>
      </c>
      <c r="AU365">
        <v>2.518518518518519</v>
      </c>
      <c r="AV365">
        <v>0.88888888888888884</v>
      </c>
      <c r="AW365">
        <v>0</v>
      </c>
      <c r="AX365">
        <v>0.32352941176470579</v>
      </c>
      <c r="AY365">
        <v>0.5</v>
      </c>
      <c r="AZ365">
        <v>0.1764705882352941</v>
      </c>
      <c r="BA365">
        <v>0</v>
      </c>
      <c r="BB365">
        <v>5.9587386867222234</v>
      </c>
      <c r="BC365">
        <v>34</v>
      </c>
      <c r="BD365">
        <v>1767.0449718798691</v>
      </c>
      <c r="BE365">
        <v>4</v>
      </c>
      <c r="BF365">
        <v>7.6964651247849417E-2</v>
      </c>
      <c r="BG365">
        <v>6.6040679999999998</v>
      </c>
      <c r="BH365">
        <v>7.9389519999999996</v>
      </c>
      <c r="BI365">
        <v>33.703336</v>
      </c>
      <c r="BJ365">
        <v>1679.8210721820001</v>
      </c>
      <c r="BK365">
        <v>4</v>
      </c>
      <c r="BL365">
        <v>8.0961003676030277E-2</v>
      </c>
      <c r="BM365">
        <v>7.83</v>
      </c>
      <c r="BN365">
        <v>33.209989999999998</v>
      </c>
      <c r="BO365">
        <v>6.46</v>
      </c>
      <c r="BP365">
        <v>0</v>
      </c>
      <c r="BQ365">
        <v>0</v>
      </c>
      <c r="BS365">
        <v>0</v>
      </c>
      <c r="BT365">
        <v>0</v>
      </c>
      <c r="BU365">
        <v>0</v>
      </c>
      <c r="BV365">
        <v>1766.0147999999999</v>
      </c>
      <c r="BW365">
        <v>7.7009547145358015E-2</v>
      </c>
      <c r="BX365">
        <v>17</v>
      </c>
      <c r="BY365">
        <v>3.8504773572679007E-2</v>
      </c>
      <c r="BZ365">
        <v>3.8482325623924708E-2</v>
      </c>
      <c r="CA365">
        <v>4.0480501838015139E-2</v>
      </c>
      <c r="CC365">
        <v>0.48264383878002193</v>
      </c>
      <c r="CD365">
        <v>0.50770488753139875</v>
      </c>
      <c r="CF365">
        <v>0.48292538008460401</v>
      </c>
    </row>
    <row r="366" spans="1:84" x14ac:dyDescent="0.3">
      <c r="A366" s="1">
        <v>439</v>
      </c>
      <c r="B366" t="s">
        <v>83</v>
      </c>
      <c r="C366" t="s">
        <v>84</v>
      </c>
      <c r="E366" t="s">
        <v>83</v>
      </c>
      <c r="F366">
        <v>3.3</v>
      </c>
      <c r="G366" t="s">
        <v>85</v>
      </c>
      <c r="H366" t="s">
        <v>86</v>
      </c>
      <c r="I366">
        <v>-1</v>
      </c>
      <c r="J366">
        <v>4</v>
      </c>
      <c r="K366">
        <v>6.6</v>
      </c>
      <c r="L366">
        <v>7.94</v>
      </c>
      <c r="M366">
        <v>33.700000000000003</v>
      </c>
      <c r="O366">
        <v>16.850000000000001</v>
      </c>
      <c r="Q366" t="s">
        <v>87</v>
      </c>
      <c r="R366">
        <v>1473</v>
      </c>
      <c r="T366" t="b">
        <v>0</v>
      </c>
      <c r="U366" t="s">
        <v>172</v>
      </c>
      <c r="V366" t="s">
        <v>173</v>
      </c>
      <c r="W366">
        <v>0.1</v>
      </c>
      <c r="X366">
        <v>8.5</v>
      </c>
      <c r="Y366">
        <v>1.51</v>
      </c>
      <c r="Z366">
        <v>0</v>
      </c>
      <c r="AC366" t="s">
        <v>90</v>
      </c>
      <c r="AD366">
        <v>450</v>
      </c>
      <c r="AF366" t="s">
        <v>91</v>
      </c>
      <c r="AH366">
        <v>1398</v>
      </c>
      <c r="AL366" t="b">
        <v>1</v>
      </c>
      <c r="AM366" t="b">
        <v>0</v>
      </c>
      <c r="AN366" t="b">
        <v>0</v>
      </c>
      <c r="AO366" t="b">
        <v>0</v>
      </c>
      <c r="AP366" t="s">
        <v>85</v>
      </c>
      <c r="AQ366" t="s">
        <v>86</v>
      </c>
      <c r="AS366">
        <v>7.2427979227937556</v>
      </c>
      <c r="AT366">
        <v>1.62962962962963</v>
      </c>
      <c r="AU366">
        <v>2.518518518518519</v>
      </c>
      <c r="AV366">
        <v>0.88888888888888884</v>
      </c>
      <c r="AW366">
        <v>0</v>
      </c>
      <c r="AX366">
        <v>0.32352941176470579</v>
      </c>
      <c r="AY366">
        <v>0.5</v>
      </c>
      <c r="AZ366">
        <v>0.1764705882352941</v>
      </c>
      <c r="BA366">
        <v>0</v>
      </c>
      <c r="BB366">
        <v>5.9587386867222234</v>
      </c>
      <c r="BC366">
        <v>34</v>
      </c>
      <c r="BD366">
        <v>1767.0449718798691</v>
      </c>
      <c r="BE366">
        <v>4</v>
      </c>
      <c r="BF366">
        <v>7.6964651247849417E-2</v>
      </c>
      <c r="BG366">
        <v>6.6040679999999998</v>
      </c>
      <c r="BH366">
        <v>7.9389519999999996</v>
      </c>
      <c r="BI366">
        <v>33.703336</v>
      </c>
      <c r="BJ366">
        <v>1679.8210721820001</v>
      </c>
      <c r="BK366">
        <v>4</v>
      </c>
      <c r="BL366">
        <v>8.0961003676030277E-2</v>
      </c>
      <c r="BM366">
        <v>7.83</v>
      </c>
      <c r="BN366">
        <v>33.209989999999998</v>
      </c>
      <c r="BO366">
        <v>6.46</v>
      </c>
      <c r="BP366">
        <v>0</v>
      </c>
      <c r="BQ366">
        <v>0</v>
      </c>
      <c r="BS366">
        <v>0</v>
      </c>
      <c r="BT366">
        <v>0</v>
      </c>
      <c r="BU366">
        <v>0</v>
      </c>
      <c r="BV366">
        <v>1766.0147999999999</v>
      </c>
      <c r="BW366">
        <v>7.7009547145358015E-2</v>
      </c>
      <c r="BX366">
        <v>17</v>
      </c>
      <c r="BY366">
        <v>3.8504773572679007E-2</v>
      </c>
      <c r="BZ366">
        <v>3.8482325623924708E-2</v>
      </c>
      <c r="CA366">
        <v>4.0480501838015139E-2</v>
      </c>
      <c r="CC366">
        <v>0.48264383878002193</v>
      </c>
      <c r="CD366">
        <v>0.50770488753139875</v>
      </c>
      <c r="CF366">
        <v>0.48292538008460401</v>
      </c>
    </row>
    <row r="367" spans="1:84" x14ac:dyDescent="0.3">
      <c r="A367" s="1">
        <v>440</v>
      </c>
      <c r="B367" t="s">
        <v>83</v>
      </c>
      <c r="C367" t="s">
        <v>84</v>
      </c>
      <c r="E367" t="s">
        <v>83</v>
      </c>
      <c r="F367">
        <v>3.3</v>
      </c>
      <c r="G367" t="s">
        <v>85</v>
      </c>
      <c r="H367" t="s">
        <v>86</v>
      </c>
      <c r="I367">
        <v>-1</v>
      </c>
      <c r="J367">
        <v>4</v>
      </c>
      <c r="K367">
        <v>6.6</v>
      </c>
      <c r="L367">
        <v>7.94</v>
      </c>
      <c r="M367">
        <v>33.700000000000003</v>
      </c>
      <c r="O367">
        <v>16.850000000000001</v>
      </c>
      <c r="Q367" t="s">
        <v>87</v>
      </c>
      <c r="R367">
        <v>1473</v>
      </c>
      <c r="T367" t="b">
        <v>0</v>
      </c>
      <c r="U367" t="s">
        <v>172</v>
      </c>
      <c r="V367" t="s">
        <v>173</v>
      </c>
      <c r="W367">
        <v>0.1</v>
      </c>
      <c r="X367">
        <v>7.8</v>
      </c>
      <c r="Y367">
        <v>1.51</v>
      </c>
      <c r="Z367">
        <v>0</v>
      </c>
      <c r="AC367" t="s">
        <v>90</v>
      </c>
      <c r="AD367">
        <v>450</v>
      </c>
      <c r="AF367" t="s">
        <v>91</v>
      </c>
      <c r="AH367">
        <v>1742</v>
      </c>
      <c r="AL367" t="b">
        <v>1</v>
      </c>
      <c r="AM367" t="b">
        <v>0</v>
      </c>
      <c r="AN367" t="b">
        <v>0</v>
      </c>
      <c r="AO367" t="b">
        <v>0</v>
      </c>
      <c r="AP367" t="s">
        <v>85</v>
      </c>
      <c r="AQ367" t="s">
        <v>86</v>
      </c>
      <c r="AS367">
        <v>7.4627891574124483</v>
      </c>
      <c r="AT367">
        <v>1.62962962962963</v>
      </c>
      <c r="AU367">
        <v>2.518518518518519</v>
      </c>
      <c r="AV367">
        <v>0.88888888888888884</v>
      </c>
      <c r="AW367">
        <v>0</v>
      </c>
      <c r="AX367">
        <v>0.32352941176470579</v>
      </c>
      <c r="AY367">
        <v>0.5</v>
      </c>
      <c r="AZ367">
        <v>0.1764705882352941</v>
      </c>
      <c r="BA367">
        <v>0</v>
      </c>
      <c r="BB367">
        <v>5.9587386867222234</v>
      </c>
      <c r="BC367">
        <v>34</v>
      </c>
      <c r="BD367">
        <v>1767.0449718798691</v>
      </c>
      <c r="BE367">
        <v>4</v>
      </c>
      <c r="BF367">
        <v>7.6964651247849417E-2</v>
      </c>
      <c r="BG367">
        <v>6.6040679999999998</v>
      </c>
      <c r="BH367">
        <v>7.9389519999999996</v>
      </c>
      <c r="BI367">
        <v>33.703336</v>
      </c>
      <c r="BJ367">
        <v>1679.8210721820001</v>
      </c>
      <c r="BK367">
        <v>4</v>
      </c>
      <c r="BL367">
        <v>8.0961003676030277E-2</v>
      </c>
      <c r="BM367">
        <v>7.83</v>
      </c>
      <c r="BN367">
        <v>33.209989999999998</v>
      </c>
      <c r="BO367">
        <v>6.46</v>
      </c>
      <c r="BP367">
        <v>0</v>
      </c>
      <c r="BQ367">
        <v>0</v>
      </c>
      <c r="BS367">
        <v>0</v>
      </c>
      <c r="BT367">
        <v>0</v>
      </c>
      <c r="BU367">
        <v>0</v>
      </c>
      <c r="BV367">
        <v>1766.0147999999999</v>
      </c>
      <c r="BW367">
        <v>7.7009547145358015E-2</v>
      </c>
      <c r="BX367">
        <v>17</v>
      </c>
      <c r="BY367">
        <v>3.8504773572679007E-2</v>
      </c>
      <c r="BZ367">
        <v>3.8482325623924708E-2</v>
      </c>
      <c r="CA367">
        <v>4.0480501838015139E-2</v>
      </c>
      <c r="CC367">
        <v>0.48264383878002193</v>
      </c>
      <c r="CD367">
        <v>0.50770488753139875</v>
      </c>
      <c r="CF367">
        <v>0.48292538008460401</v>
      </c>
    </row>
    <row r="368" spans="1:84" x14ac:dyDescent="0.3">
      <c r="A368" s="1">
        <v>441</v>
      </c>
      <c r="B368" t="s">
        <v>83</v>
      </c>
      <c r="C368" t="s">
        <v>84</v>
      </c>
      <c r="E368" t="s">
        <v>83</v>
      </c>
      <c r="F368">
        <v>3.3</v>
      </c>
      <c r="G368" t="s">
        <v>85</v>
      </c>
      <c r="H368" t="s">
        <v>86</v>
      </c>
      <c r="I368">
        <v>-1</v>
      </c>
      <c r="J368">
        <v>4</v>
      </c>
      <c r="K368">
        <v>6.6</v>
      </c>
      <c r="L368">
        <v>7.94</v>
      </c>
      <c r="M368">
        <v>33.700000000000003</v>
      </c>
      <c r="O368">
        <v>16.850000000000001</v>
      </c>
      <c r="Q368" t="s">
        <v>87</v>
      </c>
      <c r="R368">
        <v>1473</v>
      </c>
      <c r="T368" t="b">
        <v>0</v>
      </c>
      <c r="U368" t="s">
        <v>172</v>
      </c>
      <c r="V368" t="s">
        <v>173</v>
      </c>
      <c r="W368">
        <v>0.1</v>
      </c>
      <c r="X368">
        <v>6.2</v>
      </c>
      <c r="Y368">
        <v>1.51</v>
      </c>
      <c r="Z368">
        <v>0</v>
      </c>
      <c r="AC368" t="s">
        <v>90</v>
      </c>
      <c r="AD368">
        <v>450</v>
      </c>
      <c r="AF368" t="s">
        <v>91</v>
      </c>
      <c r="AH368">
        <v>1644</v>
      </c>
      <c r="AL368" t="b">
        <v>1</v>
      </c>
      <c r="AM368" t="b">
        <v>0</v>
      </c>
      <c r="AN368" t="b">
        <v>0</v>
      </c>
      <c r="AO368" t="b">
        <v>0</v>
      </c>
      <c r="AP368" t="s">
        <v>85</v>
      </c>
      <c r="AQ368" t="s">
        <v>86</v>
      </c>
      <c r="AS368">
        <v>7.404887575616125</v>
      </c>
      <c r="AT368">
        <v>1.62962962962963</v>
      </c>
      <c r="AU368">
        <v>2.518518518518519</v>
      </c>
      <c r="AV368">
        <v>0.88888888888888884</v>
      </c>
      <c r="AW368">
        <v>0</v>
      </c>
      <c r="AX368">
        <v>0.32352941176470579</v>
      </c>
      <c r="AY368">
        <v>0.5</v>
      </c>
      <c r="AZ368">
        <v>0.1764705882352941</v>
      </c>
      <c r="BA368">
        <v>0</v>
      </c>
      <c r="BB368">
        <v>5.9587386867222234</v>
      </c>
      <c r="BC368">
        <v>34</v>
      </c>
      <c r="BD368">
        <v>1767.0449718798691</v>
      </c>
      <c r="BE368">
        <v>4</v>
      </c>
      <c r="BF368">
        <v>7.6964651247849417E-2</v>
      </c>
      <c r="BG368">
        <v>6.6040679999999998</v>
      </c>
      <c r="BH368">
        <v>7.9389519999999996</v>
      </c>
      <c r="BI368">
        <v>33.703336</v>
      </c>
      <c r="BJ368">
        <v>1679.8210721820001</v>
      </c>
      <c r="BK368">
        <v>4</v>
      </c>
      <c r="BL368">
        <v>8.0961003676030277E-2</v>
      </c>
      <c r="BM368">
        <v>7.83</v>
      </c>
      <c r="BN368">
        <v>33.209989999999998</v>
      </c>
      <c r="BO368">
        <v>6.46</v>
      </c>
      <c r="BP368">
        <v>0</v>
      </c>
      <c r="BQ368">
        <v>0</v>
      </c>
      <c r="BS368">
        <v>0</v>
      </c>
      <c r="BT368">
        <v>0</v>
      </c>
      <c r="BU368">
        <v>0</v>
      </c>
      <c r="BV368">
        <v>1766.0147999999999</v>
      </c>
      <c r="BW368">
        <v>7.7009547145358015E-2</v>
      </c>
      <c r="BX368">
        <v>17</v>
      </c>
      <c r="BY368">
        <v>3.8504773572679007E-2</v>
      </c>
      <c r="BZ368">
        <v>3.8482325623924708E-2</v>
      </c>
      <c r="CA368">
        <v>4.0480501838015139E-2</v>
      </c>
      <c r="CC368">
        <v>0.48264383878002193</v>
      </c>
      <c r="CD368">
        <v>0.50770488753139875</v>
      </c>
      <c r="CF368">
        <v>0.48292538008460401</v>
      </c>
    </row>
    <row r="369" spans="1:84" x14ac:dyDescent="0.3">
      <c r="A369" s="1">
        <v>818</v>
      </c>
      <c r="B369" t="s">
        <v>128</v>
      </c>
      <c r="C369" t="s">
        <v>129</v>
      </c>
      <c r="E369" t="s">
        <v>130</v>
      </c>
      <c r="F369">
        <v>3.2</v>
      </c>
      <c r="G369" t="s">
        <v>131</v>
      </c>
      <c r="H369" t="s">
        <v>132</v>
      </c>
      <c r="I369">
        <v>-1</v>
      </c>
      <c r="O369">
        <v>0</v>
      </c>
      <c r="Q369" t="s">
        <v>248</v>
      </c>
      <c r="R369">
        <v>623</v>
      </c>
      <c r="S369">
        <v>7</v>
      </c>
      <c r="T369" t="b">
        <v>0</v>
      </c>
      <c r="U369" t="s">
        <v>172</v>
      </c>
      <c r="V369" t="s">
        <v>1365</v>
      </c>
      <c r="W369">
        <v>0.1</v>
      </c>
      <c r="X369">
        <v>50</v>
      </c>
      <c r="Y369">
        <v>1</v>
      </c>
      <c r="Z369">
        <v>0.1</v>
      </c>
      <c r="AC369" t="s">
        <v>90</v>
      </c>
      <c r="AD369">
        <v>125</v>
      </c>
      <c r="AE369">
        <v>220</v>
      </c>
      <c r="AF369" t="s">
        <v>91</v>
      </c>
      <c r="AG369">
        <v>288</v>
      </c>
      <c r="AH369">
        <v>200</v>
      </c>
      <c r="AL369" t="b">
        <v>1</v>
      </c>
      <c r="AM369" t="b">
        <v>0</v>
      </c>
      <c r="AN369" t="b">
        <v>0</v>
      </c>
      <c r="AO369" t="b">
        <v>0</v>
      </c>
      <c r="AP369" t="s">
        <v>131</v>
      </c>
      <c r="AQ369" t="s">
        <v>132</v>
      </c>
      <c r="AS369">
        <v>5.2983173665480363</v>
      </c>
      <c r="AT369">
        <v>2</v>
      </c>
      <c r="AU369">
        <v>2.666666666666667</v>
      </c>
      <c r="AV369">
        <v>0.66666666666666663</v>
      </c>
      <c r="AW369">
        <v>0</v>
      </c>
      <c r="AX369">
        <v>0.375</v>
      </c>
      <c r="AY369">
        <v>0.5</v>
      </c>
      <c r="AZ369">
        <v>0.125</v>
      </c>
      <c r="BA369">
        <v>0</v>
      </c>
      <c r="BB369">
        <v>6.1770001596666662</v>
      </c>
      <c r="BC369">
        <v>4</v>
      </c>
      <c r="BD369">
        <v>1182.741260108548</v>
      </c>
      <c r="BE369">
        <v>30</v>
      </c>
      <c r="BF369">
        <v>0.1014592151701775</v>
      </c>
      <c r="BG369">
        <v>10.59112378</v>
      </c>
      <c r="BH369">
        <v>10.784736629999999</v>
      </c>
      <c r="BI369">
        <v>10.486176179999999</v>
      </c>
      <c r="BJ369">
        <v>130.36387300000001</v>
      </c>
      <c r="BK369">
        <v>4</v>
      </c>
      <c r="BL369">
        <v>0.1227333894874388</v>
      </c>
      <c r="BM369">
        <v>3.73</v>
      </c>
      <c r="BN369">
        <v>3.73</v>
      </c>
      <c r="BO369">
        <v>9.3699999999999992</v>
      </c>
      <c r="BP369">
        <v>0</v>
      </c>
      <c r="BQ369">
        <v>0</v>
      </c>
      <c r="BS369">
        <v>0</v>
      </c>
      <c r="BT369">
        <v>0</v>
      </c>
      <c r="BU369">
        <v>0</v>
      </c>
      <c r="BX369">
        <v>2</v>
      </c>
      <c r="BZ369">
        <v>5.0729607585088737E-2</v>
      </c>
      <c r="CA369">
        <v>6.1366694743719377E-2</v>
      </c>
      <c r="CC369">
        <v>0.46900407026869612</v>
      </c>
      <c r="CD369">
        <v>0.56734579634715776</v>
      </c>
    </row>
    <row r="370" spans="1:84" x14ac:dyDescent="0.3">
      <c r="A370" s="1">
        <v>823</v>
      </c>
      <c r="B370" t="s">
        <v>128</v>
      </c>
      <c r="C370" t="s">
        <v>129</v>
      </c>
      <c r="E370" t="s">
        <v>130</v>
      </c>
      <c r="F370">
        <v>3.2</v>
      </c>
      <c r="G370" t="s">
        <v>131</v>
      </c>
      <c r="H370" t="s">
        <v>132</v>
      </c>
      <c r="I370">
        <v>-1</v>
      </c>
      <c r="O370">
        <v>0</v>
      </c>
      <c r="Q370" t="s">
        <v>248</v>
      </c>
      <c r="R370">
        <v>623</v>
      </c>
      <c r="S370">
        <v>12</v>
      </c>
      <c r="T370" t="b">
        <v>0</v>
      </c>
      <c r="U370" t="s">
        <v>172</v>
      </c>
      <c r="V370" t="s">
        <v>1366</v>
      </c>
      <c r="W370">
        <v>0.1</v>
      </c>
      <c r="X370">
        <v>50</v>
      </c>
      <c r="Y370">
        <v>1</v>
      </c>
      <c r="Z370">
        <v>0.1</v>
      </c>
      <c r="AC370" t="s">
        <v>90</v>
      </c>
      <c r="AD370">
        <v>125</v>
      </c>
      <c r="AE370">
        <v>220</v>
      </c>
      <c r="AF370" t="s">
        <v>91</v>
      </c>
      <c r="AG370">
        <v>288</v>
      </c>
      <c r="AH370">
        <v>38.18181818181818</v>
      </c>
      <c r="AL370" t="b">
        <v>1</v>
      </c>
      <c r="AM370" t="b">
        <v>0</v>
      </c>
      <c r="AN370" t="b">
        <v>0</v>
      </c>
      <c r="AO370" t="b">
        <v>0</v>
      </c>
      <c r="AP370" t="s">
        <v>131</v>
      </c>
      <c r="AQ370" t="s">
        <v>132</v>
      </c>
      <c r="AS370">
        <v>3.6423594384790432</v>
      </c>
      <c r="AT370">
        <v>2</v>
      </c>
      <c r="AU370">
        <v>2.666666666666667</v>
      </c>
      <c r="AV370">
        <v>0.66666666666666663</v>
      </c>
      <c r="AW370">
        <v>0</v>
      </c>
      <c r="AX370">
        <v>0.375</v>
      </c>
      <c r="AY370">
        <v>0.5</v>
      </c>
      <c r="AZ370">
        <v>0.125</v>
      </c>
      <c r="BA370">
        <v>0</v>
      </c>
      <c r="BB370">
        <v>6.1770001596666662</v>
      </c>
      <c r="BC370">
        <v>4</v>
      </c>
      <c r="BD370">
        <v>1182.741260108548</v>
      </c>
      <c r="BE370">
        <v>30</v>
      </c>
      <c r="BF370">
        <v>0.1014592151701775</v>
      </c>
      <c r="BG370">
        <v>10.59112378</v>
      </c>
      <c r="BH370">
        <v>10.784736629999999</v>
      </c>
      <c r="BI370">
        <v>10.486176179999999</v>
      </c>
      <c r="BJ370">
        <v>130.36387300000001</v>
      </c>
      <c r="BK370">
        <v>4</v>
      </c>
      <c r="BL370">
        <v>0.1227333894874388</v>
      </c>
      <c r="BM370">
        <v>3.73</v>
      </c>
      <c r="BN370">
        <v>3.73</v>
      </c>
      <c r="BO370">
        <v>9.3699999999999992</v>
      </c>
      <c r="BP370">
        <v>0</v>
      </c>
      <c r="BQ370">
        <v>0</v>
      </c>
      <c r="BS370">
        <v>0</v>
      </c>
      <c r="BT370">
        <v>0</v>
      </c>
      <c r="BU370">
        <v>0</v>
      </c>
      <c r="BX370">
        <v>2</v>
      </c>
      <c r="BZ370">
        <v>5.0729607585088737E-2</v>
      </c>
      <c r="CA370">
        <v>6.1366694743719377E-2</v>
      </c>
      <c r="CC370">
        <v>0.46900407026869612</v>
      </c>
      <c r="CD370">
        <v>0.56734579634715776</v>
      </c>
    </row>
    <row r="371" spans="1:84" x14ac:dyDescent="0.3">
      <c r="A371" s="1">
        <v>826</v>
      </c>
      <c r="B371" t="s">
        <v>128</v>
      </c>
      <c r="C371" t="s">
        <v>129</v>
      </c>
      <c r="E371" t="s">
        <v>130</v>
      </c>
      <c r="F371">
        <v>3.2</v>
      </c>
      <c r="G371" t="s">
        <v>131</v>
      </c>
      <c r="H371" t="s">
        <v>132</v>
      </c>
      <c r="I371">
        <v>-1</v>
      </c>
      <c r="O371">
        <v>0</v>
      </c>
      <c r="Q371" t="s">
        <v>248</v>
      </c>
      <c r="R371">
        <v>623</v>
      </c>
      <c r="S371">
        <v>15</v>
      </c>
      <c r="T371" t="b">
        <v>0</v>
      </c>
      <c r="U371" t="s">
        <v>172</v>
      </c>
      <c r="V371" t="s">
        <v>1368</v>
      </c>
      <c r="W371">
        <v>0.1</v>
      </c>
      <c r="X371">
        <v>50</v>
      </c>
      <c r="Y371">
        <v>1</v>
      </c>
      <c r="Z371">
        <v>0.1</v>
      </c>
      <c r="AC371" t="s">
        <v>90</v>
      </c>
      <c r="AD371">
        <v>125</v>
      </c>
      <c r="AE371">
        <v>220</v>
      </c>
      <c r="AF371" t="s">
        <v>91</v>
      </c>
      <c r="AG371">
        <v>288</v>
      </c>
      <c r="AH371">
        <v>9.0909090909090917</v>
      </c>
      <c r="AL371" t="b">
        <v>1</v>
      </c>
      <c r="AM371" t="b">
        <v>0</v>
      </c>
      <c r="AN371" t="b">
        <v>0</v>
      </c>
      <c r="AO371" t="b">
        <v>0</v>
      </c>
      <c r="AP371" t="s">
        <v>131</v>
      </c>
      <c r="AQ371" t="s">
        <v>132</v>
      </c>
      <c r="AS371">
        <v>2.2072749131897211</v>
      </c>
      <c r="AT371">
        <v>2</v>
      </c>
      <c r="AU371">
        <v>2.666666666666667</v>
      </c>
      <c r="AV371">
        <v>0.66666666666666663</v>
      </c>
      <c r="AW371">
        <v>0</v>
      </c>
      <c r="AX371">
        <v>0.375</v>
      </c>
      <c r="AY371">
        <v>0.5</v>
      </c>
      <c r="AZ371">
        <v>0.125</v>
      </c>
      <c r="BA371">
        <v>0</v>
      </c>
      <c r="BB371">
        <v>6.1770001596666662</v>
      </c>
      <c r="BC371">
        <v>4</v>
      </c>
      <c r="BD371">
        <v>1182.741260108548</v>
      </c>
      <c r="BE371">
        <v>30</v>
      </c>
      <c r="BF371">
        <v>0.1014592151701775</v>
      </c>
      <c r="BG371">
        <v>10.59112378</v>
      </c>
      <c r="BH371">
        <v>10.784736629999999</v>
      </c>
      <c r="BI371">
        <v>10.486176179999999</v>
      </c>
      <c r="BJ371">
        <v>130.36387300000001</v>
      </c>
      <c r="BK371">
        <v>4</v>
      </c>
      <c r="BL371">
        <v>0.1227333894874388</v>
      </c>
      <c r="BM371">
        <v>3.73</v>
      </c>
      <c r="BN371">
        <v>3.73</v>
      </c>
      <c r="BO371">
        <v>9.3699999999999992</v>
      </c>
      <c r="BP371">
        <v>0</v>
      </c>
      <c r="BQ371">
        <v>0</v>
      </c>
      <c r="BS371">
        <v>0</v>
      </c>
      <c r="BT371">
        <v>0</v>
      </c>
      <c r="BU371">
        <v>0</v>
      </c>
      <c r="BX371">
        <v>2</v>
      </c>
      <c r="BZ371">
        <v>5.0729607585088737E-2</v>
      </c>
      <c r="CA371">
        <v>6.1366694743719377E-2</v>
      </c>
      <c r="CC371">
        <v>0.46900407026869612</v>
      </c>
      <c r="CD371">
        <v>0.56734579634715776</v>
      </c>
    </row>
    <row r="372" spans="1:84" x14ac:dyDescent="0.3">
      <c r="A372" s="1">
        <v>341</v>
      </c>
      <c r="B372" t="s">
        <v>773</v>
      </c>
      <c r="C372" t="s">
        <v>774</v>
      </c>
      <c r="F372">
        <v>3.08</v>
      </c>
      <c r="G372" t="s">
        <v>482</v>
      </c>
      <c r="H372" t="s">
        <v>483</v>
      </c>
      <c r="I372">
        <v>-1</v>
      </c>
      <c r="Q372" t="s">
        <v>755</v>
      </c>
      <c r="R372">
        <v>1023</v>
      </c>
      <c r="S372">
        <v>3</v>
      </c>
      <c r="T372" t="b">
        <v>0</v>
      </c>
      <c r="U372" t="s">
        <v>172</v>
      </c>
      <c r="V372" t="s">
        <v>173</v>
      </c>
      <c r="W372">
        <v>0.05</v>
      </c>
      <c r="Y372">
        <v>0.23799999999999999</v>
      </c>
      <c r="Z372">
        <v>4.76</v>
      </c>
      <c r="AC372" t="s">
        <v>165</v>
      </c>
      <c r="AD372">
        <v>350</v>
      </c>
      <c r="AE372">
        <v>400</v>
      </c>
      <c r="AF372" t="s">
        <v>407</v>
      </c>
      <c r="AH372">
        <v>60.1</v>
      </c>
      <c r="AI372" t="s">
        <v>775</v>
      </c>
      <c r="AJ372" t="s">
        <v>775</v>
      </c>
      <c r="AL372" t="b">
        <v>1</v>
      </c>
      <c r="AM372" t="b">
        <v>1</v>
      </c>
      <c r="AN372" t="b">
        <v>0</v>
      </c>
      <c r="AO372" t="b">
        <v>0</v>
      </c>
      <c r="AP372" t="s">
        <v>783</v>
      </c>
      <c r="AQ372" t="s">
        <v>784</v>
      </c>
      <c r="AS372">
        <v>4.0960098415411617</v>
      </c>
      <c r="AT372">
        <v>1.978947368421053</v>
      </c>
      <c r="AU372">
        <v>3.1578947368421049</v>
      </c>
      <c r="AV372">
        <v>2.4842105263157901</v>
      </c>
      <c r="AW372">
        <v>2.947368421052631</v>
      </c>
      <c r="AX372">
        <v>0.18725099601593631</v>
      </c>
      <c r="AY372">
        <v>0.29880478087649398</v>
      </c>
      <c r="AZ372">
        <v>0.23505976095617531</v>
      </c>
      <c r="BA372">
        <v>0.2788844621513944</v>
      </c>
      <c r="BB372">
        <v>6.1786324362105258</v>
      </c>
      <c r="BC372">
        <v>24</v>
      </c>
      <c r="BD372">
        <v>251.01098912285789</v>
      </c>
      <c r="BE372">
        <v>1</v>
      </c>
      <c r="BF372">
        <v>9.5613343797681868E-2</v>
      </c>
      <c r="BG372">
        <v>3.86469438</v>
      </c>
      <c r="BH372">
        <v>3.86469438</v>
      </c>
      <c r="BI372">
        <v>16.978874730000001</v>
      </c>
      <c r="BJ372">
        <v>967.79977224000004</v>
      </c>
      <c r="BK372">
        <v>1</v>
      </c>
      <c r="BL372">
        <v>2.4798517925305269E-2</v>
      </c>
      <c r="BM372">
        <v>32.83</v>
      </c>
      <c r="BN372">
        <v>5.4109999999999996</v>
      </c>
      <c r="BO372">
        <v>5.4480000000000004</v>
      </c>
      <c r="BP372">
        <v>0</v>
      </c>
      <c r="BQ372">
        <v>0</v>
      </c>
      <c r="BS372">
        <v>0</v>
      </c>
      <c r="BT372">
        <v>0</v>
      </c>
      <c r="BU372">
        <v>0</v>
      </c>
      <c r="BX372">
        <v>12</v>
      </c>
      <c r="BZ372">
        <v>4.7806671898840927E-2</v>
      </c>
      <c r="CA372">
        <v>1.239925896265264E-2</v>
      </c>
      <c r="CC372">
        <v>0.52673136262708065</v>
      </c>
      <c r="CD372">
        <v>0.1366143743028975</v>
      </c>
    </row>
    <row r="373" spans="1:84" x14ac:dyDescent="0.3">
      <c r="A373" s="1">
        <v>0</v>
      </c>
      <c r="B373" t="s">
        <v>83</v>
      </c>
      <c r="C373" t="s">
        <v>84</v>
      </c>
      <c r="E373" t="s">
        <v>83</v>
      </c>
      <c r="F373">
        <v>3.5</v>
      </c>
      <c r="G373" t="s">
        <v>85</v>
      </c>
      <c r="H373" t="s">
        <v>86</v>
      </c>
      <c r="I373">
        <v>-1</v>
      </c>
      <c r="J373">
        <v>4</v>
      </c>
      <c r="K373">
        <v>6.6</v>
      </c>
      <c r="L373">
        <v>7.94</v>
      </c>
      <c r="M373">
        <v>33.700000000000003</v>
      </c>
      <c r="O373">
        <v>16.850000000000001</v>
      </c>
      <c r="Q373" t="s">
        <v>87</v>
      </c>
      <c r="R373">
        <v>1473</v>
      </c>
      <c r="S373">
        <v>48</v>
      </c>
      <c r="T373" t="b">
        <v>0</v>
      </c>
      <c r="U373" t="s">
        <v>88</v>
      </c>
      <c r="V373" t="s">
        <v>89</v>
      </c>
      <c r="W373">
        <v>0</v>
      </c>
      <c r="Y373">
        <v>2.85</v>
      </c>
      <c r="Z373">
        <v>14.3</v>
      </c>
      <c r="AC373" t="s">
        <v>90</v>
      </c>
      <c r="AD373">
        <v>450</v>
      </c>
      <c r="AF373" t="s">
        <v>91</v>
      </c>
      <c r="AH373">
        <v>130</v>
      </c>
      <c r="AL373" t="b">
        <v>1</v>
      </c>
      <c r="AM373" t="b">
        <v>0</v>
      </c>
      <c r="AN373" t="b">
        <v>0</v>
      </c>
      <c r="AO373" t="b">
        <v>0</v>
      </c>
      <c r="AP373" t="s">
        <v>85</v>
      </c>
      <c r="AQ373" t="s">
        <v>86</v>
      </c>
      <c r="AS373">
        <v>4.8675344504555822</v>
      </c>
      <c r="AT373">
        <v>1.62962962962963</v>
      </c>
      <c r="AU373">
        <v>2.518518518518519</v>
      </c>
      <c r="AV373">
        <v>0.88888888888888884</v>
      </c>
      <c r="AW373">
        <v>0</v>
      </c>
      <c r="AX373">
        <v>0.32352941176470579</v>
      </c>
      <c r="AY373">
        <v>0.5</v>
      </c>
      <c r="AZ373">
        <v>0.1764705882352941</v>
      </c>
      <c r="BA373">
        <v>0</v>
      </c>
      <c r="BB373">
        <v>5.9587386867222234</v>
      </c>
      <c r="BC373">
        <v>34</v>
      </c>
      <c r="BD373">
        <v>1767.0449718798691</v>
      </c>
      <c r="BE373">
        <v>4</v>
      </c>
      <c r="BF373">
        <v>7.6964651247849417E-2</v>
      </c>
      <c r="BG373">
        <v>6.6040679999999998</v>
      </c>
      <c r="BH373">
        <v>7.9389519999999996</v>
      </c>
      <c r="BI373">
        <v>33.703336</v>
      </c>
      <c r="BJ373">
        <v>1679.8210721820001</v>
      </c>
      <c r="BK373">
        <v>4</v>
      </c>
      <c r="BL373">
        <v>8.0961003676030277E-2</v>
      </c>
      <c r="BM373">
        <v>7.83</v>
      </c>
      <c r="BN373">
        <v>33.209989999999998</v>
      </c>
      <c r="BO373">
        <v>6.46</v>
      </c>
      <c r="BP373">
        <v>0</v>
      </c>
      <c r="BQ373">
        <v>0</v>
      </c>
      <c r="BS373">
        <v>0</v>
      </c>
      <c r="BT373">
        <v>0</v>
      </c>
      <c r="BU373">
        <v>0</v>
      </c>
      <c r="BV373">
        <v>1766.0147999999999</v>
      </c>
      <c r="BW373">
        <v>7.7009547145358015E-2</v>
      </c>
      <c r="BX373">
        <v>17</v>
      </c>
      <c r="BY373">
        <v>3.8504773572679007E-2</v>
      </c>
      <c r="BZ373">
        <v>3.8482325623924708E-2</v>
      </c>
      <c r="CA373">
        <v>4.0480501838015139E-2</v>
      </c>
      <c r="CC373">
        <v>0.48264383878002193</v>
      </c>
      <c r="CD373">
        <v>0.50770488753139875</v>
      </c>
      <c r="CF373">
        <v>0.48292538008460401</v>
      </c>
    </row>
    <row r="374" spans="1:84" x14ac:dyDescent="0.3">
      <c r="A374" s="1">
        <v>1</v>
      </c>
      <c r="B374" t="s">
        <v>92</v>
      </c>
      <c r="C374" t="s">
        <v>93</v>
      </c>
      <c r="E374" t="s">
        <v>94</v>
      </c>
      <c r="F374">
        <v>3.2</v>
      </c>
      <c r="G374" t="s">
        <v>95</v>
      </c>
      <c r="H374" t="s">
        <v>96</v>
      </c>
      <c r="I374">
        <v>-1</v>
      </c>
      <c r="J374">
        <v>8</v>
      </c>
      <c r="K374">
        <v>7.806</v>
      </c>
      <c r="L374">
        <v>7.6680000000000001</v>
      </c>
      <c r="M374">
        <v>21.54</v>
      </c>
      <c r="N374" t="s">
        <v>97</v>
      </c>
      <c r="O374">
        <v>10.77</v>
      </c>
      <c r="P374">
        <v>2</v>
      </c>
      <c r="Q374" t="s">
        <v>87</v>
      </c>
      <c r="R374">
        <v>1473</v>
      </c>
      <c r="S374">
        <v>48</v>
      </c>
      <c r="T374" t="b">
        <v>0</v>
      </c>
      <c r="U374" t="s">
        <v>88</v>
      </c>
      <c r="V374" t="s">
        <v>89</v>
      </c>
      <c r="W374">
        <v>0</v>
      </c>
      <c r="Y374">
        <v>2.85</v>
      </c>
      <c r="Z374">
        <v>14.3</v>
      </c>
      <c r="AC374" t="s">
        <v>90</v>
      </c>
      <c r="AD374">
        <v>450</v>
      </c>
      <c r="AF374" t="s">
        <v>91</v>
      </c>
      <c r="AH374">
        <v>28</v>
      </c>
      <c r="AL374" t="b">
        <v>1</v>
      </c>
      <c r="AM374" t="b">
        <v>0</v>
      </c>
      <c r="AN374" t="b">
        <v>0</v>
      </c>
      <c r="AO374" t="b">
        <v>0</v>
      </c>
      <c r="AP374" t="s">
        <v>95</v>
      </c>
      <c r="AQ374" t="s">
        <v>96</v>
      </c>
      <c r="AS374">
        <v>3.3322045101752038</v>
      </c>
      <c r="AT374">
        <v>1.7272727272727271</v>
      </c>
      <c r="AU374">
        <v>2.545454545454545</v>
      </c>
      <c r="AV374">
        <v>0.81818181818181823</v>
      </c>
      <c r="AW374">
        <v>0</v>
      </c>
      <c r="AX374">
        <v>0.3392857142857143</v>
      </c>
      <c r="AY374">
        <v>0.5</v>
      </c>
      <c r="AZ374">
        <v>0.1607142857142857</v>
      </c>
      <c r="BA374">
        <v>0</v>
      </c>
      <c r="BB374">
        <v>5.9946935869545452</v>
      </c>
      <c r="BC374">
        <v>14</v>
      </c>
      <c r="BD374">
        <v>173.54502164551991</v>
      </c>
      <c r="BE374">
        <v>1</v>
      </c>
      <c r="BF374">
        <v>8.0670709348241429E-2</v>
      </c>
      <c r="BG374">
        <v>3.9327019999999999</v>
      </c>
      <c r="BH374">
        <v>3.9458000000000002</v>
      </c>
      <c r="BI374">
        <v>11.356398779999999</v>
      </c>
      <c r="BJ374">
        <v>328.06612625219998</v>
      </c>
      <c r="BK374">
        <v>1</v>
      </c>
      <c r="BL374">
        <v>4.2674323496713393E-2</v>
      </c>
      <c r="BM374">
        <v>3.9060000000000001</v>
      </c>
      <c r="BN374">
        <v>21.603000000000002</v>
      </c>
      <c r="BO374">
        <v>3.8879000000000001</v>
      </c>
      <c r="BP374">
        <v>0</v>
      </c>
      <c r="BQ374">
        <v>0</v>
      </c>
      <c r="BS374">
        <v>0</v>
      </c>
      <c r="BT374">
        <v>0</v>
      </c>
      <c r="BU374">
        <v>0</v>
      </c>
      <c r="BV374">
        <v>1289.30702832</v>
      </c>
      <c r="BW374">
        <v>8.6868370015743157E-2</v>
      </c>
      <c r="BX374">
        <v>7</v>
      </c>
      <c r="BY374">
        <v>4.3434185007871579E-2</v>
      </c>
      <c r="BZ374">
        <v>4.0335354674120708E-2</v>
      </c>
      <c r="CA374">
        <v>2.1337161748356689E-2</v>
      </c>
      <c r="CC374">
        <v>0.48450364842179572</v>
      </c>
      <c r="CD374">
        <v>0.25629953666126182</v>
      </c>
      <c r="CF374">
        <v>0.52172644253560874</v>
      </c>
    </row>
    <row r="375" spans="1:84" x14ac:dyDescent="0.3">
      <c r="A375" s="1">
        <v>2</v>
      </c>
      <c r="B375" t="s">
        <v>98</v>
      </c>
      <c r="C375" t="s">
        <v>99</v>
      </c>
      <c r="E375" t="s">
        <v>94</v>
      </c>
      <c r="F375">
        <v>3.35</v>
      </c>
      <c r="G375" t="s">
        <v>100</v>
      </c>
      <c r="H375">
        <v>-1</v>
      </c>
      <c r="I375">
        <v>-1</v>
      </c>
      <c r="J375">
        <v>1</v>
      </c>
      <c r="K375">
        <v>3.8849999999999998</v>
      </c>
      <c r="L375">
        <v>3.8849999999999998</v>
      </c>
      <c r="M375">
        <v>10.989000000000001</v>
      </c>
      <c r="N375" t="s">
        <v>101</v>
      </c>
      <c r="O375">
        <v>10.989000000000001</v>
      </c>
      <c r="P375">
        <v>2</v>
      </c>
      <c r="Q375" t="s">
        <v>87</v>
      </c>
      <c r="R375">
        <v>1473</v>
      </c>
      <c r="S375">
        <v>48</v>
      </c>
      <c r="T375" t="b">
        <v>0</v>
      </c>
      <c r="U375" t="s">
        <v>88</v>
      </c>
      <c r="V375" t="s">
        <v>89</v>
      </c>
      <c r="W375">
        <v>0</v>
      </c>
      <c r="Y375">
        <v>2.85</v>
      </c>
      <c r="Z375">
        <v>14.3</v>
      </c>
      <c r="AC375" t="s">
        <v>90</v>
      </c>
      <c r="AD375">
        <v>450</v>
      </c>
      <c r="AF375" t="s">
        <v>91</v>
      </c>
      <c r="AH375">
        <v>60</v>
      </c>
      <c r="AL375" t="b">
        <v>1</v>
      </c>
      <c r="AM375" t="b">
        <v>0</v>
      </c>
      <c r="AN375" t="b">
        <v>0</v>
      </c>
      <c r="AO375" t="b">
        <v>0</v>
      </c>
      <c r="AP375" t="s">
        <v>100</v>
      </c>
      <c r="AQ375">
        <v>-1</v>
      </c>
      <c r="AS375">
        <v>4.0943445622221004</v>
      </c>
      <c r="AT375">
        <v>1.7272727272727271</v>
      </c>
      <c r="AU375">
        <v>2.545454545454545</v>
      </c>
      <c r="AV375">
        <v>0.81818181818181823</v>
      </c>
      <c r="AW375">
        <v>0</v>
      </c>
      <c r="AX375">
        <v>0.3392857142857143</v>
      </c>
      <c r="AY375">
        <v>0.5</v>
      </c>
      <c r="AZ375">
        <v>0.1607142857142857</v>
      </c>
      <c r="BA375">
        <v>0</v>
      </c>
      <c r="BB375">
        <v>5.9865536528636358</v>
      </c>
      <c r="BC375">
        <v>14</v>
      </c>
      <c r="BD375">
        <v>349.00875366799971</v>
      </c>
      <c r="BE375">
        <v>2</v>
      </c>
      <c r="BF375">
        <v>8.0227214090553903E-2</v>
      </c>
      <c r="BG375">
        <v>11.92921406</v>
      </c>
      <c r="BH375">
        <v>11.92921406</v>
      </c>
      <c r="BI375">
        <v>11.92921406</v>
      </c>
      <c r="BJ375">
        <v>0</v>
      </c>
      <c r="BK375">
        <v>0</v>
      </c>
      <c r="BM375">
        <v>0</v>
      </c>
      <c r="BP375">
        <v>0</v>
      </c>
      <c r="BQ375">
        <v>0</v>
      </c>
      <c r="BS375">
        <v>0</v>
      </c>
      <c r="BT375">
        <v>0</v>
      </c>
      <c r="BU375">
        <v>0</v>
      </c>
      <c r="BV375">
        <v>165.859449525</v>
      </c>
      <c r="BW375">
        <v>8.4408817466199174E-2</v>
      </c>
      <c r="BX375">
        <v>7</v>
      </c>
      <c r="BY375">
        <v>4.2204408733099587E-2</v>
      </c>
      <c r="BZ375">
        <v>4.0113607045276951E-2</v>
      </c>
      <c r="CC375">
        <v>0.50734392504100989</v>
      </c>
      <c r="CF375">
        <v>0.53378770840821022</v>
      </c>
    </row>
    <row r="376" spans="1:84" x14ac:dyDescent="0.3">
      <c r="A376" s="1">
        <v>3</v>
      </c>
      <c r="B376" t="s">
        <v>102</v>
      </c>
      <c r="C376" t="s">
        <v>103</v>
      </c>
      <c r="E376" t="s">
        <v>94</v>
      </c>
      <c r="F376">
        <v>3.3</v>
      </c>
      <c r="G376" t="s">
        <v>104</v>
      </c>
      <c r="H376" t="s">
        <v>105</v>
      </c>
      <c r="I376">
        <v>-1</v>
      </c>
      <c r="J376">
        <v>1</v>
      </c>
      <c r="K376">
        <v>3.9049999999999998</v>
      </c>
      <c r="L376">
        <v>3.9049999999999998</v>
      </c>
      <c r="M376">
        <v>11.185</v>
      </c>
      <c r="N376" t="s">
        <v>101</v>
      </c>
      <c r="O376">
        <v>11.185</v>
      </c>
      <c r="P376">
        <v>2</v>
      </c>
      <c r="Q376" t="s">
        <v>87</v>
      </c>
      <c r="R376">
        <v>1473</v>
      </c>
      <c r="S376">
        <v>48</v>
      </c>
      <c r="T376" t="b">
        <v>0</v>
      </c>
      <c r="U376" t="s">
        <v>88</v>
      </c>
      <c r="V376" t="s">
        <v>89</v>
      </c>
      <c r="W376">
        <v>0</v>
      </c>
      <c r="Y376">
        <v>2.85</v>
      </c>
      <c r="Z376">
        <v>14.3</v>
      </c>
      <c r="AC376" t="s">
        <v>90</v>
      </c>
      <c r="AD376">
        <v>450</v>
      </c>
      <c r="AF376" t="s">
        <v>91</v>
      </c>
      <c r="AH376">
        <v>12</v>
      </c>
      <c r="AL376" t="b">
        <v>1</v>
      </c>
      <c r="AM376" t="b">
        <v>1</v>
      </c>
      <c r="AN376" t="b">
        <v>0</v>
      </c>
      <c r="AO376" t="b">
        <v>0</v>
      </c>
      <c r="AP376" t="s">
        <v>104</v>
      </c>
      <c r="AQ376" t="s">
        <v>105</v>
      </c>
      <c r="AS376">
        <v>2.4849066497879999</v>
      </c>
      <c r="AT376">
        <v>1.7272727272727271</v>
      </c>
      <c r="AU376">
        <v>2.545454545454545</v>
      </c>
      <c r="AV376">
        <v>0.81818181818181823</v>
      </c>
      <c r="AW376">
        <v>0</v>
      </c>
      <c r="AX376">
        <v>0.3392857142857143</v>
      </c>
      <c r="AY376">
        <v>0.5</v>
      </c>
      <c r="AZ376">
        <v>0.1607142857142857</v>
      </c>
      <c r="BA376">
        <v>0</v>
      </c>
      <c r="BB376">
        <v>5.9730290962922723</v>
      </c>
      <c r="BC376">
        <v>14</v>
      </c>
      <c r="BD376">
        <v>179.6799083471451</v>
      </c>
      <c r="BE376">
        <v>1</v>
      </c>
      <c r="BF376">
        <v>7.7916335380980528E-2</v>
      </c>
      <c r="BG376">
        <v>3.952105</v>
      </c>
      <c r="BH376">
        <v>3.952105</v>
      </c>
      <c r="BI376">
        <v>11.503833</v>
      </c>
      <c r="BJ376">
        <v>170.44069823999999</v>
      </c>
      <c r="BK376">
        <v>1</v>
      </c>
      <c r="BL376">
        <v>8.2140006140355049E-2</v>
      </c>
      <c r="BM376">
        <v>3.9079999999999999</v>
      </c>
      <c r="BN376">
        <v>3.9079999999999999</v>
      </c>
      <c r="BO376">
        <v>11.16</v>
      </c>
      <c r="BP376">
        <v>0</v>
      </c>
      <c r="BQ376">
        <v>0</v>
      </c>
      <c r="BS376">
        <v>0</v>
      </c>
      <c r="BT376">
        <v>0</v>
      </c>
      <c r="BU376">
        <v>0</v>
      </c>
      <c r="BV376">
        <v>170.560344625</v>
      </c>
      <c r="BW376">
        <v>8.2082385743186062E-2</v>
      </c>
      <c r="BX376">
        <v>7</v>
      </c>
      <c r="BY376">
        <v>4.1041192871593031E-2</v>
      </c>
      <c r="BZ376">
        <v>3.8958167690490257E-2</v>
      </c>
      <c r="CA376">
        <v>4.1070003070177517E-2</v>
      </c>
      <c r="CC376">
        <v>0.5243291310951993</v>
      </c>
      <c r="CD376">
        <v>0.55275184384813547</v>
      </c>
      <c r="CF376">
        <v>0.5523640939285166</v>
      </c>
    </row>
    <row r="377" spans="1:84" x14ac:dyDescent="0.3">
      <c r="A377" s="1">
        <v>4</v>
      </c>
      <c r="B377" t="s">
        <v>106</v>
      </c>
      <c r="C377" t="s">
        <v>107</v>
      </c>
      <c r="E377" t="s">
        <v>106</v>
      </c>
      <c r="F377">
        <v>3.35</v>
      </c>
      <c r="G377" t="s">
        <v>108</v>
      </c>
      <c r="H377" t="s">
        <v>109</v>
      </c>
      <c r="I377">
        <v>-1</v>
      </c>
      <c r="J377">
        <v>8</v>
      </c>
      <c r="K377">
        <v>7.7270000000000003</v>
      </c>
      <c r="L377">
        <v>7.7270000000000003</v>
      </c>
      <c r="M377">
        <v>29.466000000000001</v>
      </c>
      <c r="N377" t="s">
        <v>110</v>
      </c>
      <c r="O377">
        <v>14.733000000000001</v>
      </c>
      <c r="P377">
        <v>3</v>
      </c>
      <c r="Q377" t="s">
        <v>87</v>
      </c>
      <c r="R377">
        <v>1473</v>
      </c>
      <c r="S377">
        <v>48</v>
      </c>
      <c r="T377" t="b">
        <v>0</v>
      </c>
      <c r="U377" t="s">
        <v>88</v>
      </c>
      <c r="V377" t="s">
        <v>89</v>
      </c>
      <c r="W377">
        <v>0</v>
      </c>
      <c r="Y377">
        <v>2.85</v>
      </c>
      <c r="Z377">
        <v>14.3</v>
      </c>
      <c r="AC377" t="s">
        <v>90</v>
      </c>
      <c r="AD377">
        <v>450</v>
      </c>
      <c r="AF377" t="s">
        <v>91</v>
      </c>
      <c r="AH377">
        <v>14</v>
      </c>
      <c r="AL377" t="b">
        <v>1</v>
      </c>
      <c r="AM377" t="b">
        <v>1</v>
      </c>
      <c r="AN377" t="b">
        <v>0</v>
      </c>
      <c r="AO377" t="b">
        <v>0</v>
      </c>
      <c r="AP377" t="s">
        <v>108</v>
      </c>
      <c r="AQ377" t="s">
        <v>109</v>
      </c>
      <c r="AS377">
        <v>2.639057329615258</v>
      </c>
      <c r="AT377">
        <v>1.75</v>
      </c>
      <c r="AU377">
        <v>2.5</v>
      </c>
      <c r="AV377">
        <v>0.75</v>
      </c>
      <c r="AW377">
        <v>0</v>
      </c>
      <c r="AX377">
        <v>0.35</v>
      </c>
      <c r="AY377">
        <v>0.5</v>
      </c>
      <c r="AZ377">
        <v>0.15</v>
      </c>
      <c r="BA377">
        <v>0</v>
      </c>
      <c r="BB377">
        <v>5.9668120809374994</v>
      </c>
      <c r="BC377">
        <v>20</v>
      </c>
      <c r="BD377">
        <v>924.74694800021894</v>
      </c>
      <c r="BE377">
        <v>4</v>
      </c>
      <c r="BF377">
        <v>8.6510153045653584E-2</v>
      </c>
      <c r="BG377">
        <v>7.8084429999999996</v>
      </c>
      <c r="BH377">
        <v>7.8548809999999998</v>
      </c>
      <c r="BI377">
        <v>15.19056011</v>
      </c>
      <c r="BJ377">
        <v>883.22940750240002</v>
      </c>
      <c r="BK377">
        <v>4</v>
      </c>
      <c r="BL377">
        <v>9.0576694254581439E-2</v>
      </c>
      <c r="BM377">
        <v>3.8801999999999999</v>
      </c>
      <c r="BN377">
        <v>29.507999999999999</v>
      </c>
      <c r="BO377">
        <v>7.7140000000000004</v>
      </c>
      <c r="BP377">
        <v>0</v>
      </c>
      <c r="BQ377">
        <v>0</v>
      </c>
      <c r="BS377">
        <v>0</v>
      </c>
      <c r="BT377">
        <v>0</v>
      </c>
      <c r="BU377">
        <v>0</v>
      </c>
      <c r="BV377">
        <v>1759.3125835139999</v>
      </c>
      <c r="BW377">
        <v>9.0944611832662864E-2</v>
      </c>
      <c r="BX377">
        <v>10</v>
      </c>
      <c r="BY377">
        <v>4.5472305916331432E-2</v>
      </c>
      <c r="BZ377">
        <v>4.3255076522826792E-2</v>
      </c>
      <c r="CA377">
        <v>4.5288347127290719E-2</v>
      </c>
      <c r="CC377">
        <v>0.50555206026575006</v>
      </c>
      <c r="CD377">
        <v>0.52931630311992839</v>
      </c>
      <c r="CF377">
        <v>0.53146635699289846</v>
      </c>
    </row>
    <row r="378" spans="1:84" x14ac:dyDescent="0.3">
      <c r="A378" s="1">
        <v>5</v>
      </c>
      <c r="B378" t="s">
        <v>111</v>
      </c>
      <c r="C378" t="s">
        <v>112</v>
      </c>
      <c r="E378" t="s">
        <v>106</v>
      </c>
      <c r="F378">
        <v>3.5</v>
      </c>
      <c r="G378" t="s">
        <v>113</v>
      </c>
      <c r="H378" t="s">
        <v>114</v>
      </c>
      <c r="I378">
        <v>-1</v>
      </c>
      <c r="J378">
        <v>4</v>
      </c>
      <c r="K378">
        <v>7.7249999999999996</v>
      </c>
      <c r="L378">
        <v>7.7249999999999996</v>
      </c>
      <c r="M378">
        <v>14.909000000000001</v>
      </c>
      <c r="N378" t="s">
        <v>115</v>
      </c>
      <c r="O378">
        <v>14.909000000000001</v>
      </c>
      <c r="P378">
        <v>3</v>
      </c>
      <c r="Q378" t="s">
        <v>87</v>
      </c>
      <c r="R378">
        <v>1473</v>
      </c>
      <c r="S378">
        <v>48</v>
      </c>
      <c r="T378" t="b">
        <v>0</v>
      </c>
      <c r="U378" t="s">
        <v>88</v>
      </c>
      <c r="V378" t="s">
        <v>89</v>
      </c>
      <c r="W378">
        <v>0</v>
      </c>
      <c r="Y378">
        <v>2.85</v>
      </c>
      <c r="Z378">
        <v>14.3</v>
      </c>
      <c r="AC378" t="s">
        <v>90</v>
      </c>
      <c r="AD378">
        <v>450</v>
      </c>
      <c r="AF378" t="s">
        <v>91</v>
      </c>
      <c r="AH378">
        <v>3</v>
      </c>
      <c r="AL378" t="b">
        <v>1</v>
      </c>
      <c r="AM378" t="b">
        <v>1</v>
      </c>
      <c r="AN378" t="b">
        <v>0</v>
      </c>
      <c r="AO378" t="b">
        <v>0</v>
      </c>
      <c r="AP378" t="s">
        <v>113</v>
      </c>
      <c r="AQ378" t="s">
        <v>114</v>
      </c>
      <c r="AS378">
        <v>1.09861228866811</v>
      </c>
      <c r="AT378">
        <v>1.75</v>
      </c>
      <c r="AU378">
        <v>2.5</v>
      </c>
      <c r="AV378">
        <v>0.75</v>
      </c>
      <c r="AW378">
        <v>0</v>
      </c>
      <c r="AX378">
        <v>0.35</v>
      </c>
      <c r="AY378">
        <v>0.5</v>
      </c>
      <c r="AZ378">
        <v>0.15</v>
      </c>
      <c r="BA378">
        <v>0</v>
      </c>
      <c r="BB378">
        <v>5.9612158762499998</v>
      </c>
      <c r="BC378">
        <v>20</v>
      </c>
      <c r="BD378">
        <v>240.40623599981481</v>
      </c>
      <c r="BE378">
        <v>1</v>
      </c>
      <c r="BF378">
        <v>8.3192517518619641E-2</v>
      </c>
      <c r="BG378">
        <v>3.9661010000000001</v>
      </c>
      <c r="BH378">
        <v>3.9661010000000001</v>
      </c>
      <c r="BI378">
        <v>15.283337</v>
      </c>
      <c r="BJ378">
        <v>222.00958249733301</v>
      </c>
      <c r="BK378">
        <v>1</v>
      </c>
      <c r="BL378">
        <v>9.0086201573034624E-2</v>
      </c>
      <c r="BM378">
        <v>3.8586499999999999</v>
      </c>
      <c r="BN378">
        <v>3.8586499999999999</v>
      </c>
      <c r="BO378">
        <v>14.9108</v>
      </c>
      <c r="BP378">
        <v>0</v>
      </c>
      <c r="BQ378">
        <v>0</v>
      </c>
      <c r="BS378">
        <v>0</v>
      </c>
      <c r="BT378">
        <v>0</v>
      </c>
      <c r="BU378">
        <v>0</v>
      </c>
      <c r="BV378">
        <v>889.70389312500004</v>
      </c>
      <c r="BW378">
        <v>8.9917556411951427E-2</v>
      </c>
      <c r="BX378">
        <v>10</v>
      </c>
      <c r="BY378">
        <v>4.4958778205975707E-2</v>
      </c>
      <c r="BZ378">
        <v>4.159625875930982E-2</v>
      </c>
      <c r="CA378">
        <v>4.5043100786517312E-2</v>
      </c>
      <c r="CC378">
        <v>0.50467688585120685</v>
      </c>
      <c r="CD378">
        <v>0.54649654829675809</v>
      </c>
      <c r="CF378">
        <v>0.54547348375624471</v>
      </c>
    </row>
    <row r="379" spans="1:84" x14ac:dyDescent="0.3">
      <c r="A379" s="1">
        <v>6</v>
      </c>
      <c r="B379" t="s">
        <v>116</v>
      </c>
      <c r="C379" t="s">
        <v>117</v>
      </c>
      <c r="E379" t="s">
        <v>106</v>
      </c>
      <c r="F379">
        <v>3.5</v>
      </c>
      <c r="G379" t="s">
        <v>118</v>
      </c>
      <c r="H379" t="s">
        <v>119</v>
      </c>
      <c r="I379">
        <v>-1</v>
      </c>
      <c r="J379">
        <v>2</v>
      </c>
      <c r="K379">
        <v>7.7270000000000003</v>
      </c>
      <c r="L379">
        <v>7.7270000000000003</v>
      </c>
      <c r="M379">
        <v>30.175999999999998</v>
      </c>
      <c r="N379" t="s">
        <v>110</v>
      </c>
      <c r="O379">
        <v>15.087999999999999</v>
      </c>
      <c r="P379">
        <v>3</v>
      </c>
      <c r="Q379" t="s">
        <v>87</v>
      </c>
      <c r="R379">
        <v>1473</v>
      </c>
      <c r="S379">
        <v>48</v>
      </c>
      <c r="T379" t="b">
        <v>0</v>
      </c>
      <c r="U379" t="s">
        <v>88</v>
      </c>
      <c r="V379" t="s">
        <v>89</v>
      </c>
      <c r="W379">
        <v>0</v>
      </c>
      <c r="Y379">
        <v>2.85</v>
      </c>
      <c r="Z379">
        <v>14.3</v>
      </c>
      <c r="AC379" t="s">
        <v>90</v>
      </c>
      <c r="AD379">
        <v>450</v>
      </c>
      <c r="AF379" t="s">
        <v>91</v>
      </c>
      <c r="AH379">
        <v>2</v>
      </c>
      <c r="AL379" t="b">
        <v>1</v>
      </c>
      <c r="AM379" t="b">
        <v>1</v>
      </c>
      <c r="AN379" t="b">
        <v>0</v>
      </c>
      <c r="AO379" t="b">
        <v>0</v>
      </c>
      <c r="AP379" t="s">
        <v>118</v>
      </c>
      <c r="AQ379" t="s">
        <v>119</v>
      </c>
      <c r="AS379">
        <v>0.69314718055994529</v>
      </c>
      <c r="AT379">
        <v>1.75</v>
      </c>
      <c r="AU379">
        <v>2.5</v>
      </c>
      <c r="AV379">
        <v>0.75</v>
      </c>
      <c r="AW379">
        <v>0</v>
      </c>
      <c r="AX379">
        <v>0.35</v>
      </c>
      <c r="AY379">
        <v>0.5</v>
      </c>
      <c r="AZ379">
        <v>0.15</v>
      </c>
      <c r="BA379">
        <v>0</v>
      </c>
      <c r="BB379">
        <v>5.9519177436071873</v>
      </c>
      <c r="BC379">
        <v>20</v>
      </c>
      <c r="BD379">
        <v>1902.4394671889761</v>
      </c>
      <c r="BE379">
        <v>8</v>
      </c>
      <c r="BF379">
        <v>8.4102544527429435E-2</v>
      </c>
      <c r="BG379">
        <v>7.8252249999999997</v>
      </c>
      <c r="BH379">
        <v>7.8345229999999999</v>
      </c>
      <c r="BI379">
        <v>31.031406</v>
      </c>
      <c r="BJ379">
        <v>1809.7126974</v>
      </c>
      <c r="BK379">
        <v>8</v>
      </c>
      <c r="BL379">
        <v>8.8411823727529093E-2</v>
      </c>
      <c r="BM379">
        <v>30.184999999999999</v>
      </c>
      <c r="BN379">
        <v>7.74</v>
      </c>
      <c r="BO379">
        <v>7.7460000000000004</v>
      </c>
      <c r="BP379">
        <v>0</v>
      </c>
      <c r="BQ379">
        <v>0</v>
      </c>
      <c r="BS379">
        <v>0</v>
      </c>
      <c r="BT379">
        <v>0</v>
      </c>
      <c r="BU379">
        <v>0</v>
      </c>
      <c r="BV379">
        <v>1801.704219104</v>
      </c>
      <c r="BW379">
        <v>2.2201202381538668E-2</v>
      </c>
      <c r="BX379">
        <v>10</v>
      </c>
      <c r="BY379">
        <v>1.1100601190769339E-2</v>
      </c>
      <c r="BZ379">
        <v>4.2051272263714717E-2</v>
      </c>
      <c r="CA379">
        <v>4.4205911863764553E-2</v>
      </c>
      <c r="CC379">
        <v>0.53407279423354248</v>
      </c>
      <c r="CD379">
        <v>0.56143782577285706</v>
      </c>
      <c r="CF379">
        <v>0.14098334667372209</v>
      </c>
    </row>
    <row r="380" spans="1:84" x14ac:dyDescent="0.3">
      <c r="A380" s="1">
        <v>7</v>
      </c>
      <c r="B380" t="s">
        <v>120</v>
      </c>
      <c r="C380" t="s">
        <v>121</v>
      </c>
      <c r="E380" t="s">
        <v>106</v>
      </c>
      <c r="F380">
        <v>3.16</v>
      </c>
      <c r="G380" t="s">
        <v>108</v>
      </c>
      <c r="H380">
        <v>-1</v>
      </c>
      <c r="I380">
        <v>-1</v>
      </c>
      <c r="J380">
        <v>4</v>
      </c>
      <c r="K380">
        <v>7.8310000000000004</v>
      </c>
      <c r="L380">
        <v>7.8010000000000002</v>
      </c>
      <c r="M380">
        <v>15.05</v>
      </c>
      <c r="N380" t="s">
        <v>122</v>
      </c>
      <c r="O380">
        <v>15.05</v>
      </c>
      <c r="P380">
        <v>3</v>
      </c>
      <c r="Q380" t="s">
        <v>87</v>
      </c>
      <c r="R380">
        <v>1473</v>
      </c>
      <c r="S380">
        <v>48</v>
      </c>
      <c r="T380" t="b">
        <v>0</v>
      </c>
      <c r="U380" t="s">
        <v>88</v>
      </c>
      <c r="V380" t="s">
        <v>89</v>
      </c>
      <c r="W380">
        <v>0</v>
      </c>
      <c r="Y380">
        <v>2.85</v>
      </c>
      <c r="Z380">
        <v>14.3</v>
      </c>
      <c r="AC380" t="s">
        <v>90</v>
      </c>
      <c r="AD380">
        <v>450</v>
      </c>
      <c r="AF380" t="s">
        <v>91</v>
      </c>
      <c r="AH380">
        <v>10</v>
      </c>
      <c r="AI380" t="s">
        <v>123</v>
      </c>
      <c r="AL380" t="b">
        <v>1</v>
      </c>
      <c r="AM380" t="b">
        <v>0</v>
      </c>
      <c r="AN380" t="b">
        <v>0</v>
      </c>
      <c r="AO380" t="b">
        <v>0</v>
      </c>
      <c r="AP380" t="s">
        <v>124</v>
      </c>
      <c r="AQ380">
        <v>-1</v>
      </c>
      <c r="AS380">
        <v>2.3025850929940459</v>
      </c>
      <c r="AT380">
        <v>1.75</v>
      </c>
      <c r="AU380">
        <v>2.5</v>
      </c>
      <c r="AV380">
        <v>0.75</v>
      </c>
      <c r="AW380">
        <v>0</v>
      </c>
      <c r="AX380">
        <v>0.35</v>
      </c>
      <c r="AY380">
        <v>0.5</v>
      </c>
      <c r="AZ380">
        <v>0.15</v>
      </c>
      <c r="BA380">
        <v>0</v>
      </c>
      <c r="BB380">
        <v>5.9423887671875004</v>
      </c>
      <c r="BC380">
        <v>20</v>
      </c>
      <c r="BD380">
        <v>924.74694800021894</v>
      </c>
      <c r="BE380">
        <v>4</v>
      </c>
      <c r="BF380">
        <v>8.6510153045653584E-2</v>
      </c>
      <c r="BG380">
        <v>7.8084429999999996</v>
      </c>
      <c r="BH380">
        <v>7.8548809999999998</v>
      </c>
      <c r="BI380">
        <v>15.19056011</v>
      </c>
      <c r="BJ380">
        <v>0</v>
      </c>
      <c r="BK380">
        <v>0</v>
      </c>
      <c r="BM380">
        <v>0</v>
      </c>
      <c r="BP380">
        <v>0</v>
      </c>
      <c r="BQ380">
        <v>0</v>
      </c>
      <c r="BS380">
        <v>0</v>
      </c>
      <c r="BT380">
        <v>0</v>
      </c>
      <c r="BU380">
        <v>0</v>
      </c>
      <c r="BV380">
        <v>919.39894655000012</v>
      </c>
      <c r="BW380">
        <v>8.7013369223660861E-2</v>
      </c>
      <c r="BX380">
        <v>10</v>
      </c>
      <c r="BY380">
        <v>4.350668461183043E-2</v>
      </c>
      <c r="BZ380">
        <v>4.3255076522826792E-2</v>
      </c>
      <c r="CC380">
        <v>0.53520952659835619</v>
      </c>
      <c r="CF380">
        <v>0.5383227576229942</v>
      </c>
    </row>
    <row r="381" spans="1:84" x14ac:dyDescent="0.3">
      <c r="A381" s="1">
        <v>18</v>
      </c>
      <c r="B381" t="s">
        <v>134</v>
      </c>
      <c r="C381" t="s">
        <v>135</v>
      </c>
      <c r="E381" t="s">
        <v>83</v>
      </c>
      <c r="F381">
        <v>3.5</v>
      </c>
      <c r="G381" t="s">
        <v>85</v>
      </c>
      <c r="H381">
        <v>-1</v>
      </c>
      <c r="I381">
        <v>-1</v>
      </c>
      <c r="J381">
        <v>4</v>
      </c>
      <c r="Q381" t="s">
        <v>87</v>
      </c>
      <c r="R381">
        <v>1473</v>
      </c>
      <c r="S381">
        <v>48</v>
      </c>
      <c r="T381" t="b">
        <v>0</v>
      </c>
      <c r="U381" t="s">
        <v>88</v>
      </c>
      <c r="V381" t="s">
        <v>89</v>
      </c>
      <c r="W381">
        <v>0</v>
      </c>
      <c r="Y381">
        <v>2.85</v>
      </c>
      <c r="Z381">
        <v>14.3</v>
      </c>
      <c r="AC381" t="s">
        <v>90</v>
      </c>
      <c r="AD381">
        <v>450</v>
      </c>
      <c r="AF381" t="s">
        <v>91</v>
      </c>
      <c r="AH381">
        <v>750</v>
      </c>
      <c r="AI381" t="s">
        <v>136</v>
      </c>
      <c r="AL381" t="b">
        <v>1</v>
      </c>
      <c r="AM381" t="b">
        <v>0</v>
      </c>
      <c r="AN381" t="b">
        <v>0</v>
      </c>
      <c r="AO381" t="b">
        <v>0</v>
      </c>
      <c r="AP381" t="s">
        <v>137</v>
      </c>
      <c r="AS381">
        <v>6.620073206530356</v>
      </c>
      <c r="AT381">
        <v>1.62962962962963</v>
      </c>
      <c r="AU381">
        <v>2.518518518518519</v>
      </c>
      <c r="AV381">
        <v>0.88888888888888884</v>
      </c>
      <c r="AW381">
        <v>0</v>
      </c>
      <c r="AX381">
        <v>0.32352941176470579</v>
      </c>
      <c r="AY381">
        <v>0.5</v>
      </c>
      <c r="AZ381">
        <v>0.1764705882352941</v>
      </c>
      <c r="BA381">
        <v>0</v>
      </c>
      <c r="BB381">
        <v>6.6632206815149626</v>
      </c>
      <c r="BC381">
        <v>34</v>
      </c>
      <c r="BD381">
        <v>1767.0449718798691</v>
      </c>
      <c r="BE381">
        <v>4</v>
      </c>
      <c r="BF381">
        <v>7.6964651247849417E-2</v>
      </c>
      <c r="BG381">
        <v>6.6040679999999998</v>
      </c>
      <c r="BH381">
        <v>7.9389519999999996</v>
      </c>
      <c r="BI381">
        <v>33.703336</v>
      </c>
      <c r="BJ381">
        <v>0</v>
      </c>
      <c r="BK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S381">
        <v>0</v>
      </c>
      <c r="BT381">
        <v>0</v>
      </c>
      <c r="BU381">
        <v>0</v>
      </c>
      <c r="BX381">
        <v>17</v>
      </c>
      <c r="BZ381">
        <v>3.8482325623924708E-2</v>
      </c>
      <c r="CC381">
        <v>0.34944796725202643</v>
      </c>
    </row>
    <row r="382" spans="1:84" x14ac:dyDescent="0.3">
      <c r="A382" s="1">
        <v>19</v>
      </c>
      <c r="B382" t="s">
        <v>94</v>
      </c>
      <c r="C382" t="s">
        <v>138</v>
      </c>
      <c r="E382" t="s">
        <v>94</v>
      </c>
      <c r="F382">
        <v>3.2</v>
      </c>
      <c r="G382" t="s">
        <v>139</v>
      </c>
      <c r="H382">
        <v>-1</v>
      </c>
      <c r="I382">
        <v>-1</v>
      </c>
      <c r="J382">
        <v>8</v>
      </c>
      <c r="K382">
        <v>7.806</v>
      </c>
      <c r="L382">
        <v>7.6680000000000001</v>
      </c>
      <c r="M382">
        <v>21.54</v>
      </c>
      <c r="N382" t="s">
        <v>97</v>
      </c>
      <c r="O382">
        <v>10.77</v>
      </c>
      <c r="P382">
        <v>2</v>
      </c>
      <c r="Q382" t="s">
        <v>87</v>
      </c>
      <c r="R382">
        <v>1473</v>
      </c>
      <c r="S382">
        <v>48</v>
      </c>
      <c r="T382" t="b">
        <v>0</v>
      </c>
      <c r="U382" t="s">
        <v>88</v>
      </c>
      <c r="V382" t="s">
        <v>89</v>
      </c>
      <c r="W382">
        <v>0</v>
      </c>
      <c r="Y382">
        <v>2.85</v>
      </c>
      <c r="Z382">
        <v>14.3</v>
      </c>
      <c r="AC382" t="s">
        <v>90</v>
      </c>
      <c r="AD382">
        <v>450</v>
      </c>
      <c r="AF382" t="s">
        <v>91</v>
      </c>
      <c r="AH382">
        <v>760</v>
      </c>
      <c r="AL382" t="b">
        <v>1</v>
      </c>
      <c r="AM382" t="b">
        <v>0</v>
      </c>
      <c r="AN382" t="b">
        <v>0</v>
      </c>
      <c r="AO382" t="b">
        <v>0</v>
      </c>
      <c r="AP382" t="s">
        <v>139</v>
      </c>
      <c r="AS382">
        <v>6.633318433280377</v>
      </c>
      <c r="AT382">
        <v>1.7272727272727271</v>
      </c>
      <c r="AU382">
        <v>2.545454545454545</v>
      </c>
      <c r="AV382">
        <v>0.81818181818181823</v>
      </c>
      <c r="AW382">
        <v>0</v>
      </c>
      <c r="AX382">
        <v>0.3392857142857143</v>
      </c>
      <c r="AY382">
        <v>0.5</v>
      </c>
      <c r="AZ382">
        <v>0.1607142857142857</v>
      </c>
      <c r="BA382">
        <v>0</v>
      </c>
      <c r="BB382">
        <v>6.4269893564864544</v>
      </c>
      <c r="BC382">
        <v>14</v>
      </c>
      <c r="BD382">
        <v>165.66723991337099</v>
      </c>
      <c r="BE382">
        <v>1</v>
      </c>
      <c r="BF382">
        <v>8.4506749839743392E-2</v>
      </c>
      <c r="BG382">
        <v>3.9263319999999999</v>
      </c>
      <c r="BH382">
        <v>3.9263319999999999</v>
      </c>
      <c r="BI382">
        <v>10.74639</v>
      </c>
      <c r="BJ382">
        <v>0</v>
      </c>
      <c r="BK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S382">
        <v>0</v>
      </c>
      <c r="BT382">
        <v>0</v>
      </c>
      <c r="BU382">
        <v>0</v>
      </c>
      <c r="BV382">
        <v>1289.30702832</v>
      </c>
      <c r="BW382">
        <v>8.6868370015743157E-2</v>
      </c>
      <c r="BX382">
        <v>7</v>
      </c>
      <c r="BY382">
        <v>4.3434185007871579E-2</v>
      </c>
      <c r="BZ382">
        <v>4.2253374919871703E-2</v>
      </c>
      <c r="CC382">
        <v>0.41874907041247761</v>
      </c>
      <c r="CF382">
        <v>0.43045140490342221</v>
      </c>
    </row>
    <row r="383" spans="1:84" x14ac:dyDescent="0.3">
      <c r="A383" s="1">
        <v>20</v>
      </c>
      <c r="B383" t="s">
        <v>94</v>
      </c>
      <c r="C383" t="s">
        <v>138</v>
      </c>
      <c r="E383" t="s">
        <v>94</v>
      </c>
      <c r="F383">
        <v>3.35</v>
      </c>
      <c r="G383" t="s">
        <v>139</v>
      </c>
      <c r="H383">
        <v>-1</v>
      </c>
      <c r="I383">
        <v>-1</v>
      </c>
      <c r="J383">
        <v>1</v>
      </c>
      <c r="K383">
        <v>3.8849999999999998</v>
      </c>
      <c r="L383">
        <v>3.8849999999999998</v>
      </c>
      <c r="M383">
        <v>10.989000000000001</v>
      </c>
      <c r="N383" t="s">
        <v>101</v>
      </c>
      <c r="O383">
        <v>10.989000000000001</v>
      </c>
      <c r="P383">
        <v>2</v>
      </c>
      <c r="Q383" t="s">
        <v>87</v>
      </c>
      <c r="R383">
        <v>1473</v>
      </c>
      <c r="S383">
        <v>48</v>
      </c>
      <c r="T383" t="b">
        <v>0</v>
      </c>
      <c r="U383" t="s">
        <v>88</v>
      </c>
      <c r="V383" t="s">
        <v>89</v>
      </c>
      <c r="W383">
        <v>0</v>
      </c>
      <c r="Y383">
        <v>2.85</v>
      </c>
      <c r="Z383">
        <v>14.3</v>
      </c>
      <c r="AC383" t="s">
        <v>90</v>
      </c>
      <c r="AD383">
        <v>450</v>
      </c>
      <c r="AF383" t="s">
        <v>91</v>
      </c>
      <c r="AH383">
        <v>740</v>
      </c>
      <c r="AL383" t="b">
        <v>1</v>
      </c>
      <c r="AM383" t="b">
        <v>0</v>
      </c>
      <c r="AN383" t="b">
        <v>0</v>
      </c>
      <c r="AO383" t="b">
        <v>0</v>
      </c>
      <c r="AP383" t="s">
        <v>139</v>
      </c>
      <c r="AS383">
        <v>6.6066501861982152</v>
      </c>
      <c r="AT383">
        <v>1.7272727272727271</v>
      </c>
      <c r="AU383">
        <v>2.545454545454545</v>
      </c>
      <c r="AV383">
        <v>0.81818181818181823</v>
      </c>
      <c r="AW383">
        <v>0</v>
      </c>
      <c r="AX383">
        <v>0.3392857142857143</v>
      </c>
      <c r="AY383">
        <v>0.5</v>
      </c>
      <c r="AZ383">
        <v>0.1607142857142857</v>
      </c>
      <c r="BA383">
        <v>0</v>
      </c>
      <c r="BB383">
        <v>6.4269893564864544</v>
      </c>
      <c r="BC383">
        <v>14</v>
      </c>
      <c r="BD383">
        <v>165.66723991337099</v>
      </c>
      <c r="BE383">
        <v>1</v>
      </c>
      <c r="BF383">
        <v>8.4506749839743392E-2</v>
      </c>
      <c r="BG383">
        <v>3.9263319999999999</v>
      </c>
      <c r="BH383">
        <v>3.9263319999999999</v>
      </c>
      <c r="BI383">
        <v>10.74639</v>
      </c>
      <c r="BJ383">
        <v>0</v>
      </c>
      <c r="BK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S383">
        <v>0</v>
      </c>
      <c r="BT383">
        <v>0</v>
      </c>
      <c r="BU383">
        <v>0</v>
      </c>
      <c r="BV383">
        <v>165.859449525</v>
      </c>
      <c r="BW383">
        <v>8.4408817466199174E-2</v>
      </c>
      <c r="BX383">
        <v>7</v>
      </c>
      <c r="BY383">
        <v>4.2204408733099587E-2</v>
      </c>
      <c r="BZ383">
        <v>4.2253374919871703E-2</v>
      </c>
      <c r="CC383">
        <v>0.41874907041247761</v>
      </c>
      <c r="CF383">
        <v>0.41826379449708978</v>
      </c>
    </row>
    <row r="384" spans="1:84" x14ac:dyDescent="0.3">
      <c r="A384" s="1">
        <v>21</v>
      </c>
      <c r="B384" t="s">
        <v>94</v>
      </c>
      <c r="C384" t="s">
        <v>138</v>
      </c>
      <c r="E384" t="s">
        <v>94</v>
      </c>
      <c r="F384">
        <v>3.3</v>
      </c>
      <c r="G384" t="s">
        <v>139</v>
      </c>
      <c r="H384">
        <v>-1</v>
      </c>
      <c r="I384">
        <v>-1</v>
      </c>
      <c r="J384">
        <v>1</v>
      </c>
      <c r="K384">
        <v>3.9049999999999998</v>
      </c>
      <c r="L384">
        <v>3.9049999999999998</v>
      </c>
      <c r="M384">
        <v>11.185</v>
      </c>
      <c r="N384" t="s">
        <v>101</v>
      </c>
      <c r="O384">
        <v>11.185</v>
      </c>
      <c r="P384">
        <v>2</v>
      </c>
      <c r="Q384" t="s">
        <v>87</v>
      </c>
      <c r="R384">
        <v>1473</v>
      </c>
      <c r="S384">
        <v>48</v>
      </c>
      <c r="T384" t="b">
        <v>0</v>
      </c>
      <c r="U384" t="s">
        <v>88</v>
      </c>
      <c r="V384" t="s">
        <v>89</v>
      </c>
      <c r="W384">
        <v>0</v>
      </c>
      <c r="Y384">
        <v>2.85</v>
      </c>
      <c r="Z384">
        <v>14.3</v>
      </c>
      <c r="AC384" t="s">
        <v>90</v>
      </c>
      <c r="AD384">
        <v>450</v>
      </c>
      <c r="AF384" t="s">
        <v>91</v>
      </c>
      <c r="AH384">
        <v>300</v>
      </c>
      <c r="AL384" t="b">
        <v>1</v>
      </c>
      <c r="AM384" t="b">
        <v>0</v>
      </c>
      <c r="AN384" t="b">
        <v>0</v>
      </c>
      <c r="AO384" t="b">
        <v>0</v>
      </c>
      <c r="AP384" t="s">
        <v>139</v>
      </c>
      <c r="AS384">
        <v>5.7037824746562009</v>
      </c>
      <c r="AT384">
        <v>1.7272727272727271</v>
      </c>
      <c r="AU384">
        <v>2.545454545454545</v>
      </c>
      <c r="AV384">
        <v>0.81818181818181823</v>
      </c>
      <c r="AW384">
        <v>0</v>
      </c>
      <c r="AX384">
        <v>0.3392857142857143</v>
      </c>
      <c r="AY384">
        <v>0.5</v>
      </c>
      <c r="AZ384">
        <v>0.1607142857142857</v>
      </c>
      <c r="BA384">
        <v>0</v>
      </c>
      <c r="BB384">
        <v>6.4269893564864544</v>
      </c>
      <c r="BC384">
        <v>14</v>
      </c>
      <c r="BD384">
        <v>165.66723991337099</v>
      </c>
      <c r="BE384">
        <v>1</v>
      </c>
      <c r="BF384">
        <v>8.4506749839743392E-2</v>
      </c>
      <c r="BG384">
        <v>3.9263319999999999</v>
      </c>
      <c r="BH384">
        <v>3.9263319999999999</v>
      </c>
      <c r="BI384">
        <v>10.74639</v>
      </c>
      <c r="BJ384">
        <v>0</v>
      </c>
      <c r="BK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S384">
        <v>0</v>
      </c>
      <c r="BT384">
        <v>0</v>
      </c>
      <c r="BU384">
        <v>0</v>
      </c>
      <c r="BV384">
        <v>170.560344625</v>
      </c>
      <c r="BW384">
        <v>8.2082385743186062E-2</v>
      </c>
      <c r="BX384">
        <v>7</v>
      </c>
      <c r="BY384">
        <v>4.1041192871593031E-2</v>
      </c>
      <c r="BZ384">
        <v>4.2253374919871703E-2</v>
      </c>
      <c r="CC384">
        <v>0.41874907041247761</v>
      </c>
      <c r="CF384">
        <v>0.40673582633789218</v>
      </c>
    </row>
    <row r="385" spans="1:84" x14ac:dyDescent="0.3">
      <c r="A385" s="1">
        <v>22</v>
      </c>
      <c r="B385" t="s">
        <v>140</v>
      </c>
      <c r="C385" t="s">
        <v>141</v>
      </c>
      <c r="E385" t="s">
        <v>106</v>
      </c>
      <c r="F385">
        <v>3.35</v>
      </c>
      <c r="G385" t="s">
        <v>142</v>
      </c>
      <c r="H385">
        <v>1522043</v>
      </c>
      <c r="I385" t="s">
        <v>143</v>
      </c>
      <c r="K385">
        <v>7.7270000000000003</v>
      </c>
      <c r="L385">
        <v>7.7270000000000003</v>
      </c>
      <c r="M385">
        <v>29.466000000000001</v>
      </c>
      <c r="N385" t="s">
        <v>110</v>
      </c>
      <c r="O385">
        <v>14.733000000000001</v>
      </c>
      <c r="P385">
        <v>3</v>
      </c>
      <c r="Q385" t="s">
        <v>87</v>
      </c>
      <c r="R385">
        <v>1473</v>
      </c>
      <c r="S385">
        <v>48</v>
      </c>
      <c r="T385" t="b">
        <v>0</v>
      </c>
      <c r="U385" t="s">
        <v>88</v>
      </c>
      <c r="V385" t="s">
        <v>89</v>
      </c>
      <c r="W385">
        <v>0</v>
      </c>
      <c r="Y385">
        <v>2.85</v>
      </c>
      <c r="Z385">
        <v>14.3</v>
      </c>
      <c r="AC385" t="s">
        <v>90</v>
      </c>
      <c r="AD385">
        <v>450</v>
      </c>
      <c r="AF385" t="s">
        <v>91</v>
      </c>
      <c r="AH385">
        <v>5900</v>
      </c>
      <c r="AI385" t="s">
        <v>144</v>
      </c>
      <c r="AJ385" t="s">
        <v>144</v>
      </c>
      <c r="AL385" t="b">
        <v>1</v>
      </c>
      <c r="AM385" t="b">
        <v>1</v>
      </c>
      <c r="AN385" t="b">
        <v>0</v>
      </c>
      <c r="AO385" t="b">
        <v>0</v>
      </c>
      <c r="AP385" t="s">
        <v>145</v>
      </c>
      <c r="AQ385" t="s">
        <v>146</v>
      </c>
      <c r="AR385" t="s">
        <v>143</v>
      </c>
      <c r="AS385">
        <v>8.6827076298938106</v>
      </c>
      <c r="AT385">
        <v>1.75</v>
      </c>
      <c r="AU385">
        <v>2.5</v>
      </c>
      <c r="AV385">
        <v>0.75</v>
      </c>
      <c r="AW385">
        <v>0</v>
      </c>
      <c r="AX385">
        <v>0.35</v>
      </c>
      <c r="AY385">
        <v>0.5</v>
      </c>
      <c r="AZ385">
        <v>0.15</v>
      </c>
      <c r="BA385">
        <v>0</v>
      </c>
      <c r="BB385">
        <v>6.2640154224906874</v>
      </c>
      <c r="BC385">
        <v>20</v>
      </c>
      <c r="BD385">
        <v>242.1279024923125</v>
      </c>
      <c r="BE385">
        <v>1</v>
      </c>
      <c r="BF385">
        <v>8.2600971611006269E-2</v>
      </c>
      <c r="BG385">
        <v>3.950634</v>
      </c>
      <c r="BH385">
        <v>3.950634</v>
      </c>
      <c r="BI385">
        <v>15.513552000000001</v>
      </c>
      <c r="BJ385">
        <v>227.970829547178</v>
      </c>
      <c r="BK385">
        <v>1</v>
      </c>
      <c r="BL385">
        <v>8.7730522539775438E-2</v>
      </c>
      <c r="BM385">
        <v>3.8658999999999999</v>
      </c>
      <c r="BN385">
        <v>3.8658999999999999</v>
      </c>
      <c r="BO385">
        <v>15.2538</v>
      </c>
      <c r="BP385">
        <v>0</v>
      </c>
      <c r="BQ385">
        <v>0</v>
      </c>
      <c r="BS385">
        <v>0</v>
      </c>
      <c r="BT385">
        <v>0</v>
      </c>
      <c r="BU385">
        <v>0</v>
      </c>
      <c r="BV385">
        <v>1759.3125835139999</v>
      </c>
      <c r="BX385">
        <v>10</v>
      </c>
      <c r="BZ385">
        <v>4.1300485805503127E-2</v>
      </c>
      <c r="CA385">
        <v>4.3865261269887719E-2</v>
      </c>
      <c r="CC385">
        <v>0.42195359024583579</v>
      </c>
      <c r="CD385">
        <v>0.44815706447294301</v>
      </c>
    </row>
    <row r="386" spans="1:84" x14ac:dyDescent="0.3">
      <c r="A386" s="1">
        <v>23</v>
      </c>
      <c r="B386" t="s">
        <v>140</v>
      </c>
      <c r="C386" t="s">
        <v>141</v>
      </c>
      <c r="E386" t="s">
        <v>106</v>
      </c>
      <c r="F386">
        <v>3.5</v>
      </c>
      <c r="G386" t="s">
        <v>142</v>
      </c>
      <c r="H386">
        <v>1522043</v>
      </c>
      <c r="I386" t="s">
        <v>143</v>
      </c>
      <c r="K386">
        <v>7.7249999999999996</v>
      </c>
      <c r="L386">
        <v>7.7249999999999996</v>
      </c>
      <c r="M386">
        <v>14.909000000000001</v>
      </c>
      <c r="N386" t="s">
        <v>115</v>
      </c>
      <c r="O386">
        <v>14.909000000000001</v>
      </c>
      <c r="P386">
        <v>3</v>
      </c>
      <c r="Q386" t="s">
        <v>87</v>
      </c>
      <c r="R386">
        <v>1473</v>
      </c>
      <c r="S386">
        <v>48</v>
      </c>
      <c r="T386" t="b">
        <v>0</v>
      </c>
      <c r="U386" t="s">
        <v>88</v>
      </c>
      <c r="V386" t="s">
        <v>89</v>
      </c>
      <c r="W386">
        <v>0</v>
      </c>
      <c r="Y386">
        <v>2.85</v>
      </c>
      <c r="Z386">
        <v>14.3</v>
      </c>
      <c r="AC386" t="s">
        <v>90</v>
      </c>
      <c r="AD386">
        <v>450</v>
      </c>
      <c r="AF386" t="s">
        <v>91</v>
      </c>
      <c r="AH386">
        <v>3100</v>
      </c>
      <c r="AI386" t="s">
        <v>144</v>
      </c>
      <c r="AJ386" t="s">
        <v>144</v>
      </c>
      <c r="AL386" t="b">
        <v>1</v>
      </c>
      <c r="AM386" t="b">
        <v>1</v>
      </c>
      <c r="AN386" t="b">
        <v>0</v>
      </c>
      <c r="AO386" t="b">
        <v>0</v>
      </c>
      <c r="AP386" t="s">
        <v>147</v>
      </c>
      <c r="AQ386" t="s">
        <v>148</v>
      </c>
      <c r="AR386" t="s">
        <v>143</v>
      </c>
      <c r="AS386">
        <v>8.0391573904732372</v>
      </c>
      <c r="AT386">
        <v>1.75</v>
      </c>
      <c r="AU386">
        <v>2.5</v>
      </c>
      <c r="AV386">
        <v>0.75</v>
      </c>
      <c r="AW386">
        <v>0</v>
      </c>
      <c r="AX386">
        <v>0.35</v>
      </c>
      <c r="AY386">
        <v>0.5</v>
      </c>
      <c r="AZ386">
        <v>0.15</v>
      </c>
      <c r="BA386">
        <v>0</v>
      </c>
      <c r="BB386">
        <v>6.2640154224906874</v>
      </c>
      <c r="BC386">
        <v>20</v>
      </c>
      <c r="BD386">
        <v>242.1279024923125</v>
      </c>
      <c r="BE386">
        <v>1</v>
      </c>
      <c r="BF386">
        <v>8.2600971611006269E-2</v>
      </c>
      <c r="BG386">
        <v>3.950634</v>
      </c>
      <c r="BH386">
        <v>3.950634</v>
      </c>
      <c r="BI386">
        <v>15.513552000000001</v>
      </c>
      <c r="BJ386">
        <v>227.970829547178</v>
      </c>
      <c r="BK386">
        <v>1</v>
      </c>
      <c r="BL386">
        <v>8.7730522539775438E-2</v>
      </c>
      <c r="BM386">
        <v>3.8658999999999999</v>
      </c>
      <c r="BN386">
        <v>3.8658999999999999</v>
      </c>
      <c r="BO386">
        <v>15.2538</v>
      </c>
      <c r="BP386">
        <v>0</v>
      </c>
      <c r="BQ386">
        <v>0</v>
      </c>
      <c r="BS386">
        <v>0</v>
      </c>
      <c r="BT386">
        <v>0</v>
      </c>
      <c r="BU386">
        <v>0</v>
      </c>
      <c r="BV386">
        <v>889.70389312500004</v>
      </c>
      <c r="BX386">
        <v>10</v>
      </c>
      <c r="BZ386">
        <v>4.1300485805503127E-2</v>
      </c>
      <c r="CA386">
        <v>4.3865261269887719E-2</v>
      </c>
      <c r="CC386">
        <v>0.42195359024583579</v>
      </c>
      <c r="CD386">
        <v>0.44815706447294301</v>
      </c>
    </row>
    <row r="387" spans="1:84" x14ac:dyDescent="0.3">
      <c r="A387" s="1">
        <v>24</v>
      </c>
      <c r="B387" t="s">
        <v>140</v>
      </c>
      <c r="C387" t="s">
        <v>141</v>
      </c>
      <c r="E387" t="s">
        <v>106</v>
      </c>
      <c r="F387">
        <v>3.5</v>
      </c>
      <c r="G387" t="s">
        <v>142</v>
      </c>
      <c r="H387">
        <v>1522043</v>
      </c>
      <c r="I387" t="s">
        <v>143</v>
      </c>
      <c r="K387">
        <v>7.7270000000000003</v>
      </c>
      <c r="L387">
        <v>7.7270000000000003</v>
      </c>
      <c r="M387">
        <v>30.175999999999998</v>
      </c>
      <c r="N387" t="s">
        <v>110</v>
      </c>
      <c r="O387">
        <v>15.087999999999999</v>
      </c>
      <c r="P387">
        <v>3</v>
      </c>
      <c r="Q387" t="s">
        <v>87</v>
      </c>
      <c r="R387">
        <v>1473</v>
      </c>
      <c r="S387">
        <v>48</v>
      </c>
      <c r="T387" t="b">
        <v>0</v>
      </c>
      <c r="U387" t="s">
        <v>88</v>
      </c>
      <c r="V387" t="s">
        <v>89</v>
      </c>
      <c r="W387">
        <v>0</v>
      </c>
      <c r="Y387">
        <v>2.85</v>
      </c>
      <c r="Z387">
        <v>14.3</v>
      </c>
      <c r="AC387" t="s">
        <v>90</v>
      </c>
      <c r="AD387">
        <v>450</v>
      </c>
      <c r="AF387" t="s">
        <v>91</v>
      </c>
      <c r="AH387">
        <v>970</v>
      </c>
      <c r="AI387" t="s">
        <v>144</v>
      </c>
      <c r="AJ387" t="s">
        <v>144</v>
      </c>
      <c r="AL387" t="b">
        <v>1</v>
      </c>
      <c r="AM387" t="b">
        <v>1</v>
      </c>
      <c r="AN387" t="b">
        <v>0</v>
      </c>
      <c r="AO387" t="b">
        <v>0</v>
      </c>
      <c r="AP387" t="s">
        <v>149</v>
      </c>
      <c r="AQ387" t="s">
        <v>150</v>
      </c>
      <c r="AR387" t="s">
        <v>143</v>
      </c>
      <c r="AS387">
        <v>6.8772960714974287</v>
      </c>
      <c r="AT387">
        <v>1.75</v>
      </c>
      <c r="AU387">
        <v>2.5</v>
      </c>
      <c r="AV387">
        <v>0.75</v>
      </c>
      <c r="AW387">
        <v>0</v>
      </c>
      <c r="AX387">
        <v>0.35</v>
      </c>
      <c r="AY387">
        <v>0.5</v>
      </c>
      <c r="AZ387">
        <v>0.15</v>
      </c>
      <c r="BA387">
        <v>0</v>
      </c>
      <c r="BB387">
        <v>6.2640154224906874</v>
      </c>
      <c r="BC387">
        <v>20</v>
      </c>
      <c r="BD387">
        <v>242.1279024923125</v>
      </c>
      <c r="BE387">
        <v>1</v>
      </c>
      <c r="BF387">
        <v>8.2600971611006269E-2</v>
      </c>
      <c r="BG387">
        <v>3.950634</v>
      </c>
      <c r="BH387">
        <v>3.950634</v>
      </c>
      <c r="BI387">
        <v>15.513552000000001</v>
      </c>
      <c r="BJ387">
        <v>227.970829547178</v>
      </c>
      <c r="BK387">
        <v>1</v>
      </c>
      <c r="BL387">
        <v>8.7730522539775438E-2</v>
      </c>
      <c r="BM387">
        <v>3.8658999999999999</v>
      </c>
      <c r="BN387">
        <v>3.8658999999999999</v>
      </c>
      <c r="BO387">
        <v>15.2538</v>
      </c>
      <c r="BP387">
        <v>0</v>
      </c>
      <c r="BQ387">
        <v>0</v>
      </c>
      <c r="BS387">
        <v>0</v>
      </c>
      <c r="BT387">
        <v>0</v>
      </c>
      <c r="BU387">
        <v>0</v>
      </c>
      <c r="BV387">
        <v>1801.704219104</v>
      </c>
      <c r="BX387">
        <v>10</v>
      </c>
      <c r="BZ387">
        <v>4.1300485805503127E-2</v>
      </c>
      <c r="CA387">
        <v>4.3865261269887719E-2</v>
      </c>
      <c r="CC387">
        <v>0.42195359024583579</v>
      </c>
      <c r="CD387">
        <v>0.44815706447294301</v>
      </c>
    </row>
    <row r="388" spans="1:84" x14ac:dyDescent="0.3">
      <c r="A388" s="1">
        <v>25</v>
      </c>
      <c r="B388" t="s">
        <v>151</v>
      </c>
      <c r="C388" t="s">
        <v>152</v>
      </c>
      <c r="E388" t="s">
        <v>106</v>
      </c>
      <c r="F388">
        <v>3.16</v>
      </c>
      <c r="G388" t="s">
        <v>142</v>
      </c>
      <c r="H388">
        <v>1522043</v>
      </c>
      <c r="I388">
        <v>-1</v>
      </c>
      <c r="J388">
        <v>4</v>
      </c>
      <c r="K388">
        <v>7.8310000000000004</v>
      </c>
      <c r="L388">
        <v>7.8010000000000002</v>
      </c>
      <c r="M388">
        <v>15.05</v>
      </c>
      <c r="N388" t="s">
        <v>122</v>
      </c>
      <c r="O388">
        <v>15.05</v>
      </c>
      <c r="P388">
        <v>3</v>
      </c>
      <c r="Q388" t="s">
        <v>87</v>
      </c>
      <c r="R388">
        <v>1473</v>
      </c>
      <c r="S388">
        <v>48</v>
      </c>
      <c r="T388" t="b">
        <v>0</v>
      </c>
      <c r="U388" t="s">
        <v>88</v>
      </c>
      <c r="V388" t="s">
        <v>89</v>
      </c>
      <c r="W388">
        <v>0</v>
      </c>
      <c r="Y388">
        <v>2.85</v>
      </c>
      <c r="Z388">
        <v>14.3</v>
      </c>
      <c r="AC388" t="s">
        <v>90</v>
      </c>
      <c r="AD388">
        <v>450</v>
      </c>
      <c r="AF388" t="s">
        <v>91</v>
      </c>
      <c r="AH388">
        <v>8900</v>
      </c>
      <c r="AI388" t="s">
        <v>153</v>
      </c>
      <c r="AJ388" t="s">
        <v>153</v>
      </c>
      <c r="AL388" t="b">
        <v>1</v>
      </c>
      <c r="AM388" t="b">
        <v>1</v>
      </c>
      <c r="AN388" t="b">
        <v>0</v>
      </c>
      <c r="AO388" t="b">
        <v>0</v>
      </c>
      <c r="AP388" t="s">
        <v>154</v>
      </c>
      <c r="AQ388" t="s">
        <v>155</v>
      </c>
      <c r="AS388">
        <v>9.0938065557202314</v>
      </c>
      <c r="AT388">
        <v>1.75</v>
      </c>
      <c r="AU388">
        <v>2.5</v>
      </c>
      <c r="AV388">
        <v>0.75</v>
      </c>
      <c r="AW388">
        <v>0</v>
      </c>
      <c r="AX388">
        <v>0.35</v>
      </c>
      <c r="AY388">
        <v>0.5</v>
      </c>
      <c r="AZ388">
        <v>0.15</v>
      </c>
      <c r="BA388">
        <v>0</v>
      </c>
      <c r="BB388">
        <v>6.2395921087406876</v>
      </c>
      <c r="BC388">
        <v>20</v>
      </c>
      <c r="BD388">
        <v>242.1279024923125</v>
      </c>
      <c r="BE388">
        <v>1</v>
      </c>
      <c r="BF388">
        <v>8.2600971611006269E-2</v>
      </c>
      <c r="BG388">
        <v>3.950634</v>
      </c>
      <c r="BH388">
        <v>3.950634</v>
      </c>
      <c r="BI388">
        <v>15.513552000000001</v>
      </c>
      <c r="BJ388">
        <v>227.970829547178</v>
      </c>
      <c r="BK388">
        <v>1</v>
      </c>
      <c r="BL388">
        <v>8.7730522539775438E-2</v>
      </c>
      <c r="BM388">
        <v>3.8658999999999999</v>
      </c>
      <c r="BN388">
        <v>3.8658999999999999</v>
      </c>
      <c r="BO388">
        <v>15.2538</v>
      </c>
      <c r="BP388">
        <v>0</v>
      </c>
      <c r="BQ388">
        <v>0</v>
      </c>
      <c r="BS388">
        <v>0</v>
      </c>
      <c r="BT388">
        <v>0</v>
      </c>
      <c r="BU388">
        <v>0</v>
      </c>
      <c r="BV388">
        <v>919.39894655000012</v>
      </c>
      <c r="BW388">
        <v>8.7013369223660861E-2</v>
      </c>
      <c r="BX388">
        <v>10</v>
      </c>
      <c r="BY388">
        <v>4.350668461183043E-2</v>
      </c>
      <c r="BZ388">
        <v>4.1300485805503127E-2</v>
      </c>
      <c r="CA388">
        <v>4.3865261269887719E-2</v>
      </c>
      <c r="CC388">
        <v>0.45027090848362911</v>
      </c>
      <c r="CD388">
        <v>0.47823289866077828</v>
      </c>
      <c r="CF388">
        <v>0.47432358296059918</v>
      </c>
    </row>
    <row r="389" spans="1:84" x14ac:dyDescent="0.3">
      <c r="A389" s="1">
        <v>34</v>
      </c>
      <c r="B389" t="s">
        <v>83</v>
      </c>
      <c r="C389" t="s">
        <v>84</v>
      </c>
      <c r="E389" t="s">
        <v>83</v>
      </c>
      <c r="F389">
        <v>3.3</v>
      </c>
      <c r="G389" t="s">
        <v>85</v>
      </c>
      <c r="H389" t="s">
        <v>86</v>
      </c>
      <c r="I389">
        <v>-1</v>
      </c>
      <c r="J389">
        <v>4</v>
      </c>
      <c r="K389">
        <v>6.6</v>
      </c>
      <c r="L389">
        <v>7.94</v>
      </c>
      <c r="M389">
        <v>33.700000000000003</v>
      </c>
      <c r="O389">
        <v>16.850000000000001</v>
      </c>
      <c r="Q389" t="s">
        <v>87</v>
      </c>
      <c r="R389">
        <v>1473</v>
      </c>
      <c r="S389">
        <v>48</v>
      </c>
      <c r="T389" t="b">
        <v>0</v>
      </c>
      <c r="U389" t="s">
        <v>88</v>
      </c>
      <c r="V389" t="s">
        <v>89</v>
      </c>
      <c r="W389">
        <v>0</v>
      </c>
      <c r="X389">
        <v>1</v>
      </c>
      <c r="Y389">
        <v>0.8</v>
      </c>
      <c r="Z389">
        <v>20</v>
      </c>
      <c r="AC389" t="s">
        <v>165</v>
      </c>
      <c r="AD389">
        <v>500</v>
      </c>
      <c r="AF389" t="s">
        <v>91</v>
      </c>
      <c r="AH389">
        <v>66</v>
      </c>
      <c r="AL389" t="b">
        <v>1</v>
      </c>
      <c r="AM389" t="b">
        <v>0</v>
      </c>
      <c r="AN389" t="b">
        <v>0</v>
      </c>
      <c r="AO389" t="b">
        <v>0</v>
      </c>
      <c r="AP389" t="s">
        <v>85</v>
      </c>
      <c r="AQ389" t="s">
        <v>86</v>
      </c>
      <c r="AS389">
        <v>4.1896547420264252</v>
      </c>
      <c r="AT389">
        <v>1.62962962962963</v>
      </c>
      <c r="AU389">
        <v>2.518518518518519</v>
      </c>
      <c r="AV389">
        <v>0.88888888888888884</v>
      </c>
      <c r="AW389">
        <v>0</v>
      </c>
      <c r="AX389">
        <v>0.32352941176470579</v>
      </c>
      <c r="AY389">
        <v>0.5</v>
      </c>
      <c r="AZ389">
        <v>0.1764705882352941</v>
      </c>
      <c r="BA389">
        <v>0</v>
      </c>
      <c r="BB389">
        <v>5.9587386867222234</v>
      </c>
      <c r="BC389">
        <v>34</v>
      </c>
      <c r="BD389">
        <v>1767.0449718798691</v>
      </c>
      <c r="BE389">
        <v>4</v>
      </c>
      <c r="BF389">
        <v>7.6964651247849417E-2</v>
      </c>
      <c r="BG389">
        <v>6.6040679999999998</v>
      </c>
      <c r="BH389">
        <v>7.9389519999999996</v>
      </c>
      <c r="BI389">
        <v>33.703336</v>
      </c>
      <c r="BJ389">
        <v>1679.8210721820001</v>
      </c>
      <c r="BK389">
        <v>4</v>
      </c>
      <c r="BL389">
        <v>8.0961003676030277E-2</v>
      </c>
      <c r="BM389">
        <v>7.83</v>
      </c>
      <c r="BN389">
        <v>33.209989999999998</v>
      </c>
      <c r="BO389">
        <v>6.46</v>
      </c>
      <c r="BP389">
        <v>0</v>
      </c>
      <c r="BQ389">
        <v>0</v>
      </c>
      <c r="BS389">
        <v>0</v>
      </c>
      <c r="BT389">
        <v>0</v>
      </c>
      <c r="BU389">
        <v>0</v>
      </c>
      <c r="BV389">
        <v>1766.0147999999999</v>
      </c>
      <c r="BW389">
        <v>7.7009547145358015E-2</v>
      </c>
      <c r="BX389">
        <v>17</v>
      </c>
      <c r="BY389">
        <v>3.8504773572679007E-2</v>
      </c>
      <c r="BZ389">
        <v>3.8482325623924708E-2</v>
      </c>
      <c r="CA389">
        <v>4.0480501838015139E-2</v>
      </c>
      <c r="CC389">
        <v>0.48264383878002193</v>
      </c>
      <c r="CD389">
        <v>0.50770488753139875</v>
      </c>
      <c r="CF389">
        <v>0.48292538008460401</v>
      </c>
    </row>
    <row r="390" spans="1:84" x14ac:dyDescent="0.3">
      <c r="A390" s="1">
        <v>35</v>
      </c>
      <c r="B390" t="s">
        <v>166</v>
      </c>
      <c r="C390" t="s">
        <v>167</v>
      </c>
      <c r="G390" t="s">
        <v>168</v>
      </c>
      <c r="H390">
        <v>-1</v>
      </c>
      <c r="I390">
        <v>-1</v>
      </c>
      <c r="Q390" t="s">
        <v>87</v>
      </c>
      <c r="R390">
        <v>1473</v>
      </c>
      <c r="S390">
        <v>48</v>
      </c>
      <c r="T390" t="b">
        <v>0</v>
      </c>
      <c r="U390" t="s">
        <v>88</v>
      </c>
      <c r="V390" t="s">
        <v>89</v>
      </c>
      <c r="W390">
        <v>0</v>
      </c>
      <c r="X390">
        <v>1</v>
      </c>
      <c r="Y390">
        <v>0.8</v>
      </c>
      <c r="Z390">
        <v>20</v>
      </c>
      <c r="AC390" t="s">
        <v>165</v>
      </c>
      <c r="AD390">
        <v>500</v>
      </c>
      <c r="AF390" t="s">
        <v>91</v>
      </c>
      <c r="AH390">
        <v>35</v>
      </c>
      <c r="AL390" t="b">
        <v>1</v>
      </c>
      <c r="AM390" t="b">
        <v>0</v>
      </c>
      <c r="AN390" t="b">
        <v>0</v>
      </c>
      <c r="AO390" t="b">
        <v>0</v>
      </c>
      <c r="AP390" t="s">
        <v>168</v>
      </c>
      <c r="AS390">
        <v>3.555348061489414</v>
      </c>
      <c r="AT390">
        <v>1.666666666666667</v>
      </c>
      <c r="AU390">
        <v>2.666666666666667</v>
      </c>
      <c r="AV390">
        <v>1</v>
      </c>
      <c r="AW390">
        <v>0</v>
      </c>
      <c r="AX390">
        <v>0.31250000000000011</v>
      </c>
      <c r="AY390">
        <v>0.5</v>
      </c>
      <c r="AZ390">
        <v>0.1875</v>
      </c>
      <c r="BA390">
        <v>0</v>
      </c>
      <c r="BB390">
        <v>6.187676570499999</v>
      </c>
      <c r="BC390">
        <v>16</v>
      </c>
      <c r="BD390">
        <v>369.68468370682427</v>
      </c>
      <c r="BE390">
        <v>2</v>
      </c>
      <c r="BF390">
        <v>8.6560253671145768E-2</v>
      </c>
      <c r="BG390">
        <v>10.89336724</v>
      </c>
      <c r="BH390">
        <v>10.893364999999999</v>
      </c>
      <c r="BI390">
        <v>9.0021730899999994</v>
      </c>
      <c r="BJ390">
        <v>0</v>
      </c>
      <c r="BK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S390">
        <v>0</v>
      </c>
      <c r="BT390">
        <v>0</v>
      </c>
      <c r="BU390">
        <v>0</v>
      </c>
      <c r="BX390">
        <v>8</v>
      </c>
      <c r="BZ390">
        <v>4.3280126835572877E-2</v>
      </c>
      <c r="CC390">
        <v>0.47449553785868709</v>
      </c>
    </row>
    <row r="391" spans="1:84" x14ac:dyDescent="0.3">
      <c r="A391" s="1">
        <v>36</v>
      </c>
      <c r="B391" t="s">
        <v>169</v>
      </c>
      <c r="C391" t="s">
        <v>170</v>
      </c>
      <c r="G391">
        <v>-1</v>
      </c>
      <c r="H391">
        <v>-1</v>
      </c>
      <c r="I391" t="s">
        <v>171</v>
      </c>
      <c r="Q391" t="s">
        <v>87</v>
      </c>
      <c r="R391">
        <v>1473</v>
      </c>
      <c r="S391">
        <v>48</v>
      </c>
      <c r="T391" t="b">
        <v>0</v>
      </c>
      <c r="U391" t="s">
        <v>88</v>
      </c>
      <c r="V391" t="s">
        <v>89</v>
      </c>
      <c r="W391">
        <v>0</v>
      </c>
      <c r="X391">
        <v>1</v>
      </c>
      <c r="Y391">
        <v>0.8</v>
      </c>
      <c r="Z391">
        <v>20</v>
      </c>
      <c r="AC391" t="s">
        <v>165</v>
      </c>
      <c r="AD391">
        <v>500</v>
      </c>
      <c r="AF391" t="s">
        <v>91</v>
      </c>
      <c r="AH391">
        <v>3.3</v>
      </c>
      <c r="AL391" t="b">
        <v>0</v>
      </c>
      <c r="AM391" t="b">
        <v>0</v>
      </c>
      <c r="AN391" t="b">
        <v>1</v>
      </c>
      <c r="AO391" t="b">
        <v>0</v>
      </c>
      <c r="AR391" t="s">
        <v>171</v>
      </c>
      <c r="AS391">
        <v>1.193922468472435</v>
      </c>
      <c r="AT391">
        <v>1.6</v>
      </c>
      <c r="AU391">
        <v>2.4</v>
      </c>
      <c r="AV391">
        <v>0.8</v>
      </c>
      <c r="AW391">
        <v>0</v>
      </c>
      <c r="AX391">
        <v>0.33333333333333343</v>
      </c>
      <c r="AY391">
        <v>0.5</v>
      </c>
      <c r="AZ391">
        <v>0.16666666666666671</v>
      </c>
      <c r="BA391">
        <v>0</v>
      </c>
      <c r="BB391">
        <v>5.7755883796999994</v>
      </c>
      <c r="BC391">
        <v>6</v>
      </c>
      <c r="BD391">
        <v>0</v>
      </c>
      <c r="BE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M391">
        <v>0</v>
      </c>
      <c r="BN391">
        <v>0</v>
      </c>
      <c r="BO391">
        <v>0</v>
      </c>
      <c r="BP391">
        <v>65.158925823999994</v>
      </c>
      <c r="BQ391">
        <v>1</v>
      </c>
      <c r="BR391">
        <v>9.208254930731255E-2</v>
      </c>
      <c r="BS391">
        <v>4.024</v>
      </c>
      <c r="BT391">
        <v>4.024</v>
      </c>
      <c r="BU391">
        <v>4.024</v>
      </c>
      <c r="BX391">
        <v>3</v>
      </c>
      <c r="CB391">
        <v>4.6041274653656282E-2</v>
      </c>
      <c r="CE391">
        <v>0.64205312435356865</v>
      </c>
    </row>
    <row r="392" spans="1:84" x14ac:dyDescent="0.3">
      <c r="A392" s="1">
        <v>37</v>
      </c>
      <c r="B392" t="s">
        <v>83</v>
      </c>
      <c r="C392" t="s">
        <v>84</v>
      </c>
      <c r="E392" t="s">
        <v>83</v>
      </c>
      <c r="F392">
        <v>3.3</v>
      </c>
      <c r="G392" t="s">
        <v>85</v>
      </c>
      <c r="H392" t="s">
        <v>86</v>
      </c>
      <c r="I392">
        <v>-1</v>
      </c>
      <c r="J392">
        <v>4</v>
      </c>
      <c r="K392">
        <v>6.6</v>
      </c>
      <c r="L392">
        <v>7.94</v>
      </c>
      <c r="M392">
        <v>33.700000000000003</v>
      </c>
      <c r="O392">
        <v>16.850000000000001</v>
      </c>
      <c r="Q392" t="s">
        <v>87</v>
      </c>
      <c r="R392">
        <v>1473</v>
      </c>
      <c r="S392">
        <v>48</v>
      </c>
      <c r="T392" t="b">
        <v>0</v>
      </c>
      <c r="U392" t="s">
        <v>88</v>
      </c>
      <c r="V392" t="s">
        <v>89</v>
      </c>
      <c r="W392">
        <v>0</v>
      </c>
      <c r="X392">
        <v>1</v>
      </c>
      <c r="Y392">
        <v>3.33</v>
      </c>
      <c r="Z392">
        <v>0</v>
      </c>
      <c r="AC392" t="s">
        <v>90</v>
      </c>
      <c r="AD392">
        <v>450</v>
      </c>
      <c r="AF392" t="s">
        <v>91</v>
      </c>
      <c r="AH392">
        <v>5</v>
      </c>
      <c r="AL392" t="b">
        <v>1</v>
      </c>
      <c r="AM392" t="b">
        <v>0</v>
      </c>
      <c r="AN392" t="b">
        <v>0</v>
      </c>
      <c r="AO392" t="b">
        <v>0</v>
      </c>
      <c r="AP392" t="s">
        <v>85</v>
      </c>
      <c r="AQ392" t="s">
        <v>86</v>
      </c>
      <c r="AS392">
        <v>1.6094379124341001</v>
      </c>
      <c r="AT392">
        <v>1.62962962962963</v>
      </c>
      <c r="AU392">
        <v>2.518518518518519</v>
      </c>
      <c r="AV392">
        <v>0.88888888888888884</v>
      </c>
      <c r="AW392">
        <v>0</v>
      </c>
      <c r="AX392">
        <v>0.32352941176470579</v>
      </c>
      <c r="AY392">
        <v>0.5</v>
      </c>
      <c r="AZ392">
        <v>0.1764705882352941</v>
      </c>
      <c r="BA392">
        <v>0</v>
      </c>
      <c r="BB392">
        <v>5.9587386867222234</v>
      </c>
      <c r="BC392">
        <v>34</v>
      </c>
      <c r="BD392">
        <v>1767.0449718798691</v>
      </c>
      <c r="BE392">
        <v>4</v>
      </c>
      <c r="BF392">
        <v>7.6964651247849417E-2</v>
      </c>
      <c r="BG392">
        <v>6.6040679999999998</v>
      </c>
      <c r="BH392">
        <v>7.9389519999999996</v>
      </c>
      <c r="BI392">
        <v>33.703336</v>
      </c>
      <c r="BJ392">
        <v>1679.8210721820001</v>
      </c>
      <c r="BK392">
        <v>4</v>
      </c>
      <c r="BL392">
        <v>8.0961003676030277E-2</v>
      </c>
      <c r="BM392">
        <v>7.83</v>
      </c>
      <c r="BN392">
        <v>33.209989999999998</v>
      </c>
      <c r="BO392">
        <v>6.46</v>
      </c>
      <c r="BP392">
        <v>0</v>
      </c>
      <c r="BQ392">
        <v>0</v>
      </c>
      <c r="BS392">
        <v>0</v>
      </c>
      <c r="BT392">
        <v>0</v>
      </c>
      <c r="BU392">
        <v>0</v>
      </c>
      <c r="BV392">
        <v>1766.0147999999999</v>
      </c>
      <c r="BW392">
        <v>7.7009547145358015E-2</v>
      </c>
      <c r="BX392">
        <v>17</v>
      </c>
      <c r="BY392">
        <v>3.8504773572679007E-2</v>
      </c>
      <c r="BZ392">
        <v>3.8482325623924708E-2</v>
      </c>
      <c r="CA392">
        <v>4.0480501838015139E-2</v>
      </c>
      <c r="CC392">
        <v>0.48264383878002193</v>
      </c>
      <c r="CD392">
        <v>0.50770488753139875</v>
      </c>
      <c r="CF392">
        <v>0.48292538008460401</v>
      </c>
    </row>
    <row r="393" spans="1:84" x14ac:dyDescent="0.3">
      <c r="A393" s="1">
        <v>38</v>
      </c>
      <c r="B393" t="s">
        <v>83</v>
      </c>
      <c r="C393" t="s">
        <v>84</v>
      </c>
      <c r="E393" t="s">
        <v>83</v>
      </c>
      <c r="F393">
        <v>3.3</v>
      </c>
      <c r="G393" t="s">
        <v>85</v>
      </c>
      <c r="H393" t="s">
        <v>86</v>
      </c>
      <c r="I393">
        <v>-1</v>
      </c>
      <c r="J393">
        <v>4</v>
      </c>
      <c r="K393">
        <v>6.6</v>
      </c>
      <c r="L393">
        <v>7.94</v>
      </c>
      <c r="M393">
        <v>33.700000000000003</v>
      </c>
      <c r="O393">
        <v>16.850000000000001</v>
      </c>
      <c r="Q393" t="s">
        <v>87</v>
      </c>
      <c r="R393">
        <v>1473</v>
      </c>
      <c r="S393">
        <v>48</v>
      </c>
      <c r="T393" t="b">
        <v>0</v>
      </c>
      <c r="U393" t="s">
        <v>88</v>
      </c>
      <c r="V393" t="s">
        <v>89</v>
      </c>
      <c r="W393">
        <v>0</v>
      </c>
      <c r="X393">
        <v>1</v>
      </c>
      <c r="Y393">
        <v>3.33</v>
      </c>
      <c r="Z393">
        <v>3</v>
      </c>
      <c r="AC393" t="s">
        <v>90</v>
      </c>
      <c r="AD393">
        <v>450</v>
      </c>
      <c r="AF393" t="s">
        <v>91</v>
      </c>
      <c r="AH393">
        <v>177</v>
      </c>
      <c r="AL393" t="b">
        <v>1</v>
      </c>
      <c r="AM393" t="b">
        <v>0</v>
      </c>
      <c r="AN393" t="b">
        <v>0</v>
      </c>
      <c r="AO393" t="b">
        <v>0</v>
      </c>
      <c r="AP393" t="s">
        <v>85</v>
      </c>
      <c r="AQ393" t="s">
        <v>86</v>
      </c>
      <c r="AS393">
        <v>5.1761497325738288</v>
      </c>
      <c r="AT393">
        <v>1.62962962962963</v>
      </c>
      <c r="AU393">
        <v>2.518518518518519</v>
      </c>
      <c r="AV393">
        <v>0.88888888888888884</v>
      </c>
      <c r="AW393">
        <v>0</v>
      </c>
      <c r="AX393">
        <v>0.32352941176470579</v>
      </c>
      <c r="AY393">
        <v>0.5</v>
      </c>
      <c r="AZ393">
        <v>0.1764705882352941</v>
      </c>
      <c r="BA393">
        <v>0</v>
      </c>
      <c r="BB393">
        <v>5.9587386867222234</v>
      </c>
      <c r="BC393">
        <v>34</v>
      </c>
      <c r="BD393">
        <v>1767.0449718798691</v>
      </c>
      <c r="BE393">
        <v>4</v>
      </c>
      <c r="BF393">
        <v>7.6964651247849417E-2</v>
      </c>
      <c r="BG393">
        <v>6.6040679999999998</v>
      </c>
      <c r="BH393">
        <v>7.9389519999999996</v>
      </c>
      <c r="BI393">
        <v>33.703336</v>
      </c>
      <c r="BJ393">
        <v>1679.8210721820001</v>
      </c>
      <c r="BK393">
        <v>4</v>
      </c>
      <c r="BL393">
        <v>8.0961003676030277E-2</v>
      </c>
      <c r="BM393">
        <v>7.83</v>
      </c>
      <c r="BN393">
        <v>33.209989999999998</v>
      </c>
      <c r="BO393">
        <v>6.46</v>
      </c>
      <c r="BP393">
        <v>0</v>
      </c>
      <c r="BQ393">
        <v>0</v>
      </c>
      <c r="BS393">
        <v>0</v>
      </c>
      <c r="BT393">
        <v>0</v>
      </c>
      <c r="BU393">
        <v>0</v>
      </c>
      <c r="BV393">
        <v>1766.0147999999999</v>
      </c>
      <c r="BW393">
        <v>7.7009547145358015E-2</v>
      </c>
      <c r="BX393">
        <v>17</v>
      </c>
      <c r="BY393">
        <v>3.8504773572679007E-2</v>
      </c>
      <c r="BZ393">
        <v>3.8482325623924708E-2</v>
      </c>
      <c r="CA393">
        <v>4.0480501838015139E-2</v>
      </c>
      <c r="CC393">
        <v>0.48264383878002193</v>
      </c>
      <c r="CD393">
        <v>0.50770488753139875</v>
      </c>
      <c r="CF393">
        <v>0.48292538008460401</v>
      </c>
    </row>
    <row r="394" spans="1:84" x14ac:dyDescent="0.3">
      <c r="A394" s="1">
        <v>42</v>
      </c>
      <c r="B394" t="s">
        <v>174</v>
      </c>
      <c r="C394" t="s">
        <v>175</v>
      </c>
      <c r="E394" t="s">
        <v>94</v>
      </c>
      <c r="F394">
        <v>3.9</v>
      </c>
      <c r="G394" t="s">
        <v>176</v>
      </c>
      <c r="H394">
        <v>-1</v>
      </c>
      <c r="I394" t="s">
        <v>177</v>
      </c>
      <c r="J394">
        <v>1</v>
      </c>
      <c r="K394">
        <v>3.8849999999999998</v>
      </c>
      <c r="L394">
        <v>3.8849999999999998</v>
      </c>
      <c r="M394">
        <v>11.12</v>
      </c>
      <c r="N394" t="s">
        <v>101</v>
      </c>
      <c r="O394">
        <v>11.12</v>
      </c>
      <c r="P394">
        <v>2</v>
      </c>
      <c r="Q394" t="s">
        <v>87</v>
      </c>
      <c r="R394">
        <v>1373</v>
      </c>
      <c r="S394">
        <v>10</v>
      </c>
      <c r="T394" t="b">
        <v>0</v>
      </c>
      <c r="U394" t="s">
        <v>88</v>
      </c>
      <c r="V394" t="s">
        <v>89</v>
      </c>
      <c r="W394">
        <v>0</v>
      </c>
      <c r="Y394">
        <v>1</v>
      </c>
      <c r="Z394">
        <v>0</v>
      </c>
      <c r="AC394" t="s">
        <v>90</v>
      </c>
      <c r="AD394">
        <v>400</v>
      </c>
      <c r="AE394">
        <v>254</v>
      </c>
      <c r="AF394" t="s">
        <v>91</v>
      </c>
      <c r="AH394">
        <v>6</v>
      </c>
      <c r="AK394" t="s">
        <v>178</v>
      </c>
      <c r="AL394" t="b">
        <v>1</v>
      </c>
      <c r="AM394" t="b">
        <v>0</v>
      </c>
      <c r="AN394" t="b">
        <v>1</v>
      </c>
      <c r="AO394" t="b">
        <v>0</v>
      </c>
      <c r="AP394" t="s">
        <v>176</v>
      </c>
      <c r="AQ394">
        <v>-1</v>
      </c>
      <c r="AR394" t="s">
        <v>179</v>
      </c>
      <c r="AS394">
        <v>1.791759469228055</v>
      </c>
      <c r="AT394">
        <v>1.9090909090909089</v>
      </c>
      <c r="AU394">
        <v>2.545454545454545</v>
      </c>
      <c r="AV394">
        <v>0.63636363636363635</v>
      </c>
      <c r="AW394">
        <v>2.545454545454545</v>
      </c>
      <c r="AX394">
        <v>0.25</v>
      </c>
      <c r="AY394">
        <v>0.33333333333333331</v>
      </c>
      <c r="AZ394">
        <v>8.3333333333333329E-2</v>
      </c>
      <c r="BA394">
        <v>0.33333333333333331</v>
      </c>
      <c r="BB394">
        <v>6.0049330374090903</v>
      </c>
      <c r="BC394">
        <v>14</v>
      </c>
      <c r="BD394">
        <v>173.0114278564659</v>
      </c>
      <c r="BE394">
        <v>1</v>
      </c>
      <c r="BF394">
        <v>8.0919510193365449E-2</v>
      </c>
      <c r="BG394">
        <v>3.9103940000000001</v>
      </c>
      <c r="BH394">
        <v>3.9103940000000001</v>
      </c>
      <c r="BI394">
        <v>11.314458</v>
      </c>
      <c r="BJ394">
        <v>0</v>
      </c>
      <c r="BK394">
        <v>0</v>
      </c>
      <c r="BM394">
        <v>0</v>
      </c>
      <c r="BP394">
        <v>164.541706117579</v>
      </c>
      <c r="BQ394">
        <v>1</v>
      </c>
      <c r="BR394">
        <v>8.5084811202795069E-2</v>
      </c>
      <c r="BS394">
        <v>3.8653</v>
      </c>
      <c r="BT394">
        <v>3.8653</v>
      </c>
      <c r="BU394">
        <v>11.0131</v>
      </c>
      <c r="BV394">
        <v>167.83666199999999</v>
      </c>
      <c r="BW394">
        <v>8.3414433015832998E-2</v>
      </c>
      <c r="BX394">
        <v>7</v>
      </c>
      <c r="BY394">
        <v>4.1707216507916499E-2</v>
      </c>
      <c r="BZ394">
        <v>4.0459755096682717E-2</v>
      </c>
      <c r="CB394">
        <v>4.2542405601397527E-2</v>
      </c>
      <c r="CC394">
        <v>0.51172189361529641</v>
      </c>
      <c r="CE394">
        <v>0.5380625834554803</v>
      </c>
      <c r="CF394">
        <v>0.52749938198721436</v>
      </c>
    </row>
    <row r="395" spans="1:84" x14ac:dyDescent="0.3">
      <c r="A395" s="1">
        <v>43</v>
      </c>
      <c r="B395" t="s">
        <v>180</v>
      </c>
      <c r="C395" t="s">
        <v>181</v>
      </c>
      <c r="E395" t="s">
        <v>94</v>
      </c>
      <c r="F395">
        <v>3.6</v>
      </c>
      <c r="G395">
        <v>-1</v>
      </c>
      <c r="H395">
        <v>-1</v>
      </c>
      <c r="I395" t="s">
        <v>177</v>
      </c>
      <c r="P395">
        <v>2</v>
      </c>
      <c r="Q395" t="s">
        <v>87</v>
      </c>
      <c r="R395">
        <v>1373</v>
      </c>
      <c r="S395">
        <v>10</v>
      </c>
      <c r="T395" t="b">
        <v>0</v>
      </c>
      <c r="U395" t="s">
        <v>88</v>
      </c>
      <c r="V395" t="s">
        <v>89</v>
      </c>
      <c r="W395">
        <v>0</v>
      </c>
      <c r="Y395">
        <v>1</v>
      </c>
      <c r="Z395">
        <v>0</v>
      </c>
      <c r="AC395" t="s">
        <v>90</v>
      </c>
      <c r="AD395">
        <v>400</v>
      </c>
      <c r="AE395">
        <v>254</v>
      </c>
      <c r="AF395" t="s">
        <v>91</v>
      </c>
      <c r="AH395">
        <v>4.5</v>
      </c>
      <c r="AL395" t="b">
        <v>0</v>
      </c>
      <c r="AM395" t="b">
        <v>0</v>
      </c>
      <c r="AN395" t="b">
        <v>1</v>
      </c>
      <c r="AO395" t="b">
        <v>0</v>
      </c>
      <c r="AP395">
        <v>-1</v>
      </c>
      <c r="AQ395">
        <v>-1</v>
      </c>
      <c r="AR395" t="s">
        <v>177</v>
      </c>
      <c r="AS395">
        <v>1.5040773967762739</v>
      </c>
      <c r="AT395">
        <v>1.9090909090909089</v>
      </c>
      <c r="AU395">
        <v>2.545454545454545</v>
      </c>
      <c r="AV395">
        <v>0.54545454545454541</v>
      </c>
      <c r="AW395">
        <v>2.8181818181818179</v>
      </c>
      <c r="AX395">
        <v>0.2441860465116279</v>
      </c>
      <c r="AY395">
        <v>0.32558139534883718</v>
      </c>
      <c r="AZ395">
        <v>6.9767441860465115E-2</v>
      </c>
      <c r="BA395">
        <v>0.3604651162790698</v>
      </c>
      <c r="BB395">
        <v>5.9797052374090907</v>
      </c>
      <c r="BC395">
        <v>14</v>
      </c>
      <c r="BD395">
        <v>0</v>
      </c>
      <c r="BE395">
        <v>0</v>
      </c>
      <c r="BG395">
        <v>0</v>
      </c>
      <c r="BJ395">
        <v>0</v>
      </c>
      <c r="BK395">
        <v>0</v>
      </c>
      <c r="BM395">
        <v>0</v>
      </c>
      <c r="BP395">
        <v>164.541706117579</v>
      </c>
      <c r="BQ395">
        <v>1</v>
      </c>
      <c r="BR395">
        <v>8.5084811202795069E-2</v>
      </c>
      <c r="BS395">
        <v>3.8653</v>
      </c>
      <c r="BT395">
        <v>3.8653</v>
      </c>
      <c r="BU395">
        <v>11.0131</v>
      </c>
      <c r="BX395">
        <v>7</v>
      </c>
      <c r="CB395">
        <v>4.2542405601397527E-2</v>
      </c>
      <c r="CE395">
        <v>0.53381265134868683</v>
      </c>
    </row>
    <row r="396" spans="1:84" x14ac:dyDescent="0.3">
      <c r="A396" s="1">
        <v>44</v>
      </c>
      <c r="B396" t="s">
        <v>182</v>
      </c>
      <c r="C396" t="s">
        <v>183</v>
      </c>
      <c r="E396" t="s">
        <v>94</v>
      </c>
      <c r="F396">
        <v>4.2</v>
      </c>
      <c r="G396">
        <v>-1</v>
      </c>
      <c r="H396">
        <v>-1</v>
      </c>
      <c r="I396" t="s">
        <v>177</v>
      </c>
      <c r="P396">
        <v>2</v>
      </c>
      <c r="Q396" t="s">
        <v>87</v>
      </c>
      <c r="R396">
        <v>1373</v>
      </c>
      <c r="S396">
        <v>10</v>
      </c>
      <c r="T396" t="b">
        <v>0</v>
      </c>
      <c r="U396" t="s">
        <v>88</v>
      </c>
      <c r="V396" t="s">
        <v>89</v>
      </c>
      <c r="W396">
        <v>0</v>
      </c>
      <c r="Y396">
        <v>1</v>
      </c>
      <c r="Z396">
        <v>0</v>
      </c>
      <c r="AC396" t="s">
        <v>90</v>
      </c>
      <c r="AD396">
        <v>400</v>
      </c>
      <c r="AE396">
        <v>254</v>
      </c>
      <c r="AF396" t="s">
        <v>91</v>
      </c>
      <c r="AH396">
        <v>235</v>
      </c>
      <c r="AK396" t="s">
        <v>184</v>
      </c>
      <c r="AL396" t="b">
        <v>0</v>
      </c>
      <c r="AM396" t="b">
        <v>0</v>
      </c>
      <c r="AN396" t="b">
        <v>1</v>
      </c>
      <c r="AO396" t="b">
        <v>0</v>
      </c>
      <c r="AP396">
        <v>-1</v>
      </c>
      <c r="AQ396">
        <v>-1</v>
      </c>
      <c r="AR396" t="s">
        <v>185</v>
      </c>
      <c r="AS396">
        <v>5.4595855141441589</v>
      </c>
      <c r="AT396">
        <v>1.9090909090909089</v>
      </c>
      <c r="AU396">
        <v>2.545454545454545</v>
      </c>
      <c r="AV396">
        <v>0.54545454545454541</v>
      </c>
      <c r="AW396">
        <v>2.9090909090909092</v>
      </c>
      <c r="AX396">
        <v>0.2413793103448276</v>
      </c>
      <c r="AY396">
        <v>0.32183908045977011</v>
      </c>
      <c r="AZ396">
        <v>6.8965517241379309E-2</v>
      </c>
      <c r="BA396">
        <v>0.36781609195402298</v>
      </c>
      <c r="BB396">
        <v>5.9816624510454544</v>
      </c>
      <c r="BC396">
        <v>14</v>
      </c>
      <c r="BD396">
        <v>0</v>
      </c>
      <c r="BE396">
        <v>0</v>
      </c>
      <c r="BG396">
        <v>0</v>
      </c>
      <c r="BJ396">
        <v>0</v>
      </c>
      <c r="BK396">
        <v>0</v>
      </c>
      <c r="BM396">
        <v>0</v>
      </c>
      <c r="BP396">
        <v>164.541706117579</v>
      </c>
      <c r="BQ396">
        <v>1</v>
      </c>
      <c r="BR396">
        <v>8.5084811202795069E-2</v>
      </c>
      <c r="BS396">
        <v>3.8653</v>
      </c>
      <c r="BT396">
        <v>3.8653</v>
      </c>
      <c r="BU396">
        <v>11.0131</v>
      </c>
      <c r="BX396">
        <v>7</v>
      </c>
      <c r="CB396">
        <v>4.2542405601397527E-2</v>
      </c>
      <c r="CE396">
        <v>0.53313423594927023</v>
      </c>
    </row>
    <row r="397" spans="1:84" x14ac:dyDescent="0.3">
      <c r="A397" s="1">
        <v>45</v>
      </c>
      <c r="B397" t="s">
        <v>186</v>
      </c>
      <c r="C397" t="s">
        <v>187</v>
      </c>
      <c r="E397" t="s">
        <v>94</v>
      </c>
      <c r="F397">
        <v>4.2</v>
      </c>
      <c r="G397">
        <v>-1</v>
      </c>
      <c r="H397">
        <v>-1</v>
      </c>
      <c r="I397" t="s">
        <v>177</v>
      </c>
      <c r="P397">
        <v>2</v>
      </c>
      <c r="Q397" t="s">
        <v>87</v>
      </c>
      <c r="R397">
        <v>1373</v>
      </c>
      <c r="S397">
        <v>10</v>
      </c>
      <c r="T397" t="b">
        <v>0</v>
      </c>
      <c r="U397" t="s">
        <v>88</v>
      </c>
      <c r="V397" t="s">
        <v>89</v>
      </c>
      <c r="W397">
        <v>0</v>
      </c>
      <c r="Y397">
        <v>1</v>
      </c>
      <c r="Z397">
        <v>0</v>
      </c>
      <c r="AC397" t="s">
        <v>90</v>
      </c>
      <c r="AD397">
        <v>400</v>
      </c>
      <c r="AE397">
        <v>254</v>
      </c>
      <c r="AF397" t="s">
        <v>91</v>
      </c>
      <c r="AH397">
        <v>53</v>
      </c>
      <c r="AK397" t="s">
        <v>188</v>
      </c>
      <c r="AL397" t="b">
        <v>0</v>
      </c>
      <c r="AM397" t="b">
        <v>0</v>
      </c>
      <c r="AN397" t="b">
        <v>1</v>
      </c>
      <c r="AO397" t="b">
        <v>0</v>
      </c>
      <c r="AP397">
        <v>-1</v>
      </c>
      <c r="AQ397">
        <v>-1</v>
      </c>
      <c r="AR397" t="s">
        <v>189</v>
      </c>
      <c r="AS397">
        <v>3.970291913552122</v>
      </c>
      <c r="AT397">
        <v>1.9090909090909089</v>
      </c>
      <c r="AU397">
        <v>2.545454545454545</v>
      </c>
      <c r="AV397">
        <v>0.54545454545454541</v>
      </c>
      <c r="AW397">
        <v>3.0909090909090908</v>
      </c>
      <c r="AX397">
        <v>0.2359550561797753</v>
      </c>
      <c r="AY397">
        <v>0.3146067415730337</v>
      </c>
      <c r="AZ397">
        <v>6.7415730337078636E-2</v>
      </c>
      <c r="BA397">
        <v>0.38202247191011229</v>
      </c>
      <c r="BB397">
        <v>5.9899904828636359</v>
      </c>
      <c r="BC397">
        <v>14</v>
      </c>
      <c r="BD397">
        <v>0</v>
      </c>
      <c r="BE397">
        <v>0</v>
      </c>
      <c r="BG397">
        <v>0</v>
      </c>
      <c r="BJ397">
        <v>0</v>
      </c>
      <c r="BK397">
        <v>0</v>
      </c>
      <c r="BM397">
        <v>0</v>
      </c>
      <c r="BP397">
        <v>164.541706117579</v>
      </c>
      <c r="BQ397">
        <v>1</v>
      </c>
      <c r="BR397">
        <v>8.5084811202795069E-2</v>
      </c>
      <c r="BS397">
        <v>3.8653</v>
      </c>
      <c r="BT397">
        <v>3.8653</v>
      </c>
      <c r="BU397">
        <v>11.0131</v>
      </c>
      <c r="BX397">
        <v>7</v>
      </c>
      <c r="CB397">
        <v>4.2542405601397527E-2</v>
      </c>
      <c r="CE397">
        <v>0.53077956978118013</v>
      </c>
    </row>
    <row r="398" spans="1:84" x14ac:dyDescent="0.3">
      <c r="A398" s="1">
        <v>46</v>
      </c>
      <c r="B398" t="s">
        <v>174</v>
      </c>
      <c r="C398" t="s">
        <v>175</v>
      </c>
      <c r="E398" t="s">
        <v>94</v>
      </c>
      <c r="F398">
        <v>3.9</v>
      </c>
      <c r="G398" t="s">
        <v>176</v>
      </c>
      <c r="H398">
        <v>-1</v>
      </c>
      <c r="I398" t="s">
        <v>177</v>
      </c>
      <c r="J398">
        <v>1</v>
      </c>
      <c r="K398">
        <v>3.8849999999999998</v>
      </c>
      <c r="L398">
        <v>3.8849999999999998</v>
      </c>
      <c r="M398">
        <v>11.12</v>
      </c>
      <c r="N398" t="s">
        <v>101</v>
      </c>
      <c r="O398">
        <v>11.12</v>
      </c>
      <c r="P398">
        <v>2</v>
      </c>
      <c r="Q398" t="s">
        <v>87</v>
      </c>
      <c r="R398">
        <v>1373</v>
      </c>
      <c r="S398">
        <v>10</v>
      </c>
      <c r="T398" t="b">
        <v>0</v>
      </c>
      <c r="U398" t="s">
        <v>88</v>
      </c>
      <c r="V398" t="s">
        <v>89</v>
      </c>
      <c r="W398">
        <v>0</v>
      </c>
      <c r="Y398">
        <v>1</v>
      </c>
      <c r="Z398">
        <v>16</v>
      </c>
      <c r="AC398" t="s">
        <v>90</v>
      </c>
      <c r="AD398">
        <v>400</v>
      </c>
      <c r="AE398">
        <v>280</v>
      </c>
      <c r="AF398" t="s">
        <v>91</v>
      </c>
      <c r="AH398">
        <v>15.5</v>
      </c>
      <c r="AK398" t="s">
        <v>178</v>
      </c>
      <c r="AL398" t="b">
        <v>1</v>
      </c>
      <c r="AM398" t="b">
        <v>0</v>
      </c>
      <c r="AN398" t="b">
        <v>1</v>
      </c>
      <c r="AO398" t="b">
        <v>0</v>
      </c>
      <c r="AP398" t="s">
        <v>176</v>
      </c>
      <c r="AQ398">
        <v>-1</v>
      </c>
      <c r="AR398" t="s">
        <v>190</v>
      </c>
      <c r="AS398">
        <v>2.7408400239252009</v>
      </c>
      <c r="AT398">
        <v>1.9090909090909089</v>
      </c>
      <c r="AU398">
        <v>2.545454545454545</v>
      </c>
      <c r="AV398">
        <v>0.63636363636363635</v>
      </c>
      <c r="AW398">
        <v>2.545454545454545</v>
      </c>
      <c r="AX398">
        <v>0.25</v>
      </c>
      <c r="AY398">
        <v>0.33333333333333331</v>
      </c>
      <c r="AZ398">
        <v>8.3333333333333329E-2</v>
      </c>
      <c r="BA398">
        <v>0.33333333333333331</v>
      </c>
      <c r="BB398">
        <v>6.0049330374090903</v>
      </c>
      <c r="BC398">
        <v>14</v>
      </c>
      <c r="BD398">
        <v>173.0114278564659</v>
      </c>
      <c r="BE398">
        <v>1</v>
      </c>
      <c r="BF398">
        <v>8.0919510193365449E-2</v>
      </c>
      <c r="BG398">
        <v>3.9103940000000001</v>
      </c>
      <c r="BH398">
        <v>3.9103940000000001</v>
      </c>
      <c r="BI398">
        <v>11.314458</v>
      </c>
      <c r="BJ398">
        <v>0</v>
      </c>
      <c r="BK398">
        <v>0</v>
      </c>
      <c r="BM398">
        <v>0</v>
      </c>
      <c r="BP398">
        <v>164.541706117579</v>
      </c>
      <c r="BQ398">
        <v>1</v>
      </c>
      <c r="BR398">
        <v>8.5084811202795069E-2</v>
      </c>
      <c r="BS398">
        <v>3.8653</v>
      </c>
      <c r="BT398">
        <v>3.8653</v>
      </c>
      <c r="BU398">
        <v>11.0131</v>
      </c>
      <c r="BV398">
        <v>167.83666199999999</v>
      </c>
      <c r="BW398">
        <v>8.3414433015832998E-2</v>
      </c>
      <c r="BX398">
        <v>7</v>
      </c>
      <c r="BY398">
        <v>4.1707216507916499E-2</v>
      </c>
      <c r="BZ398">
        <v>4.0459755096682717E-2</v>
      </c>
      <c r="CB398">
        <v>4.2542405601397527E-2</v>
      </c>
      <c r="CC398">
        <v>0.51172189361529641</v>
      </c>
      <c r="CE398">
        <v>0.5380625834554803</v>
      </c>
      <c r="CF398">
        <v>0.52749938198721436</v>
      </c>
    </row>
    <row r="399" spans="1:84" x14ac:dyDescent="0.3">
      <c r="A399" s="1">
        <v>47</v>
      </c>
      <c r="B399" t="s">
        <v>180</v>
      </c>
      <c r="C399" t="s">
        <v>181</v>
      </c>
      <c r="E399" t="s">
        <v>94</v>
      </c>
      <c r="F399">
        <v>3.6</v>
      </c>
      <c r="G399">
        <v>-1</v>
      </c>
      <c r="H399">
        <v>-1</v>
      </c>
      <c r="I399" t="s">
        <v>177</v>
      </c>
      <c r="P399">
        <v>2</v>
      </c>
      <c r="Q399" t="s">
        <v>87</v>
      </c>
      <c r="R399">
        <v>1373</v>
      </c>
      <c r="S399">
        <v>10</v>
      </c>
      <c r="T399" t="b">
        <v>0</v>
      </c>
      <c r="U399" t="s">
        <v>88</v>
      </c>
      <c r="V399" t="s">
        <v>89</v>
      </c>
      <c r="W399">
        <v>0</v>
      </c>
      <c r="Y399">
        <v>1</v>
      </c>
      <c r="Z399">
        <v>16</v>
      </c>
      <c r="AC399" t="s">
        <v>90</v>
      </c>
      <c r="AD399">
        <v>400</v>
      </c>
      <c r="AE399">
        <v>280</v>
      </c>
      <c r="AF399" t="s">
        <v>91</v>
      </c>
      <c r="AH399">
        <v>0.25</v>
      </c>
      <c r="AL399" t="b">
        <v>0</v>
      </c>
      <c r="AM399" t="b">
        <v>0</v>
      </c>
      <c r="AN399" t="b">
        <v>1</v>
      </c>
      <c r="AO399" t="b">
        <v>0</v>
      </c>
      <c r="AP399">
        <v>-1</v>
      </c>
      <c r="AQ399">
        <v>-1</v>
      </c>
      <c r="AR399" t="s">
        <v>177</v>
      </c>
      <c r="AS399">
        <v>-1.386294361119891</v>
      </c>
      <c r="AT399">
        <v>1.9090909090909089</v>
      </c>
      <c r="AU399">
        <v>2.545454545454545</v>
      </c>
      <c r="AV399">
        <v>0.54545454545454541</v>
      </c>
      <c r="AW399">
        <v>2.8181818181818179</v>
      </c>
      <c r="AX399">
        <v>0.2441860465116279</v>
      </c>
      <c r="AY399">
        <v>0.32558139534883718</v>
      </c>
      <c r="AZ399">
        <v>6.9767441860465115E-2</v>
      </c>
      <c r="BA399">
        <v>0.3604651162790698</v>
      </c>
      <c r="BB399">
        <v>5.9797052374090907</v>
      </c>
      <c r="BC399">
        <v>14</v>
      </c>
      <c r="BD399">
        <v>0</v>
      </c>
      <c r="BE399">
        <v>0</v>
      </c>
      <c r="BG399">
        <v>0</v>
      </c>
      <c r="BJ399">
        <v>0</v>
      </c>
      <c r="BK399">
        <v>0</v>
      </c>
      <c r="BM399">
        <v>0</v>
      </c>
      <c r="BP399">
        <v>164.541706117579</v>
      </c>
      <c r="BQ399">
        <v>1</v>
      </c>
      <c r="BR399">
        <v>8.5084811202795069E-2</v>
      </c>
      <c r="BS399">
        <v>3.8653</v>
      </c>
      <c r="BT399">
        <v>3.8653</v>
      </c>
      <c r="BU399">
        <v>11.0131</v>
      </c>
      <c r="BX399">
        <v>7</v>
      </c>
      <c r="CB399">
        <v>4.2542405601397527E-2</v>
      </c>
      <c r="CE399">
        <v>0.53381265134868683</v>
      </c>
    </row>
    <row r="400" spans="1:84" x14ac:dyDescent="0.3">
      <c r="A400" s="1">
        <v>48</v>
      </c>
      <c r="B400" t="s">
        <v>182</v>
      </c>
      <c r="C400" t="s">
        <v>183</v>
      </c>
      <c r="E400" t="s">
        <v>94</v>
      </c>
      <c r="F400">
        <v>4.2</v>
      </c>
      <c r="G400">
        <v>-1</v>
      </c>
      <c r="H400">
        <v>-1</v>
      </c>
      <c r="I400" t="s">
        <v>177</v>
      </c>
      <c r="P400">
        <v>2</v>
      </c>
      <c r="Q400" t="s">
        <v>87</v>
      </c>
      <c r="R400">
        <v>1373</v>
      </c>
      <c r="S400">
        <v>10</v>
      </c>
      <c r="T400" t="b">
        <v>0</v>
      </c>
      <c r="U400" t="s">
        <v>88</v>
      </c>
      <c r="V400" t="s">
        <v>89</v>
      </c>
      <c r="W400">
        <v>0</v>
      </c>
      <c r="Y400">
        <v>1</v>
      </c>
      <c r="Z400">
        <v>16</v>
      </c>
      <c r="AC400" t="s">
        <v>90</v>
      </c>
      <c r="AD400">
        <v>400</v>
      </c>
      <c r="AE400">
        <v>280</v>
      </c>
      <c r="AF400" t="s">
        <v>91</v>
      </c>
      <c r="AH400">
        <v>1.85</v>
      </c>
      <c r="AK400" t="s">
        <v>184</v>
      </c>
      <c r="AL400" t="b">
        <v>0</v>
      </c>
      <c r="AM400" t="b">
        <v>0</v>
      </c>
      <c r="AN400" t="b">
        <v>1</v>
      </c>
      <c r="AO400" t="b">
        <v>0</v>
      </c>
      <c r="AP400">
        <v>-1</v>
      </c>
      <c r="AQ400">
        <v>-1</v>
      </c>
      <c r="AR400" t="s">
        <v>191</v>
      </c>
      <c r="AS400">
        <v>0.61518563909023349</v>
      </c>
      <c r="AT400">
        <v>1.9090909090909089</v>
      </c>
      <c r="AU400">
        <v>2.545454545454545</v>
      </c>
      <c r="AV400">
        <v>0.54545454545454541</v>
      </c>
      <c r="AW400">
        <v>2.9090909090909092</v>
      </c>
      <c r="AX400">
        <v>0.2413793103448276</v>
      </c>
      <c r="AY400">
        <v>0.32183908045977011</v>
      </c>
      <c r="AZ400">
        <v>6.8965517241379309E-2</v>
      </c>
      <c r="BA400">
        <v>0.36781609195402298</v>
      </c>
      <c r="BB400">
        <v>5.9816624510454544</v>
      </c>
      <c r="BC400">
        <v>14</v>
      </c>
      <c r="BD400">
        <v>0</v>
      </c>
      <c r="BE400">
        <v>0</v>
      </c>
      <c r="BG400">
        <v>0</v>
      </c>
      <c r="BJ400">
        <v>0</v>
      </c>
      <c r="BK400">
        <v>0</v>
      </c>
      <c r="BM400">
        <v>0</v>
      </c>
      <c r="BP400">
        <v>164.541706117579</v>
      </c>
      <c r="BQ400">
        <v>1</v>
      </c>
      <c r="BR400">
        <v>8.5084811202795069E-2</v>
      </c>
      <c r="BS400">
        <v>3.8653</v>
      </c>
      <c r="BT400">
        <v>3.8653</v>
      </c>
      <c r="BU400">
        <v>11.0131</v>
      </c>
      <c r="BX400">
        <v>7</v>
      </c>
      <c r="CB400">
        <v>4.2542405601397527E-2</v>
      </c>
      <c r="CE400">
        <v>0.53313423594927023</v>
      </c>
    </row>
    <row r="401" spans="1:84" x14ac:dyDescent="0.3">
      <c r="A401" s="1">
        <v>49</v>
      </c>
      <c r="B401" t="s">
        <v>186</v>
      </c>
      <c r="C401" t="s">
        <v>187</v>
      </c>
      <c r="E401" t="s">
        <v>94</v>
      </c>
      <c r="F401">
        <v>4.2</v>
      </c>
      <c r="G401">
        <v>-1</v>
      </c>
      <c r="H401">
        <v>-1</v>
      </c>
      <c r="I401" t="s">
        <v>177</v>
      </c>
      <c r="P401">
        <v>2</v>
      </c>
      <c r="Q401" t="s">
        <v>87</v>
      </c>
      <c r="R401">
        <v>1373</v>
      </c>
      <c r="S401">
        <v>10</v>
      </c>
      <c r="T401" t="b">
        <v>0</v>
      </c>
      <c r="U401" t="s">
        <v>88</v>
      </c>
      <c r="V401" t="s">
        <v>89</v>
      </c>
      <c r="W401">
        <v>0</v>
      </c>
      <c r="Y401">
        <v>1</v>
      </c>
      <c r="Z401">
        <v>16</v>
      </c>
      <c r="AC401" t="s">
        <v>90</v>
      </c>
      <c r="AD401">
        <v>400</v>
      </c>
      <c r="AE401">
        <v>280</v>
      </c>
      <c r="AF401" t="s">
        <v>91</v>
      </c>
      <c r="AH401">
        <v>1.85</v>
      </c>
      <c r="AK401" t="s">
        <v>188</v>
      </c>
      <c r="AL401" t="b">
        <v>0</v>
      </c>
      <c r="AM401" t="b">
        <v>0</v>
      </c>
      <c r="AN401" t="b">
        <v>1</v>
      </c>
      <c r="AO401" t="b">
        <v>0</v>
      </c>
      <c r="AP401">
        <v>-1</v>
      </c>
      <c r="AQ401">
        <v>-1</v>
      </c>
      <c r="AR401" t="s">
        <v>192</v>
      </c>
      <c r="AS401">
        <v>0.61518563909023349</v>
      </c>
      <c r="AT401">
        <v>1.9090909090909089</v>
      </c>
      <c r="AU401">
        <v>2.545454545454545</v>
      </c>
      <c r="AV401">
        <v>0.54545454545454541</v>
      </c>
      <c r="AW401">
        <v>3.0909090909090908</v>
      </c>
      <c r="AX401">
        <v>0.2359550561797753</v>
      </c>
      <c r="AY401">
        <v>0.3146067415730337</v>
      </c>
      <c r="AZ401">
        <v>6.7415730337078636E-2</v>
      </c>
      <c r="BA401">
        <v>0.38202247191011229</v>
      </c>
      <c r="BB401">
        <v>5.9899904828636359</v>
      </c>
      <c r="BC401">
        <v>14</v>
      </c>
      <c r="BD401">
        <v>0</v>
      </c>
      <c r="BE401">
        <v>0</v>
      </c>
      <c r="BG401">
        <v>0</v>
      </c>
      <c r="BJ401">
        <v>0</v>
      </c>
      <c r="BK401">
        <v>0</v>
      </c>
      <c r="BM401">
        <v>0</v>
      </c>
      <c r="BP401">
        <v>164.541706117579</v>
      </c>
      <c r="BQ401">
        <v>1</v>
      </c>
      <c r="BR401">
        <v>8.5084811202795069E-2</v>
      </c>
      <c r="BS401">
        <v>3.8653</v>
      </c>
      <c r="BT401">
        <v>3.8653</v>
      </c>
      <c r="BU401">
        <v>11.0131</v>
      </c>
      <c r="BX401">
        <v>7</v>
      </c>
      <c r="CB401">
        <v>4.2542405601397527E-2</v>
      </c>
      <c r="CE401">
        <v>0.53077956978118013</v>
      </c>
    </row>
    <row r="402" spans="1:84" x14ac:dyDescent="0.3">
      <c r="A402" s="1">
        <v>54</v>
      </c>
      <c r="B402" t="s">
        <v>193</v>
      </c>
      <c r="C402" t="s">
        <v>194</v>
      </c>
      <c r="F402">
        <v>3.67</v>
      </c>
      <c r="G402" t="s">
        <v>195</v>
      </c>
      <c r="H402" t="s">
        <v>196</v>
      </c>
      <c r="I402">
        <v>-1</v>
      </c>
      <c r="J402">
        <v>2</v>
      </c>
      <c r="K402">
        <v>5.4669999999999996</v>
      </c>
      <c r="L402">
        <v>5.4269999999999996</v>
      </c>
      <c r="M402">
        <v>24.931000000000001</v>
      </c>
      <c r="N402" t="s">
        <v>197</v>
      </c>
      <c r="O402">
        <v>12.4655</v>
      </c>
      <c r="P402">
        <v>2</v>
      </c>
      <c r="Q402" t="s">
        <v>87</v>
      </c>
      <c r="R402">
        <v>1334</v>
      </c>
      <c r="S402">
        <v>54</v>
      </c>
      <c r="T402" t="b">
        <v>0</v>
      </c>
      <c r="U402" t="s">
        <v>88</v>
      </c>
      <c r="V402" t="s">
        <v>89</v>
      </c>
      <c r="W402">
        <v>0</v>
      </c>
      <c r="X402">
        <v>1.96</v>
      </c>
      <c r="Y402">
        <v>0.5</v>
      </c>
      <c r="Z402">
        <v>12.5</v>
      </c>
      <c r="AC402" t="s">
        <v>90</v>
      </c>
      <c r="AD402">
        <v>350</v>
      </c>
      <c r="AF402" t="s">
        <v>91</v>
      </c>
      <c r="AH402">
        <v>1500</v>
      </c>
      <c r="AL402" t="b">
        <v>1</v>
      </c>
      <c r="AM402" t="b">
        <v>1</v>
      </c>
      <c r="AN402" t="b">
        <v>0</v>
      </c>
      <c r="AO402" t="b">
        <v>0</v>
      </c>
      <c r="AP402" t="s">
        <v>195</v>
      </c>
      <c r="AQ402" t="s">
        <v>196</v>
      </c>
      <c r="AS402">
        <v>7.3132203870903014</v>
      </c>
      <c r="AT402">
        <v>2</v>
      </c>
      <c r="AU402">
        <v>3</v>
      </c>
      <c r="AV402">
        <v>1.857142857142857</v>
      </c>
      <c r="AW402">
        <v>4</v>
      </c>
      <c r="AX402">
        <v>0.18421052631578949</v>
      </c>
      <c r="AY402">
        <v>0.27631578947368418</v>
      </c>
      <c r="AZ402">
        <v>0.1710526315789474</v>
      </c>
      <c r="BA402">
        <v>0.36842105263157893</v>
      </c>
      <c r="BB402">
        <v>6.2165298214642846</v>
      </c>
      <c r="BC402">
        <v>18</v>
      </c>
      <c r="BD402">
        <v>189.22149105491849</v>
      </c>
      <c r="BE402">
        <v>1</v>
      </c>
      <c r="BF402">
        <v>9.5126615373598261E-2</v>
      </c>
      <c r="BG402">
        <v>13.46934785</v>
      </c>
      <c r="BH402">
        <v>13.46934785</v>
      </c>
      <c r="BI402">
        <v>13.46934785</v>
      </c>
      <c r="BJ402">
        <v>741.11071385887806</v>
      </c>
      <c r="BK402">
        <v>4</v>
      </c>
      <c r="BL402">
        <v>9.7151476363233638E-2</v>
      </c>
      <c r="BM402">
        <v>5.4659000000000004</v>
      </c>
      <c r="BN402">
        <v>5.4318</v>
      </c>
      <c r="BO402">
        <v>24.9619</v>
      </c>
      <c r="BP402">
        <v>0</v>
      </c>
      <c r="BQ402">
        <v>0</v>
      </c>
      <c r="BS402">
        <v>0</v>
      </c>
      <c r="BT402">
        <v>0</v>
      </c>
      <c r="BU402">
        <v>0</v>
      </c>
      <c r="BV402">
        <v>739.68803577899985</v>
      </c>
      <c r="BW402">
        <v>4.866916626829948E-2</v>
      </c>
      <c r="BX402">
        <v>9</v>
      </c>
      <c r="BY402">
        <v>2.433458313414974E-2</v>
      </c>
      <c r="BZ402">
        <v>4.7563307686799131E-2</v>
      </c>
      <c r="CA402">
        <v>4.8575738181616819E-2</v>
      </c>
      <c r="CC402">
        <v>0.52325723799350166</v>
      </c>
      <c r="CD402">
        <v>0.53439526876014087</v>
      </c>
      <c r="CF402">
        <v>0.26771154862369823</v>
      </c>
    </row>
    <row r="403" spans="1:84" x14ac:dyDescent="0.3">
      <c r="A403" s="1">
        <v>55</v>
      </c>
      <c r="B403" t="s">
        <v>198</v>
      </c>
      <c r="C403" t="s">
        <v>199</v>
      </c>
      <c r="F403">
        <v>3.64</v>
      </c>
      <c r="G403" t="s">
        <v>200</v>
      </c>
      <c r="H403" t="s">
        <v>201</v>
      </c>
      <c r="I403">
        <v>-1</v>
      </c>
      <c r="J403">
        <v>4</v>
      </c>
      <c r="K403">
        <v>5.4729999999999999</v>
      </c>
      <c r="L403">
        <v>5.5269999999999992</v>
      </c>
      <c r="M403">
        <v>25.030999999999999</v>
      </c>
      <c r="N403" t="s">
        <v>197</v>
      </c>
      <c r="O403">
        <v>12.515499999999999</v>
      </c>
      <c r="P403">
        <v>2</v>
      </c>
      <c r="Q403" t="s">
        <v>87</v>
      </c>
      <c r="R403">
        <v>1334</v>
      </c>
      <c r="S403">
        <v>54</v>
      </c>
      <c r="T403" t="b">
        <v>0</v>
      </c>
      <c r="U403" t="s">
        <v>88</v>
      </c>
      <c r="V403" t="s">
        <v>89</v>
      </c>
      <c r="W403">
        <v>0</v>
      </c>
      <c r="X403">
        <v>2.36</v>
      </c>
      <c r="Y403">
        <v>0.5</v>
      </c>
      <c r="Z403">
        <v>12.5</v>
      </c>
      <c r="AC403" t="s">
        <v>90</v>
      </c>
      <c r="AD403">
        <v>350</v>
      </c>
      <c r="AF403" t="s">
        <v>91</v>
      </c>
      <c r="AH403">
        <v>11300</v>
      </c>
      <c r="AL403" t="b">
        <v>1</v>
      </c>
      <c r="AM403" t="b">
        <v>1</v>
      </c>
      <c r="AN403" t="b">
        <v>0</v>
      </c>
      <c r="AO403" t="b">
        <v>0</v>
      </c>
      <c r="AP403" t="s">
        <v>200</v>
      </c>
      <c r="AQ403" t="s">
        <v>201</v>
      </c>
      <c r="AS403">
        <v>9.3325580047004326</v>
      </c>
      <c r="AT403">
        <v>2</v>
      </c>
      <c r="AU403">
        <v>3</v>
      </c>
      <c r="AV403">
        <v>1.857142857142857</v>
      </c>
      <c r="AW403">
        <v>4</v>
      </c>
      <c r="AX403">
        <v>0.18421052631578949</v>
      </c>
      <c r="AY403">
        <v>0.27631578947368418</v>
      </c>
      <c r="AZ403">
        <v>0.1710526315789474</v>
      </c>
      <c r="BA403">
        <v>0.36842105263157893</v>
      </c>
      <c r="BB403">
        <v>6.2025736421785709</v>
      </c>
      <c r="BC403">
        <v>18</v>
      </c>
      <c r="BD403">
        <v>195.03203980213701</v>
      </c>
      <c r="BE403">
        <v>1</v>
      </c>
      <c r="BF403">
        <v>9.2292528029042184E-2</v>
      </c>
      <c r="BG403">
        <v>12.88926011</v>
      </c>
      <c r="BH403">
        <v>12.88926011</v>
      </c>
      <c r="BI403">
        <v>12.88926011</v>
      </c>
      <c r="BJ403">
        <v>763.45570050087724</v>
      </c>
      <c r="BK403">
        <v>4</v>
      </c>
      <c r="BL403">
        <v>9.4308025930991482E-2</v>
      </c>
      <c r="BM403">
        <v>5.5223699999999996</v>
      </c>
      <c r="BN403">
        <v>5.5240799999999997</v>
      </c>
      <c r="BO403">
        <v>25.026399999999999</v>
      </c>
      <c r="BP403">
        <v>0</v>
      </c>
      <c r="BQ403">
        <v>0</v>
      </c>
      <c r="BS403">
        <v>0</v>
      </c>
      <c r="BT403">
        <v>0</v>
      </c>
      <c r="BU403">
        <v>0</v>
      </c>
      <c r="BV403">
        <v>757.16950240099993</v>
      </c>
      <c r="BW403">
        <v>9.5090993194636778E-2</v>
      </c>
      <c r="BX403">
        <v>9</v>
      </c>
      <c r="BY403">
        <v>4.7545496597318389E-2</v>
      </c>
      <c r="BZ403">
        <v>4.6146264014521092E-2</v>
      </c>
      <c r="CA403">
        <v>4.7154012965495741E-2</v>
      </c>
      <c r="CC403">
        <v>0.52524560229640993</v>
      </c>
      <c r="CD403">
        <v>0.53671599358424404</v>
      </c>
      <c r="CF403">
        <v>0.54117193515128337</v>
      </c>
    </row>
    <row r="404" spans="1:84" x14ac:dyDescent="0.3">
      <c r="A404" s="1">
        <v>56</v>
      </c>
      <c r="B404" t="s">
        <v>202</v>
      </c>
      <c r="C404" t="s">
        <v>203</v>
      </c>
      <c r="F404">
        <v>3.52</v>
      </c>
      <c r="G404" t="s">
        <v>204</v>
      </c>
      <c r="H404" t="s">
        <v>205</v>
      </c>
      <c r="I404">
        <v>-1</v>
      </c>
      <c r="K404">
        <v>3.9540000000000002</v>
      </c>
      <c r="L404">
        <v>3.9540000000000002</v>
      </c>
      <c r="M404">
        <v>25.486999999999998</v>
      </c>
      <c r="N404" t="s">
        <v>206</v>
      </c>
      <c r="O404">
        <v>12.743499999999999</v>
      </c>
      <c r="P404">
        <v>2</v>
      </c>
      <c r="Q404" t="s">
        <v>87</v>
      </c>
      <c r="R404">
        <v>1273</v>
      </c>
      <c r="S404">
        <v>72</v>
      </c>
      <c r="T404" t="b">
        <v>0</v>
      </c>
      <c r="U404" t="s">
        <v>88</v>
      </c>
      <c r="V404" t="s">
        <v>89</v>
      </c>
      <c r="W404">
        <v>0</v>
      </c>
      <c r="X404">
        <v>2.1800000000000002</v>
      </c>
      <c r="Y404">
        <v>0.5</v>
      </c>
      <c r="Z404">
        <v>12.5</v>
      </c>
      <c r="AC404" t="s">
        <v>90</v>
      </c>
      <c r="AD404">
        <v>350</v>
      </c>
      <c r="AF404" t="s">
        <v>91</v>
      </c>
      <c r="AH404">
        <v>550</v>
      </c>
      <c r="AL404" t="b">
        <v>1</v>
      </c>
      <c r="AM404" t="b">
        <v>0</v>
      </c>
      <c r="AN404" t="b">
        <v>0</v>
      </c>
      <c r="AO404" t="b">
        <v>0</v>
      </c>
      <c r="AP404" t="s">
        <v>204</v>
      </c>
      <c r="AQ404" t="s">
        <v>205</v>
      </c>
      <c r="AS404">
        <v>6.3099182782265162</v>
      </c>
      <c r="AT404">
        <v>2</v>
      </c>
      <c r="AU404">
        <v>3</v>
      </c>
      <c r="AV404">
        <v>1.857142857142857</v>
      </c>
      <c r="AW404">
        <v>4</v>
      </c>
      <c r="AX404">
        <v>0.18421052631578949</v>
      </c>
      <c r="AY404">
        <v>0.27631578947368418</v>
      </c>
      <c r="AZ404">
        <v>0.1710526315789474</v>
      </c>
      <c r="BA404">
        <v>0.36842105263157893</v>
      </c>
      <c r="BB404">
        <v>6.1886221118214282</v>
      </c>
      <c r="BC404">
        <v>18</v>
      </c>
      <c r="BD404">
        <v>198.96095988642259</v>
      </c>
      <c r="BE404">
        <v>1</v>
      </c>
      <c r="BF404">
        <v>9.047000984653146E-2</v>
      </c>
      <c r="BG404">
        <v>12.939761450000001</v>
      </c>
      <c r="BH404">
        <v>12.939761450000001</v>
      </c>
      <c r="BI404">
        <v>12.939761450000001</v>
      </c>
      <c r="BJ404">
        <v>396.01057416815007</v>
      </c>
      <c r="BK404">
        <v>1</v>
      </c>
      <c r="BL404">
        <v>4.5453331739462637E-2</v>
      </c>
      <c r="BM404">
        <v>3.9355000000000002</v>
      </c>
      <c r="BN404">
        <v>3.9355000000000002</v>
      </c>
      <c r="BO404">
        <v>25.5686</v>
      </c>
      <c r="BP404">
        <v>0</v>
      </c>
      <c r="BQ404">
        <v>0</v>
      </c>
      <c r="BS404">
        <v>0</v>
      </c>
      <c r="BT404">
        <v>0</v>
      </c>
      <c r="BU404">
        <v>0</v>
      </c>
      <c r="BV404">
        <v>398.46671449199999</v>
      </c>
      <c r="BX404">
        <v>9</v>
      </c>
      <c r="BZ404">
        <v>4.523500492326573E-2</v>
      </c>
      <c r="CA404">
        <v>2.2726665869731318E-2</v>
      </c>
      <c r="CC404">
        <v>0.5360948309320076</v>
      </c>
      <c r="CD404">
        <v>0.26934114670153197</v>
      </c>
    </row>
    <row r="405" spans="1:84" x14ac:dyDescent="0.3">
      <c r="A405" s="1">
        <v>57</v>
      </c>
      <c r="B405" t="s">
        <v>207</v>
      </c>
      <c r="C405" t="s">
        <v>208</v>
      </c>
      <c r="F405">
        <v>3.46</v>
      </c>
      <c r="G405" t="s">
        <v>209</v>
      </c>
      <c r="H405">
        <v>-1</v>
      </c>
      <c r="I405">
        <v>-1</v>
      </c>
      <c r="N405" t="s">
        <v>197</v>
      </c>
      <c r="P405">
        <v>2</v>
      </c>
      <c r="Q405" t="s">
        <v>87</v>
      </c>
      <c r="R405">
        <v>1334</v>
      </c>
      <c r="S405">
        <v>54</v>
      </c>
      <c r="T405" t="b">
        <v>0</v>
      </c>
      <c r="U405" t="s">
        <v>88</v>
      </c>
      <c r="V405" t="s">
        <v>89</v>
      </c>
      <c r="W405">
        <v>0</v>
      </c>
      <c r="Y405">
        <v>0.5</v>
      </c>
      <c r="Z405">
        <v>12.5</v>
      </c>
      <c r="AC405" t="s">
        <v>90</v>
      </c>
      <c r="AD405">
        <v>350</v>
      </c>
      <c r="AF405" t="s">
        <v>91</v>
      </c>
      <c r="AH405">
        <v>580</v>
      </c>
      <c r="AL405" t="b">
        <v>1</v>
      </c>
      <c r="AM405" t="b">
        <v>0</v>
      </c>
      <c r="AN405" t="b">
        <v>0</v>
      </c>
      <c r="AO405" t="b">
        <v>0</v>
      </c>
      <c r="AP405" t="s">
        <v>209</v>
      </c>
      <c r="AQ405">
        <v>-1</v>
      </c>
      <c r="AS405">
        <v>6.363028103540465</v>
      </c>
      <c r="AT405">
        <v>1.857142857142857</v>
      </c>
      <c r="AU405">
        <v>3</v>
      </c>
      <c r="AV405">
        <v>2</v>
      </c>
      <c r="AW405">
        <v>2</v>
      </c>
      <c r="AX405">
        <v>0.20967741935483869</v>
      </c>
      <c r="AY405">
        <v>0.33870967741935482</v>
      </c>
      <c r="AZ405">
        <v>0.22580645161290319</v>
      </c>
      <c r="BA405">
        <v>0.22580645161290319</v>
      </c>
      <c r="BB405">
        <v>6.202088876464285</v>
      </c>
      <c r="BC405">
        <v>18</v>
      </c>
      <c r="BD405">
        <v>208.2630581553295</v>
      </c>
      <c r="BE405">
        <v>1</v>
      </c>
      <c r="BF405">
        <v>8.6429154356194082E-2</v>
      </c>
      <c r="BG405">
        <v>13.83861243</v>
      </c>
      <c r="BH405">
        <v>13.83861243</v>
      </c>
      <c r="BI405">
        <v>13.83861243</v>
      </c>
      <c r="BJ405">
        <v>0</v>
      </c>
      <c r="BK405">
        <v>0</v>
      </c>
      <c r="BM405">
        <v>0</v>
      </c>
      <c r="BP405">
        <v>0</v>
      </c>
      <c r="BQ405">
        <v>0</v>
      </c>
      <c r="BS405">
        <v>0</v>
      </c>
      <c r="BT405">
        <v>0</v>
      </c>
      <c r="BU405">
        <v>0</v>
      </c>
      <c r="BX405">
        <v>9</v>
      </c>
      <c r="BZ405">
        <v>4.3214577178097041E-2</v>
      </c>
      <c r="CC405">
        <v>0.47541563854576008</v>
      </c>
    </row>
    <row r="406" spans="1:84" x14ac:dyDescent="0.3">
      <c r="A406" s="1">
        <v>58</v>
      </c>
      <c r="B406" t="s">
        <v>210</v>
      </c>
      <c r="C406" t="s">
        <v>211</v>
      </c>
      <c r="F406">
        <v>3.43</v>
      </c>
      <c r="G406" t="s">
        <v>212</v>
      </c>
      <c r="H406" t="s">
        <v>213</v>
      </c>
      <c r="I406">
        <v>-1</v>
      </c>
      <c r="J406">
        <v>4</v>
      </c>
      <c r="K406">
        <v>5.4729999999999999</v>
      </c>
      <c r="L406">
        <v>5.5269999999999992</v>
      </c>
      <c r="M406">
        <v>25.030999999999999</v>
      </c>
      <c r="N406" t="s">
        <v>197</v>
      </c>
      <c r="O406">
        <v>12.515499999999999</v>
      </c>
      <c r="P406">
        <v>2</v>
      </c>
      <c r="Q406" t="s">
        <v>87</v>
      </c>
      <c r="R406">
        <v>1334</v>
      </c>
      <c r="S406">
        <v>54</v>
      </c>
      <c r="T406" t="b">
        <v>0</v>
      </c>
      <c r="U406" t="s">
        <v>88</v>
      </c>
      <c r="V406" t="s">
        <v>89</v>
      </c>
      <c r="W406">
        <v>0</v>
      </c>
      <c r="Y406">
        <v>0.5</v>
      </c>
      <c r="Z406">
        <v>12.5</v>
      </c>
      <c r="AC406" t="s">
        <v>90</v>
      </c>
      <c r="AD406">
        <v>350</v>
      </c>
      <c r="AF406" t="s">
        <v>91</v>
      </c>
      <c r="AH406">
        <v>3660</v>
      </c>
      <c r="AL406" t="b">
        <v>1</v>
      </c>
      <c r="AM406" t="b">
        <v>1</v>
      </c>
      <c r="AN406" t="b">
        <v>0</v>
      </c>
      <c r="AO406" t="b">
        <v>0</v>
      </c>
      <c r="AP406" t="s">
        <v>212</v>
      </c>
      <c r="AQ406" t="s">
        <v>213</v>
      </c>
      <c r="AS406">
        <v>8.2052184263954118</v>
      </c>
      <c r="AT406">
        <v>1.857142857142857</v>
      </c>
      <c r="AU406">
        <v>3</v>
      </c>
      <c r="AV406">
        <v>2</v>
      </c>
      <c r="AW406">
        <v>2</v>
      </c>
      <c r="AX406">
        <v>0.20967741935483869</v>
      </c>
      <c r="AY406">
        <v>0.33870967741935482</v>
      </c>
      <c r="AZ406">
        <v>0.22580645161290319</v>
      </c>
      <c r="BA406">
        <v>0.22580645161290319</v>
      </c>
      <c r="BB406">
        <v>6.1881326971785713</v>
      </c>
      <c r="BC406">
        <v>18</v>
      </c>
      <c r="BD406">
        <v>408.08048566890238</v>
      </c>
      <c r="BE406">
        <v>2</v>
      </c>
      <c r="BF406">
        <v>8.8217891480379992E-2</v>
      </c>
      <c r="BG406">
        <v>13.01244535</v>
      </c>
      <c r="BH406">
        <v>13.01244535</v>
      </c>
      <c r="BI406">
        <v>5.6884839999999999</v>
      </c>
      <c r="BJ406">
        <v>757.90090000000009</v>
      </c>
      <c r="BK406">
        <v>4</v>
      </c>
      <c r="BL406">
        <v>9.4999227471559922E-2</v>
      </c>
      <c r="BM406">
        <v>5.5060000000000002</v>
      </c>
      <c r="BN406">
        <v>5.5060000000000002</v>
      </c>
      <c r="BO406">
        <v>25</v>
      </c>
      <c r="BP406">
        <v>0</v>
      </c>
      <c r="BQ406">
        <v>0</v>
      </c>
      <c r="BS406">
        <v>0</v>
      </c>
      <c r="BT406">
        <v>0</v>
      </c>
      <c r="BU406">
        <v>0</v>
      </c>
      <c r="BV406">
        <v>757.16950240099993</v>
      </c>
      <c r="BW406">
        <v>9.5090993194636778E-2</v>
      </c>
      <c r="BX406">
        <v>9</v>
      </c>
      <c r="BY406">
        <v>4.7545496597318389E-2</v>
      </c>
      <c r="BZ406">
        <v>4.4108945740190003E-2</v>
      </c>
      <c r="CA406">
        <v>4.7499613735779961E-2</v>
      </c>
      <c r="CC406">
        <v>0.50205645606923577</v>
      </c>
      <c r="CD406">
        <v>0.54064968764634447</v>
      </c>
      <c r="CF406">
        <v>0.54117193515128337</v>
      </c>
    </row>
    <row r="407" spans="1:84" x14ac:dyDescent="0.3">
      <c r="A407" s="1">
        <v>59</v>
      </c>
      <c r="B407" t="s">
        <v>214</v>
      </c>
      <c r="C407" t="s">
        <v>215</v>
      </c>
      <c r="F407">
        <v>3.3</v>
      </c>
      <c r="G407" t="s">
        <v>216</v>
      </c>
      <c r="H407" t="s">
        <v>217</v>
      </c>
      <c r="I407">
        <v>-1</v>
      </c>
      <c r="N407" t="s">
        <v>206</v>
      </c>
      <c r="P407">
        <v>2</v>
      </c>
      <c r="Q407" t="s">
        <v>87</v>
      </c>
      <c r="R407">
        <v>1334</v>
      </c>
      <c r="S407">
        <v>54</v>
      </c>
      <c r="T407" t="b">
        <v>0</v>
      </c>
      <c r="U407" t="s">
        <v>88</v>
      </c>
      <c r="V407" t="s">
        <v>89</v>
      </c>
      <c r="W407">
        <v>0</v>
      </c>
      <c r="Y407">
        <v>0.5</v>
      </c>
      <c r="Z407">
        <v>12.5</v>
      </c>
      <c r="AC407" t="s">
        <v>90</v>
      </c>
      <c r="AD407">
        <v>350</v>
      </c>
      <c r="AF407" t="s">
        <v>91</v>
      </c>
      <c r="AH407">
        <v>1130</v>
      </c>
      <c r="AL407" t="b">
        <v>1</v>
      </c>
      <c r="AM407" t="b">
        <v>1</v>
      </c>
      <c r="AN407" t="b">
        <v>0</v>
      </c>
      <c r="AO407" t="b">
        <v>0</v>
      </c>
      <c r="AP407" t="s">
        <v>216</v>
      </c>
      <c r="AQ407" t="s">
        <v>217</v>
      </c>
      <c r="AS407">
        <v>7.0299729117063858</v>
      </c>
      <c r="AT407">
        <v>1.857142857142857</v>
      </c>
      <c r="AU407">
        <v>3</v>
      </c>
      <c r="AV407">
        <v>2</v>
      </c>
      <c r="AW407">
        <v>2</v>
      </c>
      <c r="AX407">
        <v>0.20967741935483869</v>
      </c>
      <c r="AY407">
        <v>0.33870967741935482</v>
      </c>
      <c r="AZ407">
        <v>0.22580645161290319</v>
      </c>
      <c r="BA407">
        <v>0.22580645161290319</v>
      </c>
      <c r="BB407">
        <v>6.1741811668214286</v>
      </c>
      <c r="BC407">
        <v>18</v>
      </c>
      <c r="BD407">
        <v>419.87909289623292</v>
      </c>
      <c r="BE407">
        <v>2</v>
      </c>
      <c r="BF407">
        <v>8.5738967738736363E-2</v>
      </c>
      <c r="BG407">
        <v>13.052871550000001</v>
      </c>
      <c r="BH407">
        <v>13.052871550000001</v>
      </c>
      <c r="BI407">
        <v>5.7602650000000004</v>
      </c>
      <c r="BJ407">
        <v>397.76722984439999</v>
      </c>
      <c r="BK407">
        <v>2</v>
      </c>
      <c r="BL407">
        <v>9.0505193235960166E-2</v>
      </c>
      <c r="BM407">
        <v>3.9390000000000001</v>
      </c>
      <c r="BN407">
        <v>3.9390000000000001</v>
      </c>
      <c r="BO407">
        <v>25.636399999999998</v>
      </c>
      <c r="BP407">
        <v>0</v>
      </c>
      <c r="BQ407">
        <v>0</v>
      </c>
      <c r="BS407">
        <v>0</v>
      </c>
      <c r="BT407">
        <v>0</v>
      </c>
      <c r="BU407">
        <v>0</v>
      </c>
      <c r="BX407">
        <v>9</v>
      </c>
      <c r="BZ407">
        <v>4.2869483869368182E-2</v>
      </c>
      <c r="CA407">
        <v>4.5252596617980083E-2</v>
      </c>
      <c r="CC407">
        <v>0.50806026761966738</v>
      </c>
      <c r="CD407">
        <v>0.53630331585689472</v>
      </c>
    </row>
    <row r="408" spans="1:84" x14ac:dyDescent="0.3">
      <c r="A408" s="1">
        <v>65</v>
      </c>
      <c r="B408" t="s">
        <v>174</v>
      </c>
      <c r="C408" t="s">
        <v>175</v>
      </c>
      <c r="E408" t="s">
        <v>94</v>
      </c>
      <c r="F408">
        <v>3.9</v>
      </c>
      <c r="G408" t="s">
        <v>176</v>
      </c>
      <c r="H408">
        <v>-1</v>
      </c>
      <c r="I408" t="s">
        <v>177</v>
      </c>
      <c r="J408">
        <v>1</v>
      </c>
      <c r="K408">
        <v>3.8849999999999998</v>
      </c>
      <c r="L408">
        <v>3.8849999999999998</v>
      </c>
      <c r="M408">
        <v>11.12</v>
      </c>
      <c r="N408" t="s">
        <v>101</v>
      </c>
      <c r="O408">
        <v>11.12</v>
      </c>
      <c r="P408">
        <v>2</v>
      </c>
      <c r="Q408" t="s">
        <v>87</v>
      </c>
      <c r="R408">
        <v>1373</v>
      </c>
      <c r="S408">
        <v>10</v>
      </c>
      <c r="T408" t="b">
        <v>0</v>
      </c>
      <c r="U408" t="s">
        <v>88</v>
      </c>
      <c r="V408" t="s">
        <v>89</v>
      </c>
      <c r="W408">
        <v>0</v>
      </c>
      <c r="Y408">
        <v>1</v>
      </c>
      <c r="AC408" t="s">
        <v>90</v>
      </c>
      <c r="AD408">
        <v>400</v>
      </c>
      <c r="AF408" t="s">
        <v>91</v>
      </c>
      <c r="AH408">
        <v>6</v>
      </c>
      <c r="AK408" t="s">
        <v>178</v>
      </c>
      <c r="AL408" t="b">
        <v>1</v>
      </c>
      <c r="AM408" t="b">
        <v>0</v>
      </c>
      <c r="AN408" t="b">
        <v>1</v>
      </c>
      <c r="AO408" t="b">
        <v>0</v>
      </c>
      <c r="AP408" t="s">
        <v>176</v>
      </c>
      <c r="AQ408">
        <v>-1</v>
      </c>
      <c r="AR408" t="s">
        <v>242</v>
      </c>
      <c r="AS408">
        <v>1.791759469228055</v>
      </c>
      <c r="AT408">
        <v>1.9090909090909089</v>
      </c>
      <c r="AU408">
        <v>2.545454545454545</v>
      </c>
      <c r="AV408">
        <v>0.63636363636363635</v>
      </c>
      <c r="AW408">
        <v>2.545454545454545</v>
      </c>
      <c r="AX408">
        <v>0.25</v>
      </c>
      <c r="AY408">
        <v>0.33333333333333331</v>
      </c>
      <c r="AZ408">
        <v>8.3333333333333329E-2</v>
      </c>
      <c r="BA408">
        <v>0.33333333333333331</v>
      </c>
      <c r="BB408">
        <v>6.0049330374090903</v>
      </c>
      <c r="BC408">
        <v>14</v>
      </c>
      <c r="BD408">
        <v>173.0114278564659</v>
      </c>
      <c r="BE408">
        <v>1</v>
      </c>
      <c r="BF408">
        <v>8.0919510193365449E-2</v>
      </c>
      <c r="BG408">
        <v>3.9103940000000001</v>
      </c>
      <c r="BH408">
        <v>3.9103940000000001</v>
      </c>
      <c r="BI408">
        <v>11.314458</v>
      </c>
      <c r="BJ408">
        <v>0</v>
      </c>
      <c r="BK408">
        <v>0</v>
      </c>
      <c r="BM408">
        <v>0</v>
      </c>
      <c r="BP408">
        <v>164.541706117579</v>
      </c>
      <c r="BQ408">
        <v>1</v>
      </c>
      <c r="BR408">
        <v>8.5084811202795069E-2</v>
      </c>
      <c r="BS408">
        <v>3.8653</v>
      </c>
      <c r="BT408">
        <v>3.8653</v>
      </c>
      <c r="BU408">
        <v>11.0131</v>
      </c>
      <c r="BV408">
        <v>167.83666199999999</v>
      </c>
      <c r="BW408">
        <v>8.3414433015832998E-2</v>
      </c>
      <c r="BX408">
        <v>7</v>
      </c>
      <c r="BY408">
        <v>4.1707216507916499E-2</v>
      </c>
      <c r="BZ408">
        <v>4.0459755096682717E-2</v>
      </c>
      <c r="CB408">
        <v>4.2542405601397527E-2</v>
      </c>
      <c r="CC408">
        <v>0.51172189361529641</v>
      </c>
      <c r="CE408">
        <v>0.5380625834554803</v>
      </c>
      <c r="CF408">
        <v>0.52749938198721436</v>
      </c>
    </row>
    <row r="409" spans="1:84" x14ac:dyDescent="0.3">
      <c r="A409" s="1">
        <v>66</v>
      </c>
      <c r="B409" t="s">
        <v>180</v>
      </c>
      <c r="C409" t="s">
        <v>181</v>
      </c>
      <c r="E409" t="s">
        <v>94</v>
      </c>
      <c r="F409">
        <v>3.5</v>
      </c>
      <c r="G409">
        <v>-1</v>
      </c>
      <c r="H409">
        <v>-1</v>
      </c>
      <c r="I409" t="s">
        <v>177</v>
      </c>
      <c r="J409">
        <v>1</v>
      </c>
      <c r="K409">
        <v>3.8839999999999999</v>
      </c>
      <c r="L409">
        <v>3.8839999999999999</v>
      </c>
      <c r="M409">
        <v>11.12</v>
      </c>
      <c r="N409" t="s">
        <v>101</v>
      </c>
      <c r="O409">
        <v>11.12</v>
      </c>
      <c r="P409">
        <v>2</v>
      </c>
      <c r="Q409" t="s">
        <v>87</v>
      </c>
      <c r="R409">
        <v>1373</v>
      </c>
      <c r="S409">
        <v>10</v>
      </c>
      <c r="T409" t="b">
        <v>0</v>
      </c>
      <c r="U409" t="s">
        <v>88</v>
      </c>
      <c r="V409" t="s">
        <v>89</v>
      </c>
      <c r="W409">
        <v>0</v>
      </c>
      <c r="Y409">
        <v>1</v>
      </c>
      <c r="AC409" t="s">
        <v>90</v>
      </c>
      <c r="AD409">
        <v>400</v>
      </c>
      <c r="AF409" t="s">
        <v>91</v>
      </c>
      <c r="AH409">
        <v>4.5</v>
      </c>
      <c r="AL409" t="b">
        <v>0</v>
      </c>
      <c r="AM409" t="b">
        <v>0</v>
      </c>
      <c r="AN409" t="b">
        <v>1</v>
      </c>
      <c r="AO409" t="b">
        <v>0</v>
      </c>
      <c r="AP409">
        <v>-1</v>
      </c>
      <c r="AQ409">
        <v>-1</v>
      </c>
      <c r="AR409" t="s">
        <v>177</v>
      </c>
      <c r="AS409">
        <v>1.5040773967762739</v>
      </c>
      <c r="AT409">
        <v>1.9090909090909089</v>
      </c>
      <c r="AU409">
        <v>2.545454545454545</v>
      </c>
      <c r="AV409">
        <v>0.54545454545454541</v>
      </c>
      <c r="AW409">
        <v>2.8181818181818179</v>
      </c>
      <c r="AX409">
        <v>0.2441860465116279</v>
      </c>
      <c r="AY409">
        <v>0.32558139534883718</v>
      </c>
      <c r="AZ409">
        <v>6.9767441860465115E-2</v>
      </c>
      <c r="BA409">
        <v>0.3604651162790698</v>
      </c>
      <c r="BB409">
        <v>5.9797052374090907</v>
      </c>
      <c r="BC409">
        <v>14</v>
      </c>
      <c r="BD409">
        <v>0</v>
      </c>
      <c r="BE409">
        <v>0</v>
      </c>
      <c r="BG409">
        <v>0</v>
      </c>
      <c r="BJ409">
        <v>0</v>
      </c>
      <c r="BK409">
        <v>0</v>
      </c>
      <c r="BM409">
        <v>0</v>
      </c>
      <c r="BP409">
        <v>164.541706117579</v>
      </c>
      <c r="BQ409">
        <v>1</v>
      </c>
      <c r="BR409">
        <v>8.5084811202795069E-2</v>
      </c>
      <c r="BS409">
        <v>3.8653</v>
      </c>
      <c r="BT409">
        <v>3.8653</v>
      </c>
      <c r="BU409">
        <v>11.0131</v>
      </c>
      <c r="BV409">
        <v>167.75027072</v>
      </c>
      <c r="BW409">
        <v>8.3457391394426247E-2</v>
      </c>
      <c r="BX409">
        <v>7</v>
      </c>
      <c r="BY409">
        <v>4.1728695697213117E-2</v>
      </c>
      <c r="CB409">
        <v>4.2542405601397527E-2</v>
      </c>
      <c r="CE409">
        <v>0.53381265134868683</v>
      </c>
      <c r="CF409">
        <v>0.52360240030056326</v>
      </c>
    </row>
    <row r="410" spans="1:84" x14ac:dyDescent="0.3">
      <c r="A410" s="1">
        <v>67</v>
      </c>
      <c r="B410" t="s">
        <v>182</v>
      </c>
      <c r="C410" t="s">
        <v>183</v>
      </c>
      <c r="E410" t="s">
        <v>94</v>
      </c>
      <c r="F410">
        <v>3.8</v>
      </c>
      <c r="G410">
        <v>-1</v>
      </c>
      <c r="H410">
        <v>-1</v>
      </c>
      <c r="I410" t="s">
        <v>177</v>
      </c>
      <c r="J410">
        <v>1</v>
      </c>
      <c r="K410">
        <v>3.8460000000000001</v>
      </c>
      <c r="L410">
        <v>3.8460000000000001</v>
      </c>
      <c r="M410">
        <v>11.1</v>
      </c>
      <c r="N410" t="s">
        <v>101</v>
      </c>
      <c r="O410">
        <v>11.1</v>
      </c>
      <c r="P410">
        <v>2</v>
      </c>
      <c r="Q410" t="s">
        <v>87</v>
      </c>
      <c r="R410">
        <v>1373</v>
      </c>
      <c r="S410">
        <v>10</v>
      </c>
      <c r="T410" t="b">
        <v>0</v>
      </c>
      <c r="U410" t="s">
        <v>88</v>
      </c>
      <c r="V410" t="s">
        <v>89</v>
      </c>
      <c r="W410">
        <v>0</v>
      </c>
      <c r="Y410">
        <v>1</v>
      </c>
      <c r="AC410" t="s">
        <v>90</v>
      </c>
      <c r="AD410">
        <v>400</v>
      </c>
      <c r="AF410" t="s">
        <v>91</v>
      </c>
      <c r="AH410">
        <v>235</v>
      </c>
      <c r="AK410" t="s">
        <v>184</v>
      </c>
      <c r="AL410" t="b">
        <v>0</v>
      </c>
      <c r="AM410" t="b">
        <v>0</v>
      </c>
      <c r="AN410" t="b">
        <v>1</v>
      </c>
      <c r="AO410" t="b">
        <v>0</v>
      </c>
      <c r="AP410">
        <v>-1</v>
      </c>
      <c r="AQ410">
        <v>-1</v>
      </c>
      <c r="AR410" t="s">
        <v>243</v>
      </c>
      <c r="AS410">
        <v>5.4595855141441589</v>
      </c>
      <c r="AT410">
        <v>1.9090909090909089</v>
      </c>
      <c r="AU410">
        <v>2.545454545454545</v>
      </c>
      <c r="AV410">
        <v>0.54545454545454541</v>
      </c>
      <c r="AW410">
        <v>2.9090909090909092</v>
      </c>
      <c r="AX410">
        <v>0.2413793103448276</v>
      </c>
      <c r="AY410">
        <v>0.32183908045977011</v>
      </c>
      <c r="AZ410">
        <v>6.8965517241379309E-2</v>
      </c>
      <c r="BA410">
        <v>0.36781609195402298</v>
      </c>
      <c r="BB410">
        <v>5.9816624510454544</v>
      </c>
      <c r="BC410">
        <v>14</v>
      </c>
      <c r="BD410">
        <v>0</v>
      </c>
      <c r="BE410">
        <v>0</v>
      </c>
      <c r="BG410">
        <v>0</v>
      </c>
      <c r="BJ410">
        <v>0</v>
      </c>
      <c r="BK410">
        <v>0</v>
      </c>
      <c r="BM410">
        <v>0</v>
      </c>
      <c r="BP410">
        <v>164.541706117579</v>
      </c>
      <c r="BQ410">
        <v>1</v>
      </c>
      <c r="BR410">
        <v>8.5084811202795069E-2</v>
      </c>
      <c r="BS410">
        <v>3.8653</v>
      </c>
      <c r="BT410">
        <v>3.8653</v>
      </c>
      <c r="BU410">
        <v>11.0131</v>
      </c>
      <c r="BV410">
        <v>164.1880476</v>
      </c>
      <c r="BW410">
        <v>8.5268082571438045E-2</v>
      </c>
      <c r="BX410">
        <v>7</v>
      </c>
      <c r="BY410">
        <v>4.2634041285719022E-2</v>
      </c>
      <c r="CB410">
        <v>4.2542405601397527E-2</v>
      </c>
      <c r="CE410">
        <v>0.53313423594927023</v>
      </c>
      <c r="CF410">
        <v>0.534282598855782</v>
      </c>
    </row>
    <row r="411" spans="1:84" x14ac:dyDescent="0.3">
      <c r="A411" s="1">
        <v>68</v>
      </c>
      <c r="B411" t="s">
        <v>186</v>
      </c>
      <c r="C411" t="s">
        <v>187</v>
      </c>
      <c r="E411" t="s">
        <v>94</v>
      </c>
      <c r="F411">
        <v>3.8</v>
      </c>
      <c r="G411">
        <v>-1</v>
      </c>
      <c r="H411">
        <v>-1</v>
      </c>
      <c r="I411" t="s">
        <v>177</v>
      </c>
      <c r="J411">
        <v>1</v>
      </c>
      <c r="K411">
        <v>3.8420000000000001</v>
      </c>
      <c r="L411">
        <v>3.8420000000000001</v>
      </c>
      <c r="M411">
        <v>11.11</v>
      </c>
      <c r="N411" t="s">
        <v>101</v>
      </c>
      <c r="O411">
        <v>11.11</v>
      </c>
      <c r="P411">
        <v>2</v>
      </c>
      <c r="Q411" t="s">
        <v>87</v>
      </c>
      <c r="R411">
        <v>1373</v>
      </c>
      <c r="S411">
        <v>10</v>
      </c>
      <c r="T411" t="b">
        <v>0</v>
      </c>
      <c r="U411" t="s">
        <v>88</v>
      </c>
      <c r="V411" t="s">
        <v>89</v>
      </c>
      <c r="W411">
        <v>0</v>
      </c>
      <c r="Y411">
        <v>1</v>
      </c>
      <c r="AC411" t="s">
        <v>90</v>
      </c>
      <c r="AD411">
        <v>400</v>
      </c>
      <c r="AF411" t="s">
        <v>91</v>
      </c>
      <c r="AH411">
        <v>53</v>
      </c>
      <c r="AK411" t="s">
        <v>188</v>
      </c>
      <c r="AL411" t="b">
        <v>0</v>
      </c>
      <c r="AM411" t="b">
        <v>0</v>
      </c>
      <c r="AN411" t="b">
        <v>1</v>
      </c>
      <c r="AO411" t="b">
        <v>0</v>
      </c>
      <c r="AP411">
        <v>-1</v>
      </c>
      <c r="AQ411">
        <v>-1</v>
      </c>
      <c r="AR411" t="s">
        <v>244</v>
      </c>
      <c r="AS411">
        <v>3.970291913552122</v>
      </c>
      <c r="AT411">
        <v>1.9090909090909089</v>
      </c>
      <c r="AU411">
        <v>2.545454545454545</v>
      </c>
      <c r="AV411">
        <v>0.54545454545454541</v>
      </c>
      <c r="AW411">
        <v>3.0909090909090908</v>
      </c>
      <c r="AX411">
        <v>0.2359550561797753</v>
      </c>
      <c r="AY411">
        <v>0.3146067415730337</v>
      </c>
      <c r="AZ411">
        <v>6.7415730337078636E-2</v>
      </c>
      <c r="BA411">
        <v>0.38202247191011229</v>
      </c>
      <c r="BB411">
        <v>5.9899904828636359</v>
      </c>
      <c r="BC411">
        <v>14</v>
      </c>
      <c r="BD411">
        <v>0</v>
      </c>
      <c r="BE411">
        <v>0</v>
      </c>
      <c r="BG411">
        <v>0</v>
      </c>
      <c r="BJ411">
        <v>0</v>
      </c>
      <c r="BK411">
        <v>0</v>
      </c>
      <c r="BM411">
        <v>0</v>
      </c>
      <c r="BP411">
        <v>164.541706117579</v>
      </c>
      <c r="BQ411">
        <v>1</v>
      </c>
      <c r="BR411">
        <v>8.5084811202795069E-2</v>
      </c>
      <c r="BS411">
        <v>3.8653</v>
      </c>
      <c r="BT411">
        <v>3.8653</v>
      </c>
      <c r="BU411">
        <v>11.0131</v>
      </c>
      <c r="BV411">
        <v>163.99431003999999</v>
      </c>
      <c r="BW411">
        <v>8.5368815519180186E-2</v>
      </c>
      <c r="BX411">
        <v>7</v>
      </c>
      <c r="BY411">
        <v>4.2684407759590093E-2</v>
      </c>
      <c r="CB411">
        <v>4.2542405601397527E-2</v>
      </c>
      <c r="CE411">
        <v>0.53077956978118013</v>
      </c>
      <c r="CF411">
        <v>0.53255125719208118</v>
      </c>
    </row>
    <row r="412" spans="1:84" x14ac:dyDescent="0.3">
      <c r="A412" s="1">
        <v>69</v>
      </c>
      <c r="B412" t="s">
        <v>245</v>
      </c>
      <c r="C412" t="s">
        <v>246</v>
      </c>
      <c r="E412" t="s">
        <v>130</v>
      </c>
      <c r="F412">
        <v>3.7</v>
      </c>
      <c r="G412">
        <v>-1</v>
      </c>
      <c r="H412">
        <v>-1</v>
      </c>
      <c r="I412" t="s">
        <v>247</v>
      </c>
      <c r="O412">
        <v>0</v>
      </c>
      <c r="Q412" t="s">
        <v>248</v>
      </c>
      <c r="T412" t="b">
        <v>0</v>
      </c>
      <c r="U412" t="s">
        <v>88</v>
      </c>
      <c r="V412" t="s">
        <v>89</v>
      </c>
      <c r="W412">
        <v>0</v>
      </c>
      <c r="Y412">
        <v>1</v>
      </c>
      <c r="AC412" t="s">
        <v>90</v>
      </c>
      <c r="AD412">
        <v>400</v>
      </c>
      <c r="AF412" t="s">
        <v>91</v>
      </c>
      <c r="AH412">
        <v>3.5</v>
      </c>
      <c r="AL412" t="b">
        <v>0</v>
      </c>
      <c r="AM412" t="b">
        <v>0</v>
      </c>
      <c r="AN412" t="b">
        <v>1</v>
      </c>
      <c r="AO412" t="b">
        <v>0</v>
      </c>
      <c r="AP412">
        <v>-1</v>
      </c>
      <c r="AQ412">
        <v>-1</v>
      </c>
      <c r="AR412" t="s">
        <v>247</v>
      </c>
      <c r="AS412">
        <v>1.2527629684953681</v>
      </c>
      <c r="AT412">
        <v>2</v>
      </c>
      <c r="AU412">
        <v>2.8571428571428572</v>
      </c>
      <c r="AV412">
        <v>0.8571428571428571</v>
      </c>
      <c r="AW412">
        <v>4</v>
      </c>
      <c r="AX412">
        <v>0.20588235294117649</v>
      </c>
      <c r="AY412">
        <v>0.29411764705882348</v>
      </c>
      <c r="AZ412">
        <v>8.8235294117647065E-2</v>
      </c>
      <c r="BA412">
        <v>0.41176470588235298</v>
      </c>
      <c r="BB412">
        <v>6.5109071682142856</v>
      </c>
      <c r="BC412">
        <v>10</v>
      </c>
      <c r="BD412">
        <v>0</v>
      </c>
      <c r="BE412">
        <v>0</v>
      </c>
      <c r="BG412">
        <v>0</v>
      </c>
      <c r="BJ412">
        <v>0</v>
      </c>
      <c r="BK412">
        <v>0</v>
      </c>
      <c r="BM412">
        <v>0</v>
      </c>
      <c r="BP412">
        <v>332.44572469099347</v>
      </c>
      <c r="BQ412">
        <v>4</v>
      </c>
      <c r="BR412">
        <v>0.12032039226005931</v>
      </c>
      <c r="BS412">
        <v>12.785299999999999</v>
      </c>
      <c r="BT412">
        <v>4.8536999999999999</v>
      </c>
      <c r="BU412">
        <v>5.5275999999999996</v>
      </c>
      <c r="BX412">
        <v>5</v>
      </c>
      <c r="CB412">
        <v>6.0160196130029632E-2</v>
      </c>
      <c r="CE412">
        <v>0.55192617747886141</v>
      </c>
    </row>
    <row r="413" spans="1:84" x14ac:dyDescent="0.3">
      <c r="A413" s="1">
        <v>70</v>
      </c>
      <c r="B413" t="s">
        <v>249</v>
      </c>
      <c r="C413" t="s">
        <v>250</v>
      </c>
      <c r="E413" t="s">
        <v>130</v>
      </c>
      <c r="F413">
        <v>3</v>
      </c>
      <c r="G413">
        <v>-1</v>
      </c>
      <c r="H413">
        <v>-1</v>
      </c>
      <c r="I413" t="s">
        <v>251</v>
      </c>
      <c r="Q413" t="s">
        <v>248</v>
      </c>
      <c r="T413" t="b">
        <v>0</v>
      </c>
      <c r="U413" t="s">
        <v>88</v>
      </c>
      <c r="V413" t="s">
        <v>89</v>
      </c>
      <c r="W413">
        <v>0</v>
      </c>
      <c r="Y413">
        <v>1</v>
      </c>
      <c r="AC413" t="s">
        <v>90</v>
      </c>
      <c r="AD413">
        <v>400</v>
      </c>
      <c r="AF413" t="s">
        <v>91</v>
      </c>
      <c r="AH413">
        <v>2</v>
      </c>
      <c r="AL413" t="b">
        <v>0</v>
      </c>
      <c r="AM413" t="b">
        <v>0</v>
      </c>
      <c r="AN413" t="b">
        <v>1</v>
      </c>
      <c r="AO413" t="b">
        <v>0</v>
      </c>
      <c r="AP413">
        <v>-1</v>
      </c>
      <c r="AQ413">
        <v>-1</v>
      </c>
      <c r="AR413" t="s">
        <v>251</v>
      </c>
      <c r="AS413">
        <v>0.69314718055994529</v>
      </c>
      <c r="AT413">
        <v>1.714285714285714</v>
      </c>
      <c r="AU413">
        <v>2.8571428571428572</v>
      </c>
      <c r="AV413">
        <v>1.142857142857143</v>
      </c>
      <c r="AW413">
        <v>0</v>
      </c>
      <c r="AX413">
        <v>0.3</v>
      </c>
      <c r="AY413">
        <v>0.5</v>
      </c>
      <c r="AZ413">
        <v>0.2</v>
      </c>
      <c r="BA413">
        <v>0</v>
      </c>
      <c r="BB413">
        <v>6.4820252782142864</v>
      </c>
      <c r="BC413">
        <v>10</v>
      </c>
      <c r="BD413">
        <v>0</v>
      </c>
      <c r="BE413">
        <v>0</v>
      </c>
      <c r="BG413">
        <v>0</v>
      </c>
      <c r="BJ413">
        <v>0</v>
      </c>
      <c r="BK413">
        <v>0</v>
      </c>
      <c r="BM413">
        <v>0</v>
      </c>
      <c r="BP413">
        <v>1351.782831723561</v>
      </c>
      <c r="BQ413">
        <v>14</v>
      </c>
      <c r="BR413">
        <v>0.10356693154735221</v>
      </c>
      <c r="BS413">
        <v>19.329999999999998</v>
      </c>
      <c r="BT413">
        <v>3.823</v>
      </c>
      <c r="BU413">
        <v>20.322500000000002</v>
      </c>
      <c r="BX413">
        <v>5</v>
      </c>
      <c r="CB413">
        <v>5.1783465773676103E-2</v>
      </c>
      <c r="CE413">
        <v>0.47507575040644112</v>
      </c>
    </row>
    <row r="414" spans="1:84" x14ac:dyDescent="0.3">
      <c r="A414" s="1">
        <v>76</v>
      </c>
      <c r="B414" t="s">
        <v>259</v>
      </c>
      <c r="C414" t="s">
        <v>260</v>
      </c>
      <c r="F414">
        <v>3.95</v>
      </c>
      <c r="G414" t="s">
        <v>261</v>
      </c>
      <c r="H414" t="s">
        <v>262</v>
      </c>
      <c r="I414">
        <v>-1</v>
      </c>
      <c r="Q414" t="s">
        <v>263</v>
      </c>
      <c r="R414">
        <v>1473</v>
      </c>
      <c r="S414">
        <v>10</v>
      </c>
      <c r="T414" t="b">
        <v>0</v>
      </c>
      <c r="U414" t="s">
        <v>88</v>
      </c>
      <c r="V414" t="s">
        <v>89</v>
      </c>
      <c r="W414">
        <v>0</v>
      </c>
      <c r="X414">
        <v>3.4</v>
      </c>
      <c r="Y414">
        <v>1.32</v>
      </c>
      <c r="Z414">
        <v>0</v>
      </c>
      <c r="AC414" t="s">
        <v>90</v>
      </c>
      <c r="AD414">
        <v>300</v>
      </c>
      <c r="AF414" t="s">
        <v>91</v>
      </c>
      <c r="AH414">
        <v>18</v>
      </c>
      <c r="AL414" t="b">
        <v>1</v>
      </c>
      <c r="AM414" t="b">
        <v>1</v>
      </c>
      <c r="AN414" t="b">
        <v>0</v>
      </c>
      <c r="AO414" t="b">
        <v>0</v>
      </c>
      <c r="AP414" t="s">
        <v>261</v>
      </c>
      <c r="AQ414" t="s">
        <v>262</v>
      </c>
      <c r="AS414">
        <v>2.890371757896165</v>
      </c>
      <c r="AT414">
        <v>2</v>
      </c>
      <c r="AU414">
        <v>2.5263157894736841</v>
      </c>
      <c r="AV414">
        <v>0.52631578947368418</v>
      </c>
      <c r="AW414">
        <v>0</v>
      </c>
      <c r="AX414">
        <v>0.39583333333333343</v>
      </c>
      <c r="AY414">
        <v>0.5</v>
      </c>
      <c r="AZ414">
        <v>0.1041666666666667</v>
      </c>
      <c r="BA414">
        <v>0</v>
      </c>
      <c r="BB414">
        <v>5.9525998828421054</v>
      </c>
      <c r="BC414">
        <v>24</v>
      </c>
      <c r="BD414">
        <v>238.908881754341</v>
      </c>
      <c r="BE414">
        <v>1</v>
      </c>
      <c r="BF414">
        <v>0.10045670895014321</v>
      </c>
      <c r="BG414">
        <v>9.3662349099999993</v>
      </c>
      <c r="BH414">
        <v>9.3662349099999993</v>
      </c>
      <c r="BI414">
        <v>9.3662351000000008</v>
      </c>
      <c r="BJ414">
        <v>702.74902632242583</v>
      </c>
      <c r="BK414">
        <v>3</v>
      </c>
      <c r="BL414">
        <v>0.102454784429635</v>
      </c>
      <c r="BM414">
        <v>5.5609999999999999</v>
      </c>
      <c r="BN414">
        <v>5.5609999999999999</v>
      </c>
      <c r="BO414">
        <v>26.24</v>
      </c>
      <c r="BP414">
        <v>0</v>
      </c>
      <c r="BQ414">
        <v>0</v>
      </c>
      <c r="BS414">
        <v>0</v>
      </c>
      <c r="BT414">
        <v>0</v>
      </c>
      <c r="BU414">
        <v>0</v>
      </c>
      <c r="BX414">
        <v>12</v>
      </c>
      <c r="BZ414">
        <v>5.0228354475071582E-2</v>
      </c>
      <c r="CA414">
        <v>5.122739221481748E-2</v>
      </c>
      <c r="CC414">
        <v>0.5555218939519232</v>
      </c>
      <c r="CD414">
        <v>0.56657117763069742</v>
      </c>
    </row>
    <row r="415" spans="1:84" x14ac:dyDescent="0.3">
      <c r="A415" s="1">
        <v>77</v>
      </c>
      <c r="B415" t="s">
        <v>264</v>
      </c>
      <c r="C415" t="s">
        <v>265</v>
      </c>
      <c r="F415">
        <v>3.79</v>
      </c>
      <c r="G415">
        <v>-1</v>
      </c>
      <c r="H415">
        <v>-1</v>
      </c>
      <c r="I415" t="s">
        <v>266</v>
      </c>
      <c r="Q415" t="s">
        <v>263</v>
      </c>
      <c r="R415">
        <v>1373</v>
      </c>
      <c r="S415">
        <v>10</v>
      </c>
      <c r="T415" t="b">
        <v>0</v>
      </c>
      <c r="U415" t="s">
        <v>88</v>
      </c>
      <c r="V415" t="s">
        <v>89</v>
      </c>
      <c r="W415">
        <v>0</v>
      </c>
      <c r="X415">
        <v>6.2</v>
      </c>
      <c r="Y415">
        <v>1.32</v>
      </c>
      <c r="Z415">
        <v>0</v>
      </c>
      <c r="AC415" t="s">
        <v>90</v>
      </c>
      <c r="AD415">
        <v>300</v>
      </c>
      <c r="AF415" t="s">
        <v>91</v>
      </c>
      <c r="AH415">
        <v>6</v>
      </c>
      <c r="AL415" t="b">
        <v>0</v>
      </c>
      <c r="AM415" t="b">
        <v>0</v>
      </c>
      <c r="AN415" t="b">
        <v>1</v>
      </c>
      <c r="AO415" t="b">
        <v>0</v>
      </c>
      <c r="AP415">
        <v>-1</v>
      </c>
      <c r="AQ415">
        <v>-1</v>
      </c>
      <c r="AR415" t="s">
        <v>266</v>
      </c>
      <c r="AS415">
        <v>1.791759469228055</v>
      </c>
      <c r="AT415">
        <v>2</v>
      </c>
      <c r="AU415">
        <v>2.5</v>
      </c>
      <c r="AV415">
        <v>0.5</v>
      </c>
      <c r="AW415">
        <v>0</v>
      </c>
      <c r="AX415">
        <v>0.4</v>
      </c>
      <c r="AY415">
        <v>0.5</v>
      </c>
      <c r="AZ415">
        <v>0.1</v>
      </c>
      <c r="BA415">
        <v>0</v>
      </c>
      <c r="BB415">
        <v>5.9266181448958326</v>
      </c>
      <c r="BC415">
        <v>30</v>
      </c>
      <c r="BD415">
        <v>0</v>
      </c>
      <c r="BE415">
        <v>0</v>
      </c>
      <c r="BG415">
        <v>0</v>
      </c>
      <c r="BJ415">
        <v>0</v>
      </c>
      <c r="BK415">
        <v>0</v>
      </c>
      <c r="BM415">
        <v>0</v>
      </c>
      <c r="BP415">
        <v>291.95700632233951</v>
      </c>
      <c r="BQ415">
        <v>1</v>
      </c>
      <c r="BR415">
        <v>0.1027548555107393</v>
      </c>
      <c r="BS415">
        <v>5.532</v>
      </c>
      <c r="BT415">
        <v>5.532</v>
      </c>
      <c r="BU415">
        <v>11.016</v>
      </c>
      <c r="BX415">
        <v>15</v>
      </c>
      <c r="CB415">
        <v>5.1377427755369659E-2</v>
      </c>
      <c r="CE415">
        <v>0.56787298166919375</v>
      </c>
    </row>
    <row r="416" spans="1:84" x14ac:dyDescent="0.3">
      <c r="A416" s="1">
        <v>78</v>
      </c>
      <c r="B416" t="s">
        <v>267</v>
      </c>
      <c r="C416" t="s">
        <v>268</v>
      </c>
      <c r="F416">
        <v>3.82</v>
      </c>
      <c r="G416">
        <v>-1</v>
      </c>
      <c r="H416">
        <v>-1</v>
      </c>
      <c r="I416" t="s">
        <v>269</v>
      </c>
      <c r="Q416" t="s">
        <v>263</v>
      </c>
      <c r="R416">
        <v>1373</v>
      </c>
      <c r="S416">
        <v>10</v>
      </c>
      <c r="T416" t="b">
        <v>0</v>
      </c>
      <c r="U416" t="s">
        <v>88</v>
      </c>
      <c r="V416" t="s">
        <v>89</v>
      </c>
      <c r="W416">
        <v>0</v>
      </c>
      <c r="X416">
        <v>6.2</v>
      </c>
      <c r="Y416">
        <v>1.32</v>
      </c>
      <c r="Z416">
        <v>0</v>
      </c>
      <c r="AC416" t="s">
        <v>90</v>
      </c>
      <c r="AD416">
        <v>300</v>
      </c>
      <c r="AF416" t="s">
        <v>91</v>
      </c>
      <c r="AH416">
        <v>4</v>
      </c>
      <c r="AL416" t="b">
        <v>0</v>
      </c>
      <c r="AM416" t="b">
        <v>0</v>
      </c>
      <c r="AN416" t="b">
        <v>1</v>
      </c>
      <c r="AO416" t="b">
        <v>0</v>
      </c>
      <c r="AP416">
        <v>-1</v>
      </c>
      <c r="AQ416">
        <v>-1</v>
      </c>
      <c r="AR416" t="s">
        <v>269</v>
      </c>
      <c r="AS416">
        <v>1.386294361119891</v>
      </c>
      <c r="AT416">
        <v>2</v>
      </c>
      <c r="AU416">
        <v>2.5</v>
      </c>
      <c r="AV416">
        <v>0.5</v>
      </c>
      <c r="AW416">
        <v>0</v>
      </c>
      <c r="AX416">
        <v>0.4</v>
      </c>
      <c r="AY416">
        <v>0.5</v>
      </c>
      <c r="AZ416">
        <v>0.1</v>
      </c>
      <c r="BA416">
        <v>0</v>
      </c>
      <c r="BB416">
        <v>5.9184770403124993</v>
      </c>
      <c r="BC416">
        <v>30</v>
      </c>
      <c r="BD416">
        <v>0</v>
      </c>
      <c r="BE416">
        <v>0</v>
      </c>
      <c r="BG416">
        <v>0</v>
      </c>
      <c r="BJ416">
        <v>0</v>
      </c>
      <c r="BK416">
        <v>0</v>
      </c>
      <c r="BM416">
        <v>0</v>
      </c>
      <c r="BP416">
        <v>295.19382183577648</v>
      </c>
      <c r="BQ416">
        <v>1</v>
      </c>
      <c r="BR416">
        <v>0.1016281432092089</v>
      </c>
      <c r="BS416">
        <v>5.55</v>
      </c>
      <c r="BT416">
        <v>5.55</v>
      </c>
      <c r="BU416">
        <v>11.066000000000001</v>
      </c>
      <c r="BX416">
        <v>15</v>
      </c>
      <c r="CB416">
        <v>5.0814071604604459E-2</v>
      </c>
      <c r="CE416">
        <v>0.57325963355758636</v>
      </c>
    </row>
    <row r="417" spans="1:84" x14ac:dyDescent="0.3">
      <c r="A417" s="1">
        <v>79</v>
      </c>
      <c r="B417" t="s">
        <v>270</v>
      </c>
      <c r="C417" t="s">
        <v>271</v>
      </c>
      <c r="F417">
        <v>3.85</v>
      </c>
      <c r="G417" t="s">
        <v>272</v>
      </c>
      <c r="H417" t="s">
        <v>273</v>
      </c>
      <c r="I417">
        <v>-1</v>
      </c>
      <c r="Q417" t="s">
        <v>263</v>
      </c>
      <c r="R417">
        <v>1373</v>
      </c>
      <c r="S417">
        <v>10</v>
      </c>
      <c r="T417" t="b">
        <v>0</v>
      </c>
      <c r="U417" t="s">
        <v>88</v>
      </c>
      <c r="V417" t="s">
        <v>89</v>
      </c>
      <c r="W417">
        <v>0</v>
      </c>
      <c r="X417">
        <v>6.1</v>
      </c>
      <c r="Y417">
        <v>1.32</v>
      </c>
      <c r="Z417">
        <v>0</v>
      </c>
      <c r="AC417" t="s">
        <v>90</v>
      </c>
      <c r="AD417">
        <v>300</v>
      </c>
      <c r="AF417" t="s">
        <v>91</v>
      </c>
      <c r="AH417">
        <v>10</v>
      </c>
      <c r="AL417" t="b">
        <v>1</v>
      </c>
      <c r="AM417" t="b">
        <v>1</v>
      </c>
      <c r="AN417" t="b">
        <v>0</v>
      </c>
      <c r="AO417" t="b">
        <v>0</v>
      </c>
      <c r="AP417" t="s">
        <v>272</v>
      </c>
      <c r="AQ417" t="s">
        <v>273</v>
      </c>
      <c r="AS417">
        <v>2.3025850929940459</v>
      </c>
      <c r="AT417">
        <v>2</v>
      </c>
      <c r="AU417">
        <v>2.5</v>
      </c>
      <c r="AV417">
        <v>0.5</v>
      </c>
      <c r="AW417">
        <v>0</v>
      </c>
      <c r="AX417">
        <v>0.4</v>
      </c>
      <c r="AY417">
        <v>0.5</v>
      </c>
      <c r="AZ417">
        <v>0.1</v>
      </c>
      <c r="BA417">
        <v>0</v>
      </c>
      <c r="BB417">
        <v>5.9103386476041662</v>
      </c>
      <c r="BC417">
        <v>30</v>
      </c>
      <c r="BD417">
        <v>623.81230762201892</v>
      </c>
      <c r="BE417">
        <v>2</v>
      </c>
      <c r="BF417">
        <v>9.6182776881592519E-2</v>
      </c>
      <c r="BG417">
        <v>5.6269875200000001</v>
      </c>
      <c r="BH417">
        <v>5.6269875200000001</v>
      </c>
      <c r="BI417">
        <v>22.749475</v>
      </c>
      <c r="BJ417">
        <v>602.84300974379028</v>
      </c>
      <c r="BK417">
        <v>2</v>
      </c>
      <c r="BL417">
        <v>9.952839965001857E-2</v>
      </c>
      <c r="BM417">
        <v>5.5670999999999999</v>
      </c>
      <c r="BN417">
        <v>5.5670999999999999</v>
      </c>
      <c r="BO417">
        <v>22.4603</v>
      </c>
      <c r="BP417">
        <v>0</v>
      </c>
      <c r="BQ417">
        <v>0</v>
      </c>
      <c r="BS417">
        <v>0</v>
      </c>
      <c r="BT417">
        <v>0</v>
      </c>
      <c r="BU417">
        <v>0</v>
      </c>
      <c r="BX417">
        <v>15</v>
      </c>
      <c r="BZ417">
        <v>4.8091388440796259E-2</v>
      </c>
      <c r="CA417">
        <v>4.9764199825009292E-2</v>
      </c>
      <c r="CC417">
        <v>0.55608047790729209</v>
      </c>
      <c r="CD417">
        <v>0.5754231873640403</v>
      </c>
    </row>
    <row r="418" spans="1:84" x14ac:dyDescent="0.3">
      <c r="A418" s="1">
        <v>80</v>
      </c>
      <c r="B418" t="s">
        <v>274</v>
      </c>
      <c r="C418" t="s">
        <v>275</v>
      </c>
      <c r="F418">
        <v>4.07</v>
      </c>
      <c r="G418" t="s">
        <v>276</v>
      </c>
      <c r="H418">
        <v>-1</v>
      </c>
      <c r="I418">
        <v>-1</v>
      </c>
      <c r="Q418" t="s">
        <v>263</v>
      </c>
      <c r="R418">
        <v>1073</v>
      </c>
      <c r="S418">
        <v>10</v>
      </c>
      <c r="T418" t="b">
        <v>0</v>
      </c>
      <c r="U418" t="s">
        <v>88</v>
      </c>
      <c r="V418" t="s">
        <v>89</v>
      </c>
      <c r="W418">
        <v>0</v>
      </c>
      <c r="X418">
        <v>5.8</v>
      </c>
      <c r="Y418">
        <v>1.32</v>
      </c>
      <c r="Z418">
        <v>0</v>
      </c>
      <c r="AC418" t="s">
        <v>90</v>
      </c>
      <c r="AD418">
        <v>300</v>
      </c>
      <c r="AF418" t="s">
        <v>91</v>
      </c>
      <c r="AH418">
        <v>4</v>
      </c>
      <c r="AL418" t="b">
        <v>1</v>
      </c>
      <c r="AM418" t="b">
        <v>0</v>
      </c>
      <c r="AN418" t="b">
        <v>0</v>
      </c>
      <c r="AO418" t="b">
        <v>0</v>
      </c>
      <c r="AP418" t="s">
        <v>276</v>
      </c>
      <c r="AQ418">
        <v>-1</v>
      </c>
      <c r="AS418">
        <v>1.386294361119891</v>
      </c>
      <c r="AT418">
        <v>1.8421052631578949</v>
      </c>
      <c r="AU418">
        <v>2.5263157894736841</v>
      </c>
      <c r="AV418">
        <v>0.68421052631578949</v>
      </c>
      <c r="AW418">
        <v>0</v>
      </c>
      <c r="AX418">
        <v>0.36458333333333343</v>
      </c>
      <c r="AY418">
        <v>0.5</v>
      </c>
      <c r="AZ418">
        <v>0.13541666666666671</v>
      </c>
      <c r="BA418">
        <v>0</v>
      </c>
      <c r="BB418">
        <v>5.9521606512631573</v>
      </c>
      <c r="BC418">
        <v>24</v>
      </c>
      <c r="BD418">
        <v>275.17611786249188</v>
      </c>
      <c r="BE418">
        <v>1</v>
      </c>
      <c r="BF418">
        <v>8.7216871094871057E-2</v>
      </c>
      <c r="BG418">
        <v>9.9321903099999993</v>
      </c>
      <c r="BH418">
        <v>9.9321903099999993</v>
      </c>
      <c r="BI418">
        <v>9.9321899499999997</v>
      </c>
      <c r="BJ418">
        <v>0</v>
      </c>
      <c r="BK418">
        <v>0</v>
      </c>
      <c r="BM418">
        <v>0</v>
      </c>
      <c r="BP418">
        <v>0</v>
      </c>
      <c r="BQ418">
        <v>0</v>
      </c>
      <c r="BS418">
        <v>0</v>
      </c>
      <c r="BT418">
        <v>0</v>
      </c>
      <c r="BU418">
        <v>0</v>
      </c>
      <c r="BX418">
        <v>12</v>
      </c>
      <c r="BZ418">
        <v>4.3608435547435528E-2</v>
      </c>
      <c r="CC418">
        <v>0.56264133404440508</v>
      </c>
    </row>
    <row r="419" spans="1:84" x14ac:dyDescent="0.3">
      <c r="A419" s="1">
        <v>81</v>
      </c>
      <c r="B419" t="s">
        <v>277</v>
      </c>
      <c r="C419" t="s">
        <v>278</v>
      </c>
      <c r="F419">
        <v>4.04</v>
      </c>
      <c r="G419" t="s">
        <v>279</v>
      </c>
      <c r="H419" t="s">
        <v>280</v>
      </c>
      <c r="I419">
        <v>-1</v>
      </c>
      <c r="O419">
        <v>0</v>
      </c>
      <c r="Q419" t="s">
        <v>263</v>
      </c>
      <c r="R419">
        <v>1073</v>
      </c>
      <c r="S419">
        <v>10</v>
      </c>
      <c r="T419" t="b">
        <v>0</v>
      </c>
      <c r="U419" t="s">
        <v>88</v>
      </c>
      <c r="V419" t="s">
        <v>89</v>
      </c>
      <c r="W419">
        <v>0</v>
      </c>
      <c r="X419">
        <v>7.9</v>
      </c>
      <c r="Y419">
        <v>1.32</v>
      </c>
      <c r="Z419">
        <v>0</v>
      </c>
      <c r="AC419" t="s">
        <v>90</v>
      </c>
      <c r="AD419">
        <v>300</v>
      </c>
      <c r="AF419" t="s">
        <v>91</v>
      </c>
      <c r="AH419">
        <v>6</v>
      </c>
      <c r="AL419" t="b">
        <v>1</v>
      </c>
      <c r="AM419" t="b">
        <v>1</v>
      </c>
      <c r="AN419" t="b">
        <v>0</v>
      </c>
      <c r="AO419" t="b">
        <v>0</v>
      </c>
      <c r="AP419" t="s">
        <v>279</v>
      </c>
      <c r="AQ419" t="s">
        <v>280</v>
      </c>
      <c r="AS419">
        <v>1.791759469228055</v>
      </c>
      <c r="AT419">
        <v>1.833333333333333</v>
      </c>
      <c r="AU419">
        <v>2.5</v>
      </c>
      <c r="AV419">
        <v>0.66666666666666663</v>
      </c>
      <c r="AW419">
        <v>0</v>
      </c>
      <c r="AX419">
        <v>0.36666666666666659</v>
      </c>
      <c r="AY419">
        <v>0.5</v>
      </c>
      <c r="AZ419">
        <v>0.1333333333333333</v>
      </c>
      <c r="BA419">
        <v>0</v>
      </c>
      <c r="BB419">
        <v>5.9505669778124997</v>
      </c>
      <c r="BC419">
        <v>30</v>
      </c>
      <c r="BD419">
        <v>333.30247418302179</v>
      </c>
      <c r="BE419">
        <v>1</v>
      </c>
      <c r="BF419">
        <v>9.0008332742008132E-2</v>
      </c>
      <c r="BG419">
        <v>5.7458564399999998</v>
      </c>
      <c r="BH419">
        <v>5.7458564399999998</v>
      </c>
      <c r="BI419">
        <v>11.67169612</v>
      </c>
      <c r="BJ419">
        <v>638.56770625824583</v>
      </c>
      <c r="BK419">
        <v>2</v>
      </c>
      <c r="BL419">
        <v>9.3960279249911127E-2</v>
      </c>
      <c r="BM419">
        <v>5.6660000000000004</v>
      </c>
      <c r="BN419">
        <v>5.6660000000000013</v>
      </c>
      <c r="BO419">
        <v>22.968</v>
      </c>
      <c r="BP419">
        <v>0</v>
      </c>
      <c r="BQ419">
        <v>0</v>
      </c>
      <c r="BS419">
        <v>0</v>
      </c>
      <c r="BT419">
        <v>0</v>
      </c>
      <c r="BU419">
        <v>0</v>
      </c>
      <c r="BX419">
        <v>15</v>
      </c>
      <c r="BZ419">
        <v>4.5004166371004073E-2</v>
      </c>
      <c r="CA419">
        <v>4.6980139624955557E-2</v>
      </c>
      <c r="CC419">
        <v>0.54547732833861418</v>
      </c>
      <c r="CD419">
        <v>0.56942730227099381</v>
      </c>
    </row>
    <row r="420" spans="1:84" x14ac:dyDescent="0.3">
      <c r="A420" s="1">
        <v>82</v>
      </c>
      <c r="B420" t="s">
        <v>281</v>
      </c>
      <c r="C420" t="s">
        <v>282</v>
      </c>
      <c r="F420">
        <v>3.87</v>
      </c>
      <c r="G420" t="s">
        <v>283</v>
      </c>
      <c r="H420" t="s">
        <v>284</v>
      </c>
      <c r="I420">
        <v>-1</v>
      </c>
      <c r="Q420" t="s">
        <v>263</v>
      </c>
      <c r="R420">
        <v>1073</v>
      </c>
      <c r="S420">
        <v>10</v>
      </c>
      <c r="T420" t="b">
        <v>0</v>
      </c>
      <c r="U420" t="s">
        <v>88</v>
      </c>
      <c r="V420" t="s">
        <v>89</v>
      </c>
      <c r="W420">
        <v>0</v>
      </c>
      <c r="X420">
        <v>1.9</v>
      </c>
      <c r="Y420">
        <v>1.32</v>
      </c>
      <c r="Z420">
        <v>0</v>
      </c>
      <c r="AC420" t="s">
        <v>90</v>
      </c>
      <c r="AD420">
        <v>300</v>
      </c>
      <c r="AF420" t="s">
        <v>91</v>
      </c>
      <c r="AH420">
        <v>6</v>
      </c>
      <c r="AL420" t="b">
        <v>1</v>
      </c>
      <c r="AM420" t="b">
        <v>0</v>
      </c>
      <c r="AN420" t="b">
        <v>0</v>
      </c>
      <c r="AO420" t="b">
        <v>0</v>
      </c>
      <c r="AP420" t="s">
        <v>283</v>
      </c>
      <c r="AQ420" t="s">
        <v>284</v>
      </c>
      <c r="AS420">
        <v>1.791759469228055</v>
      </c>
      <c r="AT420">
        <v>1.833333333333333</v>
      </c>
      <c r="AU420">
        <v>2.5</v>
      </c>
      <c r="AV420">
        <v>0.66666666666666663</v>
      </c>
      <c r="AW420">
        <v>0</v>
      </c>
      <c r="AX420">
        <v>0.36666666666666659</v>
      </c>
      <c r="AY420">
        <v>0.5</v>
      </c>
      <c r="AZ420">
        <v>0.1333333333333333</v>
      </c>
      <c r="BA420">
        <v>0</v>
      </c>
      <c r="BB420">
        <v>5.9098750142708329</v>
      </c>
      <c r="BC420">
        <v>30</v>
      </c>
      <c r="BD420">
        <v>353.45760058531442</v>
      </c>
      <c r="BE420">
        <v>1</v>
      </c>
      <c r="BF420">
        <v>8.487580957467307E-2</v>
      </c>
      <c r="BG420">
        <v>5.8532381300000003</v>
      </c>
      <c r="BH420">
        <v>5.8532371599999999</v>
      </c>
      <c r="BI420">
        <v>11.912811489999999</v>
      </c>
      <c r="BJ420">
        <v>342.77011164986561</v>
      </c>
      <c r="BK420">
        <v>1</v>
      </c>
      <c r="BL420">
        <v>8.7522216728874364E-2</v>
      </c>
      <c r="BM420">
        <v>5.7946</v>
      </c>
      <c r="BN420">
        <v>5.7946</v>
      </c>
      <c r="BO420">
        <v>11.787599999999999</v>
      </c>
      <c r="BP420">
        <v>0</v>
      </c>
      <c r="BQ420">
        <v>0</v>
      </c>
      <c r="BS420">
        <v>0</v>
      </c>
      <c r="BT420">
        <v>0</v>
      </c>
      <c r="BU420">
        <v>0</v>
      </c>
      <c r="BX420">
        <v>15</v>
      </c>
      <c r="BZ420">
        <v>4.2437904787336528E-2</v>
      </c>
      <c r="CA420">
        <v>4.3761108364437182E-2</v>
      </c>
      <c r="CC420">
        <v>0.57410011132036631</v>
      </c>
      <c r="CD420">
        <v>0.59200041353179089</v>
      </c>
    </row>
    <row r="421" spans="1:84" x14ac:dyDescent="0.3">
      <c r="A421" s="1">
        <v>87</v>
      </c>
      <c r="B421" t="s">
        <v>285</v>
      </c>
      <c r="C421" t="s">
        <v>286</v>
      </c>
      <c r="F421">
        <v>4.5999999999999996</v>
      </c>
      <c r="G421" t="s">
        <v>287</v>
      </c>
      <c r="H421" t="s">
        <v>288</v>
      </c>
      <c r="I421">
        <v>-1</v>
      </c>
      <c r="O421">
        <v>0</v>
      </c>
      <c r="Q421" t="s">
        <v>87</v>
      </c>
      <c r="R421">
        <v>1450</v>
      </c>
      <c r="S421">
        <v>200</v>
      </c>
      <c r="T421" t="b">
        <v>0</v>
      </c>
      <c r="U421" t="s">
        <v>88</v>
      </c>
      <c r="V421" t="s">
        <v>89</v>
      </c>
      <c r="W421">
        <v>0</v>
      </c>
      <c r="X421">
        <v>0.9</v>
      </c>
      <c r="Y421">
        <v>2.63</v>
      </c>
      <c r="Z421">
        <v>0</v>
      </c>
      <c r="AC421" t="s">
        <v>165</v>
      </c>
      <c r="AD421">
        <v>300</v>
      </c>
      <c r="AF421" t="s">
        <v>91</v>
      </c>
      <c r="AH421">
        <v>52</v>
      </c>
      <c r="AL421" t="b">
        <v>1</v>
      </c>
      <c r="AM421" t="b">
        <v>1</v>
      </c>
      <c r="AN421" t="b">
        <v>0</v>
      </c>
      <c r="AO421" t="b">
        <v>0</v>
      </c>
      <c r="AP421" t="s">
        <v>287</v>
      </c>
      <c r="AQ421" t="s">
        <v>288</v>
      </c>
      <c r="AS421">
        <v>3.951243718581428</v>
      </c>
      <c r="AT421">
        <v>2</v>
      </c>
      <c r="AU421">
        <v>2.545454545454545</v>
      </c>
      <c r="AV421">
        <v>0.54545454545454541</v>
      </c>
      <c r="AW421">
        <v>2.545454545454545</v>
      </c>
      <c r="AX421">
        <v>0.26190476190476192</v>
      </c>
      <c r="AY421">
        <v>0.33333333333333331</v>
      </c>
      <c r="AZ421">
        <v>7.1428571428571425E-2</v>
      </c>
      <c r="BA421">
        <v>0.33333333333333331</v>
      </c>
      <c r="BB421">
        <v>6.0365865096818183</v>
      </c>
      <c r="BC421">
        <v>14</v>
      </c>
      <c r="BD421">
        <v>309.44138863753989</v>
      </c>
      <c r="BE421">
        <v>2</v>
      </c>
      <c r="BF421">
        <v>9.0485633235046756E-2</v>
      </c>
      <c r="BG421">
        <v>13.81974189</v>
      </c>
      <c r="BH421">
        <v>13.81974189</v>
      </c>
      <c r="BI421">
        <v>5.7110870199999999</v>
      </c>
      <c r="BJ421">
        <v>608.87893199999996</v>
      </c>
      <c r="BK421">
        <v>4</v>
      </c>
      <c r="BL421">
        <v>9.1972306901891634E-2</v>
      </c>
      <c r="BM421">
        <v>3.94</v>
      </c>
      <c r="BN421">
        <v>27.15</v>
      </c>
      <c r="BO421">
        <v>5.6920000000000002</v>
      </c>
      <c r="BP421">
        <v>0</v>
      </c>
      <c r="BQ421">
        <v>0</v>
      </c>
      <c r="BS421">
        <v>0</v>
      </c>
      <c r="BT421">
        <v>0</v>
      </c>
      <c r="BU421">
        <v>0</v>
      </c>
      <c r="BX421">
        <v>7</v>
      </c>
      <c r="BZ421">
        <v>4.5242816617523378E-2</v>
      </c>
      <c r="CA421">
        <v>4.5986153450945817E-2</v>
      </c>
      <c r="CC421">
        <v>0.52932707238285004</v>
      </c>
      <c r="CD421">
        <v>0.53802388525275069</v>
      </c>
    </row>
    <row r="422" spans="1:84" x14ac:dyDescent="0.3">
      <c r="A422" s="1">
        <v>88</v>
      </c>
      <c r="B422" t="s">
        <v>289</v>
      </c>
      <c r="C422" t="s">
        <v>290</v>
      </c>
      <c r="F422">
        <v>3.9</v>
      </c>
      <c r="G422" t="s">
        <v>291</v>
      </c>
      <c r="H422" t="s">
        <v>292</v>
      </c>
      <c r="I422">
        <v>-1</v>
      </c>
      <c r="O422">
        <v>0</v>
      </c>
      <c r="Q422" t="s">
        <v>87</v>
      </c>
      <c r="R422">
        <v>1370</v>
      </c>
      <c r="S422">
        <v>150</v>
      </c>
      <c r="T422" t="b">
        <v>0</v>
      </c>
      <c r="U422" t="s">
        <v>88</v>
      </c>
      <c r="V422" t="s">
        <v>89</v>
      </c>
      <c r="W422">
        <v>0</v>
      </c>
      <c r="X422">
        <v>0.7</v>
      </c>
      <c r="Y422">
        <v>2.63</v>
      </c>
      <c r="Z422">
        <v>0</v>
      </c>
      <c r="AC422" t="s">
        <v>165</v>
      </c>
      <c r="AD422">
        <v>300</v>
      </c>
      <c r="AF422" t="s">
        <v>91</v>
      </c>
      <c r="AH422">
        <v>5.9</v>
      </c>
      <c r="AL422" t="b">
        <v>1</v>
      </c>
      <c r="AM422" t="b">
        <v>0</v>
      </c>
      <c r="AN422" t="b">
        <v>0</v>
      </c>
      <c r="AO422" t="b">
        <v>0</v>
      </c>
      <c r="AP422" t="s">
        <v>291</v>
      </c>
      <c r="AQ422" t="s">
        <v>292</v>
      </c>
      <c r="AS422">
        <v>1.774952350911674</v>
      </c>
      <c r="AT422">
        <v>1.8181818181818179</v>
      </c>
      <c r="AU422">
        <v>2.545454545454545</v>
      </c>
      <c r="AV422">
        <v>0.72727272727272729</v>
      </c>
      <c r="AW422">
        <v>0</v>
      </c>
      <c r="AX422">
        <v>0.35714285714285721</v>
      </c>
      <c r="AY422">
        <v>0.5</v>
      </c>
      <c r="AZ422">
        <v>0.1428571428571429</v>
      </c>
      <c r="BA422">
        <v>0</v>
      </c>
      <c r="BB422">
        <v>6.0182071251363629</v>
      </c>
      <c r="BC422">
        <v>14</v>
      </c>
      <c r="BD422">
        <v>1265.6493143942739</v>
      </c>
      <c r="BE422">
        <v>8</v>
      </c>
      <c r="BF422">
        <v>8.8492127105210025E-2</v>
      </c>
      <c r="BG422">
        <v>5.8017180100000001</v>
      </c>
      <c r="BH422">
        <v>7.9756520899999996</v>
      </c>
      <c r="BI422">
        <v>27.352093400000001</v>
      </c>
      <c r="BJ422">
        <v>1206.4392746112001</v>
      </c>
      <c r="BK422">
        <v>8</v>
      </c>
      <c r="BL422">
        <v>9.2835174017436004E-2</v>
      </c>
      <c r="BM422">
        <v>26.646989999999999</v>
      </c>
      <c r="BN422">
        <v>7.9359999999999999</v>
      </c>
      <c r="BO422">
        <v>5.7050000000000001</v>
      </c>
      <c r="BP422">
        <v>0</v>
      </c>
      <c r="BQ422">
        <v>0</v>
      </c>
      <c r="BS422">
        <v>0</v>
      </c>
      <c r="BT422">
        <v>0</v>
      </c>
      <c r="BU422">
        <v>0</v>
      </c>
      <c r="BX422">
        <v>7</v>
      </c>
      <c r="BZ422">
        <v>4.4246063552605013E-2</v>
      </c>
      <c r="CA422">
        <v>4.6417587008718002E-2</v>
      </c>
      <c r="CC422">
        <v>0.5176653673612065</v>
      </c>
      <c r="CD422">
        <v>0.54307152550012683</v>
      </c>
    </row>
    <row r="423" spans="1:84" x14ac:dyDescent="0.3">
      <c r="A423" s="1">
        <v>107</v>
      </c>
      <c r="B423" t="s">
        <v>354</v>
      </c>
      <c r="C423" t="s">
        <v>355</v>
      </c>
      <c r="E423" t="s">
        <v>106</v>
      </c>
      <c r="F423">
        <v>4.0999999999999996</v>
      </c>
      <c r="G423" t="s">
        <v>142</v>
      </c>
      <c r="H423" t="s">
        <v>356</v>
      </c>
      <c r="I423">
        <v>-1</v>
      </c>
      <c r="J423">
        <v>1</v>
      </c>
      <c r="K423">
        <v>3.87</v>
      </c>
      <c r="L423">
        <v>3.87</v>
      </c>
      <c r="M423">
        <v>15.1</v>
      </c>
      <c r="N423" t="s">
        <v>101</v>
      </c>
      <c r="O423">
        <v>15.1</v>
      </c>
      <c r="Q423" t="s">
        <v>87</v>
      </c>
      <c r="R423">
        <v>1273</v>
      </c>
      <c r="S423">
        <v>10</v>
      </c>
      <c r="T423" t="b">
        <v>0</v>
      </c>
      <c r="U423" t="s">
        <v>88</v>
      </c>
      <c r="V423" t="s">
        <v>89</v>
      </c>
      <c r="W423">
        <v>0</v>
      </c>
      <c r="Y423">
        <v>1</v>
      </c>
      <c r="Z423">
        <v>0</v>
      </c>
      <c r="AC423" t="s">
        <v>90</v>
      </c>
      <c r="AD423">
        <v>400</v>
      </c>
      <c r="AF423" t="s">
        <v>91</v>
      </c>
      <c r="AH423">
        <v>38</v>
      </c>
      <c r="AL423" t="b">
        <v>1</v>
      </c>
      <c r="AM423" t="b">
        <v>1</v>
      </c>
      <c r="AN423" t="b">
        <v>0</v>
      </c>
      <c r="AO423" t="b">
        <v>0</v>
      </c>
      <c r="AP423" t="s">
        <v>142</v>
      </c>
      <c r="AQ423" t="s">
        <v>356</v>
      </c>
      <c r="AS423">
        <v>3.6375861597263861</v>
      </c>
      <c r="AT423">
        <v>1.9375</v>
      </c>
      <c r="AU423">
        <v>2.5</v>
      </c>
      <c r="AV423">
        <v>0.5625</v>
      </c>
      <c r="AW423">
        <v>2.625</v>
      </c>
      <c r="AX423">
        <v>0.25409836065573771</v>
      </c>
      <c r="AY423">
        <v>0.32786885245901642</v>
      </c>
      <c r="AZ423">
        <v>7.3770491803278687E-2</v>
      </c>
      <c r="BA423">
        <v>0.34426229508196721</v>
      </c>
      <c r="BB423">
        <v>5.9708714839196873</v>
      </c>
      <c r="BC423">
        <v>20</v>
      </c>
      <c r="BD423">
        <v>242.1279024923125</v>
      </c>
      <c r="BE423">
        <v>1</v>
      </c>
      <c r="BF423">
        <v>8.2600971611006269E-2</v>
      </c>
      <c r="BG423">
        <v>3.950634</v>
      </c>
      <c r="BH423">
        <v>3.950634</v>
      </c>
      <c r="BI423">
        <v>15.513552000000001</v>
      </c>
      <c r="BJ423">
        <v>227.970829547178</v>
      </c>
      <c r="BK423">
        <v>1</v>
      </c>
      <c r="BL423">
        <v>8.7730522539775438E-2</v>
      </c>
      <c r="BM423">
        <v>3.8658999999999999</v>
      </c>
      <c r="BN423">
        <v>3.8658999999999999</v>
      </c>
      <c r="BO423">
        <v>15.2538</v>
      </c>
      <c r="BP423">
        <v>0</v>
      </c>
      <c r="BQ423">
        <v>0</v>
      </c>
      <c r="BS423">
        <v>0</v>
      </c>
      <c r="BT423">
        <v>0</v>
      </c>
      <c r="BU423">
        <v>0</v>
      </c>
      <c r="BV423">
        <v>226.15119000000001</v>
      </c>
      <c r="BW423">
        <v>8.8436412826304378E-2</v>
      </c>
      <c r="BX423">
        <v>10</v>
      </c>
      <c r="BY423">
        <v>4.4218206413152189E-2</v>
      </c>
      <c r="BZ423">
        <v>4.1300485805503127E-2</v>
      </c>
      <c r="CA423">
        <v>4.3865261269887719E-2</v>
      </c>
      <c r="CC423">
        <v>0.52453741991489766</v>
      </c>
      <c r="CD423">
        <v>0.55711138795694104</v>
      </c>
      <c r="CF423">
        <v>0.56159397287594881</v>
      </c>
    </row>
    <row r="424" spans="1:84" x14ac:dyDescent="0.3">
      <c r="A424" s="1">
        <v>108</v>
      </c>
      <c r="B424" t="s">
        <v>357</v>
      </c>
      <c r="C424" t="s">
        <v>358</v>
      </c>
      <c r="D424" t="s">
        <v>359</v>
      </c>
      <c r="E424" t="s">
        <v>106</v>
      </c>
      <c r="F424">
        <v>4.3</v>
      </c>
      <c r="G424" t="s">
        <v>360</v>
      </c>
      <c r="H424">
        <v>7221084</v>
      </c>
      <c r="I424">
        <v>-1</v>
      </c>
      <c r="J424">
        <v>1</v>
      </c>
      <c r="K424">
        <v>3.87</v>
      </c>
      <c r="L424">
        <v>3.87</v>
      </c>
      <c r="M424">
        <v>17.2</v>
      </c>
      <c r="N424" t="s">
        <v>101</v>
      </c>
      <c r="O424">
        <v>17.2</v>
      </c>
      <c r="Q424" t="s">
        <v>87</v>
      </c>
      <c r="R424">
        <v>1273</v>
      </c>
      <c r="S424">
        <v>10</v>
      </c>
      <c r="T424" t="b">
        <v>0</v>
      </c>
      <c r="U424" t="s">
        <v>88</v>
      </c>
      <c r="V424" t="s">
        <v>89</v>
      </c>
      <c r="W424">
        <v>0</v>
      </c>
      <c r="Y424">
        <v>1</v>
      </c>
      <c r="Z424">
        <v>0</v>
      </c>
      <c r="AC424" t="s">
        <v>90</v>
      </c>
      <c r="AD424">
        <v>400</v>
      </c>
      <c r="AF424" t="s">
        <v>91</v>
      </c>
      <c r="AH424">
        <v>61</v>
      </c>
      <c r="AI424" t="s">
        <v>361</v>
      </c>
      <c r="AL424" t="b">
        <v>1</v>
      </c>
      <c r="AM424" t="b">
        <v>0</v>
      </c>
      <c r="AN424" t="b">
        <v>0</v>
      </c>
      <c r="AO424" t="b">
        <v>0</v>
      </c>
      <c r="AP424" t="s">
        <v>362</v>
      </c>
      <c r="AQ424">
        <v>7221084</v>
      </c>
      <c r="AS424">
        <v>4.1108738641733114</v>
      </c>
      <c r="AT424">
        <v>1.9375</v>
      </c>
      <c r="AU424">
        <v>2.5</v>
      </c>
      <c r="AV424">
        <v>0.5625</v>
      </c>
      <c r="AW424">
        <v>2.625</v>
      </c>
      <c r="AX424">
        <v>0.25409836065573771</v>
      </c>
      <c r="AY424">
        <v>0.32786885245901642</v>
      </c>
      <c r="AZ424">
        <v>7.3770491803278687E-2</v>
      </c>
      <c r="BA424">
        <v>0.34426229508196721</v>
      </c>
      <c r="BB424">
        <v>6.0109294267394651</v>
      </c>
      <c r="BC424">
        <v>20</v>
      </c>
      <c r="BD424">
        <v>228.79463039162999</v>
      </c>
      <c r="BE424">
        <v>1</v>
      </c>
      <c r="BF424">
        <v>8.7414638908989289E-2</v>
      </c>
      <c r="BG424">
        <v>14.953465080000001</v>
      </c>
      <c r="BH424">
        <v>14.953465080000001</v>
      </c>
      <c r="BI424">
        <v>14.953465080000001</v>
      </c>
      <c r="BJ424">
        <v>435.46461117984001</v>
      </c>
      <c r="BK424">
        <v>2</v>
      </c>
      <c r="BL424">
        <v>9.1855914288016927E-2</v>
      </c>
      <c r="BM424">
        <v>3.8607</v>
      </c>
      <c r="BN424">
        <v>3.8607</v>
      </c>
      <c r="BO424">
        <v>29.216000000000001</v>
      </c>
      <c r="BP424">
        <v>0</v>
      </c>
      <c r="BQ424">
        <v>0</v>
      </c>
      <c r="BS424">
        <v>0</v>
      </c>
      <c r="BT424">
        <v>0</v>
      </c>
      <c r="BU424">
        <v>0</v>
      </c>
      <c r="BV424">
        <v>257.60268000000002</v>
      </c>
      <c r="BW424">
        <v>7.7638943818441636E-2</v>
      </c>
      <c r="BX424">
        <v>10</v>
      </c>
      <c r="BY424">
        <v>3.8819471909220818E-2</v>
      </c>
      <c r="BZ424">
        <v>4.3707319454494638E-2</v>
      </c>
      <c r="CA424">
        <v>4.5927957144008463E-2</v>
      </c>
      <c r="CC424">
        <v>0.47751984033781458</v>
      </c>
      <c r="CD424">
        <v>0.50178118988245535</v>
      </c>
      <c r="CF424">
        <v>0.42411816280312159</v>
      </c>
    </row>
    <row r="425" spans="1:84" x14ac:dyDescent="0.3">
      <c r="A425" s="1">
        <v>109</v>
      </c>
      <c r="B425" t="s">
        <v>363</v>
      </c>
      <c r="C425" t="s">
        <v>364</v>
      </c>
      <c r="D425" t="s">
        <v>365</v>
      </c>
      <c r="E425" t="s">
        <v>106</v>
      </c>
      <c r="F425">
        <v>4.2</v>
      </c>
      <c r="G425" t="s">
        <v>360</v>
      </c>
      <c r="H425">
        <v>-1</v>
      </c>
      <c r="I425">
        <v>-1</v>
      </c>
      <c r="J425">
        <v>1</v>
      </c>
      <c r="K425">
        <v>3.87</v>
      </c>
      <c r="L425">
        <v>3.87</v>
      </c>
      <c r="M425">
        <v>14.4</v>
      </c>
      <c r="N425" t="s">
        <v>101</v>
      </c>
      <c r="O425">
        <v>14.4</v>
      </c>
      <c r="Q425" t="s">
        <v>87</v>
      </c>
      <c r="R425">
        <v>1273</v>
      </c>
      <c r="S425">
        <v>10</v>
      </c>
      <c r="T425" t="b">
        <v>0</v>
      </c>
      <c r="U425" t="s">
        <v>88</v>
      </c>
      <c r="V425" t="s">
        <v>89</v>
      </c>
      <c r="W425">
        <v>0</v>
      </c>
      <c r="Y425">
        <v>1</v>
      </c>
      <c r="Z425">
        <v>0</v>
      </c>
      <c r="AC425" t="s">
        <v>90</v>
      </c>
      <c r="AD425">
        <v>400</v>
      </c>
      <c r="AF425" t="s">
        <v>91</v>
      </c>
      <c r="AH425">
        <v>13</v>
      </c>
      <c r="AI425" t="s">
        <v>366</v>
      </c>
      <c r="AL425" t="b">
        <v>1</v>
      </c>
      <c r="AM425" t="b">
        <v>0</v>
      </c>
      <c r="AN425" t="b">
        <v>0</v>
      </c>
      <c r="AO425" t="b">
        <v>0</v>
      </c>
      <c r="AP425" t="s">
        <v>367</v>
      </c>
      <c r="AS425">
        <v>2.5649493574615372</v>
      </c>
      <c r="AT425">
        <v>1.9375</v>
      </c>
      <c r="AU425">
        <v>2.5</v>
      </c>
      <c r="AV425">
        <v>0.5625</v>
      </c>
      <c r="AW425">
        <v>2.625</v>
      </c>
      <c r="AX425">
        <v>0.25409836065573771</v>
      </c>
      <c r="AY425">
        <v>0.32786885245901642</v>
      </c>
      <c r="AZ425">
        <v>7.3770491803278687E-2</v>
      </c>
      <c r="BA425">
        <v>0.34426229508196721</v>
      </c>
      <c r="BB425">
        <v>6.2465261493751134</v>
      </c>
      <c r="BC425">
        <v>20</v>
      </c>
      <c r="BD425">
        <v>228.79463039162999</v>
      </c>
      <c r="BE425">
        <v>1</v>
      </c>
      <c r="BF425">
        <v>8.7414638908989289E-2</v>
      </c>
      <c r="BG425">
        <v>14.953465080000001</v>
      </c>
      <c r="BH425">
        <v>14.953465080000001</v>
      </c>
      <c r="BI425">
        <v>14.953465080000001</v>
      </c>
      <c r="BJ425">
        <v>0</v>
      </c>
      <c r="BK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S425">
        <v>0</v>
      </c>
      <c r="BT425">
        <v>0</v>
      </c>
      <c r="BU425">
        <v>0</v>
      </c>
      <c r="BV425">
        <v>215.66736</v>
      </c>
      <c r="BW425">
        <v>9.2735405116471964E-2</v>
      </c>
      <c r="BX425">
        <v>10</v>
      </c>
      <c r="BY425">
        <v>4.6367702558235982E-2</v>
      </c>
      <c r="BZ425">
        <v>4.3707319454494638E-2</v>
      </c>
      <c r="CC425">
        <v>0.45265797121107831</v>
      </c>
      <c r="CF425">
        <v>0.48021041856803798</v>
      </c>
    </row>
    <row r="426" spans="1:84" x14ac:dyDescent="0.3">
      <c r="A426" s="1">
        <v>116</v>
      </c>
      <c r="B426" t="s">
        <v>370</v>
      </c>
      <c r="C426" t="s">
        <v>371</v>
      </c>
      <c r="E426" t="s">
        <v>372</v>
      </c>
      <c r="F426">
        <v>3.59</v>
      </c>
      <c r="G426" t="s">
        <v>373</v>
      </c>
      <c r="H426" t="s">
        <v>374</v>
      </c>
      <c r="I426">
        <v>-1</v>
      </c>
      <c r="Q426" t="s">
        <v>87</v>
      </c>
      <c r="R426">
        <v>1223</v>
      </c>
      <c r="S426">
        <v>0.5</v>
      </c>
      <c r="T426" t="b">
        <v>0</v>
      </c>
      <c r="U426" t="s">
        <v>88</v>
      </c>
      <c r="V426" t="s">
        <v>89</v>
      </c>
      <c r="W426">
        <v>0</v>
      </c>
      <c r="X426">
        <v>3.59</v>
      </c>
      <c r="Y426">
        <v>0.6</v>
      </c>
      <c r="Z426">
        <v>0</v>
      </c>
      <c r="AC426" t="s">
        <v>90</v>
      </c>
      <c r="AD426">
        <v>450</v>
      </c>
      <c r="AF426" t="s">
        <v>91</v>
      </c>
      <c r="AH426">
        <v>36</v>
      </c>
      <c r="AL426" t="b">
        <v>1</v>
      </c>
      <c r="AM426" t="b">
        <v>1</v>
      </c>
      <c r="AN426" t="b">
        <v>0</v>
      </c>
      <c r="AO426" t="b">
        <v>0</v>
      </c>
      <c r="AP426" t="s">
        <v>373</v>
      </c>
      <c r="AQ426" t="s">
        <v>374</v>
      </c>
      <c r="AS426">
        <v>3.5835189384561099</v>
      </c>
      <c r="AT426">
        <v>1.857142857142857</v>
      </c>
      <c r="AU426">
        <v>2.285714285714286</v>
      </c>
      <c r="AV426">
        <v>0.42857142857142849</v>
      </c>
      <c r="AW426">
        <v>0</v>
      </c>
      <c r="AX426">
        <v>0.40625000000000011</v>
      </c>
      <c r="AY426">
        <v>0.5</v>
      </c>
      <c r="AZ426">
        <v>9.375E-2</v>
      </c>
      <c r="BA426">
        <v>0</v>
      </c>
      <c r="BB426">
        <v>5.585493284</v>
      </c>
      <c r="BC426">
        <v>8</v>
      </c>
      <c r="BD426">
        <v>203.79933701026059</v>
      </c>
      <c r="BE426">
        <v>2</v>
      </c>
      <c r="BF426">
        <v>7.8508596910668346E-2</v>
      </c>
      <c r="BG426">
        <v>3.8703880000000002</v>
      </c>
      <c r="BH426">
        <v>3.8703880000000002</v>
      </c>
      <c r="BI426">
        <v>13.604850000000001</v>
      </c>
      <c r="BJ426">
        <v>198.77623248847371</v>
      </c>
      <c r="BK426">
        <v>2</v>
      </c>
      <c r="BL426">
        <v>8.0492520658513728E-2</v>
      </c>
      <c r="BM426">
        <v>3.8415499999999998</v>
      </c>
      <c r="BN426">
        <v>3.8415499999999998</v>
      </c>
      <c r="BO426">
        <v>13.4695</v>
      </c>
      <c r="BP426">
        <v>0</v>
      </c>
      <c r="BQ426">
        <v>0</v>
      </c>
      <c r="BS426">
        <v>0</v>
      </c>
      <c r="BT426">
        <v>0</v>
      </c>
      <c r="BU426">
        <v>0</v>
      </c>
      <c r="BX426">
        <v>4</v>
      </c>
      <c r="BZ426">
        <v>3.9254298455334173E-2</v>
      </c>
      <c r="CA426">
        <v>4.0246260329256857E-2</v>
      </c>
      <c r="CC426">
        <v>0.55645098073491583</v>
      </c>
      <c r="CD426">
        <v>0.57051257855519022</v>
      </c>
    </row>
    <row r="427" spans="1:84" x14ac:dyDescent="0.3">
      <c r="A427" s="1">
        <v>117</v>
      </c>
      <c r="B427" t="s">
        <v>375</v>
      </c>
      <c r="C427" t="s">
        <v>376</v>
      </c>
      <c r="E427" t="s">
        <v>372</v>
      </c>
      <c r="F427">
        <v>3.74</v>
      </c>
      <c r="G427" t="s">
        <v>373</v>
      </c>
      <c r="H427" t="s">
        <v>374</v>
      </c>
      <c r="I427">
        <v>-1</v>
      </c>
      <c r="Q427" t="s">
        <v>87</v>
      </c>
      <c r="R427">
        <v>1223</v>
      </c>
      <c r="S427">
        <v>0.5</v>
      </c>
      <c r="T427" t="b">
        <v>0</v>
      </c>
      <c r="U427" t="s">
        <v>88</v>
      </c>
      <c r="V427" t="s">
        <v>89</v>
      </c>
      <c r="W427">
        <v>0</v>
      </c>
      <c r="X427">
        <v>3.74</v>
      </c>
      <c r="Y427">
        <v>0.6</v>
      </c>
      <c r="Z427">
        <v>0</v>
      </c>
      <c r="AC427" t="s">
        <v>90</v>
      </c>
      <c r="AD427">
        <v>450</v>
      </c>
      <c r="AF427" t="s">
        <v>91</v>
      </c>
      <c r="AH427">
        <v>65.400000000000006</v>
      </c>
      <c r="AI427" t="s">
        <v>377</v>
      </c>
      <c r="AL427" t="b">
        <v>1</v>
      </c>
      <c r="AM427" t="b">
        <v>0</v>
      </c>
      <c r="AN427" t="b">
        <v>0</v>
      </c>
      <c r="AO427" t="b">
        <v>0</v>
      </c>
      <c r="AP427" t="s">
        <v>378</v>
      </c>
      <c r="AQ427" t="s">
        <v>374</v>
      </c>
      <c r="AS427">
        <v>4.180522258463153</v>
      </c>
      <c r="AT427">
        <v>1.857142857142857</v>
      </c>
      <c r="AU427">
        <v>2.285714285714286</v>
      </c>
      <c r="AV427">
        <v>0.42857142857142849</v>
      </c>
      <c r="AW427">
        <v>0</v>
      </c>
      <c r="AX427">
        <v>0.40625000000000011</v>
      </c>
      <c r="AY427">
        <v>0.5</v>
      </c>
      <c r="AZ427">
        <v>9.375E-2</v>
      </c>
      <c r="BA427">
        <v>0</v>
      </c>
      <c r="BB427">
        <v>5.5866629268571426</v>
      </c>
      <c r="BC427">
        <v>8</v>
      </c>
      <c r="BD427">
        <v>203.79933701026059</v>
      </c>
      <c r="BE427">
        <v>1</v>
      </c>
      <c r="BF427">
        <v>3.9254298455334173E-2</v>
      </c>
      <c r="BG427">
        <v>3.8703880000000002</v>
      </c>
      <c r="BH427">
        <v>3.8703880000000002</v>
      </c>
      <c r="BI427">
        <v>13.604850000000001</v>
      </c>
      <c r="BJ427">
        <v>198.77623248847371</v>
      </c>
      <c r="BK427">
        <v>2</v>
      </c>
      <c r="BL427">
        <v>8.0492520658513728E-2</v>
      </c>
      <c r="BM427">
        <v>3.8415499999999998</v>
      </c>
      <c r="BN427">
        <v>3.8415499999999998</v>
      </c>
      <c r="BO427">
        <v>13.4695</v>
      </c>
      <c r="BP427">
        <v>0</v>
      </c>
      <c r="BQ427">
        <v>0</v>
      </c>
      <c r="BS427">
        <v>0</v>
      </c>
      <c r="BT427">
        <v>0</v>
      </c>
      <c r="BU427">
        <v>0</v>
      </c>
      <c r="BX427">
        <v>4</v>
      </c>
      <c r="BZ427">
        <v>1.962714922766709E-2</v>
      </c>
      <c r="CA427">
        <v>4.0246260329256857E-2</v>
      </c>
      <c r="CC427">
        <v>0.27868293400296251</v>
      </c>
      <c r="CD427">
        <v>0.57145058516159675</v>
      </c>
    </row>
    <row r="428" spans="1:84" x14ac:dyDescent="0.3">
      <c r="A428" s="1">
        <v>118</v>
      </c>
      <c r="B428" t="s">
        <v>379</v>
      </c>
      <c r="C428" t="s">
        <v>380</v>
      </c>
      <c r="E428" t="s">
        <v>372</v>
      </c>
      <c r="F428">
        <v>3.82</v>
      </c>
      <c r="G428" t="s">
        <v>373</v>
      </c>
      <c r="H428" t="s">
        <v>374</v>
      </c>
      <c r="I428">
        <v>-1</v>
      </c>
      <c r="Q428" t="s">
        <v>87</v>
      </c>
      <c r="R428">
        <v>1223</v>
      </c>
      <c r="S428">
        <v>0.5</v>
      </c>
      <c r="T428" t="b">
        <v>0</v>
      </c>
      <c r="U428" t="s">
        <v>88</v>
      </c>
      <c r="V428" t="s">
        <v>89</v>
      </c>
      <c r="W428">
        <v>0</v>
      </c>
      <c r="X428">
        <v>3.82</v>
      </c>
      <c r="Y428">
        <v>0.6</v>
      </c>
      <c r="Z428">
        <v>0</v>
      </c>
      <c r="AC428" t="s">
        <v>90</v>
      </c>
      <c r="AD428">
        <v>450</v>
      </c>
      <c r="AF428" t="s">
        <v>91</v>
      </c>
      <c r="AH428">
        <v>84.2</v>
      </c>
      <c r="AI428" t="s">
        <v>381</v>
      </c>
      <c r="AL428" t="b">
        <v>1</v>
      </c>
      <c r="AM428" t="b">
        <v>0</v>
      </c>
      <c r="AN428" t="b">
        <v>0</v>
      </c>
      <c r="AO428" t="b">
        <v>0</v>
      </c>
      <c r="AP428" t="s">
        <v>382</v>
      </c>
      <c r="AQ428" t="s">
        <v>374</v>
      </c>
      <c r="AS428">
        <v>4.4331949212482824</v>
      </c>
      <c r="AT428">
        <v>1.857142857142857</v>
      </c>
      <c r="AU428">
        <v>2.285714285714286</v>
      </c>
      <c r="AV428">
        <v>0.42857142857142849</v>
      </c>
      <c r="AW428">
        <v>0</v>
      </c>
      <c r="AX428">
        <v>0.40625000000000011</v>
      </c>
      <c r="AY428">
        <v>0.5</v>
      </c>
      <c r="AZ428">
        <v>9.375E-2</v>
      </c>
      <c r="BA428">
        <v>0</v>
      </c>
      <c r="BB428">
        <v>5.5890022125714278</v>
      </c>
      <c r="BC428">
        <v>8</v>
      </c>
      <c r="BD428">
        <v>203.79933701026059</v>
      </c>
      <c r="BE428">
        <v>1</v>
      </c>
      <c r="BF428">
        <v>3.9254298455334173E-2</v>
      </c>
      <c r="BG428">
        <v>3.8703880000000002</v>
      </c>
      <c r="BH428">
        <v>3.8703880000000002</v>
      </c>
      <c r="BI428">
        <v>13.604850000000001</v>
      </c>
      <c r="BJ428">
        <v>198.77623248847371</v>
      </c>
      <c r="BK428">
        <v>2</v>
      </c>
      <c r="BL428">
        <v>8.0492520658513728E-2</v>
      </c>
      <c r="BM428">
        <v>3.8415499999999998</v>
      </c>
      <c r="BN428">
        <v>3.8415499999999998</v>
      </c>
      <c r="BO428">
        <v>13.4695</v>
      </c>
      <c r="BP428">
        <v>0</v>
      </c>
      <c r="BQ428">
        <v>0</v>
      </c>
      <c r="BS428">
        <v>0</v>
      </c>
      <c r="BT428">
        <v>0</v>
      </c>
      <c r="BU428">
        <v>0</v>
      </c>
      <c r="BX428">
        <v>4</v>
      </c>
      <c r="BZ428">
        <v>1.962714922766709E-2</v>
      </c>
      <c r="CA428">
        <v>4.0246260329256857E-2</v>
      </c>
      <c r="CC428">
        <v>0.27959782127397181</v>
      </c>
      <c r="CD428">
        <v>0.57332659837441002</v>
      </c>
    </row>
    <row r="429" spans="1:84" x14ac:dyDescent="0.3">
      <c r="A429" s="1">
        <v>119</v>
      </c>
      <c r="B429" t="s">
        <v>383</v>
      </c>
      <c r="C429" t="s">
        <v>384</v>
      </c>
      <c r="E429" t="s">
        <v>372</v>
      </c>
      <c r="F429">
        <v>4.16</v>
      </c>
      <c r="G429" t="s">
        <v>373</v>
      </c>
      <c r="H429" t="s">
        <v>374</v>
      </c>
      <c r="I429">
        <v>-1</v>
      </c>
      <c r="Q429" t="s">
        <v>87</v>
      </c>
      <c r="R429">
        <v>1223</v>
      </c>
      <c r="S429">
        <v>0.5</v>
      </c>
      <c r="T429" t="b">
        <v>0</v>
      </c>
      <c r="U429" t="s">
        <v>88</v>
      </c>
      <c r="V429" t="s">
        <v>89</v>
      </c>
      <c r="W429">
        <v>0</v>
      </c>
      <c r="X429">
        <v>4.16</v>
      </c>
      <c r="Y429">
        <v>0.6</v>
      </c>
      <c r="Z429">
        <v>0</v>
      </c>
      <c r="AC429" t="s">
        <v>90</v>
      </c>
      <c r="AD429">
        <v>450</v>
      </c>
      <c r="AF429" t="s">
        <v>91</v>
      </c>
      <c r="AH429">
        <v>69.2</v>
      </c>
      <c r="AI429" t="s">
        <v>385</v>
      </c>
      <c r="AL429" t="b">
        <v>1</v>
      </c>
      <c r="AM429" t="b">
        <v>0</v>
      </c>
      <c r="AN429" t="b">
        <v>0</v>
      </c>
      <c r="AO429" t="b">
        <v>0</v>
      </c>
      <c r="AP429" t="s">
        <v>386</v>
      </c>
      <c r="AQ429" t="s">
        <v>374</v>
      </c>
      <c r="AS429">
        <v>4.2370008626236242</v>
      </c>
      <c r="AT429">
        <v>1.857142857142857</v>
      </c>
      <c r="AU429">
        <v>2.285714285714286</v>
      </c>
      <c r="AV429">
        <v>0.42857142857142849</v>
      </c>
      <c r="AW429">
        <v>0</v>
      </c>
      <c r="AX429">
        <v>0.40625000000000011</v>
      </c>
      <c r="AY429">
        <v>0.5</v>
      </c>
      <c r="AZ429">
        <v>9.375E-2</v>
      </c>
      <c r="BA429">
        <v>0</v>
      </c>
      <c r="BB429">
        <v>5.5913414982857139</v>
      </c>
      <c r="BC429">
        <v>8</v>
      </c>
      <c r="BD429">
        <v>203.79933701026059</v>
      </c>
      <c r="BE429">
        <v>1</v>
      </c>
      <c r="BF429">
        <v>3.9254298455334173E-2</v>
      </c>
      <c r="BG429">
        <v>3.8703880000000002</v>
      </c>
      <c r="BH429">
        <v>3.8703880000000002</v>
      </c>
      <c r="BI429">
        <v>13.604850000000001</v>
      </c>
      <c r="BJ429">
        <v>198.77623248847371</v>
      </c>
      <c r="BK429">
        <v>2</v>
      </c>
      <c r="BL429">
        <v>8.0492520658513728E-2</v>
      </c>
      <c r="BM429">
        <v>3.8415499999999998</v>
      </c>
      <c r="BN429">
        <v>3.8415499999999998</v>
      </c>
      <c r="BO429">
        <v>13.4695</v>
      </c>
      <c r="BP429">
        <v>0</v>
      </c>
      <c r="BQ429">
        <v>0</v>
      </c>
      <c r="BS429">
        <v>0</v>
      </c>
      <c r="BT429">
        <v>0</v>
      </c>
      <c r="BU429">
        <v>0</v>
      </c>
      <c r="BX429">
        <v>4</v>
      </c>
      <c r="BZ429">
        <v>1.962714922766709E-2</v>
      </c>
      <c r="CA429">
        <v>4.0246260329256857E-2</v>
      </c>
      <c r="CC429">
        <v>0.28051270854498089</v>
      </c>
      <c r="CD429">
        <v>0.57520261158722319</v>
      </c>
    </row>
    <row r="430" spans="1:84" x14ac:dyDescent="0.3">
      <c r="A430" s="1">
        <v>120</v>
      </c>
      <c r="B430" t="s">
        <v>387</v>
      </c>
      <c r="C430" t="s">
        <v>388</v>
      </c>
      <c r="E430" t="s">
        <v>372</v>
      </c>
      <c r="F430">
        <v>3.52</v>
      </c>
      <c r="G430" t="s">
        <v>373</v>
      </c>
      <c r="H430" t="s">
        <v>374</v>
      </c>
      <c r="I430">
        <v>-1</v>
      </c>
      <c r="Q430" t="s">
        <v>87</v>
      </c>
      <c r="R430">
        <v>1223</v>
      </c>
      <c r="S430">
        <v>0.5</v>
      </c>
      <c r="T430" t="b">
        <v>0</v>
      </c>
      <c r="U430" t="s">
        <v>88</v>
      </c>
      <c r="V430" t="s">
        <v>89</v>
      </c>
      <c r="W430">
        <v>0</v>
      </c>
      <c r="X430">
        <v>3.52</v>
      </c>
      <c r="Y430">
        <v>0.6</v>
      </c>
      <c r="Z430">
        <v>0</v>
      </c>
      <c r="AC430" t="s">
        <v>90</v>
      </c>
      <c r="AD430">
        <v>450</v>
      </c>
      <c r="AF430" t="s">
        <v>91</v>
      </c>
      <c r="AH430">
        <v>34</v>
      </c>
      <c r="AI430" t="s">
        <v>389</v>
      </c>
      <c r="AL430" t="b">
        <v>1</v>
      </c>
      <c r="AM430" t="b">
        <v>0</v>
      </c>
      <c r="AN430" t="b">
        <v>0</v>
      </c>
      <c r="AO430" t="b">
        <v>0</v>
      </c>
      <c r="AP430" t="s">
        <v>390</v>
      </c>
      <c r="AQ430" t="s">
        <v>374</v>
      </c>
      <c r="AS430">
        <v>3.526360524616162</v>
      </c>
      <c r="AT430">
        <v>1.857142857142857</v>
      </c>
      <c r="AU430">
        <v>2.285714285714286</v>
      </c>
      <c r="AV430">
        <v>0.42857142857142849</v>
      </c>
      <c r="AW430">
        <v>0</v>
      </c>
      <c r="AX430">
        <v>0.40625000000000011</v>
      </c>
      <c r="AY430">
        <v>0.5</v>
      </c>
      <c r="AZ430">
        <v>9.375E-2</v>
      </c>
      <c r="BA430">
        <v>0</v>
      </c>
      <c r="BB430">
        <v>5.593680784</v>
      </c>
      <c r="BC430">
        <v>8</v>
      </c>
      <c r="BD430">
        <v>203.79933701026059</v>
      </c>
      <c r="BE430">
        <v>1</v>
      </c>
      <c r="BF430">
        <v>3.9254298455334173E-2</v>
      </c>
      <c r="BG430">
        <v>3.8703880000000002</v>
      </c>
      <c r="BH430">
        <v>3.8703880000000002</v>
      </c>
      <c r="BI430">
        <v>13.604850000000001</v>
      </c>
      <c r="BJ430">
        <v>198.77623248847371</v>
      </c>
      <c r="BK430">
        <v>2</v>
      </c>
      <c r="BL430">
        <v>8.0492520658513728E-2</v>
      </c>
      <c r="BM430">
        <v>3.8415499999999998</v>
      </c>
      <c r="BN430">
        <v>3.8415499999999998</v>
      </c>
      <c r="BO430">
        <v>13.4695</v>
      </c>
      <c r="BP430">
        <v>0</v>
      </c>
      <c r="BQ430">
        <v>0</v>
      </c>
      <c r="BS430">
        <v>0</v>
      </c>
      <c r="BT430">
        <v>0</v>
      </c>
      <c r="BU430">
        <v>0</v>
      </c>
      <c r="BX430">
        <v>4</v>
      </c>
      <c r="BZ430">
        <v>1.962714922766709E-2</v>
      </c>
      <c r="CA430">
        <v>4.0246260329256857E-2</v>
      </c>
      <c r="CC430">
        <v>0.28142759581599008</v>
      </c>
      <c r="CD430">
        <v>0.57707862480003624</v>
      </c>
    </row>
    <row r="431" spans="1:84" x14ac:dyDescent="0.3">
      <c r="A431" s="1">
        <v>121</v>
      </c>
      <c r="B431" t="s">
        <v>391</v>
      </c>
      <c r="C431" t="s">
        <v>392</v>
      </c>
      <c r="E431" t="s">
        <v>372</v>
      </c>
      <c r="F431">
        <v>3.43</v>
      </c>
      <c r="G431" t="s">
        <v>373</v>
      </c>
      <c r="H431" t="s">
        <v>374</v>
      </c>
      <c r="I431">
        <v>-1</v>
      </c>
      <c r="Q431" t="s">
        <v>87</v>
      </c>
      <c r="R431">
        <v>1223</v>
      </c>
      <c r="S431">
        <v>0.5</v>
      </c>
      <c r="T431" t="b">
        <v>0</v>
      </c>
      <c r="U431" t="s">
        <v>88</v>
      </c>
      <c r="V431" t="s">
        <v>89</v>
      </c>
      <c r="W431">
        <v>0</v>
      </c>
      <c r="X431">
        <v>3.43</v>
      </c>
      <c r="Y431">
        <v>0.6</v>
      </c>
      <c r="Z431">
        <v>0</v>
      </c>
      <c r="AC431" t="s">
        <v>90</v>
      </c>
      <c r="AD431">
        <v>450</v>
      </c>
      <c r="AF431" t="s">
        <v>91</v>
      </c>
      <c r="AH431">
        <v>12.5</v>
      </c>
      <c r="AI431" t="s">
        <v>393</v>
      </c>
      <c r="AJ431" t="s">
        <v>393</v>
      </c>
      <c r="AL431" t="b">
        <v>1</v>
      </c>
      <c r="AM431" t="b">
        <v>1</v>
      </c>
      <c r="AN431" t="b">
        <v>0</v>
      </c>
      <c r="AO431" t="b">
        <v>0</v>
      </c>
      <c r="AP431" t="s">
        <v>394</v>
      </c>
      <c r="AQ431" t="s">
        <v>395</v>
      </c>
      <c r="AS431">
        <v>2.5257286443082561</v>
      </c>
      <c r="AT431">
        <v>1.857142857142857</v>
      </c>
      <c r="AU431">
        <v>2.285714285714286</v>
      </c>
      <c r="AV431">
        <v>0.42857142857142849</v>
      </c>
      <c r="AW431">
        <v>0</v>
      </c>
      <c r="AX431">
        <v>0.40625000000000011</v>
      </c>
      <c r="AY431">
        <v>0.5</v>
      </c>
      <c r="AZ431">
        <v>9.375E-2</v>
      </c>
      <c r="BA431">
        <v>0</v>
      </c>
      <c r="BB431">
        <v>5.5971897125714278</v>
      </c>
      <c r="BC431">
        <v>8</v>
      </c>
      <c r="BD431">
        <v>203.79933701026059</v>
      </c>
      <c r="BE431">
        <v>2</v>
      </c>
      <c r="BF431">
        <v>7.8508596910668346E-2</v>
      </c>
      <c r="BG431">
        <v>3.8703880000000002</v>
      </c>
      <c r="BH431">
        <v>3.8703880000000002</v>
      </c>
      <c r="BI431">
        <v>13.604850000000001</v>
      </c>
      <c r="BJ431">
        <v>198.77623248847371</v>
      </c>
      <c r="BK431">
        <v>2</v>
      </c>
      <c r="BL431">
        <v>8.0492520658513728E-2</v>
      </c>
      <c r="BM431">
        <v>3.8415499999999998</v>
      </c>
      <c r="BN431">
        <v>3.8415499999999998</v>
      </c>
      <c r="BO431">
        <v>13.4695</v>
      </c>
      <c r="BP431">
        <v>0</v>
      </c>
      <c r="BQ431">
        <v>0</v>
      </c>
      <c r="BS431">
        <v>0</v>
      </c>
      <c r="BT431">
        <v>0</v>
      </c>
      <c r="BU431">
        <v>0</v>
      </c>
      <c r="BX431">
        <v>4</v>
      </c>
      <c r="BZ431">
        <v>3.9254298455334173E-2</v>
      </c>
      <c r="CA431">
        <v>4.0246260329256857E-2</v>
      </c>
      <c r="CC431">
        <v>0.56559985344500774</v>
      </c>
      <c r="CD431">
        <v>0.57989264461925605</v>
      </c>
    </row>
    <row r="432" spans="1:84" x14ac:dyDescent="0.3">
      <c r="A432" s="1">
        <v>128</v>
      </c>
      <c r="B432" t="s">
        <v>402</v>
      </c>
      <c r="C432" t="s">
        <v>403</v>
      </c>
      <c r="E432" t="s">
        <v>404</v>
      </c>
      <c r="F432">
        <v>3.78</v>
      </c>
      <c r="G432" t="s">
        <v>405</v>
      </c>
      <c r="H432">
        <v>-1</v>
      </c>
      <c r="I432" t="s">
        <v>406</v>
      </c>
      <c r="J432">
        <v>2</v>
      </c>
      <c r="K432">
        <v>3.859</v>
      </c>
      <c r="L432">
        <v>3.859</v>
      </c>
      <c r="M432">
        <v>29.047999999999998</v>
      </c>
      <c r="N432" t="s">
        <v>206</v>
      </c>
      <c r="O432">
        <v>14.523999999999999</v>
      </c>
      <c r="P432">
        <v>3</v>
      </c>
      <c r="Q432" t="s">
        <v>87</v>
      </c>
      <c r="R432">
        <v>1323</v>
      </c>
      <c r="S432">
        <v>48</v>
      </c>
      <c r="T432" t="b">
        <v>0</v>
      </c>
      <c r="U432" t="s">
        <v>88</v>
      </c>
      <c r="V432" t="s">
        <v>89</v>
      </c>
      <c r="W432">
        <v>0</v>
      </c>
      <c r="Y432">
        <v>2</v>
      </c>
      <c r="Z432">
        <v>0</v>
      </c>
      <c r="AC432" t="s">
        <v>90</v>
      </c>
      <c r="AD432">
        <v>1000</v>
      </c>
      <c r="AE432">
        <v>300</v>
      </c>
      <c r="AF432" t="s">
        <v>407</v>
      </c>
      <c r="AG432">
        <v>298</v>
      </c>
      <c r="AH432">
        <v>4.37</v>
      </c>
      <c r="AL432" t="b">
        <v>1</v>
      </c>
      <c r="AM432" t="b">
        <v>0</v>
      </c>
      <c r="AN432" t="b">
        <v>1</v>
      </c>
      <c r="AO432" t="b">
        <v>0</v>
      </c>
      <c r="AP432" t="s">
        <v>405</v>
      </c>
      <c r="AQ432">
        <v>-1</v>
      </c>
      <c r="AR432" t="s">
        <v>406</v>
      </c>
      <c r="AS432">
        <v>1.474763009107499</v>
      </c>
      <c r="AT432">
        <v>1.882352941176471</v>
      </c>
      <c r="AU432">
        <v>2.3529411764705879</v>
      </c>
      <c r="AV432">
        <v>0.47058823529411759</v>
      </c>
      <c r="AW432">
        <v>0</v>
      </c>
      <c r="AX432">
        <v>0.4</v>
      </c>
      <c r="AY432">
        <v>0.5</v>
      </c>
      <c r="AZ432">
        <v>9.9999999999999992E-2</v>
      </c>
      <c r="BA432">
        <v>0</v>
      </c>
      <c r="BB432">
        <v>5.6898768502941177</v>
      </c>
      <c r="BC432">
        <v>20</v>
      </c>
      <c r="BD432">
        <v>229.90248606119221</v>
      </c>
      <c r="BE432">
        <v>1</v>
      </c>
      <c r="BF432">
        <v>8.6993404650164072E-2</v>
      </c>
      <c r="BG432">
        <v>15.28115725</v>
      </c>
      <c r="BH432">
        <v>15.28115725</v>
      </c>
      <c r="BI432">
        <v>15.28115725</v>
      </c>
      <c r="BJ432">
        <v>0</v>
      </c>
      <c r="BK432">
        <v>0</v>
      </c>
      <c r="BM432">
        <v>0</v>
      </c>
      <c r="BP432">
        <v>442.10223602000008</v>
      </c>
      <c r="BQ432">
        <v>2</v>
      </c>
      <c r="BR432">
        <v>9.0476809979740655E-2</v>
      </c>
      <c r="BS432">
        <v>3.8530000000000002</v>
      </c>
      <c r="BT432">
        <v>3.8530000000000002</v>
      </c>
      <c r="BU432">
        <v>29.78</v>
      </c>
      <c r="BV432">
        <v>432.57935928799998</v>
      </c>
      <c r="BW432">
        <v>9.246858210210869E-2</v>
      </c>
      <c r="BX432">
        <v>10</v>
      </c>
      <c r="BY432">
        <v>4.6234291051054352E-2</v>
      </c>
      <c r="BZ432">
        <v>4.3496702325082043E-2</v>
      </c>
      <c r="CB432">
        <v>4.5238404989870327E-2</v>
      </c>
      <c r="CC432">
        <v>0.57369840599679478</v>
      </c>
      <c r="CE432">
        <v>0.59667053926431435</v>
      </c>
      <c r="CF432">
        <v>0.60980574757472084</v>
      </c>
    </row>
    <row r="433" spans="1:84" x14ac:dyDescent="0.3">
      <c r="A433" s="1">
        <v>129</v>
      </c>
      <c r="B433" t="s">
        <v>408</v>
      </c>
      <c r="C433" t="s">
        <v>409</v>
      </c>
      <c r="E433" t="s">
        <v>404</v>
      </c>
      <c r="F433">
        <v>3.2</v>
      </c>
      <c r="G433" t="s">
        <v>405</v>
      </c>
      <c r="H433">
        <v>-1</v>
      </c>
      <c r="I433" t="s">
        <v>406</v>
      </c>
      <c r="J433">
        <v>2</v>
      </c>
      <c r="K433">
        <v>3.8650000000000002</v>
      </c>
      <c r="L433">
        <v>3.8650000000000002</v>
      </c>
      <c r="M433">
        <v>29.241</v>
      </c>
      <c r="O433">
        <v>14.6205</v>
      </c>
      <c r="P433">
        <v>3</v>
      </c>
      <c r="Q433" t="s">
        <v>87</v>
      </c>
      <c r="R433">
        <v>1323</v>
      </c>
      <c r="S433">
        <v>48</v>
      </c>
      <c r="T433" t="b">
        <v>0</v>
      </c>
      <c r="U433" t="s">
        <v>88</v>
      </c>
      <c r="V433" t="s">
        <v>89</v>
      </c>
      <c r="W433">
        <v>0</v>
      </c>
      <c r="Y433">
        <v>2</v>
      </c>
      <c r="Z433">
        <v>0</v>
      </c>
      <c r="AC433" t="s">
        <v>90</v>
      </c>
      <c r="AD433">
        <v>1000</v>
      </c>
      <c r="AE433">
        <v>300</v>
      </c>
      <c r="AF433" t="s">
        <v>407</v>
      </c>
      <c r="AG433">
        <v>298</v>
      </c>
      <c r="AH433">
        <v>6.27</v>
      </c>
      <c r="AI433" t="s">
        <v>410</v>
      </c>
      <c r="AK433" t="s">
        <v>410</v>
      </c>
      <c r="AL433" t="b">
        <v>1</v>
      </c>
      <c r="AM433" t="b">
        <v>0</v>
      </c>
      <c r="AN433" t="b">
        <v>1</v>
      </c>
      <c r="AO433" t="b">
        <v>0</v>
      </c>
      <c r="AP433" t="s">
        <v>411</v>
      </c>
      <c r="AQ433">
        <v>-1</v>
      </c>
      <c r="AR433" t="s">
        <v>412</v>
      </c>
      <c r="AS433">
        <v>1.8357763546448289</v>
      </c>
      <c r="AT433">
        <v>1.882352941176471</v>
      </c>
      <c r="AU433">
        <v>2.3529411764705879</v>
      </c>
      <c r="AV433">
        <v>0.49411764705882361</v>
      </c>
      <c r="AW433">
        <v>0</v>
      </c>
      <c r="AX433">
        <v>0.39800995024875618</v>
      </c>
      <c r="AY433">
        <v>0.49751243781094528</v>
      </c>
      <c r="AZ433">
        <v>0.1044776119402985</v>
      </c>
      <c r="BA433">
        <v>0</v>
      </c>
      <c r="BB433">
        <v>5.6932652016176473</v>
      </c>
      <c r="BC433">
        <v>20</v>
      </c>
      <c r="BD433">
        <v>229.90248606119221</v>
      </c>
      <c r="BE433">
        <v>1</v>
      </c>
      <c r="BF433">
        <v>8.6993404650164072E-2</v>
      </c>
      <c r="BG433">
        <v>15.28115725</v>
      </c>
      <c r="BH433">
        <v>15.28115725</v>
      </c>
      <c r="BI433">
        <v>15.28115725</v>
      </c>
      <c r="BJ433">
        <v>0</v>
      </c>
      <c r="BK433">
        <v>0</v>
      </c>
      <c r="BM433">
        <v>0</v>
      </c>
      <c r="BP433">
        <v>442.10223602000008</v>
      </c>
      <c r="BQ433">
        <v>1</v>
      </c>
      <c r="BR433">
        <v>4.5238404989870327E-2</v>
      </c>
      <c r="BS433">
        <v>3.8530000000000002</v>
      </c>
      <c r="BT433">
        <v>3.8530000000000002</v>
      </c>
      <c r="BU433">
        <v>29.78</v>
      </c>
      <c r="BV433">
        <v>436.80863722499998</v>
      </c>
      <c r="BW433">
        <v>9.1573280817238076E-2</v>
      </c>
      <c r="BX433">
        <v>10</v>
      </c>
      <c r="BY433">
        <v>4.5786640408619038E-2</v>
      </c>
      <c r="BZ433">
        <v>4.3496702325082043E-2</v>
      </c>
      <c r="CB433">
        <v>2.261920249493516E-2</v>
      </c>
      <c r="CC433">
        <v>0.57436378489158235</v>
      </c>
      <c r="CE433">
        <v>0.29868128068937649</v>
      </c>
      <c r="CF433">
        <v>0.60460188190863495</v>
      </c>
    </row>
    <row r="434" spans="1:84" x14ac:dyDescent="0.3">
      <c r="A434" s="1">
        <v>130</v>
      </c>
      <c r="B434" t="s">
        <v>413</v>
      </c>
      <c r="C434" t="s">
        <v>414</v>
      </c>
      <c r="E434" t="s">
        <v>404</v>
      </c>
      <c r="F434">
        <v>2.93</v>
      </c>
      <c r="G434" t="s">
        <v>405</v>
      </c>
      <c r="H434">
        <v>-1</v>
      </c>
      <c r="I434" t="s">
        <v>406</v>
      </c>
      <c r="J434">
        <v>2</v>
      </c>
      <c r="K434">
        <v>3.8660000000000001</v>
      </c>
      <c r="L434">
        <v>3.8660000000000001</v>
      </c>
      <c r="M434">
        <v>29.145</v>
      </c>
      <c r="O434">
        <v>14.5725</v>
      </c>
      <c r="P434">
        <v>3</v>
      </c>
      <c r="Q434" t="s">
        <v>87</v>
      </c>
      <c r="R434">
        <v>1323</v>
      </c>
      <c r="S434">
        <v>48</v>
      </c>
      <c r="T434" t="b">
        <v>0</v>
      </c>
      <c r="U434" t="s">
        <v>88</v>
      </c>
      <c r="V434" t="s">
        <v>89</v>
      </c>
      <c r="W434">
        <v>0</v>
      </c>
      <c r="Y434">
        <v>2</v>
      </c>
      <c r="Z434">
        <v>0</v>
      </c>
      <c r="AC434" t="s">
        <v>90</v>
      </c>
      <c r="AD434">
        <v>1000</v>
      </c>
      <c r="AE434">
        <v>300</v>
      </c>
      <c r="AF434" t="s">
        <v>407</v>
      </c>
      <c r="AG434">
        <v>298</v>
      </c>
      <c r="AH434">
        <v>22.5</v>
      </c>
      <c r="AI434" t="s">
        <v>415</v>
      </c>
      <c r="AK434" t="s">
        <v>415</v>
      </c>
      <c r="AL434" t="b">
        <v>1</v>
      </c>
      <c r="AM434" t="b">
        <v>0</v>
      </c>
      <c r="AN434" t="b">
        <v>1</v>
      </c>
      <c r="AO434" t="b">
        <v>0</v>
      </c>
      <c r="AP434" t="s">
        <v>416</v>
      </c>
      <c r="AQ434">
        <v>-1</v>
      </c>
      <c r="AR434" t="s">
        <v>417</v>
      </c>
      <c r="AS434">
        <v>3.1135153092103738</v>
      </c>
      <c r="AT434">
        <v>1.882352941176471</v>
      </c>
      <c r="AU434">
        <v>2.3529411764705879</v>
      </c>
      <c r="AV434">
        <v>0.51764705882352946</v>
      </c>
      <c r="AW434">
        <v>0</v>
      </c>
      <c r="AX434">
        <v>0.39603960396039611</v>
      </c>
      <c r="AY434">
        <v>0.49504950495049499</v>
      </c>
      <c r="AZ434">
        <v>0.1089108910891089</v>
      </c>
      <c r="BA434">
        <v>0</v>
      </c>
      <c r="BB434">
        <v>5.6966535529411768</v>
      </c>
      <c r="BC434">
        <v>20</v>
      </c>
      <c r="BD434">
        <v>229.90248606119221</v>
      </c>
      <c r="BE434">
        <v>1</v>
      </c>
      <c r="BF434">
        <v>8.6993404650164072E-2</v>
      </c>
      <c r="BG434">
        <v>15.28115725</v>
      </c>
      <c r="BH434">
        <v>15.28115725</v>
      </c>
      <c r="BI434">
        <v>15.28115725</v>
      </c>
      <c r="BJ434">
        <v>0</v>
      </c>
      <c r="BK434">
        <v>0</v>
      </c>
      <c r="BM434">
        <v>0</v>
      </c>
      <c r="BP434">
        <v>442.10223602000008</v>
      </c>
      <c r="BQ434">
        <v>1</v>
      </c>
      <c r="BR434">
        <v>4.5238404989870327E-2</v>
      </c>
      <c r="BS434">
        <v>3.8530000000000002</v>
      </c>
      <c r="BT434">
        <v>3.8530000000000002</v>
      </c>
      <c r="BU434">
        <v>29.78</v>
      </c>
      <c r="BV434">
        <v>435.59988762</v>
      </c>
      <c r="BW434">
        <v>9.1827388245091582E-2</v>
      </c>
      <c r="BX434">
        <v>10</v>
      </c>
      <c r="BY434">
        <v>4.5913694122545791E-2</v>
      </c>
      <c r="BZ434">
        <v>4.3496702325082043E-2</v>
      </c>
      <c r="CB434">
        <v>2.261920249493516E-2</v>
      </c>
      <c r="CC434">
        <v>0.57502916378636981</v>
      </c>
      <c r="CE434">
        <v>0.29902729174659581</v>
      </c>
      <c r="CF434">
        <v>0.60698194866157307</v>
      </c>
    </row>
    <row r="435" spans="1:84" x14ac:dyDescent="0.3">
      <c r="A435" s="1">
        <v>131</v>
      </c>
      <c r="B435" t="s">
        <v>418</v>
      </c>
      <c r="C435" t="s">
        <v>419</v>
      </c>
      <c r="E435" t="s">
        <v>404</v>
      </c>
      <c r="F435">
        <v>2.69</v>
      </c>
      <c r="G435" t="s">
        <v>405</v>
      </c>
      <c r="H435">
        <v>-1</v>
      </c>
      <c r="I435" t="s">
        <v>406</v>
      </c>
      <c r="J435">
        <v>2</v>
      </c>
      <c r="K435">
        <v>3.871</v>
      </c>
      <c r="L435">
        <v>3.871</v>
      </c>
      <c r="M435">
        <v>29.241</v>
      </c>
      <c r="O435">
        <v>14.6205</v>
      </c>
      <c r="P435">
        <v>3</v>
      </c>
      <c r="Q435" t="s">
        <v>87</v>
      </c>
      <c r="R435">
        <v>1323</v>
      </c>
      <c r="S435">
        <v>48</v>
      </c>
      <c r="T435" t="b">
        <v>0</v>
      </c>
      <c r="U435" t="s">
        <v>88</v>
      </c>
      <c r="V435" t="s">
        <v>89</v>
      </c>
      <c r="W435">
        <v>0</v>
      </c>
      <c r="Y435">
        <v>2</v>
      </c>
      <c r="Z435">
        <v>0</v>
      </c>
      <c r="AC435" t="s">
        <v>90</v>
      </c>
      <c r="AD435">
        <v>1000</v>
      </c>
      <c r="AE435">
        <v>300</v>
      </c>
      <c r="AF435" t="s">
        <v>407</v>
      </c>
      <c r="AG435">
        <v>298</v>
      </c>
      <c r="AH435">
        <v>8.75</v>
      </c>
      <c r="AI435" t="s">
        <v>420</v>
      </c>
      <c r="AK435" t="s">
        <v>420</v>
      </c>
      <c r="AL435" t="b">
        <v>1</v>
      </c>
      <c r="AM435" t="b">
        <v>0</v>
      </c>
      <c r="AN435" t="b">
        <v>1</v>
      </c>
      <c r="AO435" t="b">
        <v>0</v>
      </c>
      <c r="AP435" t="s">
        <v>421</v>
      </c>
      <c r="AQ435">
        <v>-1</v>
      </c>
      <c r="AR435" t="s">
        <v>422</v>
      </c>
      <c r="AS435">
        <v>2.1690537003695232</v>
      </c>
      <c r="AT435">
        <v>1.882352941176471</v>
      </c>
      <c r="AU435">
        <v>2.3529411764705879</v>
      </c>
      <c r="AV435">
        <v>0.54117647058823526</v>
      </c>
      <c r="AW435">
        <v>0</v>
      </c>
      <c r="AX435">
        <v>0.39408866995073888</v>
      </c>
      <c r="AY435">
        <v>0.49261083743842371</v>
      </c>
      <c r="AZ435">
        <v>0.1133004926108374</v>
      </c>
      <c r="BA435">
        <v>0</v>
      </c>
      <c r="BB435">
        <v>5.7000419042647064</v>
      </c>
      <c r="BC435">
        <v>20</v>
      </c>
      <c r="BD435">
        <v>229.90248606119221</v>
      </c>
      <c r="BE435">
        <v>1</v>
      </c>
      <c r="BF435">
        <v>8.6993404650164072E-2</v>
      </c>
      <c r="BG435">
        <v>15.28115725</v>
      </c>
      <c r="BH435">
        <v>15.28115725</v>
      </c>
      <c r="BI435">
        <v>15.28115725</v>
      </c>
      <c r="BJ435">
        <v>0</v>
      </c>
      <c r="BK435">
        <v>0</v>
      </c>
      <c r="BM435">
        <v>0</v>
      </c>
      <c r="BP435">
        <v>442.10223602000008</v>
      </c>
      <c r="BQ435">
        <v>1</v>
      </c>
      <c r="BR435">
        <v>4.5238404989870327E-2</v>
      </c>
      <c r="BS435">
        <v>3.8530000000000002</v>
      </c>
      <c r="BT435">
        <v>3.8530000000000002</v>
      </c>
      <c r="BU435">
        <v>29.78</v>
      </c>
      <c r="BV435">
        <v>438.16588748100003</v>
      </c>
      <c r="BW435">
        <v>9.1289626013468489E-2</v>
      </c>
      <c r="BX435">
        <v>10</v>
      </c>
      <c r="BY435">
        <v>4.5644813006734238E-2</v>
      </c>
      <c r="BZ435">
        <v>4.3496702325082043E-2</v>
      </c>
      <c r="CB435">
        <v>2.261920249493516E-2</v>
      </c>
      <c r="CC435">
        <v>0.57569454268115738</v>
      </c>
      <c r="CE435">
        <v>0.29937330280381508</v>
      </c>
      <c r="CF435">
        <v>0.60412556228489345</v>
      </c>
    </row>
    <row r="436" spans="1:84" x14ac:dyDescent="0.3">
      <c r="A436" s="1">
        <v>132</v>
      </c>
      <c r="B436" t="s">
        <v>423</v>
      </c>
      <c r="C436" t="s">
        <v>424</v>
      </c>
      <c r="E436" t="s">
        <v>404</v>
      </c>
      <c r="F436">
        <v>2.4300000000000002</v>
      </c>
      <c r="G436" t="s">
        <v>405</v>
      </c>
      <c r="H436">
        <v>-1</v>
      </c>
      <c r="I436" t="s">
        <v>406</v>
      </c>
      <c r="J436">
        <v>2</v>
      </c>
      <c r="K436">
        <v>3.8740000000000001</v>
      </c>
      <c r="L436">
        <v>3.8740000000000001</v>
      </c>
      <c r="M436">
        <v>32.945999999999998</v>
      </c>
      <c r="O436">
        <v>16.472999999999999</v>
      </c>
      <c r="P436">
        <v>3</v>
      </c>
      <c r="Q436" t="s">
        <v>87</v>
      </c>
      <c r="R436">
        <v>1323</v>
      </c>
      <c r="S436">
        <v>48</v>
      </c>
      <c r="T436" t="b">
        <v>0</v>
      </c>
      <c r="U436" t="s">
        <v>88</v>
      </c>
      <c r="V436" t="s">
        <v>89</v>
      </c>
      <c r="W436">
        <v>0</v>
      </c>
      <c r="Y436">
        <v>2</v>
      </c>
      <c r="Z436">
        <v>0</v>
      </c>
      <c r="AC436" t="s">
        <v>90</v>
      </c>
      <c r="AD436">
        <v>1000</v>
      </c>
      <c r="AE436">
        <v>300</v>
      </c>
      <c r="AF436" t="s">
        <v>407</v>
      </c>
      <c r="AG436">
        <v>298</v>
      </c>
      <c r="AH436">
        <v>1.25</v>
      </c>
      <c r="AI436" t="s">
        <v>425</v>
      </c>
      <c r="AK436" t="s">
        <v>425</v>
      </c>
      <c r="AL436" t="b">
        <v>1</v>
      </c>
      <c r="AM436" t="b">
        <v>0</v>
      </c>
      <c r="AN436" t="b">
        <v>1</v>
      </c>
      <c r="AO436" t="b">
        <v>0</v>
      </c>
      <c r="AP436" t="s">
        <v>426</v>
      </c>
      <c r="AQ436">
        <v>-1</v>
      </c>
      <c r="AR436" t="s">
        <v>427</v>
      </c>
      <c r="AS436">
        <v>0.22314355131420979</v>
      </c>
      <c r="AT436">
        <v>1.882352941176471</v>
      </c>
      <c r="AU436">
        <v>2.3529411764705879</v>
      </c>
      <c r="AV436">
        <v>0.56470588235294128</v>
      </c>
      <c r="AW436">
        <v>0</v>
      </c>
      <c r="AX436">
        <v>0.39215686274509798</v>
      </c>
      <c r="AY436">
        <v>0.49019607843137258</v>
      </c>
      <c r="AZ436">
        <v>0.1176470588235294</v>
      </c>
      <c r="BA436">
        <v>0</v>
      </c>
      <c r="BB436">
        <v>5.703430255588235</v>
      </c>
      <c r="BC436">
        <v>20</v>
      </c>
      <c r="BD436">
        <v>229.90248606119221</v>
      </c>
      <c r="BE436">
        <v>1</v>
      </c>
      <c r="BF436">
        <v>8.6993404650164072E-2</v>
      </c>
      <c r="BG436">
        <v>15.28115725</v>
      </c>
      <c r="BH436">
        <v>15.28115725</v>
      </c>
      <c r="BI436">
        <v>15.28115725</v>
      </c>
      <c r="BJ436">
        <v>0</v>
      </c>
      <c r="BK436">
        <v>0</v>
      </c>
      <c r="BM436">
        <v>0</v>
      </c>
      <c r="BP436">
        <v>442.10223602000008</v>
      </c>
      <c r="BQ436">
        <v>1</v>
      </c>
      <c r="BR436">
        <v>4.5238404989870327E-2</v>
      </c>
      <c r="BS436">
        <v>3.8530000000000002</v>
      </c>
      <c r="BT436">
        <v>3.8530000000000002</v>
      </c>
      <c r="BU436">
        <v>29.78</v>
      </c>
      <c r="BV436">
        <v>494.44948269600002</v>
      </c>
      <c r="BW436">
        <v>8.0898052075813381E-2</v>
      </c>
      <c r="BX436">
        <v>10</v>
      </c>
      <c r="BY436">
        <v>4.0449026037906691E-2</v>
      </c>
      <c r="BZ436">
        <v>4.3496702325082043E-2</v>
      </c>
      <c r="CB436">
        <v>2.261920249493516E-2</v>
      </c>
      <c r="CC436">
        <v>0.57635992157594507</v>
      </c>
      <c r="CE436">
        <v>0.29971931386103451</v>
      </c>
      <c r="CF436">
        <v>0.53597620575451965</v>
      </c>
    </row>
    <row r="437" spans="1:84" x14ac:dyDescent="0.3">
      <c r="A437" s="1">
        <v>134</v>
      </c>
      <c r="B437" t="s">
        <v>428</v>
      </c>
      <c r="C437" t="s">
        <v>429</v>
      </c>
      <c r="E437" t="s">
        <v>404</v>
      </c>
      <c r="F437">
        <v>3.06</v>
      </c>
      <c r="G437" t="s">
        <v>405</v>
      </c>
      <c r="H437">
        <v>-1</v>
      </c>
      <c r="I437" t="s">
        <v>406</v>
      </c>
      <c r="J437">
        <v>2</v>
      </c>
      <c r="K437">
        <v>3.8660000000000001</v>
      </c>
      <c r="L437">
        <v>3.8660000000000001</v>
      </c>
      <c r="M437">
        <v>29.114000000000001</v>
      </c>
      <c r="O437">
        <v>14.557</v>
      </c>
      <c r="P437">
        <v>3</v>
      </c>
      <c r="Q437" t="s">
        <v>87</v>
      </c>
      <c r="R437">
        <v>1323</v>
      </c>
      <c r="S437">
        <v>48</v>
      </c>
      <c r="T437" t="b">
        <v>0</v>
      </c>
      <c r="U437" t="s">
        <v>88</v>
      </c>
      <c r="V437" t="s">
        <v>89</v>
      </c>
      <c r="W437">
        <v>0</v>
      </c>
      <c r="Y437">
        <v>2</v>
      </c>
      <c r="Z437">
        <v>0</v>
      </c>
      <c r="AC437" t="s">
        <v>90</v>
      </c>
      <c r="AD437">
        <v>1000</v>
      </c>
      <c r="AE437">
        <v>300</v>
      </c>
      <c r="AF437" t="s">
        <v>407</v>
      </c>
      <c r="AG437">
        <v>298</v>
      </c>
      <c r="AH437">
        <v>10</v>
      </c>
      <c r="AI437" t="s">
        <v>430</v>
      </c>
      <c r="AK437" t="s">
        <v>430</v>
      </c>
      <c r="AL437" t="b">
        <v>1</v>
      </c>
      <c r="AM437" t="b">
        <v>0</v>
      </c>
      <c r="AN437" t="b">
        <v>1</v>
      </c>
      <c r="AO437" t="b">
        <v>0</v>
      </c>
      <c r="AP437" t="s">
        <v>431</v>
      </c>
      <c r="AQ437">
        <v>-1</v>
      </c>
      <c r="AR437" t="s">
        <v>432</v>
      </c>
      <c r="AS437">
        <v>2.3025850929940459</v>
      </c>
      <c r="AT437">
        <v>1.882352941176471</v>
      </c>
      <c r="AU437">
        <v>2.3529411764705879</v>
      </c>
      <c r="AV437">
        <v>0.49411764705882361</v>
      </c>
      <c r="AW437">
        <v>0.1647058823529412</v>
      </c>
      <c r="AX437">
        <v>0.38461538461538458</v>
      </c>
      <c r="AY437">
        <v>0.48076923076923073</v>
      </c>
      <c r="AZ437">
        <v>0.10096153846153851</v>
      </c>
      <c r="BA437">
        <v>3.3653846153846159E-2</v>
      </c>
      <c r="BB437">
        <v>5.7003290021764714</v>
      </c>
      <c r="BC437">
        <v>20</v>
      </c>
      <c r="BD437">
        <v>229.90248606119221</v>
      </c>
      <c r="BE437">
        <v>1</v>
      </c>
      <c r="BF437">
        <v>8.6993404650164072E-2</v>
      </c>
      <c r="BG437">
        <v>15.28115725</v>
      </c>
      <c r="BH437">
        <v>15.28115725</v>
      </c>
      <c r="BI437">
        <v>15.28115725</v>
      </c>
      <c r="BJ437">
        <v>0</v>
      </c>
      <c r="BK437">
        <v>0</v>
      </c>
      <c r="BM437">
        <v>0</v>
      </c>
      <c r="BP437">
        <v>442.10223602000008</v>
      </c>
      <c r="BQ437">
        <v>1</v>
      </c>
      <c r="BR437">
        <v>4.5238404989870327E-2</v>
      </c>
      <c r="BS437">
        <v>3.8530000000000002</v>
      </c>
      <c r="BT437">
        <v>3.8530000000000002</v>
      </c>
      <c r="BU437">
        <v>29.78</v>
      </c>
      <c r="BV437">
        <v>435.13656298400002</v>
      </c>
      <c r="BW437">
        <v>9.1925164196029197E-2</v>
      </c>
      <c r="BX437">
        <v>10</v>
      </c>
      <c r="BY437">
        <v>4.5962582098014598E-2</v>
      </c>
      <c r="BZ437">
        <v>4.3496702325082043E-2</v>
      </c>
      <c r="CB437">
        <v>2.261920249493516E-2</v>
      </c>
      <c r="CC437">
        <v>0.57366827172135415</v>
      </c>
      <c r="CE437">
        <v>0.29831959917343742</v>
      </c>
      <c r="CF437">
        <v>0.60619020814399538</v>
      </c>
    </row>
    <row r="438" spans="1:84" x14ac:dyDescent="0.3">
      <c r="A438" s="1">
        <v>135</v>
      </c>
      <c r="B438" t="s">
        <v>433</v>
      </c>
      <c r="C438" t="s">
        <v>434</v>
      </c>
      <c r="E438" t="s">
        <v>404</v>
      </c>
      <c r="F438">
        <v>2.12</v>
      </c>
      <c r="G438" t="s">
        <v>405</v>
      </c>
      <c r="H438">
        <v>-1</v>
      </c>
      <c r="I438" t="s">
        <v>406</v>
      </c>
      <c r="J438">
        <v>2</v>
      </c>
      <c r="K438">
        <v>3.8570000000000002</v>
      </c>
      <c r="L438">
        <v>3.8570000000000002</v>
      </c>
      <c r="M438">
        <v>29.533999999999999</v>
      </c>
      <c r="O438">
        <v>14.766999999999999</v>
      </c>
      <c r="P438">
        <v>3</v>
      </c>
      <c r="Q438" t="s">
        <v>87</v>
      </c>
      <c r="R438">
        <v>1323</v>
      </c>
      <c r="S438">
        <v>48</v>
      </c>
      <c r="T438" t="b">
        <v>0</v>
      </c>
      <c r="U438" t="s">
        <v>88</v>
      </c>
      <c r="V438" t="s">
        <v>89</v>
      </c>
      <c r="W438">
        <v>0</v>
      </c>
      <c r="Y438">
        <v>2</v>
      </c>
      <c r="Z438">
        <v>0</v>
      </c>
      <c r="AC438" t="s">
        <v>90</v>
      </c>
      <c r="AD438">
        <v>1000</v>
      </c>
      <c r="AE438">
        <v>300</v>
      </c>
      <c r="AF438" t="s">
        <v>407</v>
      </c>
      <c r="AG438">
        <v>298</v>
      </c>
      <c r="AH438">
        <v>2</v>
      </c>
      <c r="AI438" t="s">
        <v>435</v>
      </c>
      <c r="AK438" t="s">
        <v>435</v>
      </c>
      <c r="AL438" t="b">
        <v>1</v>
      </c>
      <c r="AM438" t="b">
        <v>0</v>
      </c>
      <c r="AN438" t="b">
        <v>1</v>
      </c>
      <c r="AO438" t="b">
        <v>0</v>
      </c>
      <c r="AP438" t="s">
        <v>436</v>
      </c>
      <c r="AQ438">
        <v>-1</v>
      </c>
      <c r="AR438" t="s">
        <v>437</v>
      </c>
      <c r="AS438">
        <v>0.69314718055994529</v>
      </c>
      <c r="AT438">
        <v>1.882352941176471</v>
      </c>
      <c r="AU438">
        <v>2.3529411764705879</v>
      </c>
      <c r="AV438">
        <v>0.54117647058823526</v>
      </c>
      <c r="AW438">
        <v>0</v>
      </c>
      <c r="AX438">
        <v>0.39408866995073888</v>
      </c>
      <c r="AY438">
        <v>0.49261083743842371</v>
      </c>
      <c r="AZ438">
        <v>0.1133004926108374</v>
      </c>
      <c r="BA438">
        <v>0</v>
      </c>
      <c r="BB438">
        <v>5.7010143455882352</v>
      </c>
      <c r="BC438">
        <v>20</v>
      </c>
      <c r="BD438">
        <v>229.90248606119221</v>
      </c>
      <c r="BE438">
        <v>1</v>
      </c>
      <c r="BF438">
        <v>8.6993404650164072E-2</v>
      </c>
      <c r="BG438">
        <v>15.28115725</v>
      </c>
      <c r="BH438">
        <v>15.28115725</v>
      </c>
      <c r="BI438">
        <v>15.28115725</v>
      </c>
      <c r="BJ438">
        <v>0</v>
      </c>
      <c r="BK438">
        <v>0</v>
      </c>
      <c r="BM438">
        <v>0</v>
      </c>
      <c r="BP438">
        <v>442.10223602000008</v>
      </c>
      <c r="BQ438">
        <v>1</v>
      </c>
      <c r="BR438">
        <v>4.5238404989870327E-2</v>
      </c>
      <c r="BS438">
        <v>3.8530000000000002</v>
      </c>
      <c r="BT438">
        <v>3.8530000000000002</v>
      </c>
      <c r="BU438">
        <v>29.78</v>
      </c>
      <c r="BV438">
        <v>439.36104476600002</v>
      </c>
      <c r="BW438">
        <v>9.1041298441248156E-2</v>
      </c>
      <c r="BX438">
        <v>10</v>
      </c>
      <c r="BY438">
        <v>4.5520649220624078E-2</v>
      </c>
      <c r="BZ438">
        <v>4.3496702325082043E-2</v>
      </c>
      <c r="CB438">
        <v>2.261920249493516E-2</v>
      </c>
      <c r="CC438">
        <v>0.57427522249847118</v>
      </c>
      <c r="CE438">
        <v>0.29863522637729911</v>
      </c>
      <c r="CF438">
        <v>0.60099684716499824</v>
      </c>
    </row>
    <row r="439" spans="1:84" x14ac:dyDescent="0.3">
      <c r="A439" s="1">
        <v>138</v>
      </c>
      <c r="B439" t="s">
        <v>413</v>
      </c>
      <c r="C439" t="s">
        <v>414</v>
      </c>
      <c r="E439" t="s">
        <v>404</v>
      </c>
      <c r="F439">
        <v>2.93</v>
      </c>
      <c r="G439" t="s">
        <v>405</v>
      </c>
      <c r="H439">
        <v>-1</v>
      </c>
      <c r="I439" t="s">
        <v>406</v>
      </c>
      <c r="J439">
        <v>2</v>
      </c>
      <c r="K439">
        <v>3.8660000000000001</v>
      </c>
      <c r="L439">
        <v>3.8660000000000001</v>
      </c>
      <c r="M439">
        <v>29.145</v>
      </c>
      <c r="O439">
        <v>14.5725</v>
      </c>
      <c r="P439">
        <v>3</v>
      </c>
      <c r="Q439" t="s">
        <v>87</v>
      </c>
      <c r="R439">
        <v>1323</v>
      </c>
      <c r="S439">
        <v>48</v>
      </c>
      <c r="T439" t="b">
        <v>0</v>
      </c>
      <c r="U439" t="s">
        <v>88</v>
      </c>
      <c r="V439" t="s">
        <v>89</v>
      </c>
      <c r="W439">
        <v>0</v>
      </c>
      <c r="Y439">
        <v>2</v>
      </c>
      <c r="Z439">
        <v>0</v>
      </c>
      <c r="AC439" t="s">
        <v>165</v>
      </c>
      <c r="AD439">
        <v>500</v>
      </c>
      <c r="AE439">
        <v>300</v>
      </c>
      <c r="AF439" t="s">
        <v>407</v>
      </c>
      <c r="AG439">
        <v>298</v>
      </c>
      <c r="AH439">
        <v>0.26250000000000001</v>
      </c>
      <c r="AI439" t="s">
        <v>415</v>
      </c>
      <c r="AK439" t="s">
        <v>415</v>
      </c>
      <c r="AL439" t="b">
        <v>1</v>
      </c>
      <c r="AM439" t="b">
        <v>0</v>
      </c>
      <c r="AN439" t="b">
        <v>1</v>
      </c>
      <c r="AO439" t="b">
        <v>0</v>
      </c>
      <c r="AP439" t="s">
        <v>438</v>
      </c>
      <c r="AQ439">
        <v>-1</v>
      </c>
      <c r="AR439" t="s">
        <v>439</v>
      </c>
      <c r="AS439">
        <v>-1.3375041969504591</v>
      </c>
      <c r="AT439">
        <v>1.882352941176471</v>
      </c>
      <c r="AU439">
        <v>2.3529411764705879</v>
      </c>
      <c r="AV439">
        <v>0.51764705882352946</v>
      </c>
      <c r="AW439">
        <v>0</v>
      </c>
      <c r="AX439">
        <v>0.39603960396039611</v>
      </c>
      <c r="AY439">
        <v>0.49504950495049499</v>
      </c>
      <c r="AZ439">
        <v>0.1089108910891089</v>
      </c>
      <c r="BA439">
        <v>0</v>
      </c>
      <c r="BB439">
        <v>5.6966535529411768</v>
      </c>
      <c r="BC439">
        <v>20</v>
      </c>
      <c r="BD439">
        <v>229.90248606119221</v>
      </c>
      <c r="BE439">
        <v>1</v>
      </c>
      <c r="BF439">
        <v>8.6993404650164072E-2</v>
      </c>
      <c r="BG439">
        <v>15.28115725</v>
      </c>
      <c r="BH439">
        <v>15.28115725</v>
      </c>
      <c r="BI439">
        <v>15.28115725</v>
      </c>
      <c r="BJ439">
        <v>0</v>
      </c>
      <c r="BK439">
        <v>0</v>
      </c>
      <c r="BM439">
        <v>0</v>
      </c>
      <c r="BP439">
        <v>442.10223602000008</v>
      </c>
      <c r="BQ439">
        <v>1</v>
      </c>
      <c r="BR439">
        <v>4.5238404989870327E-2</v>
      </c>
      <c r="BS439">
        <v>3.8530000000000002</v>
      </c>
      <c r="BT439">
        <v>3.8530000000000002</v>
      </c>
      <c r="BU439">
        <v>29.78</v>
      </c>
      <c r="BV439">
        <v>435.59988762</v>
      </c>
      <c r="BW439">
        <v>9.1827388245091582E-2</v>
      </c>
      <c r="BX439">
        <v>10</v>
      </c>
      <c r="BY439">
        <v>4.5913694122545791E-2</v>
      </c>
      <c r="BZ439">
        <v>4.3496702325082043E-2</v>
      </c>
      <c r="CB439">
        <v>2.261920249493516E-2</v>
      </c>
      <c r="CC439">
        <v>0.57502916378636981</v>
      </c>
      <c r="CE439">
        <v>0.29902729174659581</v>
      </c>
      <c r="CF439">
        <v>0.60698194866157307</v>
      </c>
    </row>
    <row r="440" spans="1:84" x14ac:dyDescent="0.3">
      <c r="A440" s="1">
        <v>139</v>
      </c>
      <c r="B440" t="s">
        <v>418</v>
      </c>
      <c r="C440" t="s">
        <v>419</v>
      </c>
      <c r="E440" t="s">
        <v>404</v>
      </c>
      <c r="F440">
        <v>2.69</v>
      </c>
      <c r="G440" t="s">
        <v>405</v>
      </c>
      <c r="H440">
        <v>-1</v>
      </c>
      <c r="I440" t="s">
        <v>406</v>
      </c>
      <c r="J440">
        <v>2</v>
      </c>
      <c r="K440">
        <v>3.871</v>
      </c>
      <c r="L440">
        <v>3.871</v>
      </c>
      <c r="M440">
        <v>29.241</v>
      </c>
      <c r="O440">
        <v>14.6205</v>
      </c>
      <c r="P440">
        <v>3</v>
      </c>
      <c r="Q440" t="s">
        <v>87</v>
      </c>
      <c r="R440">
        <v>1323</v>
      </c>
      <c r="S440">
        <v>48</v>
      </c>
      <c r="T440" t="b">
        <v>0</v>
      </c>
      <c r="U440" t="s">
        <v>88</v>
      </c>
      <c r="V440" t="s">
        <v>89</v>
      </c>
      <c r="W440">
        <v>0</v>
      </c>
      <c r="Y440">
        <v>2</v>
      </c>
      <c r="Z440">
        <v>0</v>
      </c>
      <c r="AC440" t="s">
        <v>165</v>
      </c>
      <c r="AD440">
        <v>500</v>
      </c>
      <c r="AE440">
        <v>300</v>
      </c>
      <c r="AF440" t="s">
        <v>407</v>
      </c>
      <c r="AG440">
        <v>298</v>
      </c>
      <c r="AH440">
        <v>9.375E-2</v>
      </c>
      <c r="AI440" t="s">
        <v>420</v>
      </c>
      <c r="AK440" t="s">
        <v>420</v>
      </c>
      <c r="AL440" t="b">
        <v>1</v>
      </c>
      <c r="AM440" t="b">
        <v>0</v>
      </c>
      <c r="AN440" t="b">
        <v>1</v>
      </c>
      <c r="AO440" t="b">
        <v>0</v>
      </c>
      <c r="AP440" t="s">
        <v>440</v>
      </c>
      <c r="AQ440">
        <v>-1</v>
      </c>
      <c r="AR440" t="s">
        <v>441</v>
      </c>
      <c r="AS440">
        <v>-2.367123614131617</v>
      </c>
      <c r="AT440">
        <v>1.882352941176471</v>
      </c>
      <c r="AU440">
        <v>2.3529411764705879</v>
      </c>
      <c r="AV440">
        <v>0.54117647058823526</v>
      </c>
      <c r="AW440">
        <v>0</v>
      </c>
      <c r="AX440">
        <v>0.39408866995073888</v>
      </c>
      <c r="AY440">
        <v>0.49261083743842371</v>
      </c>
      <c r="AZ440">
        <v>0.1133004926108374</v>
      </c>
      <c r="BA440">
        <v>0</v>
      </c>
      <c r="BB440">
        <v>5.7000419042647064</v>
      </c>
      <c r="BC440">
        <v>20</v>
      </c>
      <c r="BD440">
        <v>229.90248606119221</v>
      </c>
      <c r="BE440">
        <v>1</v>
      </c>
      <c r="BF440">
        <v>8.6993404650164072E-2</v>
      </c>
      <c r="BG440">
        <v>15.28115725</v>
      </c>
      <c r="BH440">
        <v>15.28115725</v>
      </c>
      <c r="BI440">
        <v>15.28115725</v>
      </c>
      <c r="BJ440">
        <v>0</v>
      </c>
      <c r="BK440">
        <v>0</v>
      </c>
      <c r="BM440">
        <v>0</v>
      </c>
      <c r="BP440">
        <v>442.10223602000008</v>
      </c>
      <c r="BQ440">
        <v>1</v>
      </c>
      <c r="BR440">
        <v>4.5238404989870327E-2</v>
      </c>
      <c r="BS440">
        <v>3.8530000000000002</v>
      </c>
      <c r="BT440">
        <v>3.8530000000000002</v>
      </c>
      <c r="BU440">
        <v>29.78</v>
      </c>
      <c r="BV440">
        <v>438.16588748100003</v>
      </c>
      <c r="BW440">
        <v>9.1289626013468489E-2</v>
      </c>
      <c r="BX440">
        <v>10</v>
      </c>
      <c r="BY440">
        <v>4.5644813006734238E-2</v>
      </c>
      <c r="BZ440">
        <v>4.3496702325082043E-2</v>
      </c>
      <c r="CB440">
        <v>2.261920249493516E-2</v>
      </c>
      <c r="CC440">
        <v>0.57569454268115738</v>
      </c>
      <c r="CE440">
        <v>0.29937330280381508</v>
      </c>
      <c r="CF440">
        <v>0.60412556228489345</v>
      </c>
    </row>
    <row r="441" spans="1:84" x14ac:dyDescent="0.3">
      <c r="A441" s="1">
        <v>142</v>
      </c>
      <c r="B441" t="s">
        <v>428</v>
      </c>
      <c r="C441" t="s">
        <v>429</v>
      </c>
      <c r="E441" t="s">
        <v>404</v>
      </c>
      <c r="F441">
        <v>3.06</v>
      </c>
      <c r="G441" t="s">
        <v>405</v>
      </c>
      <c r="H441">
        <v>-1</v>
      </c>
      <c r="I441" t="s">
        <v>406</v>
      </c>
      <c r="J441">
        <v>2</v>
      </c>
      <c r="K441">
        <v>3.8660000000000001</v>
      </c>
      <c r="L441">
        <v>3.8660000000000001</v>
      </c>
      <c r="M441">
        <v>29.114000000000001</v>
      </c>
      <c r="O441">
        <v>14.557</v>
      </c>
      <c r="P441">
        <v>3</v>
      </c>
      <c r="Q441" t="s">
        <v>87</v>
      </c>
      <c r="R441">
        <v>1323</v>
      </c>
      <c r="S441">
        <v>48</v>
      </c>
      <c r="T441" t="b">
        <v>0</v>
      </c>
      <c r="U441" t="s">
        <v>88</v>
      </c>
      <c r="V441" t="s">
        <v>89</v>
      </c>
      <c r="W441">
        <v>0</v>
      </c>
      <c r="Y441">
        <v>2</v>
      </c>
      <c r="Z441">
        <v>0</v>
      </c>
      <c r="AC441" t="s">
        <v>165</v>
      </c>
      <c r="AD441">
        <v>500</v>
      </c>
      <c r="AE441">
        <v>300</v>
      </c>
      <c r="AF441" t="s">
        <v>407</v>
      </c>
      <c r="AG441">
        <v>298</v>
      </c>
      <c r="AH441">
        <v>6.25E-2</v>
      </c>
      <c r="AI441" t="s">
        <v>430</v>
      </c>
      <c r="AK441" t="s">
        <v>430</v>
      </c>
      <c r="AL441" t="b">
        <v>1</v>
      </c>
      <c r="AM441" t="b">
        <v>0</v>
      </c>
      <c r="AN441" t="b">
        <v>1</v>
      </c>
      <c r="AO441" t="b">
        <v>0</v>
      </c>
      <c r="AP441" t="s">
        <v>442</v>
      </c>
      <c r="AQ441">
        <v>-1</v>
      </c>
      <c r="AR441" t="s">
        <v>443</v>
      </c>
      <c r="AS441">
        <v>-2.7725887222397811</v>
      </c>
      <c r="AT441">
        <v>1.882352941176471</v>
      </c>
      <c r="AU441">
        <v>2.3529411764705879</v>
      </c>
      <c r="AV441">
        <v>0.49411764705882361</v>
      </c>
      <c r="AW441">
        <v>0.1647058823529412</v>
      </c>
      <c r="AX441">
        <v>0.38461538461538458</v>
      </c>
      <c r="AY441">
        <v>0.48076923076923073</v>
      </c>
      <c r="AZ441">
        <v>0.10096153846153851</v>
      </c>
      <c r="BA441">
        <v>3.3653846153846159E-2</v>
      </c>
      <c r="BB441">
        <v>5.7003290021764714</v>
      </c>
      <c r="BC441">
        <v>20</v>
      </c>
      <c r="BD441">
        <v>229.90248606119221</v>
      </c>
      <c r="BE441">
        <v>1</v>
      </c>
      <c r="BF441">
        <v>8.6993404650164072E-2</v>
      </c>
      <c r="BG441">
        <v>15.28115725</v>
      </c>
      <c r="BH441">
        <v>15.28115725</v>
      </c>
      <c r="BI441">
        <v>15.28115725</v>
      </c>
      <c r="BJ441">
        <v>0</v>
      </c>
      <c r="BK441">
        <v>0</v>
      </c>
      <c r="BM441">
        <v>0</v>
      </c>
      <c r="BP441">
        <v>442.10223602000008</v>
      </c>
      <c r="BQ441">
        <v>1</v>
      </c>
      <c r="BR441">
        <v>4.5238404989870327E-2</v>
      </c>
      <c r="BS441">
        <v>3.8530000000000002</v>
      </c>
      <c r="BT441">
        <v>3.8530000000000002</v>
      </c>
      <c r="BU441">
        <v>29.78</v>
      </c>
      <c r="BV441">
        <v>435.13656298400002</v>
      </c>
      <c r="BW441">
        <v>9.1925164196029197E-2</v>
      </c>
      <c r="BX441">
        <v>10</v>
      </c>
      <c r="BY441">
        <v>4.5962582098014598E-2</v>
      </c>
      <c r="BZ441">
        <v>4.3496702325082043E-2</v>
      </c>
      <c r="CB441">
        <v>2.261920249493516E-2</v>
      </c>
      <c r="CC441">
        <v>0.57366827172135415</v>
      </c>
      <c r="CE441">
        <v>0.29831959917343742</v>
      </c>
      <c r="CF441">
        <v>0.60619020814399538</v>
      </c>
    </row>
    <row r="442" spans="1:84" x14ac:dyDescent="0.3">
      <c r="A442" s="1">
        <v>143</v>
      </c>
      <c r="B442" t="s">
        <v>433</v>
      </c>
      <c r="C442" t="s">
        <v>434</v>
      </c>
      <c r="E442" t="s">
        <v>404</v>
      </c>
      <c r="F442">
        <v>2.12</v>
      </c>
      <c r="G442" t="s">
        <v>405</v>
      </c>
      <c r="H442">
        <v>-1</v>
      </c>
      <c r="I442" t="s">
        <v>406</v>
      </c>
      <c r="J442">
        <v>2</v>
      </c>
      <c r="K442">
        <v>3.8570000000000002</v>
      </c>
      <c r="L442">
        <v>3.8570000000000002</v>
      </c>
      <c r="M442">
        <v>29.533999999999999</v>
      </c>
      <c r="O442">
        <v>14.766999999999999</v>
      </c>
      <c r="P442">
        <v>3</v>
      </c>
      <c r="Q442" t="s">
        <v>87</v>
      </c>
      <c r="R442">
        <v>1323</v>
      </c>
      <c r="S442">
        <v>48</v>
      </c>
      <c r="T442" t="b">
        <v>0</v>
      </c>
      <c r="U442" t="s">
        <v>88</v>
      </c>
      <c r="V442" t="s">
        <v>89</v>
      </c>
      <c r="W442">
        <v>0</v>
      </c>
      <c r="Y442">
        <v>2</v>
      </c>
      <c r="Z442">
        <v>0</v>
      </c>
      <c r="AC442" t="s">
        <v>165</v>
      </c>
      <c r="AD442">
        <v>500</v>
      </c>
      <c r="AE442">
        <v>300</v>
      </c>
      <c r="AF442" t="s">
        <v>407</v>
      </c>
      <c r="AG442">
        <v>298</v>
      </c>
      <c r="AH442">
        <v>1.2500000000000001E-2</v>
      </c>
      <c r="AI442" t="s">
        <v>435</v>
      </c>
      <c r="AK442" t="s">
        <v>435</v>
      </c>
      <c r="AL442" t="b">
        <v>1</v>
      </c>
      <c r="AM442" t="b">
        <v>0</v>
      </c>
      <c r="AN442" t="b">
        <v>1</v>
      </c>
      <c r="AO442" t="b">
        <v>0</v>
      </c>
      <c r="AP442" t="s">
        <v>444</v>
      </c>
      <c r="AQ442">
        <v>-1</v>
      </c>
      <c r="AR442" t="s">
        <v>445</v>
      </c>
      <c r="AS442">
        <v>-4.3820266346738812</v>
      </c>
      <c r="AT442">
        <v>1.882352941176471</v>
      </c>
      <c r="AU442">
        <v>2.3529411764705879</v>
      </c>
      <c r="AV442">
        <v>0.54117647058823526</v>
      </c>
      <c r="AW442">
        <v>0</v>
      </c>
      <c r="AX442">
        <v>0.39408866995073888</v>
      </c>
      <c r="AY442">
        <v>0.49261083743842371</v>
      </c>
      <c r="AZ442">
        <v>0.1133004926108374</v>
      </c>
      <c r="BA442">
        <v>0</v>
      </c>
      <c r="BB442">
        <v>5.7010143455882352</v>
      </c>
      <c r="BC442">
        <v>20</v>
      </c>
      <c r="BD442">
        <v>229.90248606119221</v>
      </c>
      <c r="BE442">
        <v>1</v>
      </c>
      <c r="BF442">
        <v>8.6993404650164072E-2</v>
      </c>
      <c r="BG442">
        <v>15.28115725</v>
      </c>
      <c r="BH442">
        <v>15.28115725</v>
      </c>
      <c r="BI442">
        <v>15.28115725</v>
      </c>
      <c r="BJ442">
        <v>0</v>
      </c>
      <c r="BK442">
        <v>0</v>
      </c>
      <c r="BM442">
        <v>0</v>
      </c>
      <c r="BP442">
        <v>442.10223602000008</v>
      </c>
      <c r="BQ442">
        <v>1</v>
      </c>
      <c r="BR442">
        <v>4.5238404989870327E-2</v>
      </c>
      <c r="BS442">
        <v>3.8530000000000002</v>
      </c>
      <c r="BT442">
        <v>3.8530000000000002</v>
      </c>
      <c r="BU442">
        <v>29.78</v>
      </c>
      <c r="BV442">
        <v>439.36104476600002</v>
      </c>
      <c r="BW442">
        <v>9.1041298441248156E-2</v>
      </c>
      <c r="BX442">
        <v>10</v>
      </c>
      <c r="BY442">
        <v>4.5520649220624078E-2</v>
      </c>
      <c r="BZ442">
        <v>4.3496702325082043E-2</v>
      </c>
      <c r="CB442">
        <v>2.261920249493516E-2</v>
      </c>
      <c r="CC442">
        <v>0.57427522249847118</v>
      </c>
      <c r="CE442">
        <v>0.29863522637729911</v>
      </c>
      <c r="CF442">
        <v>0.60099684716499824</v>
      </c>
    </row>
    <row r="443" spans="1:84" x14ac:dyDescent="0.3">
      <c r="A443" s="1">
        <v>144</v>
      </c>
      <c r="B443" t="s">
        <v>446</v>
      </c>
      <c r="C443" t="s">
        <v>447</v>
      </c>
      <c r="F443">
        <v>3.9</v>
      </c>
      <c r="G443" t="s">
        <v>448</v>
      </c>
      <c r="H443">
        <v>-1</v>
      </c>
      <c r="I443" t="s">
        <v>449</v>
      </c>
      <c r="J443">
        <v>1</v>
      </c>
      <c r="K443">
        <v>3.9037999999999999</v>
      </c>
      <c r="L443">
        <v>3.9037999999999999</v>
      </c>
      <c r="M443">
        <v>9.7742000000000004</v>
      </c>
      <c r="N443" t="s">
        <v>101</v>
      </c>
      <c r="O443">
        <v>9.7742000000000004</v>
      </c>
      <c r="P443">
        <v>3</v>
      </c>
      <c r="Q443" t="s">
        <v>87</v>
      </c>
      <c r="R443">
        <v>1173</v>
      </c>
      <c r="S443">
        <v>24</v>
      </c>
      <c r="T443" t="b">
        <v>0</v>
      </c>
      <c r="U443" t="s">
        <v>88</v>
      </c>
      <c r="V443" t="s">
        <v>89</v>
      </c>
      <c r="W443">
        <v>0</v>
      </c>
      <c r="X443">
        <v>4</v>
      </c>
      <c r="Y443">
        <v>2.5</v>
      </c>
      <c r="Z443">
        <v>0</v>
      </c>
      <c r="AC443" t="s">
        <v>90</v>
      </c>
      <c r="AD443">
        <v>400</v>
      </c>
      <c r="AF443" t="s">
        <v>91</v>
      </c>
      <c r="AH443">
        <v>770</v>
      </c>
      <c r="AL443" t="b">
        <v>1</v>
      </c>
      <c r="AM443" t="b">
        <v>0</v>
      </c>
      <c r="AN443" t="b">
        <v>0</v>
      </c>
      <c r="AO443" t="b">
        <v>0</v>
      </c>
      <c r="AP443" t="s">
        <v>448</v>
      </c>
      <c r="AQ443">
        <v>-1</v>
      </c>
      <c r="AR443" t="s">
        <v>449</v>
      </c>
      <c r="AS443">
        <v>6.6463905148477291</v>
      </c>
      <c r="AT443">
        <v>1.833333333333333</v>
      </c>
      <c r="AU443">
        <v>2.333333333333333</v>
      </c>
      <c r="AV443">
        <v>0.5</v>
      </c>
      <c r="AW443">
        <v>2.333333333333333</v>
      </c>
      <c r="AX443">
        <v>0.26190476190476192</v>
      </c>
      <c r="AY443">
        <v>0.33333333333333343</v>
      </c>
      <c r="AZ443">
        <v>7.1428571428571425E-2</v>
      </c>
      <c r="BA443">
        <v>0.33333333333333343</v>
      </c>
      <c r="BB443">
        <v>6.4901345559335004</v>
      </c>
      <c r="BC443">
        <v>14</v>
      </c>
      <c r="BD443">
        <v>150.75696951344321</v>
      </c>
      <c r="BE443">
        <v>1</v>
      </c>
      <c r="BF443">
        <v>9.2864695046497372E-2</v>
      </c>
      <c r="BG443">
        <v>9.9051542599999998</v>
      </c>
      <c r="BH443">
        <v>9.9051542599999998</v>
      </c>
      <c r="BI443">
        <v>9.9051542599999998</v>
      </c>
      <c r="BJ443">
        <v>0</v>
      </c>
      <c r="BK443">
        <v>0</v>
      </c>
      <c r="BM443">
        <v>0</v>
      </c>
      <c r="BP443">
        <v>285.96232350000002</v>
      </c>
      <c r="BQ443">
        <v>2</v>
      </c>
      <c r="BR443">
        <v>9.7914996833490184E-2</v>
      </c>
      <c r="BS443">
        <v>3.93</v>
      </c>
      <c r="BT443">
        <v>3.93</v>
      </c>
      <c r="BU443">
        <v>18.515000000000001</v>
      </c>
      <c r="BV443">
        <v>148.95543042744799</v>
      </c>
      <c r="BW443">
        <v>9.3987845624862981E-2</v>
      </c>
      <c r="BX443">
        <v>7</v>
      </c>
      <c r="BY443">
        <v>4.6993922812431491E-2</v>
      </c>
      <c r="BZ443">
        <v>4.6432347523248693E-2</v>
      </c>
      <c r="CB443">
        <v>4.8957498416745092E-2</v>
      </c>
      <c r="CC443">
        <v>0.47933993356952992</v>
      </c>
      <c r="CE443">
        <v>0.50540808920037661</v>
      </c>
      <c r="CF443">
        <v>0.48513730277806261</v>
      </c>
    </row>
    <row r="444" spans="1:84" x14ac:dyDescent="0.3">
      <c r="A444" s="1">
        <v>145</v>
      </c>
      <c r="B444" t="s">
        <v>450</v>
      </c>
      <c r="C444" t="s">
        <v>451</v>
      </c>
      <c r="F444">
        <v>3.9</v>
      </c>
      <c r="G444" t="s">
        <v>452</v>
      </c>
      <c r="H444" t="s">
        <v>453</v>
      </c>
      <c r="I444">
        <v>-1</v>
      </c>
      <c r="J444">
        <v>2</v>
      </c>
      <c r="K444">
        <v>3.847</v>
      </c>
      <c r="L444">
        <v>3.847</v>
      </c>
      <c r="M444">
        <v>18.109400000000001</v>
      </c>
      <c r="N444" t="s">
        <v>206</v>
      </c>
      <c r="O444">
        <v>9.0547000000000004</v>
      </c>
      <c r="P444">
        <v>3</v>
      </c>
      <c r="Q444" t="s">
        <v>87</v>
      </c>
      <c r="R444">
        <v>1523</v>
      </c>
      <c r="S444">
        <v>24</v>
      </c>
      <c r="T444" t="b">
        <v>0</v>
      </c>
      <c r="U444" t="s">
        <v>88</v>
      </c>
      <c r="V444" t="s">
        <v>89</v>
      </c>
      <c r="W444">
        <v>0</v>
      </c>
      <c r="X444">
        <v>0.2</v>
      </c>
      <c r="Y444">
        <v>2.5</v>
      </c>
      <c r="Z444">
        <v>0</v>
      </c>
      <c r="AC444" t="s">
        <v>90</v>
      </c>
      <c r="AD444">
        <v>400</v>
      </c>
      <c r="AF444" t="s">
        <v>91</v>
      </c>
      <c r="AH444">
        <v>29.8</v>
      </c>
      <c r="AL444" t="b">
        <v>1</v>
      </c>
      <c r="AM444" t="b">
        <v>1</v>
      </c>
      <c r="AN444" t="b">
        <v>0</v>
      </c>
      <c r="AO444" t="b">
        <v>0</v>
      </c>
      <c r="AP444" t="s">
        <v>452</v>
      </c>
      <c r="AQ444" t="s">
        <v>453</v>
      </c>
      <c r="AS444">
        <v>3.3945083935113591</v>
      </c>
      <c r="AT444">
        <v>1.833333333333333</v>
      </c>
      <c r="AU444">
        <v>2.333333333333333</v>
      </c>
      <c r="AV444">
        <v>0.5</v>
      </c>
      <c r="AW444">
        <v>2.333333333333333</v>
      </c>
      <c r="AX444">
        <v>0.26190476190476192</v>
      </c>
      <c r="AY444">
        <v>0.33333333333333343</v>
      </c>
      <c r="AZ444">
        <v>7.1428571428571425E-2</v>
      </c>
      <c r="BA444">
        <v>0.33333333333333343</v>
      </c>
      <c r="BB444">
        <v>5.7948957581249996</v>
      </c>
      <c r="BC444">
        <v>14</v>
      </c>
      <c r="BD444">
        <v>140.22301532111419</v>
      </c>
      <c r="BE444">
        <v>1</v>
      </c>
      <c r="BF444">
        <v>9.984095669273442E-2</v>
      </c>
      <c r="BG444">
        <v>3.9407006600000001</v>
      </c>
      <c r="BH444">
        <v>3.94070016</v>
      </c>
      <c r="BI444">
        <v>9.4498532300000004</v>
      </c>
      <c r="BJ444">
        <v>283.95112218200001</v>
      </c>
      <c r="BK444">
        <v>2</v>
      </c>
      <c r="BL444">
        <v>9.8608520314468942E-2</v>
      </c>
      <c r="BM444">
        <v>3.9499</v>
      </c>
      <c r="BN444">
        <v>3.9499</v>
      </c>
      <c r="BO444">
        <v>18.2</v>
      </c>
      <c r="BP444">
        <v>0</v>
      </c>
      <c r="BQ444">
        <v>0</v>
      </c>
      <c r="BS444">
        <v>0</v>
      </c>
      <c r="BT444">
        <v>0</v>
      </c>
      <c r="BU444">
        <v>0</v>
      </c>
      <c r="BV444">
        <v>268.00841734459999</v>
      </c>
      <c r="BW444">
        <v>0.1044743306102888</v>
      </c>
      <c r="BX444">
        <v>7</v>
      </c>
      <c r="BY444">
        <v>5.2237165305144398E-2</v>
      </c>
      <c r="BZ444">
        <v>4.992047834636721E-2</v>
      </c>
      <c r="CA444">
        <v>4.9304260157234471E-2</v>
      </c>
      <c r="CC444">
        <v>0.55890272128424257</v>
      </c>
      <c r="CD444">
        <v>0.55200362828233829</v>
      </c>
      <c r="CF444">
        <v>0.58484002574355598</v>
      </c>
    </row>
    <row r="445" spans="1:84" x14ac:dyDescent="0.3">
      <c r="A445" s="1">
        <v>146</v>
      </c>
      <c r="B445" t="s">
        <v>454</v>
      </c>
      <c r="C445" t="s">
        <v>455</v>
      </c>
      <c r="F445">
        <v>3.9</v>
      </c>
      <c r="G445" t="s">
        <v>456</v>
      </c>
      <c r="H445">
        <v>-1</v>
      </c>
      <c r="I445">
        <v>-1</v>
      </c>
      <c r="J445">
        <v>1</v>
      </c>
      <c r="K445">
        <v>3.9973999999999998</v>
      </c>
      <c r="L445">
        <v>3.9973999999999998</v>
      </c>
      <c r="M445">
        <v>12.132999999999999</v>
      </c>
      <c r="N445" t="s">
        <v>101</v>
      </c>
      <c r="O445">
        <v>12.132999999999999</v>
      </c>
      <c r="P445">
        <v>3</v>
      </c>
      <c r="Q445" t="s">
        <v>87</v>
      </c>
      <c r="R445">
        <v>1173</v>
      </c>
      <c r="S445">
        <v>24</v>
      </c>
      <c r="T445" t="b">
        <v>0</v>
      </c>
      <c r="U445" t="s">
        <v>88</v>
      </c>
      <c r="V445" t="s">
        <v>89</v>
      </c>
      <c r="W445">
        <v>0</v>
      </c>
      <c r="X445">
        <v>1.1000000000000001</v>
      </c>
      <c r="Y445">
        <v>2.5</v>
      </c>
      <c r="Z445">
        <v>0</v>
      </c>
      <c r="AC445" t="s">
        <v>90</v>
      </c>
      <c r="AD445">
        <v>400</v>
      </c>
      <c r="AF445" t="s">
        <v>91</v>
      </c>
      <c r="AH445">
        <v>748</v>
      </c>
      <c r="AL445" t="b">
        <v>1</v>
      </c>
      <c r="AM445" t="b">
        <v>0</v>
      </c>
      <c r="AN445" t="b">
        <v>0</v>
      </c>
      <c r="AO445" t="b">
        <v>0</v>
      </c>
      <c r="AP445" t="s">
        <v>456</v>
      </c>
      <c r="AQ445">
        <v>-1</v>
      </c>
      <c r="AS445">
        <v>6.6174029779744776</v>
      </c>
      <c r="AT445">
        <v>1.833333333333333</v>
      </c>
      <c r="AU445">
        <v>2.333333333333333</v>
      </c>
      <c r="AV445">
        <v>0.5</v>
      </c>
      <c r="AW445">
        <v>2.333333333333333</v>
      </c>
      <c r="AX445">
        <v>0.26190476190476192</v>
      </c>
      <c r="AY445">
        <v>0.33333333333333343</v>
      </c>
      <c r="AZ445">
        <v>7.1428571428571425E-2</v>
      </c>
      <c r="BA445">
        <v>0.33333333333333343</v>
      </c>
      <c r="BB445">
        <v>5.6975923117916656</v>
      </c>
      <c r="BC445">
        <v>14</v>
      </c>
      <c r="BD445">
        <v>178.29230172449789</v>
      </c>
      <c r="BE445">
        <v>1</v>
      </c>
      <c r="BF445">
        <v>7.8522739706581246E-2</v>
      </c>
      <c r="BG445">
        <v>11.40392245</v>
      </c>
      <c r="BH445">
        <v>11.40392245</v>
      </c>
      <c r="BI445">
        <v>11.40392245</v>
      </c>
      <c r="BJ445">
        <v>0</v>
      </c>
      <c r="BK445">
        <v>0</v>
      </c>
      <c r="BM445">
        <v>0</v>
      </c>
      <c r="BP445">
        <v>0</v>
      </c>
      <c r="BQ445">
        <v>0</v>
      </c>
      <c r="BS445">
        <v>0</v>
      </c>
      <c r="BT445">
        <v>0</v>
      </c>
      <c r="BU445">
        <v>0</v>
      </c>
      <c r="BV445">
        <v>193.87571561908001</v>
      </c>
      <c r="BW445">
        <v>7.2211209925366296E-2</v>
      </c>
      <c r="BX445">
        <v>7</v>
      </c>
      <c r="BY445">
        <v>3.6105604962683148E-2</v>
      </c>
      <c r="BZ445">
        <v>3.9261369853290623E-2</v>
      </c>
      <c r="CC445">
        <v>0.57032312472571234</v>
      </c>
      <c r="CF445">
        <v>0.52448148190896005</v>
      </c>
    </row>
    <row r="446" spans="1:84" x14ac:dyDescent="0.3">
      <c r="A446" s="1">
        <v>147</v>
      </c>
      <c r="B446" t="s">
        <v>457</v>
      </c>
      <c r="C446" t="s">
        <v>458</v>
      </c>
      <c r="F446">
        <v>3.9</v>
      </c>
      <c r="G446" t="s">
        <v>456</v>
      </c>
      <c r="H446">
        <v>-1</v>
      </c>
      <c r="I446">
        <v>-1</v>
      </c>
      <c r="J446">
        <v>1</v>
      </c>
      <c r="K446">
        <v>3.9727000000000001</v>
      </c>
      <c r="L446">
        <v>3.9727000000000001</v>
      </c>
      <c r="M446">
        <v>12.763199999999999</v>
      </c>
      <c r="N446" t="s">
        <v>101</v>
      </c>
      <c r="O446">
        <v>12.763199999999999</v>
      </c>
      <c r="P446">
        <v>3</v>
      </c>
      <c r="Q446" t="s">
        <v>87</v>
      </c>
      <c r="R446">
        <v>1173</v>
      </c>
      <c r="S446">
        <v>24</v>
      </c>
      <c r="T446" t="b">
        <v>0</v>
      </c>
      <c r="U446" t="s">
        <v>88</v>
      </c>
      <c r="V446" t="s">
        <v>89</v>
      </c>
      <c r="W446">
        <v>0</v>
      </c>
      <c r="X446">
        <v>1.6</v>
      </c>
      <c r="Y446">
        <v>2.5</v>
      </c>
      <c r="Z446">
        <v>0</v>
      </c>
      <c r="AC446" t="s">
        <v>90</v>
      </c>
      <c r="AD446">
        <v>400</v>
      </c>
      <c r="AF446" t="s">
        <v>91</v>
      </c>
      <c r="AH446">
        <v>176</v>
      </c>
      <c r="AI446" t="s">
        <v>320</v>
      </c>
      <c r="AL446" t="b">
        <v>1</v>
      </c>
      <c r="AM446" t="b">
        <v>0</v>
      </c>
      <c r="AN446" t="b">
        <v>0</v>
      </c>
      <c r="AO446" t="b">
        <v>0</v>
      </c>
      <c r="AP446" t="s">
        <v>459</v>
      </c>
      <c r="AQ446">
        <v>-1</v>
      </c>
      <c r="AS446">
        <v>5.1704839950381514</v>
      </c>
      <c r="AT446">
        <v>1.833333333333333</v>
      </c>
      <c r="AU446">
        <v>2.333333333333333</v>
      </c>
      <c r="AV446">
        <v>0.5</v>
      </c>
      <c r="AW446">
        <v>2.333333333333333</v>
      </c>
      <c r="AX446">
        <v>0.26190476190476192</v>
      </c>
      <c r="AY446">
        <v>0.33333333333333343</v>
      </c>
      <c r="AZ446">
        <v>7.1428571428571425E-2</v>
      </c>
      <c r="BA446">
        <v>0.33333333333333343</v>
      </c>
      <c r="BB446">
        <v>5.6826690992916662</v>
      </c>
      <c r="BC446">
        <v>14</v>
      </c>
      <c r="BD446">
        <v>178.29230172449789</v>
      </c>
      <c r="BE446">
        <v>1</v>
      </c>
      <c r="BF446">
        <v>7.8522739706581246E-2</v>
      </c>
      <c r="BG446">
        <v>11.40392245</v>
      </c>
      <c r="BH446">
        <v>11.40392245</v>
      </c>
      <c r="BI446">
        <v>11.40392245</v>
      </c>
      <c r="BJ446">
        <v>0</v>
      </c>
      <c r="BK446">
        <v>0</v>
      </c>
      <c r="BM446">
        <v>0</v>
      </c>
      <c r="BP446">
        <v>0</v>
      </c>
      <c r="BQ446">
        <v>0</v>
      </c>
      <c r="BS446">
        <v>0</v>
      </c>
      <c r="BT446">
        <v>0</v>
      </c>
      <c r="BU446">
        <v>0</v>
      </c>
      <c r="BV446">
        <v>201.43322940532801</v>
      </c>
      <c r="BW446">
        <v>6.9501938887297082E-2</v>
      </c>
      <c r="BX446">
        <v>7</v>
      </c>
      <c r="BY446">
        <v>3.4750969443648541E-2</v>
      </c>
      <c r="BZ446">
        <v>3.9261369853290623E-2</v>
      </c>
      <c r="CC446">
        <v>0.6202472020308577</v>
      </c>
      <c r="CF446">
        <v>0.54899234656929097</v>
      </c>
    </row>
    <row r="447" spans="1:84" x14ac:dyDescent="0.3">
      <c r="A447" s="1">
        <v>148</v>
      </c>
      <c r="B447" t="s">
        <v>350</v>
      </c>
      <c r="C447" t="s">
        <v>351</v>
      </c>
      <c r="F447">
        <v>3.6</v>
      </c>
      <c r="G447" t="s">
        <v>352</v>
      </c>
      <c r="H447" t="s">
        <v>353</v>
      </c>
      <c r="I447">
        <v>-1</v>
      </c>
      <c r="Q447" t="s">
        <v>87</v>
      </c>
      <c r="R447">
        <v>1173</v>
      </c>
      <c r="S447">
        <v>24</v>
      </c>
      <c r="T447" t="b">
        <v>0</v>
      </c>
      <c r="U447" t="s">
        <v>88</v>
      </c>
      <c r="V447" t="s">
        <v>89</v>
      </c>
      <c r="W447">
        <v>0</v>
      </c>
      <c r="X447">
        <v>1.5</v>
      </c>
      <c r="Y447">
        <v>2.5</v>
      </c>
      <c r="Z447">
        <v>0</v>
      </c>
      <c r="AC447" t="s">
        <v>90</v>
      </c>
      <c r="AD447">
        <v>400</v>
      </c>
      <c r="AF447" t="s">
        <v>91</v>
      </c>
      <c r="AH447">
        <v>49.4</v>
      </c>
      <c r="AL447" t="b">
        <v>1</v>
      </c>
      <c r="AM447" t="b">
        <v>1</v>
      </c>
      <c r="AN447" t="b">
        <v>0</v>
      </c>
      <c r="AO447" t="b">
        <v>0</v>
      </c>
      <c r="AP447" t="s">
        <v>352</v>
      </c>
      <c r="AQ447" t="s">
        <v>353</v>
      </c>
      <c r="AS447">
        <v>3.8999504241938769</v>
      </c>
      <c r="AT447">
        <v>1.8</v>
      </c>
      <c r="AU447">
        <v>2.4</v>
      </c>
      <c r="AV447">
        <v>0.6</v>
      </c>
      <c r="AW447">
        <v>2.8</v>
      </c>
      <c r="AX447">
        <v>0.23684210526315791</v>
      </c>
      <c r="AY447">
        <v>0.31578947368421051</v>
      </c>
      <c r="AZ447">
        <v>7.8947368421052627E-2</v>
      </c>
      <c r="BA447">
        <v>0.36842105263157893</v>
      </c>
      <c r="BB447">
        <v>5.7958057026999992</v>
      </c>
      <c r="BC447">
        <v>6</v>
      </c>
      <c r="BD447">
        <v>63.754620030366901</v>
      </c>
      <c r="BE447">
        <v>1</v>
      </c>
      <c r="BF447">
        <v>9.4110826747020773E-2</v>
      </c>
      <c r="BG447">
        <v>3.9948813699999999</v>
      </c>
      <c r="BH447">
        <v>3.9948813699999999</v>
      </c>
      <c r="BI447">
        <v>3.9948813699999999</v>
      </c>
      <c r="BJ447">
        <v>63.440041078387011</v>
      </c>
      <c r="BK447">
        <v>1</v>
      </c>
      <c r="BL447">
        <v>9.4577492353549286E-2</v>
      </c>
      <c r="BM447">
        <v>3.9883000000000002</v>
      </c>
      <c r="BN447">
        <v>3.9883000000000002</v>
      </c>
      <c r="BO447">
        <v>3.9883000000000002</v>
      </c>
      <c r="BP447">
        <v>0</v>
      </c>
      <c r="BQ447">
        <v>0</v>
      </c>
      <c r="BS447">
        <v>0</v>
      </c>
      <c r="BT447">
        <v>0</v>
      </c>
      <c r="BU447">
        <v>0</v>
      </c>
      <c r="BX447">
        <v>3</v>
      </c>
      <c r="BZ447">
        <v>4.7055413373510387E-2</v>
      </c>
      <c r="CA447">
        <v>4.7288746176774643E-2</v>
      </c>
      <c r="CC447">
        <v>0.65619545508850963</v>
      </c>
      <c r="CD447">
        <v>0.65944931928920669</v>
      </c>
    </row>
    <row r="448" spans="1:84" x14ac:dyDescent="0.3">
      <c r="A448" s="1">
        <v>152</v>
      </c>
      <c r="B448" t="s">
        <v>460</v>
      </c>
      <c r="C448" t="s">
        <v>461</v>
      </c>
      <c r="F448">
        <v>4</v>
      </c>
      <c r="G448" t="s">
        <v>462</v>
      </c>
      <c r="H448">
        <v>1540895</v>
      </c>
      <c r="I448">
        <v>-1</v>
      </c>
      <c r="Q448" t="s">
        <v>87</v>
      </c>
      <c r="R448">
        <v>1498</v>
      </c>
      <c r="S448">
        <v>15</v>
      </c>
      <c r="T448" t="b">
        <v>0</v>
      </c>
      <c r="U448" t="s">
        <v>88</v>
      </c>
      <c r="V448" t="s">
        <v>89</v>
      </c>
      <c r="W448">
        <v>0</v>
      </c>
      <c r="X448">
        <v>3.3</v>
      </c>
      <c r="Y448">
        <v>2.5</v>
      </c>
      <c r="Z448">
        <v>0</v>
      </c>
      <c r="AC448" t="s">
        <v>90</v>
      </c>
      <c r="AD448">
        <v>400</v>
      </c>
      <c r="AF448" t="s">
        <v>91</v>
      </c>
      <c r="AH448">
        <v>70</v>
      </c>
      <c r="AL448" t="b">
        <v>1</v>
      </c>
      <c r="AM448" t="b">
        <v>1</v>
      </c>
      <c r="AN448" t="b">
        <v>0</v>
      </c>
      <c r="AO448" t="b">
        <v>0</v>
      </c>
      <c r="AP448" t="s">
        <v>462</v>
      </c>
      <c r="AQ448">
        <v>1540895</v>
      </c>
      <c r="AS448">
        <v>4.2484952420493594</v>
      </c>
      <c r="AT448">
        <v>2</v>
      </c>
      <c r="AU448">
        <v>2.7692307692307692</v>
      </c>
      <c r="AV448">
        <v>0.76923076923076927</v>
      </c>
      <c r="AW448">
        <v>3.2307692307692308</v>
      </c>
      <c r="AX448">
        <v>0.22807017543859651</v>
      </c>
      <c r="AY448">
        <v>0.31578947368421051</v>
      </c>
      <c r="AZ448">
        <v>8.771929824561403E-2</v>
      </c>
      <c r="BA448">
        <v>0.36842105263157893</v>
      </c>
      <c r="BB448">
        <v>6.3647018731153846</v>
      </c>
      <c r="BC448">
        <v>18</v>
      </c>
      <c r="BD448">
        <v>650.91495052835785</v>
      </c>
      <c r="BE448">
        <v>4</v>
      </c>
      <c r="BF448">
        <v>0.1106135293736247</v>
      </c>
      <c r="BG448">
        <v>6.6209990000000003</v>
      </c>
      <c r="BH448">
        <v>7.7542879999999998</v>
      </c>
      <c r="BI448">
        <v>12.678235000000001</v>
      </c>
      <c r="BJ448">
        <v>629.74513047537005</v>
      </c>
      <c r="BK448">
        <v>4</v>
      </c>
      <c r="BL448">
        <v>0.1143319678322086</v>
      </c>
      <c r="BM448">
        <v>6.5429000000000004</v>
      </c>
      <c r="BN448">
        <v>7.6490999999999998</v>
      </c>
      <c r="BO448">
        <v>12.583</v>
      </c>
      <c r="BP448">
        <v>0</v>
      </c>
      <c r="BQ448">
        <v>0</v>
      </c>
      <c r="BS448">
        <v>0</v>
      </c>
      <c r="BT448">
        <v>0</v>
      </c>
      <c r="BU448">
        <v>0</v>
      </c>
      <c r="BX448">
        <v>9</v>
      </c>
      <c r="BZ448">
        <v>5.5306764686812372E-2</v>
      </c>
      <c r="CA448">
        <v>5.7165983916104293E-2</v>
      </c>
      <c r="CC448">
        <v>0.5415090170432687</v>
      </c>
      <c r="CD448">
        <v>0.55971264878746796</v>
      </c>
    </row>
    <row r="449" spans="1:84" x14ac:dyDescent="0.3">
      <c r="A449" s="1">
        <v>153</v>
      </c>
      <c r="B449" t="s">
        <v>446</v>
      </c>
      <c r="C449" t="s">
        <v>447</v>
      </c>
      <c r="F449">
        <v>3.9</v>
      </c>
      <c r="G449" t="s">
        <v>448</v>
      </c>
      <c r="H449">
        <v>-1</v>
      </c>
      <c r="I449">
        <v>-1</v>
      </c>
      <c r="J449">
        <v>1</v>
      </c>
      <c r="K449">
        <v>3.9037999999999999</v>
      </c>
      <c r="L449">
        <v>3.9037999999999999</v>
      </c>
      <c r="M449">
        <v>9.7742000000000004</v>
      </c>
      <c r="O449">
        <v>9.7742000000000004</v>
      </c>
      <c r="Q449" t="s">
        <v>87</v>
      </c>
      <c r="R449">
        <v>1498</v>
      </c>
      <c r="S449">
        <v>15</v>
      </c>
      <c r="T449" t="b">
        <v>0</v>
      </c>
      <c r="U449" t="s">
        <v>88</v>
      </c>
      <c r="V449" t="s">
        <v>89</v>
      </c>
      <c r="W449">
        <v>0</v>
      </c>
      <c r="X449">
        <v>4</v>
      </c>
      <c r="Y449">
        <v>2.5</v>
      </c>
      <c r="Z449">
        <v>0</v>
      </c>
      <c r="AC449" t="s">
        <v>90</v>
      </c>
      <c r="AD449">
        <v>400</v>
      </c>
      <c r="AF449" t="s">
        <v>91</v>
      </c>
      <c r="AH449">
        <v>770</v>
      </c>
      <c r="AL449" t="b">
        <v>1</v>
      </c>
      <c r="AM449" t="b">
        <v>0</v>
      </c>
      <c r="AN449" t="b">
        <v>0</v>
      </c>
      <c r="AO449" t="b">
        <v>0</v>
      </c>
      <c r="AP449" t="s">
        <v>448</v>
      </c>
      <c r="AQ449">
        <v>-1</v>
      </c>
      <c r="AS449">
        <v>6.6463905148477291</v>
      </c>
      <c r="AT449">
        <v>1.833333333333333</v>
      </c>
      <c r="AU449">
        <v>2.333333333333333</v>
      </c>
      <c r="AV449">
        <v>0.5</v>
      </c>
      <c r="AW449">
        <v>2.333333333333333</v>
      </c>
      <c r="AX449">
        <v>0.26190476190476192</v>
      </c>
      <c r="AY449">
        <v>0.33333333333333343</v>
      </c>
      <c r="AZ449">
        <v>7.1428571428571425E-2</v>
      </c>
      <c r="BA449">
        <v>0.33333333333333343</v>
      </c>
      <c r="BB449">
        <v>6.4901345559335004</v>
      </c>
      <c r="BC449">
        <v>14</v>
      </c>
      <c r="BD449">
        <v>150.75696951344321</v>
      </c>
      <c r="BE449">
        <v>1</v>
      </c>
      <c r="BF449">
        <v>9.2864695046497372E-2</v>
      </c>
      <c r="BG449">
        <v>9.9051542599999998</v>
      </c>
      <c r="BH449">
        <v>9.9051542599999998</v>
      </c>
      <c r="BI449">
        <v>9.9051542599999998</v>
      </c>
      <c r="BJ449">
        <v>0</v>
      </c>
      <c r="BK449">
        <v>0</v>
      </c>
      <c r="BM449">
        <v>0</v>
      </c>
      <c r="BP449">
        <v>0</v>
      </c>
      <c r="BQ449">
        <v>0</v>
      </c>
      <c r="BS449">
        <v>0</v>
      </c>
      <c r="BT449">
        <v>0</v>
      </c>
      <c r="BU449">
        <v>0</v>
      </c>
      <c r="BV449">
        <v>148.95543042744799</v>
      </c>
      <c r="BW449">
        <v>9.3987845624862981E-2</v>
      </c>
      <c r="BX449">
        <v>7</v>
      </c>
      <c r="BY449">
        <v>4.6993922812431491E-2</v>
      </c>
      <c r="BZ449">
        <v>4.6432347523248693E-2</v>
      </c>
      <c r="CC449">
        <v>0.47933993356952992</v>
      </c>
      <c r="CF449">
        <v>0.48513730277806261</v>
      </c>
    </row>
    <row r="450" spans="1:84" x14ac:dyDescent="0.3">
      <c r="A450" s="1">
        <v>154</v>
      </c>
      <c r="B450" t="s">
        <v>350</v>
      </c>
      <c r="C450" t="s">
        <v>351</v>
      </c>
      <c r="F450">
        <v>3.6</v>
      </c>
      <c r="G450" t="s">
        <v>352</v>
      </c>
      <c r="H450" t="s">
        <v>353</v>
      </c>
      <c r="I450">
        <v>-1</v>
      </c>
      <c r="Q450" t="s">
        <v>87</v>
      </c>
      <c r="R450">
        <v>1498</v>
      </c>
      <c r="S450">
        <v>15</v>
      </c>
      <c r="T450" t="b">
        <v>0</v>
      </c>
      <c r="U450" t="s">
        <v>88</v>
      </c>
      <c r="V450" t="s">
        <v>89</v>
      </c>
      <c r="W450">
        <v>0</v>
      </c>
      <c r="X450">
        <v>4</v>
      </c>
      <c r="Y450">
        <v>2.5</v>
      </c>
      <c r="Z450">
        <v>0</v>
      </c>
      <c r="AC450" t="s">
        <v>90</v>
      </c>
      <c r="AD450">
        <v>400</v>
      </c>
      <c r="AF450" t="s">
        <v>91</v>
      </c>
      <c r="AH450">
        <v>50</v>
      </c>
      <c r="AL450" t="b">
        <v>1</v>
      </c>
      <c r="AM450" t="b">
        <v>1</v>
      </c>
      <c r="AN450" t="b">
        <v>0</v>
      </c>
      <c r="AO450" t="b">
        <v>0</v>
      </c>
      <c r="AP450" t="s">
        <v>352</v>
      </c>
      <c r="AQ450" t="s">
        <v>353</v>
      </c>
      <c r="AS450">
        <v>3.912023005428146</v>
      </c>
      <c r="AT450">
        <v>1.8</v>
      </c>
      <c r="AU450">
        <v>2.4</v>
      </c>
      <c r="AV450">
        <v>0.6</v>
      </c>
      <c r="AW450">
        <v>2.8</v>
      </c>
      <c r="AX450">
        <v>0.23684210526315791</v>
      </c>
      <c r="AY450">
        <v>0.31578947368421051</v>
      </c>
      <c r="AZ450">
        <v>7.8947368421052627E-2</v>
      </c>
      <c r="BA450">
        <v>0.36842105263157893</v>
      </c>
      <c r="BB450">
        <v>5.7958057026999992</v>
      </c>
      <c r="BC450">
        <v>6</v>
      </c>
      <c r="BD450">
        <v>63.754620030366901</v>
      </c>
      <c r="BE450">
        <v>1</v>
      </c>
      <c r="BF450">
        <v>9.4110826747020773E-2</v>
      </c>
      <c r="BG450">
        <v>3.9948813699999999</v>
      </c>
      <c r="BH450">
        <v>3.9948813699999999</v>
      </c>
      <c r="BI450">
        <v>3.9948813699999999</v>
      </c>
      <c r="BJ450">
        <v>63.440041078387011</v>
      </c>
      <c r="BK450">
        <v>1</v>
      </c>
      <c r="BL450">
        <v>9.4577492353549286E-2</v>
      </c>
      <c r="BM450">
        <v>3.9883000000000002</v>
      </c>
      <c r="BN450">
        <v>3.9883000000000002</v>
      </c>
      <c r="BO450">
        <v>3.9883000000000002</v>
      </c>
      <c r="BP450">
        <v>0</v>
      </c>
      <c r="BQ450">
        <v>0</v>
      </c>
      <c r="BS450">
        <v>0</v>
      </c>
      <c r="BT450">
        <v>0</v>
      </c>
      <c r="BU450">
        <v>0</v>
      </c>
      <c r="BX450">
        <v>3</v>
      </c>
      <c r="BZ450">
        <v>4.7055413373510387E-2</v>
      </c>
      <c r="CA450">
        <v>4.7288746176774643E-2</v>
      </c>
      <c r="CC450">
        <v>0.65619545508850963</v>
      </c>
      <c r="CD450">
        <v>0.65944931928920669</v>
      </c>
    </row>
    <row r="451" spans="1:84" x14ac:dyDescent="0.3">
      <c r="A451" s="1">
        <v>176</v>
      </c>
      <c r="B451" t="s">
        <v>128</v>
      </c>
      <c r="C451" t="s">
        <v>129</v>
      </c>
      <c r="E451" t="s">
        <v>130</v>
      </c>
      <c r="F451">
        <v>3</v>
      </c>
      <c r="G451" t="s">
        <v>131</v>
      </c>
      <c r="H451" t="s">
        <v>132</v>
      </c>
      <c r="I451">
        <v>-1</v>
      </c>
      <c r="O451">
        <v>0</v>
      </c>
      <c r="Q451" t="s">
        <v>248</v>
      </c>
      <c r="T451" t="b">
        <v>0</v>
      </c>
      <c r="U451" t="s">
        <v>88</v>
      </c>
      <c r="V451" t="s">
        <v>89</v>
      </c>
      <c r="W451">
        <v>0</v>
      </c>
      <c r="X451">
        <v>49</v>
      </c>
      <c r="Y451">
        <v>2</v>
      </c>
      <c r="Z451">
        <v>10</v>
      </c>
      <c r="AC451" t="s">
        <v>90</v>
      </c>
      <c r="AD451">
        <v>100</v>
      </c>
      <c r="AE451">
        <v>290</v>
      </c>
      <c r="AF451" t="s">
        <v>91</v>
      </c>
      <c r="AG451">
        <v>333</v>
      </c>
      <c r="AH451">
        <v>1116</v>
      </c>
      <c r="AL451" t="b">
        <v>1</v>
      </c>
      <c r="AM451" t="b">
        <v>0</v>
      </c>
      <c r="AN451" t="b">
        <v>0</v>
      </c>
      <c r="AO451" t="b">
        <v>0</v>
      </c>
      <c r="AP451" t="s">
        <v>131</v>
      </c>
      <c r="AQ451" t="s">
        <v>132</v>
      </c>
      <c r="AS451">
        <v>7.0175061429412562</v>
      </c>
      <c r="AT451">
        <v>2</v>
      </c>
      <c r="AU451">
        <v>2.666666666666667</v>
      </c>
      <c r="AV451">
        <v>0.66666666666666663</v>
      </c>
      <c r="AW451">
        <v>0</v>
      </c>
      <c r="AX451">
        <v>0.375</v>
      </c>
      <c r="AY451">
        <v>0.5</v>
      </c>
      <c r="AZ451">
        <v>0.125</v>
      </c>
      <c r="BA451">
        <v>0</v>
      </c>
      <c r="BB451">
        <v>6.1770001596666662</v>
      </c>
      <c r="BC451">
        <v>4</v>
      </c>
      <c r="BD451">
        <v>1182.741260108548</v>
      </c>
      <c r="BE451">
        <v>30</v>
      </c>
      <c r="BF451">
        <v>0.1014592151701775</v>
      </c>
      <c r="BG451">
        <v>10.59112378</v>
      </c>
      <c r="BH451">
        <v>10.784736629999999</v>
      </c>
      <c r="BI451">
        <v>10.486176179999999</v>
      </c>
      <c r="BJ451">
        <v>130.36387300000001</v>
      </c>
      <c r="BK451">
        <v>4</v>
      </c>
      <c r="BL451">
        <v>0.1227333894874388</v>
      </c>
      <c r="BM451">
        <v>3.73</v>
      </c>
      <c r="BN451">
        <v>3.73</v>
      </c>
      <c r="BO451">
        <v>9.3699999999999992</v>
      </c>
      <c r="BP451">
        <v>0</v>
      </c>
      <c r="BQ451">
        <v>0</v>
      </c>
      <c r="BS451">
        <v>0</v>
      </c>
      <c r="BT451">
        <v>0</v>
      </c>
      <c r="BU451">
        <v>0</v>
      </c>
      <c r="BX451">
        <v>2</v>
      </c>
      <c r="BZ451">
        <v>5.0729607585088737E-2</v>
      </c>
      <c r="CA451">
        <v>6.1366694743719377E-2</v>
      </c>
      <c r="CC451">
        <v>0.46900407026869612</v>
      </c>
      <c r="CD451">
        <v>0.56734579634715776</v>
      </c>
    </row>
    <row r="452" spans="1:84" x14ac:dyDescent="0.3">
      <c r="A452" s="1">
        <v>187</v>
      </c>
      <c r="B452" t="s">
        <v>497</v>
      </c>
      <c r="C452" t="s">
        <v>498</v>
      </c>
      <c r="F452">
        <v>3.44</v>
      </c>
      <c r="G452">
        <v>-1</v>
      </c>
      <c r="H452">
        <v>-1</v>
      </c>
      <c r="I452" t="s">
        <v>499</v>
      </c>
      <c r="J452">
        <v>4</v>
      </c>
      <c r="K452">
        <v>5.492</v>
      </c>
      <c r="L452">
        <v>5.5650000000000004</v>
      </c>
      <c r="M452">
        <v>24.88</v>
      </c>
      <c r="N452" t="s">
        <v>500</v>
      </c>
      <c r="O452">
        <v>12.44</v>
      </c>
      <c r="Q452" t="s">
        <v>467</v>
      </c>
      <c r="R452">
        <v>1173</v>
      </c>
      <c r="S452">
        <v>6</v>
      </c>
      <c r="T452" t="b">
        <v>0</v>
      </c>
      <c r="U452" t="s">
        <v>88</v>
      </c>
      <c r="V452" t="s">
        <v>89</v>
      </c>
      <c r="W452">
        <v>0</v>
      </c>
      <c r="X452">
        <v>1.3</v>
      </c>
      <c r="Y452">
        <v>3.07</v>
      </c>
      <c r="Z452">
        <v>0</v>
      </c>
      <c r="AC452" t="s">
        <v>90</v>
      </c>
      <c r="AD452">
        <v>300</v>
      </c>
      <c r="AF452" t="s">
        <v>91</v>
      </c>
      <c r="AG452">
        <v>293</v>
      </c>
      <c r="AH452">
        <v>17</v>
      </c>
      <c r="AL452" t="b">
        <v>0</v>
      </c>
      <c r="AM452" t="b">
        <v>0</v>
      </c>
      <c r="AN452" t="b">
        <v>1</v>
      </c>
      <c r="AO452" t="b">
        <v>0</v>
      </c>
      <c r="AP452">
        <v>-1</v>
      </c>
      <c r="AQ452">
        <v>-1</v>
      </c>
      <c r="AR452" t="s">
        <v>499</v>
      </c>
      <c r="AS452">
        <v>2.8332133440562162</v>
      </c>
      <c r="AT452">
        <v>1.964285714285714</v>
      </c>
      <c r="AU452">
        <v>3</v>
      </c>
      <c r="AV452">
        <v>1.892857142857143</v>
      </c>
      <c r="AW452">
        <v>4</v>
      </c>
      <c r="AX452">
        <v>0.1809210526315789</v>
      </c>
      <c r="AY452">
        <v>0.27631578947368418</v>
      </c>
      <c r="AZ452">
        <v>0.17434210526315791</v>
      </c>
      <c r="BA452">
        <v>0.36842105263157893</v>
      </c>
      <c r="BB452">
        <v>6.1933361807499994</v>
      </c>
      <c r="BC452">
        <v>18</v>
      </c>
      <c r="BD452">
        <v>0</v>
      </c>
      <c r="BE452">
        <v>0</v>
      </c>
      <c r="BG452">
        <v>0</v>
      </c>
      <c r="BJ452">
        <v>0</v>
      </c>
      <c r="BK452">
        <v>0</v>
      </c>
      <c r="BM452">
        <v>0</v>
      </c>
      <c r="BP452">
        <v>760.63553945599995</v>
      </c>
      <c r="BQ452">
        <v>2</v>
      </c>
      <c r="BR452">
        <v>4.7328842964328093E-2</v>
      </c>
      <c r="BS452">
        <v>25.071999999999999</v>
      </c>
      <c r="BT452">
        <v>5.5039999999999996</v>
      </c>
      <c r="BU452">
        <v>5.5119999999999996</v>
      </c>
      <c r="BV452">
        <v>760.40694240000005</v>
      </c>
      <c r="BW452">
        <v>9.4686142360501407E-2</v>
      </c>
      <c r="BX452">
        <v>9</v>
      </c>
      <c r="BY452">
        <v>4.7343071180250697E-2</v>
      </c>
      <c r="CB452">
        <v>2.3664421482164039E-2</v>
      </c>
      <c r="CE452">
        <v>0.27222602110589023</v>
      </c>
      <c r="CF452">
        <v>0.54461571790573182</v>
      </c>
    </row>
    <row r="453" spans="1:84" x14ac:dyDescent="0.3">
      <c r="A453" s="1">
        <v>196</v>
      </c>
      <c r="B453" t="s">
        <v>516</v>
      </c>
      <c r="C453" t="s">
        <v>517</v>
      </c>
      <c r="E453" t="s">
        <v>94</v>
      </c>
      <c r="F453">
        <v>3.85</v>
      </c>
      <c r="G453" t="s">
        <v>518</v>
      </c>
      <c r="H453" t="s">
        <v>519</v>
      </c>
      <c r="I453">
        <v>-1</v>
      </c>
      <c r="J453">
        <v>1</v>
      </c>
      <c r="K453">
        <v>3.85</v>
      </c>
      <c r="L453">
        <v>3.85</v>
      </c>
      <c r="M453">
        <v>12.77</v>
      </c>
      <c r="N453" t="s">
        <v>206</v>
      </c>
      <c r="O453">
        <v>12.77</v>
      </c>
      <c r="P453">
        <v>2</v>
      </c>
      <c r="Q453" t="s">
        <v>87</v>
      </c>
      <c r="R453">
        <v>1373</v>
      </c>
      <c r="S453">
        <v>10</v>
      </c>
      <c r="T453" t="b">
        <v>0</v>
      </c>
      <c r="U453" t="s">
        <v>88</v>
      </c>
      <c r="V453" t="s">
        <v>89</v>
      </c>
      <c r="W453">
        <v>0</v>
      </c>
      <c r="Y453">
        <v>1</v>
      </c>
      <c r="Z453">
        <v>0</v>
      </c>
      <c r="AC453" t="s">
        <v>90</v>
      </c>
      <c r="AD453">
        <v>400</v>
      </c>
      <c r="AF453" t="s">
        <v>91</v>
      </c>
      <c r="AH453">
        <v>5</v>
      </c>
      <c r="AL453" t="b">
        <v>1</v>
      </c>
      <c r="AM453" t="b">
        <v>1</v>
      </c>
      <c r="AN453" t="b">
        <v>0</v>
      </c>
      <c r="AO453" t="b">
        <v>0</v>
      </c>
      <c r="AP453" t="s">
        <v>518</v>
      </c>
      <c r="AQ453" t="s">
        <v>519</v>
      </c>
      <c r="AS453">
        <v>1.6094379124341001</v>
      </c>
      <c r="AT453">
        <v>1.9090909090909089</v>
      </c>
      <c r="AU453">
        <v>2.545454545454545</v>
      </c>
      <c r="AV453">
        <v>0.63636363636363635</v>
      </c>
      <c r="AW453">
        <v>2.545454545454545</v>
      </c>
      <c r="AX453">
        <v>0.25</v>
      </c>
      <c r="AY453">
        <v>0.33333333333333331</v>
      </c>
      <c r="AZ453">
        <v>8.3333333333333329E-2</v>
      </c>
      <c r="BA453">
        <v>0.33333333333333331</v>
      </c>
      <c r="BB453">
        <v>6.0514766237727269</v>
      </c>
      <c r="BC453">
        <v>14</v>
      </c>
      <c r="BD453">
        <v>167.3639996655379</v>
      </c>
      <c r="BE453">
        <v>1</v>
      </c>
      <c r="BF453">
        <v>8.365000853216796E-2</v>
      </c>
      <c r="BG453">
        <v>11.210029909999999</v>
      </c>
      <c r="BH453">
        <v>11.210029909999999</v>
      </c>
      <c r="BI453">
        <v>11.210029909999999</v>
      </c>
      <c r="BJ453">
        <v>325.28959047900003</v>
      </c>
      <c r="BK453">
        <v>2</v>
      </c>
      <c r="BL453">
        <v>8.607714731593176E-2</v>
      </c>
      <c r="BM453">
        <v>3.8955000000000002</v>
      </c>
      <c r="BN453">
        <v>3.8955000000000002</v>
      </c>
      <c r="BO453">
        <v>21.436</v>
      </c>
      <c r="BP453">
        <v>0</v>
      </c>
      <c r="BQ453">
        <v>0</v>
      </c>
      <c r="BS453">
        <v>0</v>
      </c>
      <c r="BT453">
        <v>0</v>
      </c>
      <c r="BU453">
        <v>0</v>
      </c>
      <c r="BV453">
        <v>189.28332499999999</v>
      </c>
      <c r="BW453">
        <v>7.3963197761873628E-2</v>
      </c>
      <c r="BX453">
        <v>7</v>
      </c>
      <c r="BY453">
        <v>3.6981598880936807E-2</v>
      </c>
      <c r="BZ453">
        <v>4.182500426608398E-2</v>
      </c>
      <c r="CA453">
        <v>4.303857365796588E-2</v>
      </c>
      <c r="CC453">
        <v>0.45356967584663083</v>
      </c>
      <c r="CD453">
        <v>0.46673018318792042</v>
      </c>
      <c r="CF453">
        <v>0.40104554945182641</v>
      </c>
    </row>
    <row r="454" spans="1:84" x14ac:dyDescent="0.3">
      <c r="A454" s="1">
        <v>197</v>
      </c>
      <c r="B454" t="s">
        <v>174</v>
      </c>
      <c r="C454" t="s">
        <v>175</v>
      </c>
      <c r="E454" t="s">
        <v>94</v>
      </c>
      <c r="F454">
        <v>3.9</v>
      </c>
      <c r="G454" t="s">
        <v>176</v>
      </c>
      <c r="H454">
        <v>-1</v>
      </c>
      <c r="I454">
        <v>-1</v>
      </c>
      <c r="J454">
        <v>1</v>
      </c>
      <c r="K454">
        <v>3.88</v>
      </c>
      <c r="L454">
        <v>3.88</v>
      </c>
      <c r="M454">
        <v>11.07</v>
      </c>
      <c r="N454" t="s">
        <v>101</v>
      </c>
      <c r="O454">
        <v>11.07</v>
      </c>
      <c r="P454">
        <v>2</v>
      </c>
      <c r="Q454" t="s">
        <v>87</v>
      </c>
      <c r="R454">
        <v>1373</v>
      </c>
      <c r="S454">
        <v>10</v>
      </c>
      <c r="T454" t="b">
        <v>0</v>
      </c>
      <c r="U454" t="s">
        <v>88</v>
      </c>
      <c r="V454" t="s">
        <v>89</v>
      </c>
      <c r="W454">
        <v>0</v>
      </c>
      <c r="Y454">
        <v>1</v>
      </c>
      <c r="Z454">
        <v>0</v>
      </c>
      <c r="AC454" t="s">
        <v>90</v>
      </c>
      <c r="AD454">
        <v>400</v>
      </c>
      <c r="AF454" t="s">
        <v>91</v>
      </c>
      <c r="AH454">
        <v>10</v>
      </c>
      <c r="AL454" t="b">
        <v>1</v>
      </c>
      <c r="AM454" t="b">
        <v>0</v>
      </c>
      <c r="AN454" t="b">
        <v>0</v>
      </c>
      <c r="AO454" t="b">
        <v>0</v>
      </c>
      <c r="AP454" t="s">
        <v>176</v>
      </c>
      <c r="AQ454">
        <v>-1</v>
      </c>
      <c r="AS454">
        <v>2.3025850929940459</v>
      </c>
      <c r="AT454">
        <v>1.9090909090909089</v>
      </c>
      <c r="AU454">
        <v>2.545454545454545</v>
      </c>
      <c r="AV454">
        <v>0.63636363636363635</v>
      </c>
      <c r="AW454">
        <v>2.545454545454545</v>
      </c>
      <c r="AX454">
        <v>0.25</v>
      </c>
      <c r="AY454">
        <v>0.33333333333333331</v>
      </c>
      <c r="AZ454">
        <v>8.3333333333333329E-2</v>
      </c>
      <c r="BA454">
        <v>0.33333333333333331</v>
      </c>
      <c r="BB454">
        <v>6.0049330374090903</v>
      </c>
      <c r="BC454">
        <v>14</v>
      </c>
      <c r="BD454">
        <v>173.0114278564659</v>
      </c>
      <c r="BE454">
        <v>1</v>
      </c>
      <c r="BF454">
        <v>8.0919510193365449E-2</v>
      </c>
      <c r="BG454">
        <v>3.9103940000000001</v>
      </c>
      <c r="BH454">
        <v>3.9103940000000001</v>
      </c>
      <c r="BI454">
        <v>11.314458</v>
      </c>
      <c r="BJ454">
        <v>0</v>
      </c>
      <c r="BK454">
        <v>0</v>
      </c>
      <c r="BM454">
        <v>0</v>
      </c>
      <c r="BP454">
        <v>0</v>
      </c>
      <c r="BQ454">
        <v>0</v>
      </c>
      <c r="BS454">
        <v>0</v>
      </c>
      <c r="BT454">
        <v>0</v>
      </c>
      <c r="BU454">
        <v>0</v>
      </c>
      <c r="BV454">
        <v>166.652208</v>
      </c>
      <c r="BW454">
        <v>8.4007287800231242E-2</v>
      </c>
      <c r="BX454">
        <v>7</v>
      </c>
      <c r="BY454">
        <v>4.2003643900115621E-2</v>
      </c>
      <c r="BZ454">
        <v>4.0459755096682717E-2</v>
      </c>
      <c r="CC454">
        <v>0.51172189361529641</v>
      </c>
      <c r="CF454">
        <v>0.53124849974863197</v>
      </c>
    </row>
    <row r="455" spans="1:84" x14ac:dyDescent="0.3">
      <c r="A455" s="1">
        <v>198</v>
      </c>
      <c r="B455" t="s">
        <v>520</v>
      </c>
      <c r="C455" t="s">
        <v>521</v>
      </c>
      <c r="E455" t="s">
        <v>94</v>
      </c>
      <c r="F455">
        <v>3.95</v>
      </c>
      <c r="G455" t="s">
        <v>518</v>
      </c>
      <c r="H455">
        <v>-1</v>
      </c>
      <c r="I455" t="s">
        <v>522</v>
      </c>
      <c r="J455">
        <v>1</v>
      </c>
      <c r="K455">
        <v>3.88</v>
      </c>
      <c r="L455">
        <v>3.88</v>
      </c>
      <c r="M455">
        <v>11.07</v>
      </c>
      <c r="N455" t="s">
        <v>101</v>
      </c>
      <c r="O455">
        <v>11.07</v>
      </c>
      <c r="P455">
        <v>2</v>
      </c>
      <c r="Q455" t="s">
        <v>87</v>
      </c>
      <c r="R455">
        <v>1373</v>
      </c>
      <c r="S455">
        <v>10</v>
      </c>
      <c r="T455" t="b">
        <v>0</v>
      </c>
      <c r="U455" t="s">
        <v>88</v>
      </c>
      <c r="V455" t="s">
        <v>89</v>
      </c>
      <c r="W455">
        <v>0</v>
      </c>
      <c r="Y455">
        <v>1</v>
      </c>
      <c r="Z455">
        <v>0</v>
      </c>
      <c r="AC455" t="s">
        <v>90</v>
      </c>
      <c r="AD455">
        <v>400</v>
      </c>
      <c r="AF455" t="s">
        <v>91</v>
      </c>
      <c r="AH455">
        <v>15</v>
      </c>
      <c r="AI455" t="s">
        <v>523</v>
      </c>
      <c r="AK455" t="s">
        <v>524</v>
      </c>
      <c r="AL455" t="b">
        <v>1</v>
      </c>
      <c r="AM455" t="b">
        <v>0</v>
      </c>
      <c r="AN455" t="b">
        <v>1</v>
      </c>
      <c r="AO455" t="b">
        <v>0</v>
      </c>
      <c r="AP455" t="s">
        <v>525</v>
      </c>
      <c r="AQ455">
        <v>-1</v>
      </c>
      <c r="AR455" t="s">
        <v>526</v>
      </c>
      <c r="AS455">
        <v>2.7080502011022101</v>
      </c>
      <c r="AT455">
        <v>1.9090909090909089</v>
      </c>
      <c r="AU455">
        <v>2.545454545454545</v>
      </c>
      <c r="AV455">
        <v>0.63636363636363635</v>
      </c>
      <c r="AW455">
        <v>2.545454545454545</v>
      </c>
      <c r="AX455">
        <v>0.25</v>
      </c>
      <c r="AY455">
        <v>0.33333333333333331</v>
      </c>
      <c r="AZ455">
        <v>8.3333333333333329E-2</v>
      </c>
      <c r="BA455">
        <v>0.33333333333333331</v>
      </c>
      <c r="BB455">
        <v>5.9914084808377268</v>
      </c>
      <c r="BC455">
        <v>14</v>
      </c>
      <c r="BD455">
        <v>167.3639996655379</v>
      </c>
      <c r="BE455">
        <v>1</v>
      </c>
      <c r="BF455">
        <v>8.365000853216796E-2</v>
      </c>
      <c r="BG455">
        <v>11.210029909999999</v>
      </c>
      <c r="BH455">
        <v>11.210029909999999</v>
      </c>
      <c r="BI455">
        <v>11.210029909999999</v>
      </c>
      <c r="BJ455">
        <v>0</v>
      </c>
      <c r="BK455">
        <v>0</v>
      </c>
      <c r="BM455">
        <v>0</v>
      </c>
      <c r="BP455">
        <v>171.98132883066</v>
      </c>
      <c r="BQ455">
        <v>1</v>
      </c>
      <c r="BR455">
        <v>8.1404185531005993E-2</v>
      </c>
      <c r="BS455">
        <v>3.8898000000000001</v>
      </c>
      <c r="BT455">
        <v>3.8898000000000001</v>
      </c>
      <c r="BU455">
        <v>11.3665</v>
      </c>
      <c r="BV455">
        <v>166.652208</v>
      </c>
      <c r="BW455">
        <v>8.4007287800231242E-2</v>
      </c>
      <c r="BX455">
        <v>7</v>
      </c>
      <c r="BY455">
        <v>4.2003643900115621E-2</v>
      </c>
      <c r="BZ455">
        <v>4.182500426608398E-2</v>
      </c>
      <c r="CB455">
        <v>4.0702092765502997E-2</v>
      </c>
      <c r="CC455">
        <v>0.5629132334743242</v>
      </c>
      <c r="CE455">
        <v>0.54780022261421246</v>
      </c>
      <c r="CF455">
        <v>0.56531750373762613</v>
      </c>
    </row>
    <row r="456" spans="1:84" x14ac:dyDescent="0.3">
      <c r="A456" s="1">
        <v>199</v>
      </c>
      <c r="B456" t="s">
        <v>527</v>
      </c>
      <c r="C456" t="s">
        <v>528</v>
      </c>
      <c r="E456" t="s">
        <v>94</v>
      </c>
      <c r="F456">
        <v>3.55</v>
      </c>
      <c r="G456" t="s">
        <v>518</v>
      </c>
      <c r="H456">
        <v>-1</v>
      </c>
      <c r="I456">
        <v>-1</v>
      </c>
      <c r="J456">
        <v>1</v>
      </c>
      <c r="K456">
        <v>3.9</v>
      </c>
      <c r="L456">
        <v>3.9</v>
      </c>
      <c r="M456">
        <v>11.07</v>
      </c>
      <c r="N456" t="s">
        <v>529</v>
      </c>
      <c r="O456">
        <v>11.07</v>
      </c>
      <c r="P456">
        <v>2</v>
      </c>
      <c r="Q456" t="s">
        <v>87</v>
      </c>
      <c r="R456">
        <v>1373</v>
      </c>
      <c r="S456">
        <v>10</v>
      </c>
      <c r="T456" t="b">
        <v>0</v>
      </c>
      <c r="U456" t="s">
        <v>88</v>
      </c>
      <c r="V456" t="s">
        <v>89</v>
      </c>
      <c r="W456">
        <v>0</v>
      </c>
      <c r="Y456">
        <v>1</v>
      </c>
      <c r="Z456">
        <v>0</v>
      </c>
      <c r="AC456" t="s">
        <v>90</v>
      </c>
      <c r="AD456">
        <v>400</v>
      </c>
      <c r="AF456" t="s">
        <v>91</v>
      </c>
      <c r="AH456">
        <v>5</v>
      </c>
      <c r="AI456" t="s">
        <v>530</v>
      </c>
      <c r="AL456" t="b">
        <v>1</v>
      </c>
      <c r="AM456" t="b">
        <v>0</v>
      </c>
      <c r="AN456" t="b">
        <v>0</v>
      </c>
      <c r="AO456" t="b">
        <v>0</v>
      </c>
      <c r="AP456" t="s">
        <v>531</v>
      </c>
      <c r="AQ456">
        <v>-1</v>
      </c>
      <c r="AS456">
        <v>1.6094379124341001</v>
      </c>
      <c r="AT456">
        <v>1.9090909090909089</v>
      </c>
      <c r="AU456">
        <v>2.545454545454545</v>
      </c>
      <c r="AV456">
        <v>0.54545454545454541</v>
      </c>
      <c r="AW456">
        <v>2.8181818181818179</v>
      </c>
      <c r="AX456">
        <v>0.2441860465116279</v>
      </c>
      <c r="AY456">
        <v>0.32558139534883718</v>
      </c>
      <c r="AZ456">
        <v>6.9767441860465115E-2</v>
      </c>
      <c r="BA456">
        <v>0.3604651162790698</v>
      </c>
      <c r="BB456">
        <v>6.4201409410319084</v>
      </c>
      <c r="BC456">
        <v>14</v>
      </c>
      <c r="BD456">
        <v>167.3639996655379</v>
      </c>
      <c r="BE456">
        <v>1</v>
      </c>
      <c r="BF456">
        <v>8.365000853216796E-2</v>
      </c>
      <c r="BG456">
        <v>11.210029909999999</v>
      </c>
      <c r="BH456">
        <v>11.210029909999999</v>
      </c>
      <c r="BI456">
        <v>11.210029909999999</v>
      </c>
      <c r="BJ456">
        <v>0</v>
      </c>
      <c r="BK456">
        <v>0</v>
      </c>
      <c r="BM456">
        <v>0</v>
      </c>
      <c r="BP456">
        <v>0</v>
      </c>
      <c r="BQ456">
        <v>0</v>
      </c>
      <c r="BS456">
        <v>0</v>
      </c>
      <c r="BT456">
        <v>0</v>
      </c>
      <c r="BU456">
        <v>0</v>
      </c>
      <c r="BV456">
        <v>168.37469999999999</v>
      </c>
      <c r="BW456">
        <v>8.3147883856660179E-2</v>
      </c>
      <c r="BX456">
        <v>7</v>
      </c>
      <c r="BY456">
        <v>4.157394192833009E-2</v>
      </c>
      <c r="BZ456">
        <v>4.182500426608398E-2</v>
      </c>
      <c r="CC456">
        <v>0.41032546885248727</v>
      </c>
      <c r="CF456">
        <v>0.40786241419755681</v>
      </c>
    </row>
    <row r="457" spans="1:84" x14ac:dyDescent="0.3">
      <c r="A457" s="1">
        <v>200</v>
      </c>
      <c r="B457" t="s">
        <v>532</v>
      </c>
      <c r="C457" t="s">
        <v>533</v>
      </c>
      <c r="E457" t="s">
        <v>94</v>
      </c>
      <c r="F457">
        <v>3.55</v>
      </c>
      <c r="G457" t="s">
        <v>518</v>
      </c>
      <c r="H457">
        <v>-1</v>
      </c>
      <c r="I457">
        <v>-1</v>
      </c>
      <c r="J457">
        <v>1</v>
      </c>
      <c r="K457">
        <v>3.88</v>
      </c>
      <c r="L457">
        <v>3.88</v>
      </c>
      <c r="M457">
        <v>11.297000000000001</v>
      </c>
      <c r="N457" t="s">
        <v>101</v>
      </c>
      <c r="O457">
        <v>11.297000000000001</v>
      </c>
      <c r="P457">
        <v>2</v>
      </c>
      <c r="Q457" t="s">
        <v>87</v>
      </c>
      <c r="R457">
        <v>1373</v>
      </c>
      <c r="S457">
        <v>10</v>
      </c>
      <c r="T457" t="b">
        <v>0</v>
      </c>
      <c r="U457" t="s">
        <v>88</v>
      </c>
      <c r="V457" t="s">
        <v>89</v>
      </c>
      <c r="W457">
        <v>0</v>
      </c>
      <c r="Y457">
        <v>1</v>
      </c>
      <c r="Z457">
        <v>0</v>
      </c>
      <c r="AC457" t="s">
        <v>90</v>
      </c>
      <c r="AD457">
        <v>400</v>
      </c>
      <c r="AF457" t="s">
        <v>91</v>
      </c>
      <c r="AH457">
        <v>5</v>
      </c>
      <c r="AI457" t="s">
        <v>534</v>
      </c>
      <c r="AL457" t="b">
        <v>1</v>
      </c>
      <c r="AM457" t="b">
        <v>0</v>
      </c>
      <c r="AN457" t="b">
        <v>0</v>
      </c>
      <c r="AO457" t="b">
        <v>0</v>
      </c>
      <c r="AP457" t="s">
        <v>535</v>
      </c>
      <c r="AQ457">
        <v>-1</v>
      </c>
      <c r="AS457">
        <v>1.6094379124341001</v>
      </c>
      <c r="AT457">
        <v>1.9090909090909089</v>
      </c>
      <c r="AU457">
        <v>2.545454545454545</v>
      </c>
      <c r="AV457">
        <v>0.54545454545454541</v>
      </c>
      <c r="AW457">
        <v>2.8181818181818179</v>
      </c>
      <c r="AX457">
        <v>0.2441860465116279</v>
      </c>
      <c r="AY457">
        <v>0.32558139534883718</v>
      </c>
      <c r="AZ457">
        <v>6.9767441860465115E-2</v>
      </c>
      <c r="BA457">
        <v>0.3604651162790698</v>
      </c>
      <c r="BB457">
        <v>6.0262488237727272</v>
      </c>
      <c r="BC457">
        <v>14</v>
      </c>
      <c r="BD457">
        <v>167.3639996655379</v>
      </c>
      <c r="BE457">
        <v>1</v>
      </c>
      <c r="BF457">
        <v>8.365000853216796E-2</v>
      </c>
      <c r="BG457">
        <v>11.210029909999999</v>
      </c>
      <c r="BH457">
        <v>11.210029909999999</v>
      </c>
      <c r="BI457">
        <v>11.210029909999999</v>
      </c>
      <c r="BJ457">
        <v>0</v>
      </c>
      <c r="BK457">
        <v>0</v>
      </c>
      <c r="BM457">
        <v>0</v>
      </c>
      <c r="BP457">
        <v>0</v>
      </c>
      <c r="BQ457">
        <v>0</v>
      </c>
      <c r="BS457">
        <v>0</v>
      </c>
      <c r="BT457">
        <v>0</v>
      </c>
      <c r="BU457">
        <v>0</v>
      </c>
      <c r="BV457">
        <v>170.06955679999999</v>
      </c>
      <c r="BW457">
        <v>8.2319259621896068E-2</v>
      </c>
      <c r="BX457">
        <v>7</v>
      </c>
      <c r="BY457">
        <v>4.1159629810948027E-2</v>
      </c>
      <c r="BZ457">
        <v>4.182500426608398E-2</v>
      </c>
      <c r="CC457">
        <v>0.44939141121903392</v>
      </c>
      <c r="CF457">
        <v>0.44224225318236371</v>
      </c>
    </row>
    <row r="458" spans="1:84" x14ac:dyDescent="0.3">
      <c r="A458" s="1">
        <v>201</v>
      </c>
      <c r="B458" t="s">
        <v>180</v>
      </c>
      <c r="C458" t="s">
        <v>181</v>
      </c>
      <c r="E458" t="s">
        <v>94</v>
      </c>
      <c r="F458">
        <v>3.55</v>
      </c>
      <c r="G458" t="s">
        <v>518</v>
      </c>
      <c r="H458">
        <v>-1</v>
      </c>
      <c r="I458" t="s">
        <v>177</v>
      </c>
      <c r="J458">
        <v>1</v>
      </c>
      <c r="K458">
        <v>3.88</v>
      </c>
      <c r="L458">
        <v>3.88</v>
      </c>
      <c r="M458">
        <v>10.647</v>
      </c>
      <c r="N458" t="s">
        <v>101</v>
      </c>
      <c r="O458">
        <v>10.647</v>
      </c>
      <c r="P458">
        <v>2</v>
      </c>
      <c r="Q458" t="s">
        <v>87</v>
      </c>
      <c r="R458">
        <v>1373</v>
      </c>
      <c r="S458">
        <v>10</v>
      </c>
      <c r="T458" t="b">
        <v>0</v>
      </c>
      <c r="U458" t="s">
        <v>88</v>
      </c>
      <c r="V458" t="s">
        <v>89</v>
      </c>
      <c r="W458">
        <v>0</v>
      </c>
      <c r="Y458">
        <v>1</v>
      </c>
      <c r="Z458">
        <v>0</v>
      </c>
      <c r="AC458" t="s">
        <v>90</v>
      </c>
      <c r="AD458">
        <v>400</v>
      </c>
      <c r="AF458" t="s">
        <v>91</v>
      </c>
      <c r="AH458">
        <v>5</v>
      </c>
      <c r="AI458" t="s">
        <v>536</v>
      </c>
      <c r="AL458" t="b">
        <v>1</v>
      </c>
      <c r="AM458" t="b">
        <v>0</v>
      </c>
      <c r="AN458" t="b">
        <v>1</v>
      </c>
      <c r="AO458" t="b">
        <v>0</v>
      </c>
      <c r="AP458" t="s">
        <v>537</v>
      </c>
      <c r="AQ458">
        <v>-1</v>
      </c>
      <c r="AR458" t="s">
        <v>177</v>
      </c>
      <c r="AS458">
        <v>1.6094379124341001</v>
      </c>
      <c r="AT458">
        <v>1.9090909090909089</v>
      </c>
      <c r="AU458">
        <v>2.545454545454545</v>
      </c>
      <c r="AV458">
        <v>0.54545454545454541</v>
      </c>
      <c r="AW458">
        <v>2.8181818181818179</v>
      </c>
      <c r="AX458">
        <v>0.2441860465116279</v>
      </c>
      <c r="AY458">
        <v>0.32558139534883718</v>
      </c>
      <c r="AZ458">
        <v>6.9767441860465115E-2</v>
      </c>
      <c r="BA458">
        <v>0.3604651162790698</v>
      </c>
      <c r="BB458">
        <v>5.9797052374090907</v>
      </c>
      <c r="BC458">
        <v>14</v>
      </c>
      <c r="BD458">
        <v>167.3639996655379</v>
      </c>
      <c r="BE458">
        <v>1</v>
      </c>
      <c r="BF458">
        <v>8.365000853216796E-2</v>
      </c>
      <c r="BG458">
        <v>11.210029909999999</v>
      </c>
      <c r="BH458">
        <v>11.210029909999999</v>
      </c>
      <c r="BI458">
        <v>11.210029909999999</v>
      </c>
      <c r="BJ458">
        <v>0</v>
      </c>
      <c r="BK458">
        <v>0</v>
      </c>
      <c r="BM458">
        <v>0</v>
      </c>
      <c r="BP458">
        <v>164.541706117579</v>
      </c>
      <c r="BQ458">
        <v>1</v>
      </c>
      <c r="BR458">
        <v>8.5084811202795069E-2</v>
      </c>
      <c r="BS458">
        <v>3.8653</v>
      </c>
      <c r="BT458">
        <v>3.8653</v>
      </c>
      <c r="BU458">
        <v>11.0131</v>
      </c>
      <c r="BV458">
        <v>160.28419679999999</v>
      </c>
      <c r="BW458">
        <v>8.7344855447408651E-2</v>
      </c>
      <c r="BX458">
        <v>7</v>
      </c>
      <c r="BY458">
        <v>4.3672427723704332E-2</v>
      </c>
      <c r="BZ458">
        <v>4.182500426608398E-2</v>
      </c>
      <c r="CB458">
        <v>4.2542405601397527E-2</v>
      </c>
      <c r="CC458">
        <v>0.52481085882023992</v>
      </c>
      <c r="CE458">
        <v>0.53381265134868683</v>
      </c>
      <c r="CF458">
        <v>0.54799191781620038</v>
      </c>
    </row>
    <row r="459" spans="1:84" x14ac:dyDescent="0.3">
      <c r="A459" s="1">
        <v>202</v>
      </c>
      <c r="B459" t="s">
        <v>538</v>
      </c>
      <c r="C459" t="s">
        <v>539</v>
      </c>
      <c r="E459" t="s">
        <v>94</v>
      </c>
      <c r="F459">
        <v>3.55</v>
      </c>
      <c r="G459" t="s">
        <v>518</v>
      </c>
      <c r="H459">
        <v>-1</v>
      </c>
      <c r="I459" t="s">
        <v>522</v>
      </c>
      <c r="J459">
        <v>1</v>
      </c>
      <c r="K459">
        <v>3.88</v>
      </c>
      <c r="L459">
        <v>3.88</v>
      </c>
      <c r="M459">
        <v>11.066000000000001</v>
      </c>
      <c r="N459" t="s">
        <v>101</v>
      </c>
      <c r="O459">
        <v>11.066000000000001</v>
      </c>
      <c r="P459">
        <v>2</v>
      </c>
      <c r="Q459" t="s">
        <v>87</v>
      </c>
      <c r="R459">
        <v>1373</v>
      </c>
      <c r="S459">
        <v>10</v>
      </c>
      <c r="T459" t="b">
        <v>0</v>
      </c>
      <c r="U459" t="s">
        <v>88</v>
      </c>
      <c r="V459" t="s">
        <v>89</v>
      </c>
      <c r="W459">
        <v>0</v>
      </c>
      <c r="Y459">
        <v>1</v>
      </c>
      <c r="Z459">
        <v>0</v>
      </c>
      <c r="AC459" t="s">
        <v>90</v>
      </c>
      <c r="AD459">
        <v>400</v>
      </c>
      <c r="AF459" t="s">
        <v>91</v>
      </c>
      <c r="AH459">
        <v>5</v>
      </c>
      <c r="AI459" t="s">
        <v>540</v>
      </c>
      <c r="AK459" t="s">
        <v>541</v>
      </c>
      <c r="AL459" t="b">
        <v>1</v>
      </c>
      <c r="AM459" t="b">
        <v>0</v>
      </c>
      <c r="AN459" t="b">
        <v>1</v>
      </c>
      <c r="AO459" t="b">
        <v>0</v>
      </c>
      <c r="AP459" t="s">
        <v>542</v>
      </c>
      <c r="AQ459">
        <v>-1</v>
      </c>
      <c r="AR459" t="s">
        <v>543</v>
      </c>
      <c r="AS459">
        <v>1.6094379124341001</v>
      </c>
      <c r="AT459">
        <v>1.9090909090909089</v>
      </c>
      <c r="AU459">
        <v>2.545454545454545</v>
      </c>
      <c r="AV459">
        <v>0.54545454545454541</v>
      </c>
      <c r="AW459">
        <v>2.8181818181818179</v>
      </c>
      <c r="AX459">
        <v>0.2441860465116279</v>
      </c>
      <c r="AY459">
        <v>0.32558139534883718</v>
      </c>
      <c r="AZ459">
        <v>6.9767441860465115E-2</v>
      </c>
      <c r="BA459">
        <v>0.3604651162790698</v>
      </c>
      <c r="BB459">
        <v>5.9661806808377271</v>
      </c>
      <c r="BC459">
        <v>14</v>
      </c>
      <c r="BD459">
        <v>167.3639996655379</v>
      </c>
      <c r="BE459">
        <v>1</v>
      </c>
      <c r="BF459">
        <v>8.365000853216796E-2</v>
      </c>
      <c r="BG459">
        <v>11.210029909999999</v>
      </c>
      <c r="BH459">
        <v>11.210029909999999</v>
      </c>
      <c r="BI459">
        <v>11.210029909999999</v>
      </c>
      <c r="BJ459">
        <v>0</v>
      </c>
      <c r="BK459">
        <v>0</v>
      </c>
      <c r="BM459">
        <v>0</v>
      </c>
      <c r="BP459">
        <v>171.98132883066</v>
      </c>
      <c r="BQ459">
        <v>1</v>
      </c>
      <c r="BR459">
        <v>8.1404185531005993E-2</v>
      </c>
      <c r="BS459">
        <v>3.8898000000000001</v>
      </c>
      <c r="BT459">
        <v>3.8898000000000001</v>
      </c>
      <c r="BU459">
        <v>11.3665</v>
      </c>
      <c r="BV459">
        <v>166.59199039999999</v>
      </c>
      <c r="BW459">
        <v>8.4037653709430671E-2</v>
      </c>
      <c r="BX459">
        <v>7</v>
      </c>
      <c r="BY459">
        <v>4.2018826854715342E-2</v>
      </c>
      <c r="BZ459">
        <v>4.182500426608398E-2</v>
      </c>
      <c r="CB459">
        <v>4.0702092765502997E-2</v>
      </c>
      <c r="CC459">
        <v>0.55873496884672724</v>
      </c>
      <c r="CE459">
        <v>0.54373413541457105</v>
      </c>
      <c r="CF459">
        <v>0.56132422041815022</v>
      </c>
    </row>
    <row r="460" spans="1:84" x14ac:dyDescent="0.3">
      <c r="A460" s="1">
        <v>203</v>
      </c>
      <c r="B460" t="s">
        <v>544</v>
      </c>
      <c r="C460" t="s">
        <v>545</v>
      </c>
      <c r="E460" t="s">
        <v>94</v>
      </c>
      <c r="F460">
        <v>4.2</v>
      </c>
      <c r="G460" t="s">
        <v>518</v>
      </c>
      <c r="H460">
        <v>-1</v>
      </c>
      <c r="I460">
        <v>-1</v>
      </c>
      <c r="J460">
        <v>1</v>
      </c>
      <c r="K460">
        <v>3.92</v>
      </c>
      <c r="L460">
        <v>3.92</v>
      </c>
      <c r="M460">
        <v>11.065</v>
      </c>
      <c r="N460" t="s">
        <v>101</v>
      </c>
      <c r="O460">
        <v>11.065</v>
      </c>
      <c r="P460">
        <v>2</v>
      </c>
      <c r="Q460" t="s">
        <v>87</v>
      </c>
      <c r="R460">
        <v>1373</v>
      </c>
      <c r="S460">
        <v>10</v>
      </c>
      <c r="T460" t="b">
        <v>0</v>
      </c>
      <c r="U460" t="s">
        <v>88</v>
      </c>
      <c r="V460" t="s">
        <v>89</v>
      </c>
      <c r="W460">
        <v>0</v>
      </c>
      <c r="Y460">
        <v>1</v>
      </c>
      <c r="Z460">
        <v>0</v>
      </c>
      <c r="AC460" t="s">
        <v>90</v>
      </c>
      <c r="AD460">
        <v>400</v>
      </c>
      <c r="AF460" t="s">
        <v>91</v>
      </c>
      <c r="AH460">
        <v>10</v>
      </c>
      <c r="AI460" t="s">
        <v>546</v>
      </c>
      <c r="AL460" t="b">
        <v>1</v>
      </c>
      <c r="AM460" t="b">
        <v>0</v>
      </c>
      <c r="AN460" t="b">
        <v>0</v>
      </c>
      <c r="AO460" t="b">
        <v>0</v>
      </c>
      <c r="AP460" t="s">
        <v>547</v>
      </c>
      <c r="AQ460">
        <v>-1</v>
      </c>
      <c r="AS460">
        <v>2.3025850929940459</v>
      </c>
      <c r="AT460">
        <v>1.9090909090909089</v>
      </c>
      <c r="AU460">
        <v>2.545454545454545</v>
      </c>
      <c r="AV460">
        <v>0.54545454545454541</v>
      </c>
      <c r="AW460">
        <v>2.9090909090909092</v>
      </c>
      <c r="AX460">
        <v>0.2413793103448276</v>
      </c>
      <c r="AY460">
        <v>0.32183908045977011</v>
      </c>
      <c r="AZ460">
        <v>6.8965517241379309E-2</v>
      </c>
      <c r="BA460">
        <v>0.36781609195402298</v>
      </c>
      <c r="BB460">
        <v>6.4220981546682721</v>
      </c>
      <c r="BC460">
        <v>14</v>
      </c>
      <c r="BD460">
        <v>167.3639996655379</v>
      </c>
      <c r="BE460">
        <v>1</v>
      </c>
      <c r="BF460">
        <v>8.365000853216796E-2</v>
      </c>
      <c r="BG460">
        <v>11.210029909999999</v>
      </c>
      <c r="BH460">
        <v>11.210029909999999</v>
      </c>
      <c r="BI460">
        <v>11.210029909999999</v>
      </c>
      <c r="BJ460">
        <v>0</v>
      </c>
      <c r="BK460">
        <v>0</v>
      </c>
      <c r="BM460">
        <v>0</v>
      </c>
      <c r="BP460">
        <v>0</v>
      </c>
      <c r="BQ460">
        <v>0</v>
      </c>
      <c r="BS460">
        <v>0</v>
      </c>
      <c r="BT460">
        <v>0</v>
      </c>
      <c r="BU460">
        <v>0</v>
      </c>
      <c r="BV460">
        <v>170.02921599999999</v>
      </c>
      <c r="BW460">
        <v>8.2338790528799485E-2</v>
      </c>
      <c r="BX460">
        <v>7</v>
      </c>
      <c r="BY460">
        <v>4.1169395264399743E-2</v>
      </c>
      <c r="BZ460">
        <v>4.182500426608398E-2</v>
      </c>
      <c r="CC460">
        <v>0.40965849371148011</v>
      </c>
      <c r="CF460">
        <v>0.40323707664753872</v>
      </c>
    </row>
    <row r="461" spans="1:84" x14ac:dyDescent="0.3">
      <c r="A461" s="1">
        <v>204</v>
      </c>
      <c r="B461" t="s">
        <v>548</v>
      </c>
      <c r="C461" t="s">
        <v>549</v>
      </c>
      <c r="E461" t="s">
        <v>94</v>
      </c>
      <c r="F461">
        <v>4.1500000000000004</v>
      </c>
      <c r="G461" t="s">
        <v>518</v>
      </c>
      <c r="H461">
        <v>-1</v>
      </c>
      <c r="I461">
        <v>-1</v>
      </c>
      <c r="J461">
        <v>1</v>
      </c>
      <c r="K461">
        <v>3.92</v>
      </c>
      <c r="L461">
        <v>3.92</v>
      </c>
      <c r="M461">
        <v>11.7911</v>
      </c>
      <c r="N461" t="s">
        <v>101</v>
      </c>
      <c r="O461">
        <v>11.7911</v>
      </c>
      <c r="P461">
        <v>2</v>
      </c>
      <c r="Q461" t="s">
        <v>87</v>
      </c>
      <c r="R461">
        <v>1373</v>
      </c>
      <c r="S461">
        <v>10</v>
      </c>
      <c r="T461" t="b">
        <v>0</v>
      </c>
      <c r="U461" t="s">
        <v>88</v>
      </c>
      <c r="V461" t="s">
        <v>89</v>
      </c>
      <c r="W461">
        <v>0</v>
      </c>
      <c r="Y461">
        <v>1</v>
      </c>
      <c r="Z461">
        <v>0</v>
      </c>
      <c r="AC461" t="s">
        <v>90</v>
      </c>
      <c r="AD461">
        <v>400</v>
      </c>
      <c r="AF461" t="s">
        <v>91</v>
      </c>
      <c r="AH461">
        <v>15</v>
      </c>
      <c r="AI461" t="s">
        <v>550</v>
      </c>
      <c r="AL461" t="b">
        <v>1</v>
      </c>
      <c r="AM461" t="b">
        <v>0</v>
      </c>
      <c r="AN461" t="b">
        <v>0</v>
      </c>
      <c r="AO461" t="b">
        <v>0</v>
      </c>
      <c r="AP461" t="s">
        <v>551</v>
      </c>
      <c r="AQ461">
        <v>-1</v>
      </c>
      <c r="AS461">
        <v>2.7080502011022101</v>
      </c>
      <c r="AT461">
        <v>1.9090909090909089</v>
      </c>
      <c r="AU461">
        <v>2.545454545454545</v>
      </c>
      <c r="AV461">
        <v>0.54545454545454541</v>
      </c>
      <c r="AW461">
        <v>2.9090909090909092</v>
      </c>
      <c r="AX461">
        <v>0.2413793103448276</v>
      </c>
      <c r="AY461">
        <v>0.32183908045977011</v>
      </c>
      <c r="AZ461">
        <v>6.8965517241379309E-2</v>
      </c>
      <c r="BA461">
        <v>0.36781609195402298</v>
      </c>
      <c r="BB461">
        <v>6.0282060374090909</v>
      </c>
      <c r="BC461">
        <v>14</v>
      </c>
      <c r="BD461">
        <v>167.3639996655379</v>
      </c>
      <c r="BE461">
        <v>1</v>
      </c>
      <c r="BF461">
        <v>8.365000853216796E-2</v>
      </c>
      <c r="BG461">
        <v>11.210029909999999</v>
      </c>
      <c r="BH461">
        <v>11.210029909999999</v>
      </c>
      <c r="BI461">
        <v>11.210029909999999</v>
      </c>
      <c r="BJ461">
        <v>0</v>
      </c>
      <c r="BK461">
        <v>0</v>
      </c>
      <c r="BM461">
        <v>0</v>
      </c>
      <c r="BP461">
        <v>0</v>
      </c>
      <c r="BQ461">
        <v>0</v>
      </c>
      <c r="BS461">
        <v>0</v>
      </c>
      <c r="BT461">
        <v>0</v>
      </c>
      <c r="BU461">
        <v>0</v>
      </c>
      <c r="BV461">
        <v>181.18675904</v>
      </c>
      <c r="BW461">
        <v>7.7268339442559744E-2</v>
      </c>
      <c r="BX461">
        <v>7</v>
      </c>
      <c r="BY461">
        <v>3.8634169721279872E-2</v>
      </c>
      <c r="BZ461">
        <v>4.182500426608398E-2</v>
      </c>
      <c r="CC461">
        <v>0.4487244360780267</v>
      </c>
      <c r="CF461">
        <v>0.41449119553544128</v>
      </c>
    </row>
    <row r="462" spans="1:84" x14ac:dyDescent="0.3">
      <c r="A462" s="1">
        <v>205</v>
      </c>
      <c r="B462" t="s">
        <v>182</v>
      </c>
      <c r="C462" t="s">
        <v>183</v>
      </c>
      <c r="E462" t="s">
        <v>94</v>
      </c>
      <c r="F462">
        <v>4.1500000000000004</v>
      </c>
      <c r="G462" t="s">
        <v>518</v>
      </c>
      <c r="H462">
        <v>-1</v>
      </c>
      <c r="I462">
        <v>-1</v>
      </c>
      <c r="J462">
        <v>1</v>
      </c>
      <c r="K462">
        <v>3.92</v>
      </c>
      <c r="L462">
        <v>3.92</v>
      </c>
      <c r="M462">
        <v>11.5395</v>
      </c>
      <c r="N462" t="s">
        <v>101</v>
      </c>
      <c r="O462">
        <v>11.5395</v>
      </c>
      <c r="P462">
        <v>2</v>
      </c>
      <c r="Q462" t="s">
        <v>87</v>
      </c>
      <c r="R462">
        <v>1373</v>
      </c>
      <c r="S462">
        <v>10</v>
      </c>
      <c r="T462" t="b">
        <v>0</v>
      </c>
      <c r="U462" t="s">
        <v>88</v>
      </c>
      <c r="V462" t="s">
        <v>89</v>
      </c>
      <c r="W462">
        <v>0</v>
      </c>
      <c r="Y462">
        <v>1</v>
      </c>
      <c r="Z462">
        <v>0</v>
      </c>
      <c r="AC462" t="s">
        <v>90</v>
      </c>
      <c r="AD462">
        <v>400</v>
      </c>
      <c r="AF462" t="s">
        <v>91</v>
      </c>
      <c r="AH462">
        <v>235</v>
      </c>
      <c r="AI462" t="s">
        <v>552</v>
      </c>
      <c r="AL462" t="b">
        <v>1</v>
      </c>
      <c r="AM462" t="b">
        <v>0</v>
      </c>
      <c r="AN462" t="b">
        <v>0</v>
      </c>
      <c r="AO462" t="b">
        <v>0</v>
      </c>
      <c r="AP462" t="s">
        <v>553</v>
      </c>
      <c r="AQ462">
        <v>-1</v>
      </c>
      <c r="AS462">
        <v>5.4595855141441589</v>
      </c>
      <c r="AT462">
        <v>1.9090909090909089</v>
      </c>
      <c r="AU462">
        <v>2.545454545454545</v>
      </c>
      <c r="AV462">
        <v>0.54545454545454541</v>
      </c>
      <c r="AW462">
        <v>2.9090909090909092</v>
      </c>
      <c r="AX462">
        <v>0.2413793103448276</v>
      </c>
      <c r="AY462">
        <v>0.32183908045977011</v>
      </c>
      <c r="AZ462">
        <v>6.8965517241379309E-2</v>
      </c>
      <c r="BA462">
        <v>0.36781609195402298</v>
      </c>
      <c r="BB462">
        <v>5.9816624510454544</v>
      </c>
      <c r="BC462">
        <v>14</v>
      </c>
      <c r="BD462">
        <v>167.3639996655379</v>
      </c>
      <c r="BE462">
        <v>1</v>
      </c>
      <c r="BF462">
        <v>8.365000853216796E-2</v>
      </c>
      <c r="BG462">
        <v>11.210029909999999</v>
      </c>
      <c r="BH462">
        <v>11.210029909999999</v>
      </c>
      <c r="BI462">
        <v>11.210029909999999</v>
      </c>
      <c r="BJ462">
        <v>0</v>
      </c>
      <c r="BK462">
        <v>0</v>
      </c>
      <c r="BM462">
        <v>0</v>
      </c>
      <c r="BP462">
        <v>0</v>
      </c>
      <c r="BQ462">
        <v>0</v>
      </c>
      <c r="BS462">
        <v>0</v>
      </c>
      <c r="BT462">
        <v>0</v>
      </c>
      <c r="BU462">
        <v>0</v>
      </c>
      <c r="BV462">
        <v>177.32057280000001</v>
      </c>
      <c r="BW462">
        <v>7.8953049716293272E-2</v>
      </c>
      <c r="BX462">
        <v>7</v>
      </c>
      <c r="BY462">
        <v>3.9476524858146643E-2</v>
      </c>
      <c r="BZ462">
        <v>4.182500426608398E-2</v>
      </c>
      <c r="CC462">
        <v>0.52414388367923281</v>
      </c>
      <c r="CF462">
        <v>0.49471313670821188</v>
      </c>
    </row>
    <row r="463" spans="1:84" x14ac:dyDescent="0.3">
      <c r="A463" s="1">
        <v>206</v>
      </c>
      <c r="B463" t="s">
        <v>554</v>
      </c>
      <c r="C463" t="s">
        <v>555</v>
      </c>
      <c r="E463" t="s">
        <v>94</v>
      </c>
      <c r="F463">
        <v>4.1500000000000004</v>
      </c>
      <c r="G463" t="s">
        <v>518</v>
      </c>
      <c r="H463">
        <v>-1</v>
      </c>
      <c r="I463" t="s">
        <v>522</v>
      </c>
      <c r="J463">
        <v>1</v>
      </c>
      <c r="K463">
        <v>3.84</v>
      </c>
      <c r="L463">
        <v>3.84</v>
      </c>
      <c r="M463">
        <v>11.5395</v>
      </c>
      <c r="N463" t="s">
        <v>101</v>
      </c>
      <c r="O463">
        <v>11.5395</v>
      </c>
      <c r="P463">
        <v>2</v>
      </c>
      <c r="Q463" t="s">
        <v>87</v>
      </c>
      <c r="R463">
        <v>1373</v>
      </c>
      <c r="S463">
        <v>10</v>
      </c>
      <c r="T463" t="b">
        <v>0</v>
      </c>
      <c r="U463" t="s">
        <v>88</v>
      </c>
      <c r="V463" t="s">
        <v>89</v>
      </c>
      <c r="W463">
        <v>0</v>
      </c>
      <c r="Y463">
        <v>1</v>
      </c>
      <c r="Z463">
        <v>0</v>
      </c>
      <c r="AC463" t="s">
        <v>90</v>
      </c>
      <c r="AD463">
        <v>400</v>
      </c>
      <c r="AF463" t="s">
        <v>91</v>
      </c>
      <c r="AH463">
        <v>70</v>
      </c>
      <c r="AI463" t="s">
        <v>556</v>
      </c>
      <c r="AL463" t="b">
        <v>1</v>
      </c>
      <c r="AM463" t="b">
        <v>0</v>
      </c>
      <c r="AN463" t="b">
        <v>1</v>
      </c>
      <c r="AO463" t="b">
        <v>0</v>
      </c>
      <c r="AP463" t="s">
        <v>557</v>
      </c>
      <c r="AQ463">
        <v>-1</v>
      </c>
      <c r="AR463" t="s">
        <v>522</v>
      </c>
      <c r="AS463">
        <v>4.2484952420493594</v>
      </c>
      <c r="AT463">
        <v>1.9090909090909089</v>
      </c>
      <c r="AU463">
        <v>2.545454545454545</v>
      </c>
      <c r="AV463">
        <v>0.54545454545454541</v>
      </c>
      <c r="AW463">
        <v>2.9090909090909092</v>
      </c>
      <c r="AX463">
        <v>0.2413793103448276</v>
      </c>
      <c r="AY463">
        <v>0.32183908045977011</v>
      </c>
      <c r="AZ463">
        <v>6.8965517241379309E-2</v>
      </c>
      <c r="BA463">
        <v>0.36781609195402298</v>
      </c>
      <c r="BB463">
        <v>5.9681378944740908</v>
      </c>
      <c r="BC463">
        <v>14</v>
      </c>
      <c r="BD463">
        <v>167.3639996655379</v>
      </c>
      <c r="BE463">
        <v>1</v>
      </c>
      <c r="BF463">
        <v>8.365000853216796E-2</v>
      </c>
      <c r="BG463">
        <v>11.210029909999999</v>
      </c>
      <c r="BH463">
        <v>11.210029909999999</v>
      </c>
      <c r="BI463">
        <v>11.210029909999999</v>
      </c>
      <c r="BJ463">
        <v>0</v>
      </c>
      <c r="BK463">
        <v>0</v>
      </c>
      <c r="BM463">
        <v>0</v>
      </c>
      <c r="BP463">
        <v>171.98132883066</v>
      </c>
      <c r="BQ463">
        <v>1</v>
      </c>
      <c r="BR463">
        <v>8.1404185531005993E-2</v>
      </c>
      <c r="BS463">
        <v>3.8898000000000001</v>
      </c>
      <c r="BT463">
        <v>3.8898000000000001</v>
      </c>
      <c r="BU463">
        <v>11.3665</v>
      </c>
      <c r="BV463">
        <v>170.15685120000001</v>
      </c>
      <c r="BW463">
        <v>8.2277027937855962E-2</v>
      </c>
      <c r="BX463">
        <v>7</v>
      </c>
      <c r="BY463">
        <v>4.1138513968927981E-2</v>
      </c>
      <c r="BZ463">
        <v>4.182500426608398E-2</v>
      </c>
      <c r="CB463">
        <v>4.0702092765502997E-2</v>
      </c>
      <c r="CC463">
        <v>0.55806799370572002</v>
      </c>
      <c r="CE463">
        <v>0.54308506712305693</v>
      </c>
      <c r="CF463">
        <v>0.5489082035382159</v>
      </c>
    </row>
    <row r="464" spans="1:84" x14ac:dyDescent="0.3">
      <c r="A464" s="1">
        <v>207</v>
      </c>
      <c r="B464" t="s">
        <v>558</v>
      </c>
      <c r="C464" t="s">
        <v>559</v>
      </c>
      <c r="E464" t="s">
        <v>94</v>
      </c>
      <c r="F464">
        <v>4.1500000000000004</v>
      </c>
      <c r="G464" t="s">
        <v>518</v>
      </c>
      <c r="H464">
        <v>-1</v>
      </c>
      <c r="I464">
        <v>-1</v>
      </c>
      <c r="J464">
        <v>1</v>
      </c>
      <c r="K464">
        <v>3.85</v>
      </c>
      <c r="L464">
        <v>3.85</v>
      </c>
      <c r="M464">
        <v>10.95</v>
      </c>
      <c r="N464" t="s">
        <v>101</v>
      </c>
      <c r="O464">
        <v>10.95</v>
      </c>
      <c r="P464">
        <v>2</v>
      </c>
      <c r="Q464" t="s">
        <v>87</v>
      </c>
      <c r="R464">
        <v>1373</v>
      </c>
      <c r="S464">
        <v>10</v>
      </c>
      <c r="T464" t="b">
        <v>0</v>
      </c>
      <c r="U464" t="s">
        <v>88</v>
      </c>
      <c r="V464" t="s">
        <v>89</v>
      </c>
      <c r="W464">
        <v>0</v>
      </c>
      <c r="Y464">
        <v>1</v>
      </c>
      <c r="Z464">
        <v>0</v>
      </c>
      <c r="AC464" t="s">
        <v>90</v>
      </c>
      <c r="AD464">
        <v>400</v>
      </c>
      <c r="AF464" t="s">
        <v>91</v>
      </c>
      <c r="AH464">
        <v>5</v>
      </c>
      <c r="AI464" t="s">
        <v>560</v>
      </c>
      <c r="AL464" t="b">
        <v>1</v>
      </c>
      <c r="AM464" t="b">
        <v>0</v>
      </c>
      <c r="AN464" t="b">
        <v>0</v>
      </c>
      <c r="AO464" t="b">
        <v>0</v>
      </c>
      <c r="AP464" t="s">
        <v>561</v>
      </c>
      <c r="AQ464">
        <v>-1</v>
      </c>
      <c r="AS464">
        <v>1.6094379124341001</v>
      </c>
      <c r="AT464">
        <v>1.9090909090909089</v>
      </c>
      <c r="AU464">
        <v>2.545454545454545</v>
      </c>
      <c r="AV464">
        <v>0.54545454545454541</v>
      </c>
      <c r="AW464">
        <v>3.0909090909090908</v>
      </c>
      <c r="AX464">
        <v>0.2359550561797753</v>
      </c>
      <c r="AY464">
        <v>0.3146067415730337</v>
      </c>
      <c r="AZ464">
        <v>6.7415730337078636E-2</v>
      </c>
      <c r="BA464">
        <v>0.38202247191011229</v>
      </c>
      <c r="BB464">
        <v>6.4304261864864536</v>
      </c>
      <c r="BC464">
        <v>14</v>
      </c>
      <c r="BD464">
        <v>167.3639996655379</v>
      </c>
      <c r="BE464">
        <v>1</v>
      </c>
      <c r="BF464">
        <v>8.365000853216796E-2</v>
      </c>
      <c r="BG464">
        <v>11.210029909999999</v>
      </c>
      <c r="BH464">
        <v>11.210029909999999</v>
      </c>
      <c r="BI464">
        <v>11.210029909999999</v>
      </c>
      <c r="BJ464">
        <v>0</v>
      </c>
      <c r="BK464">
        <v>0</v>
      </c>
      <c r="BM464">
        <v>0</v>
      </c>
      <c r="BP464">
        <v>0</v>
      </c>
      <c r="BQ464">
        <v>0</v>
      </c>
      <c r="BS464">
        <v>0</v>
      </c>
      <c r="BT464">
        <v>0</v>
      </c>
      <c r="BU464">
        <v>0</v>
      </c>
      <c r="BV464">
        <v>162.306375</v>
      </c>
      <c r="BW464">
        <v>8.6256624239189617E-2</v>
      </c>
      <c r="BX464">
        <v>7</v>
      </c>
      <c r="BY464">
        <v>4.3128312119594808E-2</v>
      </c>
      <c r="BZ464">
        <v>4.182500426608398E-2</v>
      </c>
      <c r="CC464">
        <v>0.40734353476326451</v>
      </c>
      <c r="CF464">
        <v>0.42003675589377198</v>
      </c>
    </row>
    <row r="465" spans="1:84" x14ac:dyDescent="0.3">
      <c r="A465" s="1">
        <v>208</v>
      </c>
      <c r="B465" t="s">
        <v>562</v>
      </c>
      <c r="C465" t="s">
        <v>563</v>
      </c>
      <c r="E465" t="s">
        <v>94</v>
      </c>
      <c r="F465">
        <v>4.25</v>
      </c>
      <c r="G465" t="s">
        <v>518</v>
      </c>
      <c r="H465">
        <v>-1</v>
      </c>
      <c r="I465">
        <v>-1</v>
      </c>
      <c r="J465">
        <v>1</v>
      </c>
      <c r="K465">
        <v>3.88</v>
      </c>
      <c r="L465">
        <v>3.88</v>
      </c>
      <c r="M465">
        <v>11.54</v>
      </c>
      <c r="N465" t="s">
        <v>101</v>
      </c>
      <c r="O465">
        <v>11.54</v>
      </c>
      <c r="P465">
        <v>2</v>
      </c>
      <c r="Q465" t="s">
        <v>87</v>
      </c>
      <c r="R465">
        <v>1373</v>
      </c>
      <c r="S465">
        <v>10</v>
      </c>
      <c r="T465" t="b">
        <v>0</v>
      </c>
      <c r="U465" t="s">
        <v>88</v>
      </c>
      <c r="V465" t="s">
        <v>89</v>
      </c>
      <c r="W465">
        <v>0</v>
      </c>
      <c r="Y465">
        <v>1</v>
      </c>
      <c r="Z465">
        <v>0</v>
      </c>
      <c r="AC465" t="s">
        <v>90</v>
      </c>
      <c r="AD465">
        <v>400</v>
      </c>
      <c r="AF465" t="s">
        <v>91</v>
      </c>
      <c r="AH465">
        <v>10</v>
      </c>
      <c r="AI465" t="s">
        <v>564</v>
      </c>
      <c r="AL465" t="b">
        <v>1</v>
      </c>
      <c r="AM465" t="b">
        <v>0</v>
      </c>
      <c r="AN465" t="b">
        <v>0</v>
      </c>
      <c r="AO465" t="b">
        <v>0</v>
      </c>
      <c r="AP465" t="s">
        <v>565</v>
      </c>
      <c r="AQ465">
        <v>-1</v>
      </c>
      <c r="AS465">
        <v>2.3025850929940459</v>
      </c>
      <c r="AT465">
        <v>1.9090909090909089</v>
      </c>
      <c r="AU465">
        <v>2.545454545454545</v>
      </c>
      <c r="AV465">
        <v>0.54545454545454541</v>
      </c>
      <c r="AW465">
        <v>3.0909090909090908</v>
      </c>
      <c r="AX465">
        <v>0.2359550561797753</v>
      </c>
      <c r="AY465">
        <v>0.3146067415730337</v>
      </c>
      <c r="AZ465">
        <v>6.7415730337078636E-2</v>
      </c>
      <c r="BA465">
        <v>0.38202247191011229</v>
      </c>
      <c r="BB465">
        <v>6.0365340692272724</v>
      </c>
      <c r="BC465">
        <v>14</v>
      </c>
      <c r="BD465">
        <v>167.3639996655379</v>
      </c>
      <c r="BE465">
        <v>1</v>
      </c>
      <c r="BF465">
        <v>8.365000853216796E-2</v>
      </c>
      <c r="BG465">
        <v>11.210029909999999</v>
      </c>
      <c r="BH465">
        <v>11.210029909999999</v>
      </c>
      <c r="BI465">
        <v>11.210029909999999</v>
      </c>
      <c r="BJ465">
        <v>0</v>
      </c>
      <c r="BK465">
        <v>0</v>
      </c>
      <c r="BM465">
        <v>0</v>
      </c>
      <c r="BP465">
        <v>0</v>
      </c>
      <c r="BQ465">
        <v>0</v>
      </c>
      <c r="BS465">
        <v>0</v>
      </c>
      <c r="BT465">
        <v>0</v>
      </c>
      <c r="BU465">
        <v>0</v>
      </c>
      <c r="BV465">
        <v>173.72777600000001</v>
      </c>
      <c r="BW465">
        <v>8.0585847135923747E-2</v>
      </c>
      <c r="BX465">
        <v>7</v>
      </c>
      <c r="BY465">
        <v>4.0292923567961873E-2</v>
      </c>
      <c r="BZ465">
        <v>4.182500426608398E-2</v>
      </c>
      <c r="CC465">
        <v>0.44640947712981099</v>
      </c>
      <c r="CF465">
        <v>0.4300571693328224</v>
      </c>
    </row>
    <row r="466" spans="1:84" x14ac:dyDescent="0.3">
      <c r="A466" s="1">
        <v>209</v>
      </c>
      <c r="B466" t="s">
        <v>186</v>
      </c>
      <c r="C466" t="s">
        <v>187</v>
      </c>
      <c r="E466" t="s">
        <v>94</v>
      </c>
      <c r="F466">
        <v>4.25</v>
      </c>
      <c r="G466" t="s">
        <v>518</v>
      </c>
      <c r="H466">
        <v>-1</v>
      </c>
      <c r="I466">
        <v>-1</v>
      </c>
      <c r="J466">
        <v>1</v>
      </c>
      <c r="K466">
        <v>3.85</v>
      </c>
      <c r="L466">
        <v>3.85</v>
      </c>
      <c r="M466">
        <v>11.3</v>
      </c>
      <c r="N466" t="s">
        <v>101</v>
      </c>
      <c r="O466">
        <v>11.3</v>
      </c>
      <c r="P466">
        <v>2</v>
      </c>
      <c r="Q466" t="s">
        <v>87</v>
      </c>
      <c r="R466">
        <v>1373</v>
      </c>
      <c r="S466">
        <v>10</v>
      </c>
      <c r="T466" t="b">
        <v>0</v>
      </c>
      <c r="U466" t="s">
        <v>88</v>
      </c>
      <c r="V466" t="s">
        <v>89</v>
      </c>
      <c r="W466">
        <v>0</v>
      </c>
      <c r="Y466">
        <v>1</v>
      </c>
      <c r="Z466">
        <v>0</v>
      </c>
      <c r="AC466" t="s">
        <v>90</v>
      </c>
      <c r="AD466">
        <v>400</v>
      </c>
      <c r="AF466" t="s">
        <v>91</v>
      </c>
      <c r="AH466">
        <v>60</v>
      </c>
      <c r="AI466" t="s">
        <v>566</v>
      </c>
      <c r="AL466" t="b">
        <v>1</v>
      </c>
      <c r="AM466" t="b">
        <v>0</v>
      </c>
      <c r="AN466" t="b">
        <v>0</v>
      </c>
      <c r="AO466" t="b">
        <v>0</v>
      </c>
      <c r="AP466" t="s">
        <v>567</v>
      </c>
      <c r="AQ466">
        <v>-1</v>
      </c>
      <c r="AS466">
        <v>4.0943445622221004</v>
      </c>
      <c r="AT466">
        <v>1.9090909090909089</v>
      </c>
      <c r="AU466">
        <v>2.545454545454545</v>
      </c>
      <c r="AV466">
        <v>0.54545454545454541</v>
      </c>
      <c r="AW466">
        <v>3.0909090909090908</v>
      </c>
      <c r="AX466">
        <v>0.2359550561797753</v>
      </c>
      <c r="AY466">
        <v>0.3146067415730337</v>
      </c>
      <c r="AZ466">
        <v>6.7415730337078636E-2</v>
      </c>
      <c r="BA466">
        <v>0.38202247191011229</v>
      </c>
      <c r="BB466">
        <v>5.9899904828636359</v>
      </c>
      <c r="BC466">
        <v>14</v>
      </c>
      <c r="BD466">
        <v>167.3639996655379</v>
      </c>
      <c r="BE466">
        <v>1</v>
      </c>
      <c r="BF466">
        <v>8.365000853216796E-2</v>
      </c>
      <c r="BG466">
        <v>11.210029909999999</v>
      </c>
      <c r="BH466">
        <v>11.210029909999999</v>
      </c>
      <c r="BI466">
        <v>11.210029909999999</v>
      </c>
      <c r="BJ466">
        <v>0</v>
      </c>
      <c r="BK466">
        <v>0</v>
      </c>
      <c r="BM466">
        <v>0</v>
      </c>
      <c r="BP466">
        <v>0</v>
      </c>
      <c r="BQ466">
        <v>0</v>
      </c>
      <c r="BS466">
        <v>0</v>
      </c>
      <c r="BT466">
        <v>0</v>
      </c>
      <c r="BU466">
        <v>0</v>
      </c>
      <c r="BV466">
        <v>167.49424999999999</v>
      </c>
      <c r="BW466">
        <v>8.3584958886648339E-2</v>
      </c>
      <c r="BX466">
        <v>7</v>
      </c>
      <c r="BY466">
        <v>4.1792479443324169E-2</v>
      </c>
      <c r="BZ466">
        <v>4.182500426608398E-2</v>
      </c>
      <c r="CC466">
        <v>0.52182892473101716</v>
      </c>
      <c r="CF466">
        <v>0.52142312935608204</v>
      </c>
    </row>
    <row r="467" spans="1:84" x14ac:dyDescent="0.3">
      <c r="A467" s="1">
        <v>210</v>
      </c>
      <c r="B467" t="s">
        <v>568</v>
      </c>
      <c r="C467" t="s">
        <v>569</v>
      </c>
      <c r="E467" t="s">
        <v>94</v>
      </c>
      <c r="F467">
        <v>4.25</v>
      </c>
      <c r="G467" t="s">
        <v>518</v>
      </c>
      <c r="H467">
        <v>-1</v>
      </c>
      <c r="I467" t="s">
        <v>522</v>
      </c>
      <c r="J467">
        <v>1</v>
      </c>
      <c r="K467">
        <v>3.76</v>
      </c>
      <c r="L467">
        <v>3.76</v>
      </c>
      <c r="M467">
        <v>11.41</v>
      </c>
      <c r="N467" t="s">
        <v>101</v>
      </c>
      <c r="O467">
        <v>11.41</v>
      </c>
      <c r="P467">
        <v>2</v>
      </c>
      <c r="Q467" t="s">
        <v>87</v>
      </c>
      <c r="R467">
        <v>1373</v>
      </c>
      <c r="S467">
        <v>10</v>
      </c>
      <c r="T467" t="b">
        <v>0</v>
      </c>
      <c r="U467" t="s">
        <v>88</v>
      </c>
      <c r="V467" t="s">
        <v>89</v>
      </c>
      <c r="W467">
        <v>0</v>
      </c>
      <c r="Y467">
        <v>1</v>
      </c>
      <c r="Z467">
        <v>0</v>
      </c>
      <c r="AC467" t="s">
        <v>90</v>
      </c>
      <c r="AD467">
        <v>400</v>
      </c>
      <c r="AF467" t="s">
        <v>91</v>
      </c>
      <c r="AH467">
        <v>10</v>
      </c>
      <c r="AI467" t="s">
        <v>570</v>
      </c>
      <c r="AK467" t="s">
        <v>571</v>
      </c>
      <c r="AL467" t="b">
        <v>1</v>
      </c>
      <c r="AM467" t="b">
        <v>0</v>
      </c>
      <c r="AN467" t="b">
        <v>1</v>
      </c>
      <c r="AO467" t="b">
        <v>0</v>
      </c>
      <c r="AP467" t="s">
        <v>572</v>
      </c>
      <c r="AQ467">
        <v>-1</v>
      </c>
      <c r="AR467" t="s">
        <v>573</v>
      </c>
      <c r="AS467">
        <v>2.3025850929940459</v>
      </c>
      <c r="AT467">
        <v>1.9090909090909089</v>
      </c>
      <c r="AU467">
        <v>2.545454545454545</v>
      </c>
      <c r="AV467">
        <v>0.54545454545454541</v>
      </c>
      <c r="AW467">
        <v>3.0909090909090908</v>
      </c>
      <c r="AX467">
        <v>0.2359550561797753</v>
      </c>
      <c r="AY467">
        <v>0.3146067415730337</v>
      </c>
      <c r="AZ467">
        <v>6.7415730337078636E-2</v>
      </c>
      <c r="BA467">
        <v>0.38202247191011229</v>
      </c>
      <c r="BB467">
        <v>5.9764659262922724</v>
      </c>
      <c r="BC467">
        <v>14</v>
      </c>
      <c r="BD467">
        <v>167.3639996655379</v>
      </c>
      <c r="BE467">
        <v>1</v>
      </c>
      <c r="BF467">
        <v>8.365000853216796E-2</v>
      </c>
      <c r="BG467">
        <v>11.210029909999999</v>
      </c>
      <c r="BH467">
        <v>11.210029909999999</v>
      </c>
      <c r="BI467">
        <v>11.210029909999999</v>
      </c>
      <c r="BJ467">
        <v>0</v>
      </c>
      <c r="BK467">
        <v>0</v>
      </c>
      <c r="BM467">
        <v>0</v>
      </c>
      <c r="BP467">
        <v>171.98132883066</v>
      </c>
      <c r="BQ467">
        <v>1</v>
      </c>
      <c r="BR467">
        <v>8.1404185531005993E-2</v>
      </c>
      <c r="BS467">
        <v>3.8898000000000001</v>
      </c>
      <c r="BT467">
        <v>3.8898000000000001</v>
      </c>
      <c r="BU467">
        <v>11.3665</v>
      </c>
      <c r="BV467">
        <v>161.31001599999999</v>
      </c>
      <c r="BW467">
        <v>8.678940308331505E-2</v>
      </c>
      <c r="BX467">
        <v>7</v>
      </c>
      <c r="BY467">
        <v>4.3394701541657532E-2</v>
      </c>
      <c r="BZ467">
        <v>4.182500426608398E-2</v>
      </c>
      <c r="CB467">
        <v>4.0702092765502997E-2</v>
      </c>
      <c r="CC467">
        <v>0.55575303475750448</v>
      </c>
      <c r="CE467">
        <v>0.54083225984874872</v>
      </c>
      <c r="CF467">
        <v>0.57661051080223458</v>
      </c>
    </row>
    <row r="468" spans="1:84" x14ac:dyDescent="0.3">
      <c r="A468" s="1">
        <v>228</v>
      </c>
      <c r="B468" t="s">
        <v>151</v>
      </c>
      <c r="C468" t="s">
        <v>152</v>
      </c>
      <c r="E468" t="s">
        <v>106</v>
      </c>
      <c r="F468">
        <v>3.5</v>
      </c>
      <c r="G468" t="s">
        <v>142</v>
      </c>
      <c r="H468">
        <v>1522043</v>
      </c>
      <c r="I468">
        <v>-1</v>
      </c>
      <c r="J468">
        <v>8</v>
      </c>
      <c r="K468">
        <v>7.8140000000000001</v>
      </c>
      <c r="L468">
        <v>7.8140000000000001</v>
      </c>
      <c r="M468">
        <v>33.06</v>
      </c>
      <c r="O468">
        <v>16.53</v>
      </c>
      <c r="Q468" t="s">
        <v>87</v>
      </c>
      <c r="R468">
        <v>1423</v>
      </c>
      <c r="S468">
        <v>24</v>
      </c>
      <c r="T468" t="b">
        <v>0</v>
      </c>
      <c r="U468" t="s">
        <v>88</v>
      </c>
      <c r="V468" t="s">
        <v>89</v>
      </c>
      <c r="W468">
        <v>0</v>
      </c>
      <c r="X468">
        <v>12.12</v>
      </c>
      <c r="Y468">
        <v>2</v>
      </c>
      <c r="Z468">
        <v>10</v>
      </c>
      <c r="AC468" t="s">
        <v>90</v>
      </c>
      <c r="AD468">
        <v>100</v>
      </c>
      <c r="AE468">
        <v>400</v>
      </c>
      <c r="AF468" t="s">
        <v>407</v>
      </c>
      <c r="AG468">
        <v>333</v>
      </c>
      <c r="AH468">
        <v>1017.857142857143</v>
      </c>
      <c r="AI468" t="s">
        <v>153</v>
      </c>
      <c r="AJ468" t="s">
        <v>153</v>
      </c>
      <c r="AL468" t="b">
        <v>1</v>
      </c>
      <c r="AM468" t="b">
        <v>1</v>
      </c>
      <c r="AN468" t="b">
        <v>0</v>
      </c>
      <c r="AO468" t="b">
        <v>0</v>
      </c>
      <c r="AP468" t="s">
        <v>602</v>
      </c>
      <c r="AQ468" t="s">
        <v>603</v>
      </c>
      <c r="AS468">
        <v>6.9254548560815383</v>
      </c>
      <c r="AT468">
        <v>1.75</v>
      </c>
      <c r="AU468">
        <v>2.5</v>
      </c>
      <c r="AV468">
        <v>0.75</v>
      </c>
      <c r="AW468">
        <v>0</v>
      </c>
      <c r="AX468">
        <v>0.35</v>
      </c>
      <c r="AY468">
        <v>0.5</v>
      </c>
      <c r="AZ468">
        <v>0.15</v>
      </c>
      <c r="BA468">
        <v>0</v>
      </c>
      <c r="BB468">
        <v>6.2395921087406876</v>
      </c>
      <c r="BC468">
        <v>20</v>
      </c>
      <c r="BD468">
        <v>242.1279024923125</v>
      </c>
      <c r="BE468">
        <v>1</v>
      </c>
      <c r="BF468">
        <v>8.2600971611006269E-2</v>
      </c>
      <c r="BG468">
        <v>3.950634</v>
      </c>
      <c r="BH468">
        <v>3.950634</v>
      </c>
      <c r="BI468">
        <v>15.513552000000001</v>
      </c>
      <c r="BJ468">
        <v>227.970829547178</v>
      </c>
      <c r="BK468">
        <v>1</v>
      </c>
      <c r="BL468">
        <v>8.7730522539775438E-2</v>
      </c>
      <c r="BM468">
        <v>3.8658999999999999</v>
      </c>
      <c r="BN468">
        <v>3.8658999999999999</v>
      </c>
      <c r="BO468">
        <v>15.2538</v>
      </c>
      <c r="BP468">
        <v>0</v>
      </c>
      <c r="BQ468">
        <v>0</v>
      </c>
      <c r="BS468">
        <v>0</v>
      </c>
      <c r="BT468">
        <v>0</v>
      </c>
      <c r="BU468">
        <v>0</v>
      </c>
      <c r="BV468">
        <v>2018.59718376</v>
      </c>
      <c r="BW468">
        <v>7.9262966027710005E-2</v>
      </c>
      <c r="BX468">
        <v>10</v>
      </c>
      <c r="BY468">
        <v>3.9631483013855003E-2</v>
      </c>
      <c r="BZ468">
        <v>4.1300485805503127E-2</v>
      </c>
      <c r="CA468">
        <v>4.3865261269887719E-2</v>
      </c>
      <c r="CC468">
        <v>0.45027090848362911</v>
      </c>
      <c r="CD468">
        <v>0.47823289866077828</v>
      </c>
      <c r="CF468">
        <v>0.43207491420898109</v>
      </c>
    </row>
    <row r="469" spans="1:84" x14ac:dyDescent="0.3">
      <c r="A469" s="1">
        <v>229</v>
      </c>
      <c r="B469" t="s">
        <v>604</v>
      </c>
      <c r="C469" t="s">
        <v>605</v>
      </c>
      <c r="E469" t="s">
        <v>106</v>
      </c>
      <c r="F469">
        <v>3.77</v>
      </c>
      <c r="G469" t="s">
        <v>142</v>
      </c>
      <c r="H469">
        <v>1522043</v>
      </c>
      <c r="I469">
        <v>-1</v>
      </c>
      <c r="J469">
        <v>8</v>
      </c>
      <c r="K469">
        <v>7.8140000000000001</v>
      </c>
      <c r="L469">
        <v>7.8140000000000001</v>
      </c>
      <c r="M469">
        <v>32.86</v>
      </c>
      <c r="O469">
        <v>16.43</v>
      </c>
      <c r="Q469" t="s">
        <v>87</v>
      </c>
      <c r="R469">
        <v>1423</v>
      </c>
      <c r="S469">
        <v>24</v>
      </c>
      <c r="T469" t="b">
        <v>0</v>
      </c>
      <c r="U469" t="s">
        <v>88</v>
      </c>
      <c r="V469" t="s">
        <v>89</v>
      </c>
      <c r="W469">
        <v>0</v>
      </c>
      <c r="X469">
        <v>10.54</v>
      </c>
      <c r="Y469">
        <v>2</v>
      </c>
      <c r="Z469">
        <v>10</v>
      </c>
      <c r="AC469" t="s">
        <v>90</v>
      </c>
      <c r="AD469">
        <v>100</v>
      </c>
      <c r="AE469">
        <v>400</v>
      </c>
      <c r="AF469" t="s">
        <v>407</v>
      </c>
      <c r="AG469">
        <v>333</v>
      </c>
      <c r="AH469">
        <v>276.78571428571428</v>
      </c>
      <c r="AI469" t="s">
        <v>606</v>
      </c>
      <c r="AJ469" t="s">
        <v>606</v>
      </c>
      <c r="AL469" t="b">
        <v>1</v>
      </c>
      <c r="AM469" t="b">
        <v>1</v>
      </c>
      <c r="AN469" t="b">
        <v>0</v>
      </c>
      <c r="AO469" t="b">
        <v>0</v>
      </c>
      <c r="AP469" t="s">
        <v>607</v>
      </c>
      <c r="AQ469" t="s">
        <v>608</v>
      </c>
      <c r="AS469">
        <v>5.6232436121721889</v>
      </c>
      <c r="AT469">
        <v>1.8125</v>
      </c>
      <c r="AU469">
        <v>2.5</v>
      </c>
      <c r="AV469">
        <v>0.6875</v>
      </c>
      <c r="AW469">
        <v>0.875</v>
      </c>
      <c r="AX469">
        <v>0.30851063829787229</v>
      </c>
      <c r="AY469">
        <v>0.42553191489361702</v>
      </c>
      <c r="AZ469">
        <v>0.1170212765957447</v>
      </c>
      <c r="BA469">
        <v>0.14893617021276601</v>
      </c>
      <c r="BB469">
        <v>6.2459100221781876</v>
      </c>
      <c r="BC469">
        <v>20</v>
      </c>
      <c r="BD469">
        <v>242.1279024923125</v>
      </c>
      <c r="BE469">
        <v>1</v>
      </c>
      <c r="BF469">
        <v>8.2600971611006269E-2</v>
      </c>
      <c r="BG469">
        <v>3.950634</v>
      </c>
      <c r="BH469">
        <v>3.950634</v>
      </c>
      <c r="BI469">
        <v>15.513552000000001</v>
      </c>
      <c r="BJ469">
        <v>227.970829547178</v>
      </c>
      <c r="BK469">
        <v>1</v>
      </c>
      <c r="BL469">
        <v>8.7730522539775438E-2</v>
      </c>
      <c r="BM469">
        <v>3.8658999999999999</v>
      </c>
      <c r="BN469">
        <v>3.8658999999999999</v>
      </c>
      <c r="BO469">
        <v>15.2538</v>
      </c>
      <c r="BP469">
        <v>0</v>
      </c>
      <c r="BQ469">
        <v>0</v>
      </c>
      <c r="BS469">
        <v>0</v>
      </c>
      <c r="BT469">
        <v>0</v>
      </c>
      <c r="BU469">
        <v>0</v>
      </c>
      <c r="BV469">
        <v>2006.3854645599999</v>
      </c>
      <c r="BW469">
        <v>7.9745394305419756E-2</v>
      </c>
      <c r="BX469">
        <v>10</v>
      </c>
      <c r="BY469">
        <v>3.9872697152709878E-2</v>
      </c>
      <c r="BZ469">
        <v>4.1300485805503127E-2</v>
      </c>
      <c r="CA469">
        <v>4.3865261269887719E-2</v>
      </c>
      <c r="CC469">
        <v>0.45027090848362911</v>
      </c>
      <c r="CD469">
        <v>0.47823289866077828</v>
      </c>
      <c r="CF469">
        <v>0.43470470674829331</v>
      </c>
    </row>
    <row r="470" spans="1:84" x14ac:dyDescent="0.3">
      <c r="A470" s="1">
        <v>230</v>
      </c>
      <c r="B470" t="s">
        <v>609</v>
      </c>
      <c r="C470" t="s">
        <v>610</v>
      </c>
      <c r="E470" t="s">
        <v>106</v>
      </c>
      <c r="F470">
        <v>3.8</v>
      </c>
      <c r="G470" t="s">
        <v>142</v>
      </c>
      <c r="H470">
        <v>1522043</v>
      </c>
      <c r="I470">
        <v>-1</v>
      </c>
      <c r="J470">
        <v>8</v>
      </c>
      <c r="K470">
        <v>7.8140000000000001</v>
      </c>
      <c r="L470">
        <v>7.8140000000000001</v>
      </c>
      <c r="M470">
        <v>32.42</v>
      </c>
      <c r="O470">
        <v>16.21</v>
      </c>
      <c r="Q470" t="s">
        <v>87</v>
      </c>
      <c r="R470">
        <v>1423</v>
      </c>
      <c r="S470">
        <v>24</v>
      </c>
      <c r="T470" t="b">
        <v>0</v>
      </c>
      <c r="U470" t="s">
        <v>88</v>
      </c>
      <c r="V470" t="s">
        <v>89</v>
      </c>
      <c r="W470">
        <v>0</v>
      </c>
      <c r="X470">
        <v>11.82</v>
      </c>
      <c r="Y470">
        <v>2</v>
      </c>
      <c r="Z470">
        <v>10</v>
      </c>
      <c r="AC470" t="s">
        <v>90</v>
      </c>
      <c r="AD470">
        <v>100</v>
      </c>
      <c r="AE470">
        <v>400</v>
      </c>
      <c r="AF470" t="s">
        <v>407</v>
      </c>
      <c r="AG470">
        <v>333</v>
      </c>
      <c r="AH470">
        <v>928.57142857142867</v>
      </c>
      <c r="AI470" t="s">
        <v>611</v>
      </c>
      <c r="AJ470" t="s">
        <v>611</v>
      </c>
      <c r="AL470" t="b">
        <v>1</v>
      </c>
      <c r="AM470" t="b">
        <v>1</v>
      </c>
      <c r="AN470" t="b">
        <v>0</v>
      </c>
      <c r="AO470" t="b">
        <v>0</v>
      </c>
      <c r="AP470" t="s">
        <v>612</v>
      </c>
      <c r="AQ470" t="s">
        <v>613</v>
      </c>
      <c r="AS470">
        <v>6.8336473068284151</v>
      </c>
      <c r="AT470">
        <v>1.84375</v>
      </c>
      <c r="AU470">
        <v>2.5</v>
      </c>
      <c r="AV470">
        <v>0.65625</v>
      </c>
      <c r="AW470">
        <v>1.3125</v>
      </c>
      <c r="AX470">
        <v>0.29207920792079212</v>
      </c>
      <c r="AY470">
        <v>0.39603960396039611</v>
      </c>
      <c r="AZ470">
        <v>0.103960396039604</v>
      </c>
      <c r="BA470">
        <v>0.20792079207920791</v>
      </c>
      <c r="BB470">
        <v>6.2490689788969371</v>
      </c>
      <c r="BC470">
        <v>20</v>
      </c>
      <c r="BD470">
        <v>242.1279024923125</v>
      </c>
      <c r="BE470">
        <v>1</v>
      </c>
      <c r="BF470">
        <v>8.2600971611006269E-2</v>
      </c>
      <c r="BG470">
        <v>3.950634</v>
      </c>
      <c r="BH470">
        <v>3.950634</v>
      </c>
      <c r="BI470">
        <v>15.513552000000001</v>
      </c>
      <c r="BJ470">
        <v>227.970829547178</v>
      </c>
      <c r="BK470">
        <v>1</v>
      </c>
      <c r="BL470">
        <v>8.7730522539775438E-2</v>
      </c>
      <c r="BM470">
        <v>3.8658999999999999</v>
      </c>
      <c r="BN470">
        <v>3.8658999999999999</v>
      </c>
      <c r="BO470">
        <v>15.2538</v>
      </c>
      <c r="BP470">
        <v>0</v>
      </c>
      <c r="BQ470">
        <v>0</v>
      </c>
      <c r="BS470">
        <v>0</v>
      </c>
      <c r="BT470">
        <v>0</v>
      </c>
      <c r="BU470">
        <v>0</v>
      </c>
      <c r="BV470">
        <v>1979.5196823199999</v>
      </c>
      <c r="BW470">
        <v>8.082768836755376E-2</v>
      </c>
      <c r="BX470">
        <v>10</v>
      </c>
      <c r="BY470">
        <v>4.041384418377688E-2</v>
      </c>
      <c r="BZ470">
        <v>4.1300485805503127E-2</v>
      </c>
      <c r="CA470">
        <v>4.3865261269887719E-2</v>
      </c>
      <c r="CC470">
        <v>0.45027090848362911</v>
      </c>
      <c r="CD470">
        <v>0.47823289866077828</v>
      </c>
      <c r="CF470">
        <v>0.44060446217609239</v>
      </c>
    </row>
    <row r="471" spans="1:84" x14ac:dyDescent="0.3">
      <c r="A471" s="1">
        <v>231</v>
      </c>
      <c r="B471" t="s">
        <v>614</v>
      </c>
      <c r="C471" t="s">
        <v>615</v>
      </c>
      <c r="E471" t="s">
        <v>106</v>
      </c>
      <c r="F471">
        <v>3.92</v>
      </c>
      <c r="G471" t="s">
        <v>142</v>
      </c>
      <c r="H471">
        <v>1522043</v>
      </c>
      <c r="I471">
        <v>-1</v>
      </c>
      <c r="J471">
        <v>8</v>
      </c>
      <c r="K471">
        <v>7.8140000000000001</v>
      </c>
      <c r="L471">
        <v>7.8140000000000001</v>
      </c>
      <c r="M471">
        <v>32.58</v>
      </c>
      <c r="O471">
        <v>16.29</v>
      </c>
      <c r="Q471" t="s">
        <v>87</v>
      </c>
      <c r="R471">
        <v>1423</v>
      </c>
      <c r="S471">
        <v>24</v>
      </c>
      <c r="T471" t="b">
        <v>0</v>
      </c>
      <c r="U471" t="s">
        <v>88</v>
      </c>
      <c r="V471" t="s">
        <v>89</v>
      </c>
      <c r="W471">
        <v>0</v>
      </c>
      <c r="X471">
        <v>11.08</v>
      </c>
      <c r="Y471">
        <v>2</v>
      </c>
      <c r="Z471">
        <v>10</v>
      </c>
      <c r="AC471" t="s">
        <v>90</v>
      </c>
      <c r="AD471">
        <v>100</v>
      </c>
      <c r="AE471">
        <v>400</v>
      </c>
      <c r="AF471" t="s">
        <v>407</v>
      </c>
      <c r="AG471">
        <v>333</v>
      </c>
      <c r="AH471">
        <v>901.78571428571433</v>
      </c>
      <c r="AI471" t="s">
        <v>616</v>
      </c>
      <c r="AJ471" t="s">
        <v>616</v>
      </c>
      <c r="AL471" t="b">
        <v>1</v>
      </c>
      <c r="AM471" t="b">
        <v>1</v>
      </c>
      <c r="AN471" t="b">
        <v>0</v>
      </c>
      <c r="AO471" t="b">
        <v>0</v>
      </c>
      <c r="AP471" t="s">
        <v>617</v>
      </c>
      <c r="AQ471" t="s">
        <v>618</v>
      </c>
      <c r="AS471">
        <v>6.8043769245283023</v>
      </c>
      <c r="AT471">
        <v>1.875</v>
      </c>
      <c r="AU471">
        <v>2.5</v>
      </c>
      <c r="AV471">
        <v>0.625</v>
      </c>
      <c r="AW471">
        <v>1.75</v>
      </c>
      <c r="AX471">
        <v>0.27777777777777779</v>
      </c>
      <c r="AY471">
        <v>0.37037037037037029</v>
      </c>
      <c r="AZ471">
        <v>9.2592592592592587E-2</v>
      </c>
      <c r="BA471">
        <v>0.25925925925925919</v>
      </c>
      <c r="BB471">
        <v>6.2522279356156876</v>
      </c>
      <c r="BC471">
        <v>20</v>
      </c>
      <c r="BD471">
        <v>242.1279024923125</v>
      </c>
      <c r="BE471">
        <v>1</v>
      </c>
      <c r="BF471">
        <v>8.2600971611006269E-2</v>
      </c>
      <c r="BG471">
        <v>3.950634</v>
      </c>
      <c r="BH471">
        <v>3.950634</v>
      </c>
      <c r="BI471">
        <v>15.513552000000001</v>
      </c>
      <c r="BJ471">
        <v>227.970829547178</v>
      </c>
      <c r="BK471">
        <v>1</v>
      </c>
      <c r="BL471">
        <v>8.7730522539775438E-2</v>
      </c>
      <c r="BM471">
        <v>3.8658999999999999</v>
      </c>
      <c r="BN471">
        <v>3.8658999999999999</v>
      </c>
      <c r="BO471">
        <v>15.2538</v>
      </c>
      <c r="BP471">
        <v>0</v>
      </c>
      <c r="BQ471">
        <v>0</v>
      </c>
      <c r="BS471">
        <v>0</v>
      </c>
      <c r="BT471">
        <v>0</v>
      </c>
      <c r="BU471">
        <v>0</v>
      </c>
      <c r="BV471">
        <v>1989.28905768</v>
      </c>
      <c r="BW471">
        <v>8.0430744532722323E-2</v>
      </c>
      <c r="BX471">
        <v>10</v>
      </c>
      <c r="BY471">
        <v>4.0215372266361162E-2</v>
      </c>
      <c r="BZ471">
        <v>4.1300485805503127E-2</v>
      </c>
      <c r="CA471">
        <v>4.3865261269887719E-2</v>
      </c>
      <c r="CC471">
        <v>0.45027090848362911</v>
      </c>
      <c r="CD471">
        <v>0.47823289866077828</v>
      </c>
      <c r="CF471">
        <v>0.43844065880137872</v>
      </c>
    </row>
    <row r="472" spans="1:84" x14ac:dyDescent="0.3">
      <c r="A472" s="1">
        <v>232</v>
      </c>
      <c r="B472" t="s">
        <v>619</v>
      </c>
      <c r="C472" t="s">
        <v>620</v>
      </c>
      <c r="E472" t="s">
        <v>106</v>
      </c>
      <c r="F472">
        <v>4.25</v>
      </c>
      <c r="G472" t="s">
        <v>142</v>
      </c>
      <c r="H472">
        <v>1522043</v>
      </c>
      <c r="I472">
        <v>-1</v>
      </c>
      <c r="J472">
        <v>8</v>
      </c>
      <c r="K472">
        <v>7.8140000000000001</v>
      </c>
      <c r="L472">
        <v>7.8140000000000001</v>
      </c>
      <c r="M472">
        <v>31.54</v>
      </c>
      <c r="O472">
        <v>15.77</v>
      </c>
      <c r="Q472" t="s">
        <v>87</v>
      </c>
      <c r="R472">
        <v>1423</v>
      </c>
      <c r="S472">
        <v>24</v>
      </c>
      <c r="T472" t="b">
        <v>0</v>
      </c>
      <c r="U472" t="s">
        <v>88</v>
      </c>
      <c r="V472" t="s">
        <v>89</v>
      </c>
      <c r="W472">
        <v>0</v>
      </c>
      <c r="X472">
        <v>12.1</v>
      </c>
      <c r="Y472">
        <v>2</v>
      </c>
      <c r="Z472">
        <v>10</v>
      </c>
      <c r="AC472" t="s">
        <v>90</v>
      </c>
      <c r="AD472">
        <v>100</v>
      </c>
      <c r="AE472">
        <v>400</v>
      </c>
      <c r="AF472" t="s">
        <v>407</v>
      </c>
      <c r="AG472">
        <v>333</v>
      </c>
      <c r="AH472">
        <v>370.53571428571428</v>
      </c>
      <c r="AI472" t="s">
        <v>621</v>
      </c>
      <c r="AJ472" t="s">
        <v>621</v>
      </c>
      <c r="AL472" t="b">
        <v>1</v>
      </c>
      <c r="AM472" t="b">
        <v>1</v>
      </c>
      <c r="AN472" t="b">
        <v>0</v>
      </c>
      <c r="AO472" t="b">
        <v>0</v>
      </c>
      <c r="AP472" t="s">
        <v>622</v>
      </c>
      <c r="AQ472" t="s">
        <v>623</v>
      </c>
      <c r="AS472">
        <v>5.9149498349236964</v>
      </c>
      <c r="AT472">
        <v>1.9375</v>
      </c>
      <c r="AU472">
        <v>2.5</v>
      </c>
      <c r="AV472">
        <v>0.5625</v>
      </c>
      <c r="AW472">
        <v>2.625</v>
      </c>
      <c r="AX472">
        <v>0.25409836065573771</v>
      </c>
      <c r="AY472">
        <v>0.32786885245901642</v>
      </c>
      <c r="AZ472">
        <v>7.3770491803278687E-2</v>
      </c>
      <c r="BA472">
        <v>0.34426229508196721</v>
      </c>
      <c r="BB472">
        <v>6.2585458490531876</v>
      </c>
      <c r="BC472">
        <v>20</v>
      </c>
      <c r="BD472">
        <v>242.1279024923125</v>
      </c>
      <c r="BE472">
        <v>1</v>
      </c>
      <c r="BF472">
        <v>8.2600971611006269E-2</v>
      </c>
      <c r="BG472">
        <v>3.950634</v>
      </c>
      <c r="BH472">
        <v>3.950634</v>
      </c>
      <c r="BI472">
        <v>15.513552000000001</v>
      </c>
      <c r="BJ472">
        <v>227.970829547178</v>
      </c>
      <c r="BK472">
        <v>1</v>
      </c>
      <c r="BL472">
        <v>8.7730522539775438E-2</v>
      </c>
      <c r="BM472">
        <v>3.8658999999999999</v>
      </c>
      <c r="BN472">
        <v>3.8658999999999999</v>
      </c>
      <c r="BO472">
        <v>15.2538</v>
      </c>
      <c r="BP472">
        <v>0</v>
      </c>
      <c r="BQ472">
        <v>0</v>
      </c>
      <c r="BS472">
        <v>0</v>
      </c>
      <c r="BT472">
        <v>0</v>
      </c>
      <c r="BU472">
        <v>0</v>
      </c>
      <c r="BV472">
        <v>1925.78811784</v>
      </c>
      <c r="BW472">
        <v>8.3082868004949059E-2</v>
      </c>
      <c r="BX472">
        <v>10</v>
      </c>
      <c r="BY472">
        <v>4.154143400247453E-2</v>
      </c>
      <c r="BZ472">
        <v>4.1300485805503127E-2</v>
      </c>
      <c r="CA472">
        <v>4.3865261269887719E-2</v>
      </c>
      <c r="CC472">
        <v>0.45027090848362911</v>
      </c>
      <c r="CD472">
        <v>0.47823289866077828</v>
      </c>
      <c r="CF472">
        <v>0.45289780164073928</v>
      </c>
    </row>
    <row r="473" spans="1:84" x14ac:dyDescent="0.3">
      <c r="A473" s="1">
        <v>238</v>
      </c>
      <c r="B473" t="s">
        <v>128</v>
      </c>
      <c r="C473" t="s">
        <v>129</v>
      </c>
      <c r="E473" t="s">
        <v>130</v>
      </c>
      <c r="F473">
        <v>3.2</v>
      </c>
      <c r="G473" t="s">
        <v>131</v>
      </c>
      <c r="H473" t="s">
        <v>132</v>
      </c>
      <c r="I473">
        <v>-1</v>
      </c>
      <c r="Q473" t="s">
        <v>87</v>
      </c>
      <c r="R473">
        <v>1423</v>
      </c>
      <c r="S473">
        <v>24</v>
      </c>
      <c r="T473" t="b">
        <v>0</v>
      </c>
      <c r="U473" t="s">
        <v>88</v>
      </c>
      <c r="V473" t="s">
        <v>89</v>
      </c>
      <c r="W473">
        <v>0</v>
      </c>
      <c r="X473">
        <v>49</v>
      </c>
      <c r="Y473">
        <v>2</v>
      </c>
      <c r="Z473">
        <v>10</v>
      </c>
      <c r="AC473" t="s">
        <v>90</v>
      </c>
      <c r="AD473">
        <v>100</v>
      </c>
      <c r="AE473">
        <v>400</v>
      </c>
      <c r="AF473" t="s">
        <v>407</v>
      </c>
      <c r="AG473">
        <v>333</v>
      </c>
      <c r="AH473">
        <v>1.785714285714286</v>
      </c>
      <c r="AL473" t="b">
        <v>1</v>
      </c>
      <c r="AM473" t="b">
        <v>0</v>
      </c>
      <c r="AN473" t="b">
        <v>0</v>
      </c>
      <c r="AO473" t="b">
        <v>0</v>
      </c>
      <c r="AP473" t="s">
        <v>131</v>
      </c>
      <c r="AQ473" t="s">
        <v>132</v>
      </c>
      <c r="AS473">
        <v>0.57981849525294227</v>
      </c>
      <c r="AT473">
        <v>2</v>
      </c>
      <c r="AU473">
        <v>2.666666666666667</v>
      </c>
      <c r="AV473">
        <v>0.66666666666666663</v>
      </c>
      <c r="AW473">
        <v>0</v>
      </c>
      <c r="AX473">
        <v>0.375</v>
      </c>
      <c r="AY473">
        <v>0.5</v>
      </c>
      <c r="AZ473">
        <v>0.125</v>
      </c>
      <c r="BA473">
        <v>0</v>
      </c>
      <c r="BB473">
        <v>6.1770001596666662</v>
      </c>
      <c r="BC473">
        <v>4</v>
      </c>
      <c r="BD473">
        <v>1182.741260108548</v>
      </c>
      <c r="BE473">
        <v>30</v>
      </c>
      <c r="BF473">
        <v>0.1014592151701775</v>
      </c>
      <c r="BG473">
        <v>10.59112378</v>
      </c>
      <c r="BH473">
        <v>10.784736629999999</v>
      </c>
      <c r="BI473">
        <v>10.486176179999999</v>
      </c>
      <c r="BJ473">
        <v>130.36387300000001</v>
      </c>
      <c r="BK473">
        <v>4</v>
      </c>
      <c r="BL473">
        <v>0.1227333894874388</v>
      </c>
      <c r="BM473">
        <v>3.73</v>
      </c>
      <c r="BN473">
        <v>3.73</v>
      </c>
      <c r="BO473">
        <v>9.3699999999999992</v>
      </c>
      <c r="BP473">
        <v>0</v>
      </c>
      <c r="BQ473">
        <v>0</v>
      </c>
      <c r="BS473">
        <v>0</v>
      </c>
      <c r="BT473">
        <v>0</v>
      </c>
      <c r="BU473">
        <v>0</v>
      </c>
      <c r="BX473">
        <v>2</v>
      </c>
      <c r="BZ473">
        <v>5.0729607585088737E-2</v>
      </c>
      <c r="CA473">
        <v>6.1366694743719377E-2</v>
      </c>
      <c r="CC473">
        <v>0.46900407026869612</v>
      </c>
      <c r="CD473">
        <v>0.56734579634715776</v>
      </c>
    </row>
    <row r="474" spans="1:84" x14ac:dyDescent="0.3">
      <c r="A474" s="1">
        <v>249</v>
      </c>
      <c r="B474" t="s">
        <v>140</v>
      </c>
      <c r="C474" t="s">
        <v>141</v>
      </c>
      <c r="E474" t="s">
        <v>106</v>
      </c>
      <c r="F474">
        <v>3.75</v>
      </c>
      <c r="G474" t="s">
        <v>590</v>
      </c>
      <c r="H474" t="s">
        <v>591</v>
      </c>
      <c r="I474">
        <v>-1</v>
      </c>
      <c r="J474">
        <v>2</v>
      </c>
      <c r="K474">
        <v>3.8530000000000002</v>
      </c>
      <c r="L474">
        <v>3.8530000000000002</v>
      </c>
      <c r="M474">
        <v>29</v>
      </c>
      <c r="O474">
        <v>14.5</v>
      </c>
      <c r="P474">
        <v>3</v>
      </c>
      <c r="Q474" t="s">
        <v>87</v>
      </c>
      <c r="R474">
        <v>1423</v>
      </c>
      <c r="S474">
        <v>24</v>
      </c>
      <c r="T474" t="b">
        <v>0</v>
      </c>
      <c r="U474" t="s">
        <v>88</v>
      </c>
      <c r="V474" t="s">
        <v>89</v>
      </c>
      <c r="W474">
        <v>0</v>
      </c>
      <c r="X474">
        <v>2.83</v>
      </c>
      <c r="Y474">
        <v>2</v>
      </c>
      <c r="Z474">
        <v>10</v>
      </c>
      <c r="AC474" t="s">
        <v>90</v>
      </c>
      <c r="AD474">
        <v>100</v>
      </c>
      <c r="AE474">
        <v>290</v>
      </c>
      <c r="AF474" t="s">
        <v>407</v>
      </c>
      <c r="AG474">
        <v>333</v>
      </c>
      <c r="AH474">
        <v>928</v>
      </c>
      <c r="AI474" t="s">
        <v>634</v>
      </c>
      <c r="AL474" t="b">
        <v>1</v>
      </c>
      <c r="AM474" t="b">
        <v>0</v>
      </c>
      <c r="AN474" t="b">
        <v>0</v>
      </c>
      <c r="AO474" t="b">
        <v>0</v>
      </c>
      <c r="AP474" t="s">
        <v>635</v>
      </c>
      <c r="AQ474" t="s">
        <v>591</v>
      </c>
      <c r="AS474">
        <v>6.8330317327862007</v>
      </c>
      <c r="AT474">
        <v>1.75</v>
      </c>
      <c r="AU474">
        <v>2.5</v>
      </c>
      <c r="AV474">
        <v>0.75</v>
      </c>
      <c r="AW474">
        <v>0</v>
      </c>
      <c r="AX474">
        <v>0.35</v>
      </c>
      <c r="AY474">
        <v>0.5</v>
      </c>
      <c r="AZ474">
        <v>0.15</v>
      </c>
      <c r="BA474">
        <v>0</v>
      </c>
      <c r="BB474">
        <v>6.2640154224906874</v>
      </c>
      <c r="BC474">
        <v>20</v>
      </c>
      <c r="BD474">
        <v>235.24089263777751</v>
      </c>
      <c r="BE474">
        <v>1</v>
      </c>
      <c r="BF474">
        <v>8.5019231884976218E-2</v>
      </c>
      <c r="BG474">
        <v>3.9408639999999999</v>
      </c>
      <c r="BH474">
        <v>3.9455239999999989</v>
      </c>
      <c r="BI474">
        <v>15.25730117</v>
      </c>
      <c r="BJ474">
        <v>443.39967116280002</v>
      </c>
      <c r="BK474">
        <v>2</v>
      </c>
      <c r="BL474">
        <v>9.0212065099420147E-2</v>
      </c>
      <c r="BM474">
        <v>3.8656999999999999</v>
      </c>
      <c r="BN474">
        <v>29.777000000000001</v>
      </c>
      <c r="BO474">
        <v>3.8519999999999999</v>
      </c>
      <c r="BP474">
        <v>0</v>
      </c>
      <c r="BQ474">
        <v>0</v>
      </c>
      <c r="BS474">
        <v>0</v>
      </c>
      <c r="BT474">
        <v>0</v>
      </c>
      <c r="BU474">
        <v>0</v>
      </c>
      <c r="BV474">
        <v>430.52266100000003</v>
      </c>
      <c r="BW474">
        <v>9.2910324179195758E-2</v>
      </c>
      <c r="BX474">
        <v>10</v>
      </c>
      <c r="BY474">
        <v>4.6455162089597879E-2</v>
      </c>
      <c r="BZ474">
        <v>4.2509615942488109E-2</v>
      </c>
      <c r="CA474">
        <v>4.5106032549710073E-2</v>
      </c>
      <c r="CC474">
        <v>0.43430687840757631</v>
      </c>
      <c r="CD474">
        <v>0.46083361986893789</v>
      </c>
      <c r="CF474">
        <v>0.47461723625890589</v>
      </c>
    </row>
    <row r="475" spans="1:84" x14ac:dyDescent="0.3">
      <c r="A475" s="1">
        <v>250</v>
      </c>
      <c r="B475" t="s">
        <v>636</v>
      </c>
      <c r="C475" t="s">
        <v>637</v>
      </c>
      <c r="E475" t="s">
        <v>106</v>
      </c>
      <c r="F475">
        <v>3.86</v>
      </c>
      <c r="G475" t="s">
        <v>590</v>
      </c>
      <c r="H475" t="s">
        <v>591</v>
      </c>
      <c r="I475">
        <v>-1</v>
      </c>
      <c r="J475">
        <v>2</v>
      </c>
      <c r="K475">
        <v>3.8530000000000002</v>
      </c>
      <c r="L475">
        <v>3.8530000000000002</v>
      </c>
      <c r="M475">
        <v>31.24</v>
      </c>
      <c r="O475">
        <v>15.62</v>
      </c>
      <c r="P475">
        <v>3</v>
      </c>
      <c r="Q475" t="s">
        <v>87</v>
      </c>
      <c r="R475">
        <v>1423</v>
      </c>
      <c r="S475">
        <v>24</v>
      </c>
      <c r="T475" t="b">
        <v>0</v>
      </c>
      <c r="U475" t="s">
        <v>88</v>
      </c>
      <c r="V475" t="s">
        <v>89</v>
      </c>
      <c r="W475">
        <v>0</v>
      </c>
      <c r="X475">
        <v>6.46</v>
      </c>
      <c r="Y475">
        <v>2</v>
      </c>
      <c r="Z475">
        <v>10</v>
      </c>
      <c r="AC475" t="s">
        <v>90</v>
      </c>
      <c r="AD475">
        <v>100</v>
      </c>
      <c r="AE475">
        <v>290</v>
      </c>
      <c r="AF475" t="s">
        <v>407</v>
      </c>
      <c r="AG475">
        <v>333</v>
      </c>
      <c r="AH475">
        <v>8500</v>
      </c>
      <c r="AI475" t="s">
        <v>638</v>
      </c>
      <c r="AL475" t="b">
        <v>1</v>
      </c>
      <c r="AM475" t="b">
        <v>0</v>
      </c>
      <c r="AN475" t="b">
        <v>0</v>
      </c>
      <c r="AO475" t="b">
        <v>0</v>
      </c>
      <c r="AP475" t="s">
        <v>639</v>
      </c>
      <c r="AQ475" t="s">
        <v>591</v>
      </c>
      <c r="AS475">
        <v>9.0478214424784085</v>
      </c>
      <c r="AT475">
        <v>1.8125</v>
      </c>
      <c r="AU475">
        <v>2.5</v>
      </c>
      <c r="AV475">
        <v>0.6875</v>
      </c>
      <c r="AW475">
        <v>0.875</v>
      </c>
      <c r="AX475">
        <v>0.30851063829787229</v>
      </c>
      <c r="AY475">
        <v>0.42553191489361702</v>
      </c>
      <c r="AZ475">
        <v>0.1170212765957447</v>
      </c>
      <c r="BA475">
        <v>0.14893617021276601</v>
      </c>
      <c r="BB475">
        <v>6.2703333359281874</v>
      </c>
      <c r="BC475">
        <v>20</v>
      </c>
      <c r="BD475">
        <v>235.24089263777751</v>
      </c>
      <c r="BE475">
        <v>1</v>
      </c>
      <c r="BF475">
        <v>8.5019231884976218E-2</v>
      </c>
      <c r="BG475">
        <v>3.9408639999999999</v>
      </c>
      <c r="BH475">
        <v>3.9455239999999989</v>
      </c>
      <c r="BI475">
        <v>15.25730117</v>
      </c>
      <c r="BJ475">
        <v>443.39967116280002</v>
      </c>
      <c r="BK475">
        <v>2</v>
      </c>
      <c r="BL475">
        <v>9.0212065099420147E-2</v>
      </c>
      <c r="BM475">
        <v>3.8656999999999999</v>
      </c>
      <c r="BN475">
        <v>29.777000000000001</v>
      </c>
      <c r="BO475">
        <v>3.8519999999999999</v>
      </c>
      <c r="BP475">
        <v>0</v>
      </c>
      <c r="BQ475">
        <v>0</v>
      </c>
      <c r="BS475">
        <v>0</v>
      </c>
      <c r="BT475">
        <v>0</v>
      </c>
      <c r="BU475">
        <v>0</v>
      </c>
      <c r="BV475">
        <v>463.77682515999999</v>
      </c>
      <c r="BW475">
        <v>8.6248380319996057E-2</v>
      </c>
      <c r="BX475">
        <v>10</v>
      </c>
      <c r="BY475">
        <v>4.3124190159998028E-2</v>
      </c>
      <c r="BZ475">
        <v>4.2509615942488109E-2</v>
      </c>
      <c r="CA475">
        <v>4.5106032549710073E-2</v>
      </c>
      <c r="CC475">
        <v>0.43430687840757631</v>
      </c>
      <c r="CD475">
        <v>0.46083361986893789</v>
      </c>
      <c r="CF475">
        <v>0.44058578269872822</v>
      </c>
    </row>
    <row r="476" spans="1:84" x14ac:dyDescent="0.3">
      <c r="A476" s="1">
        <v>251</v>
      </c>
      <c r="B476" t="s">
        <v>640</v>
      </c>
      <c r="C476" t="s">
        <v>641</v>
      </c>
      <c r="E476" t="s">
        <v>106</v>
      </c>
      <c r="F476">
        <v>4.01</v>
      </c>
      <c r="G476" t="s">
        <v>590</v>
      </c>
      <c r="H476" t="s">
        <v>591</v>
      </c>
      <c r="I476">
        <v>-1</v>
      </c>
      <c r="J476">
        <v>2</v>
      </c>
      <c r="K476">
        <v>3.8530000000000002</v>
      </c>
      <c r="L476">
        <v>3.8530000000000002</v>
      </c>
      <c r="M476">
        <v>31.54</v>
      </c>
      <c r="O476">
        <v>15.77</v>
      </c>
      <c r="P476">
        <v>3</v>
      </c>
      <c r="Q476" t="s">
        <v>87</v>
      </c>
      <c r="R476">
        <v>1423</v>
      </c>
      <c r="S476">
        <v>24</v>
      </c>
      <c r="T476" t="b">
        <v>0</v>
      </c>
      <c r="U476" t="s">
        <v>88</v>
      </c>
      <c r="V476" t="s">
        <v>89</v>
      </c>
      <c r="W476">
        <v>0</v>
      </c>
      <c r="X476">
        <v>6.64</v>
      </c>
      <c r="Y476">
        <v>2</v>
      </c>
      <c r="Z476">
        <v>10</v>
      </c>
      <c r="AC476" t="s">
        <v>90</v>
      </c>
      <c r="AD476">
        <v>100</v>
      </c>
      <c r="AE476">
        <v>290</v>
      </c>
      <c r="AF476" t="s">
        <v>407</v>
      </c>
      <c r="AG476">
        <v>333</v>
      </c>
      <c r="AH476">
        <v>4016</v>
      </c>
      <c r="AI476" t="s">
        <v>642</v>
      </c>
      <c r="AL476" t="b">
        <v>1</v>
      </c>
      <c r="AM476" t="b">
        <v>0</v>
      </c>
      <c r="AN476" t="b">
        <v>0</v>
      </c>
      <c r="AO476" t="b">
        <v>0</v>
      </c>
      <c r="AP476" t="s">
        <v>643</v>
      </c>
      <c r="AQ476" t="s">
        <v>591</v>
      </c>
      <c r="AS476">
        <v>8.2980416613715651</v>
      </c>
      <c r="AT476">
        <v>1.84375</v>
      </c>
      <c r="AU476">
        <v>2.5</v>
      </c>
      <c r="AV476">
        <v>0.65625</v>
      </c>
      <c r="AW476">
        <v>1.3125</v>
      </c>
      <c r="AX476">
        <v>0.29207920792079212</v>
      </c>
      <c r="AY476">
        <v>0.39603960396039611</v>
      </c>
      <c r="AZ476">
        <v>0.103960396039604</v>
      </c>
      <c r="BA476">
        <v>0.20792079207920791</v>
      </c>
      <c r="BB476">
        <v>6.273492292646937</v>
      </c>
      <c r="BC476">
        <v>20</v>
      </c>
      <c r="BD476">
        <v>235.24089263777751</v>
      </c>
      <c r="BE476">
        <v>1</v>
      </c>
      <c r="BF476">
        <v>8.5019231884976218E-2</v>
      </c>
      <c r="BG476">
        <v>3.9408639999999999</v>
      </c>
      <c r="BH476">
        <v>3.9455239999999989</v>
      </c>
      <c r="BI476">
        <v>15.25730117</v>
      </c>
      <c r="BJ476">
        <v>443.39967116280002</v>
      </c>
      <c r="BK476">
        <v>2</v>
      </c>
      <c r="BL476">
        <v>9.0212065099420147E-2</v>
      </c>
      <c r="BM476">
        <v>3.8656999999999999</v>
      </c>
      <c r="BN476">
        <v>29.777000000000001</v>
      </c>
      <c r="BO476">
        <v>3.8519999999999999</v>
      </c>
      <c r="BP476">
        <v>0</v>
      </c>
      <c r="BQ476">
        <v>0</v>
      </c>
      <c r="BS476">
        <v>0</v>
      </c>
      <c r="BT476">
        <v>0</v>
      </c>
      <c r="BU476">
        <v>0</v>
      </c>
      <c r="BV476">
        <v>468.23050785999999</v>
      </c>
      <c r="BW476">
        <v>8.5428008915557282E-2</v>
      </c>
      <c r="BX476">
        <v>10</v>
      </c>
      <c r="BY476">
        <v>4.2714004457778641E-2</v>
      </c>
      <c r="BZ476">
        <v>4.2509615942488109E-2</v>
      </c>
      <c r="CA476">
        <v>4.5106032549710073E-2</v>
      </c>
      <c r="CC476">
        <v>0.43430687840757631</v>
      </c>
      <c r="CD476">
        <v>0.46083361986893789</v>
      </c>
      <c r="CF476">
        <v>0.43639504919176508</v>
      </c>
    </row>
    <row r="477" spans="1:84" x14ac:dyDescent="0.3">
      <c r="A477" s="1">
        <v>252</v>
      </c>
      <c r="B477" t="s">
        <v>644</v>
      </c>
      <c r="C477" t="s">
        <v>645</v>
      </c>
      <c r="E477" t="s">
        <v>106</v>
      </c>
      <c r="F477">
        <v>4.16</v>
      </c>
      <c r="G477" t="s">
        <v>590</v>
      </c>
      <c r="H477" t="s">
        <v>591</v>
      </c>
      <c r="I477">
        <v>-1</v>
      </c>
      <c r="J477">
        <v>2</v>
      </c>
      <c r="K477">
        <v>3.8530000000000002</v>
      </c>
      <c r="L477">
        <v>3.8530000000000002</v>
      </c>
      <c r="M477">
        <v>32.4</v>
      </c>
      <c r="O477">
        <v>16.2</v>
      </c>
      <c r="P477">
        <v>3</v>
      </c>
      <c r="Q477" t="s">
        <v>87</v>
      </c>
      <c r="R477">
        <v>1423</v>
      </c>
      <c r="S477">
        <v>24</v>
      </c>
      <c r="T477" t="b">
        <v>0</v>
      </c>
      <c r="U477" t="s">
        <v>88</v>
      </c>
      <c r="V477" t="s">
        <v>89</v>
      </c>
      <c r="W477">
        <v>0</v>
      </c>
      <c r="X477">
        <v>5.75</v>
      </c>
      <c r="Y477">
        <v>2</v>
      </c>
      <c r="Z477">
        <v>10</v>
      </c>
      <c r="AC477" t="s">
        <v>90</v>
      </c>
      <c r="AD477">
        <v>100</v>
      </c>
      <c r="AE477">
        <v>290</v>
      </c>
      <c r="AF477" t="s">
        <v>407</v>
      </c>
      <c r="AG477">
        <v>333</v>
      </c>
      <c r="AH477">
        <v>3736</v>
      </c>
      <c r="AI477" t="s">
        <v>646</v>
      </c>
      <c r="AL477" t="b">
        <v>1</v>
      </c>
      <c r="AM477" t="b">
        <v>0</v>
      </c>
      <c r="AN477" t="b">
        <v>0</v>
      </c>
      <c r="AO477" t="b">
        <v>0</v>
      </c>
      <c r="AP477" t="s">
        <v>647</v>
      </c>
      <c r="AQ477" t="s">
        <v>591</v>
      </c>
      <c r="AS477">
        <v>8.2257707993487337</v>
      </c>
      <c r="AT477">
        <v>1.875</v>
      </c>
      <c r="AU477">
        <v>2.5</v>
      </c>
      <c r="AV477">
        <v>0.625</v>
      </c>
      <c r="AW477">
        <v>1.75</v>
      </c>
      <c r="AX477">
        <v>0.27777777777777779</v>
      </c>
      <c r="AY477">
        <v>0.37037037037037029</v>
      </c>
      <c r="AZ477">
        <v>9.2592592592592587E-2</v>
      </c>
      <c r="BA477">
        <v>0.25925925925925919</v>
      </c>
      <c r="BB477">
        <v>6.2766512493656874</v>
      </c>
      <c r="BC477">
        <v>20</v>
      </c>
      <c r="BD477">
        <v>235.24089263777751</v>
      </c>
      <c r="BE477">
        <v>1</v>
      </c>
      <c r="BF477">
        <v>8.5019231884976218E-2</v>
      </c>
      <c r="BG477">
        <v>3.9408639999999999</v>
      </c>
      <c r="BH477">
        <v>3.9455239999999989</v>
      </c>
      <c r="BI477">
        <v>15.25730117</v>
      </c>
      <c r="BJ477">
        <v>443.39967116280002</v>
      </c>
      <c r="BK477">
        <v>2</v>
      </c>
      <c r="BL477">
        <v>9.0212065099420147E-2</v>
      </c>
      <c r="BM477">
        <v>3.8656999999999999</v>
      </c>
      <c r="BN477">
        <v>29.777000000000001</v>
      </c>
      <c r="BO477">
        <v>3.8519999999999999</v>
      </c>
      <c r="BP477">
        <v>0</v>
      </c>
      <c r="BQ477">
        <v>0</v>
      </c>
      <c r="BS477">
        <v>0</v>
      </c>
      <c r="BT477">
        <v>0</v>
      </c>
      <c r="BU477">
        <v>0</v>
      </c>
      <c r="BV477">
        <v>480.99773160000001</v>
      </c>
      <c r="BW477">
        <v>8.3160475345576454E-2</v>
      </c>
      <c r="BX477">
        <v>10</v>
      </c>
      <c r="BY477">
        <v>4.1580237672788227E-2</v>
      </c>
      <c r="BZ477">
        <v>4.2509615942488109E-2</v>
      </c>
      <c r="CA477">
        <v>4.5106032549710073E-2</v>
      </c>
      <c r="CC477">
        <v>0.43430687840757631</v>
      </c>
      <c r="CD477">
        <v>0.46083361986893789</v>
      </c>
      <c r="CF477">
        <v>0.42481172381198368</v>
      </c>
    </row>
    <row r="478" spans="1:84" x14ac:dyDescent="0.3">
      <c r="A478" s="1">
        <v>253</v>
      </c>
      <c r="B478" t="s">
        <v>648</v>
      </c>
      <c r="C478" t="s">
        <v>649</v>
      </c>
      <c r="E478" t="s">
        <v>106</v>
      </c>
      <c r="F478">
        <v>4.59</v>
      </c>
      <c r="G478" t="s">
        <v>590</v>
      </c>
      <c r="H478" t="s">
        <v>591</v>
      </c>
      <c r="I478">
        <v>-1</v>
      </c>
      <c r="J478">
        <v>2</v>
      </c>
      <c r="K478">
        <v>3.8530000000000002</v>
      </c>
      <c r="L478">
        <v>3.8530000000000002</v>
      </c>
      <c r="M478">
        <v>32.64</v>
      </c>
      <c r="N478" t="s">
        <v>650</v>
      </c>
      <c r="O478">
        <v>16.32</v>
      </c>
      <c r="P478">
        <v>3</v>
      </c>
      <c r="Q478" t="s">
        <v>87</v>
      </c>
      <c r="R478">
        <v>1423</v>
      </c>
      <c r="S478">
        <v>24</v>
      </c>
      <c r="T478" t="b">
        <v>0</v>
      </c>
      <c r="U478" t="s">
        <v>88</v>
      </c>
      <c r="V478" t="s">
        <v>89</v>
      </c>
      <c r="W478">
        <v>0</v>
      </c>
      <c r="X478">
        <v>7.41</v>
      </c>
      <c r="Y478">
        <v>2</v>
      </c>
      <c r="Z478">
        <v>10</v>
      </c>
      <c r="AC478" t="s">
        <v>90</v>
      </c>
      <c r="AD478">
        <v>100</v>
      </c>
      <c r="AE478">
        <v>290</v>
      </c>
      <c r="AF478" t="s">
        <v>407</v>
      </c>
      <c r="AG478">
        <v>333</v>
      </c>
      <c r="AH478">
        <v>372</v>
      </c>
      <c r="AI478" t="s">
        <v>136</v>
      </c>
      <c r="AL478" t="b">
        <v>1</v>
      </c>
      <c r="AM478" t="b">
        <v>0</v>
      </c>
      <c r="AN478" t="b">
        <v>0</v>
      </c>
      <c r="AO478" t="b">
        <v>0</v>
      </c>
      <c r="AP478" t="s">
        <v>651</v>
      </c>
      <c r="AQ478" t="s">
        <v>591</v>
      </c>
      <c r="AS478">
        <v>5.9188938542731462</v>
      </c>
      <c r="AT478">
        <v>1.9375</v>
      </c>
      <c r="AU478">
        <v>2.5</v>
      </c>
      <c r="AV478">
        <v>0.5625</v>
      </c>
      <c r="AW478">
        <v>2.625</v>
      </c>
      <c r="AX478">
        <v>0.25409836065573771</v>
      </c>
      <c r="AY478">
        <v>0.32786885245901642</v>
      </c>
      <c r="AZ478">
        <v>7.3770491803278687E-2</v>
      </c>
      <c r="BA478">
        <v>0.34426229508196721</v>
      </c>
      <c r="BB478">
        <v>6.2829691628031874</v>
      </c>
      <c r="BC478">
        <v>20</v>
      </c>
      <c r="BD478">
        <v>235.24089263777751</v>
      </c>
      <c r="BE478">
        <v>1</v>
      </c>
      <c r="BF478">
        <v>8.5019231884976218E-2</v>
      </c>
      <c r="BG478">
        <v>3.9408639999999999</v>
      </c>
      <c r="BH478">
        <v>3.9455239999999989</v>
      </c>
      <c r="BI478">
        <v>15.25730117</v>
      </c>
      <c r="BJ478">
        <v>443.39967116280002</v>
      </c>
      <c r="BK478">
        <v>2</v>
      </c>
      <c r="BL478">
        <v>9.0212065099420147E-2</v>
      </c>
      <c r="BM478">
        <v>3.8656999999999999</v>
      </c>
      <c r="BN478">
        <v>29.777000000000001</v>
      </c>
      <c r="BO478">
        <v>3.8519999999999999</v>
      </c>
      <c r="BP478">
        <v>0</v>
      </c>
      <c r="BQ478">
        <v>0</v>
      </c>
      <c r="BS478">
        <v>0</v>
      </c>
      <c r="BT478">
        <v>0</v>
      </c>
      <c r="BU478">
        <v>0</v>
      </c>
      <c r="BV478">
        <v>484.56067775999998</v>
      </c>
      <c r="BW478">
        <v>8.2549001262153088E-2</v>
      </c>
      <c r="BX478">
        <v>10</v>
      </c>
      <c r="BY478">
        <v>4.1274500631076537E-2</v>
      </c>
      <c r="BZ478">
        <v>4.2509615942488109E-2</v>
      </c>
      <c r="CA478">
        <v>4.5106032549710073E-2</v>
      </c>
      <c r="CC478">
        <v>0.43430687840757631</v>
      </c>
      <c r="CD478">
        <v>0.46083361986893789</v>
      </c>
      <c r="CF478">
        <v>0.42168810819571911</v>
      </c>
    </row>
    <row r="479" spans="1:84" x14ac:dyDescent="0.3">
      <c r="A479" s="1">
        <v>267</v>
      </c>
      <c r="B479" t="s">
        <v>654</v>
      </c>
      <c r="C479" t="s">
        <v>655</v>
      </c>
      <c r="E479" t="s">
        <v>94</v>
      </c>
      <c r="F479">
        <v>2.96</v>
      </c>
      <c r="G479" t="s">
        <v>656</v>
      </c>
      <c r="H479" t="s">
        <v>657</v>
      </c>
      <c r="I479">
        <v>-1</v>
      </c>
      <c r="J479">
        <v>2</v>
      </c>
      <c r="K479">
        <v>3.9045000000000001</v>
      </c>
      <c r="L479">
        <v>3.9045000000000001</v>
      </c>
      <c r="M479">
        <v>21.652100000000001</v>
      </c>
      <c r="N479" t="s">
        <v>658</v>
      </c>
      <c r="O479">
        <v>10.82605</v>
      </c>
      <c r="Q479" t="s">
        <v>87</v>
      </c>
      <c r="R479">
        <v>1373</v>
      </c>
      <c r="S479">
        <v>50</v>
      </c>
      <c r="T479" t="b">
        <v>0</v>
      </c>
      <c r="U479" t="s">
        <v>88</v>
      </c>
      <c r="V479" t="s">
        <v>89</v>
      </c>
      <c r="W479">
        <v>0</v>
      </c>
      <c r="X479">
        <v>4.2</v>
      </c>
      <c r="Y479">
        <v>1.67</v>
      </c>
      <c r="Z479">
        <v>20</v>
      </c>
      <c r="AC479" t="s">
        <v>165</v>
      </c>
      <c r="AD479">
        <v>1000</v>
      </c>
      <c r="AE479">
        <v>230</v>
      </c>
      <c r="AF479" t="s">
        <v>653</v>
      </c>
      <c r="AH479">
        <v>208</v>
      </c>
      <c r="AL479" t="b">
        <v>1</v>
      </c>
      <c r="AM479" t="b">
        <v>1</v>
      </c>
      <c r="AN479" t="b">
        <v>0</v>
      </c>
      <c r="AO479" t="b">
        <v>0</v>
      </c>
      <c r="AP479" t="s">
        <v>656</v>
      </c>
      <c r="AQ479" t="s">
        <v>657</v>
      </c>
      <c r="AS479">
        <v>5.3375380797013179</v>
      </c>
      <c r="AT479">
        <v>1.7272727272727271</v>
      </c>
      <c r="AU479">
        <v>2.545454545454545</v>
      </c>
      <c r="AV479">
        <v>1.7272727272727271</v>
      </c>
      <c r="AW479">
        <v>0</v>
      </c>
      <c r="AX479">
        <v>0.2878787878787879</v>
      </c>
      <c r="AY479">
        <v>0.42424242424242431</v>
      </c>
      <c r="AZ479">
        <v>0.2878787878787879</v>
      </c>
      <c r="BA479">
        <v>0</v>
      </c>
      <c r="BB479">
        <v>6.1782655933181818</v>
      </c>
      <c r="BC479">
        <v>14</v>
      </c>
      <c r="BD479">
        <v>169.7295487154349</v>
      </c>
      <c r="BE479">
        <v>1</v>
      </c>
      <c r="BF479">
        <v>8.248416440128592E-2</v>
      </c>
      <c r="BG479">
        <v>11.30538971</v>
      </c>
      <c r="BH479">
        <v>11.30538971</v>
      </c>
      <c r="BI479">
        <v>11.30538971</v>
      </c>
      <c r="BJ479">
        <v>329.80681691007999</v>
      </c>
      <c r="BK479">
        <v>2</v>
      </c>
      <c r="BL479">
        <v>8.4898184526107132E-2</v>
      </c>
      <c r="BM479">
        <v>3.8996</v>
      </c>
      <c r="BN479">
        <v>3.8996</v>
      </c>
      <c r="BO479">
        <v>21.687999999999999</v>
      </c>
      <c r="BP479">
        <v>0</v>
      </c>
      <c r="BQ479">
        <v>0</v>
      </c>
      <c r="BS479">
        <v>0</v>
      </c>
      <c r="BT479">
        <v>0</v>
      </c>
      <c r="BU479">
        <v>0</v>
      </c>
      <c r="BV479">
        <v>330.08886816502502</v>
      </c>
      <c r="BW479">
        <v>8.482564151785224E-2</v>
      </c>
      <c r="BX479">
        <v>7</v>
      </c>
      <c r="BY479">
        <v>4.241282075892612E-2</v>
      </c>
      <c r="BZ479">
        <v>4.124208220064296E-2</v>
      </c>
      <c r="CA479">
        <v>4.2449092263053573E-2</v>
      </c>
      <c r="CC479">
        <v>0.46170510468104309</v>
      </c>
      <c r="CD479">
        <v>0.4752175821671501</v>
      </c>
      <c r="CF479">
        <v>0.47481152268332899</v>
      </c>
    </row>
    <row r="480" spans="1:84" x14ac:dyDescent="0.3">
      <c r="A480" s="1">
        <v>269</v>
      </c>
      <c r="B480" t="s">
        <v>659</v>
      </c>
      <c r="C480" t="s">
        <v>660</v>
      </c>
      <c r="E480" t="s">
        <v>106</v>
      </c>
      <c r="F480">
        <v>2.86</v>
      </c>
      <c r="G480" t="s">
        <v>113</v>
      </c>
      <c r="H480" t="s">
        <v>114</v>
      </c>
      <c r="I480">
        <v>-1</v>
      </c>
      <c r="Q480" t="s">
        <v>87</v>
      </c>
      <c r="R480">
        <v>1373</v>
      </c>
      <c r="S480">
        <v>50</v>
      </c>
      <c r="T480" t="b">
        <v>0</v>
      </c>
      <c r="U480" t="s">
        <v>88</v>
      </c>
      <c r="V480" t="s">
        <v>89</v>
      </c>
      <c r="W480">
        <v>0</v>
      </c>
      <c r="X480">
        <v>2.1</v>
      </c>
      <c r="Y480">
        <v>1.67</v>
      </c>
      <c r="Z480">
        <v>20</v>
      </c>
      <c r="AC480" t="s">
        <v>165</v>
      </c>
      <c r="AD480">
        <v>1000</v>
      </c>
      <c r="AE480">
        <v>230</v>
      </c>
      <c r="AF480" t="s">
        <v>653</v>
      </c>
      <c r="AH480">
        <v>2030</v>
      </c>
      <c r="AI480" t="s">
        <v>661</v>
      </c>
      <c r="AJ480" t="s">
        <v>661</v>
      </c>
      <c r="AL480" t="b">
        <v>1</v>
      </c>
      <c r="AM480" t="b">
        <v>1</v>
      </c>
      <c r="AN480" t="b">
        <v>0</v>
      </c>
      <c r="AO480" t="b">
        <v>0</v>
      </c>
      <c r="AP480" t="s">
        <v>682</v>
      </c>
      <c r="AQ480" t="s">
        <v>683</v>
      </c>
      <c r="AS480">
        <v>7.6157910720358331</v>
      </c>
      <c r="AT480">
        <v>1.75</v>
      </c>
      <c r="AU480">
        <v>2.5</v>
      </c>
      <c r="AV480">
        <v>1.375</v>
      </c>
      <c r="AW480">
        <v>0</v>
      </c>
      <c r="AX480">
        <v>0.31111111111111112</v>
      </c>
      <c r="AY480">
        <v>0.44444444444444442</v>
      </c>
      <c r="AZ480">
        <v>0.24444444444444441</v>
      </c>
      <c r="BA480">
        <v>0</v>
      </c>
      <c r="BB480">
        <v>6.0930178353124997</v>
      </c>
      <c r="BC480">
        <v>20</v>
      </c>
      <c r="BD480">
        <v>240.40623599981481</v>
      </c>
      <c r="BE480">
        <v>1</v>
      </c>
      <c r="BF480">
        <v>8.3192517518619641E-2</v>
      </c>
      <c r="BG480">
        <v>3.9661010000000001</v>
      </c>
      <c r="BH480">
        <v>3.9661010000000001</v>
      </c>
      <c r="BI480">
        <v>15.283337</v>
      </c>
      <c r="BJ480">
        <v>222.00958249733301</v>
      </c>
      <c r="BK480">
        <v>1</v>
      </c>
      <c r="BL480">
        <v>9.0086201573034624E-2</v>
      </c>
      <c r="BM480">
        <v>3.8586499999999999</v>
      </c>
      <c r="BN480">
        <v>3.8586499999999999</v>
      </c>
      <c r="BO480">
        <v>14.9108</v>
      </c>
      <c r="BP480">
        <v>0</v>
      </c>
      <c r="BQ480">
        <v>0</v>
      </c>
      <c r="BS480">
        <v>0</v>
      </c>
      <c r="BT480">
        <v>0</v>
      </c>
      <c r="BU480">
        <v>0</v>
      </c>
      <c r="BX480">
        <v>10</v>
      </c>
      <c r="BZ480">
        <v>4.159625875930982E-2</v>
      </c>
      <c r="CA480">
        <v>4.5043100786517312E-2</v>
      </c>
      <c r="CC480">
        <v>0.46237874670194329</v>
      </c>
      <c r="CD480">
        <v>0.50069340634096882</v>
      </c>
    </row>
    <row r="481" spans="1:84" x14ac:dyDescent="0.3">
      <c r="A481" s="1">
        <v>271</v>
      </c>
      <c r="B481" t="s">
        <v>668</v>
      </c>
      <c r="C481" t="s">
        <v>669</v>
      </c>
      <c r="E481" t="s">
        <v>106</v>
      </c>
      <c r="F481">
        <v>2.85</v>
      </c>
      <c r="G481" t="s">
        <v>113</v>
      </c>
      <c r="H481" t="s">
        <v>114</v>
      </c>
      <c r="I481">
        <v>-1</v>
      </c>
      <c r="Q481" t="s">
        <v>87</v>
      </c>
      <c r="R481">
        <v>1373</v>
      </c>
      <c r="S481">
        <v>50</v>
      </c>
      <c r="T481" t="b">
        <v>0</v>
      </c>
      <c r="U481" t="s">
        <v>88</v>
      </c>
      <c r="V481" t="s">
        <v>89</v>
      </c>
      <c r="W481">
        <v>0</v>
      </c>
      <c r="X481">
        <v>3</v>
      </c>
      <c r="Y481">
        <v>1.67</v>
      </c>
      <c r="Z481">
        <v>20</v>
      </c>
      <c r="AC481" t="s">
        <v>165</v>
      </c>
      <c r="AD481">
        <v>1000</v>
      </c>
      <c r="AE481">
        <v>230</v>
      </c>
      <c r="AF481" t="s">
        <v>653</v>
      </c>
      <c r="AH481">
        <v>1256</v>
      </c>
      <c r="AI481" t="s">
        <v>670</v>
      </c>
      <c r="AJ481" t="s">
        <v>670</v>
      </c>
      <c r="AL481" t="b">
        <v>1</v>
      </c>
      <c r="AM481" t="b">
        <v>1</v>
      </c>
      <c r="AN481" t="b">
        <v>0</v>
      </c>
      <c r="AO481" t="b">
        <v>0</v>
      </c>
      <c r="AP481" t="s">
        <v>684</v>
      </c>
      <c r="AQ481" t="s">
        <v>685</v>
      </c>
      <c r="AS481">
        <v>7.1356873470281439</v>
      </c>
      <c r="AT481">
        <v>1.75</v>
      </c>
      <c r="AU481">
        <v>2.5</v>
      </c>
      <c r="AV481">
        <v>1.375</v>
      </c>
      <c r="AW481">
        <v>0</v>
      </c>
      <c r="AX481">
        <v>0.31111111111111112</v>
      </c>
      <c r="AY481">
        <v>0.44444444444444442</v>
      </c>
      <c r="AZ481">
        <v>0.24444444444444441</v>
      </c>
      <c r="BA481">
        <v>0</v>
      </c>
      <c r="BB481">
        <v>6.0685945215624999</v>
      </c>
      <c r="BC481">
        <v>20</v>
      </c>
      <c r="BD481">
        <v>240.40623599981481</v>
      </c>
      <c r="BE481">
        <v>1</v>
      </c>
      <c r="BF481">
        <v>8.3192517518619641E-2</v>
      </c>
      <c r="BG481">
        <v>3.9661010000000001</v>
      </c>
      <c r="BH481">
        <v>3.9661010000000001</v>
      </c>
      <c r="BI481">
        <v>15.283337</v>
      </c>
      <c r="BJ481">
        <v>222.00958249733301</v>
      </c>
      <c r="BK481">
        <v>1</v>
      </c>
      <c r="BL481">
        <v>9.0086201573034624E-2</v>
      </c>
      <c r="BM481">
        <v>3.8586499999999999</v>
      </c>
      <c r="BN481">
        <v>3.8586499999999999</v>
      </c>
      <c r="BO481">
        <v>14.9108</v>
      </c>
      <c r="BP481">
        <v>0</v>
      </c>
      <c r="BQ481">
        <v>0</v>
      </c>
      <c r="BS481">
        <v>0</v>
      </c>
      <c r="BT481">
        <v>0</v>
      </c>
      <c r="BU481">
        <v>0</v>
      </c>
      <c r="BX481">
        <v>10</v>
      </c>
      <c r="BZ481">
        <v>4.159625875930982E-2</v>
      </c>
      <c r="CA481">
        <v>4.5043100786517312E-2</v>
      </c>
      <c r="CC481">
        <v>0.49089885908841852</v>
      </c>
      <c r="CD481">
        <v>0.53157681593076234</v>
      </c>
    </row>
    <row r="482" spans="1:84" x14ac:dyDescent="0.3">
      <c r="A482" s="1">
        <v>273</v>
      </c>
      <c r="B482" t="s">
        <v>680</v>
      </c>
      <c r="C482" t="s">
        <v>681</v>
      </c>
      <c r="E482" t="s">
        <v>404</v>
      </c>
      <c r="F482">
        <v>2.65</v>
      </c>
      <c r="G482" t="s">
        <v>675</v>
      </c>
      <c r="H482" t="s">
        <v>676</v>
      </c>
      <c r="I482">
        <v>-1</v>
      </c>
      <c r="J482">
        <v>2</v>
      </c>
      <c r="K482">
        <v>3.8313999999999999</v>
      </c>
      <c r="L482">
        <v>3.8313999999999999</v>
      </c>
      <c r="M482">
        <v>28.871400000000001</v>
      </c>
      <c r="N482" t="s">
        <v>206</v>
      </c>
      <c r="O482">
        <v>14.435700000000001</v>
      </c>
      <c r="Q482" t="s">
        <v>87</v>
      </c>
      <c r="R482">
        <v>1373</v>
      </c>
      <c r="S482">
        <v>50</v>
      </c>
      <c r="T482" t="b">
        <v>0</v>
      </c>
      <c r="U482" t="s">
        <v>88</v>
      </c>
      <c r="V482" t="s">
        <v>89</v>
      </c>
      <c r="W482">
        <v>0</v>
      </c>
      <c r="X482">
        <v>3.1</v>
      </c>
      <c r="Y482">
        <v>1.67</v>
      </c>
      <c r="Z482">
        <v>20</v>
      </c>
      <c r="AC482" t="s">
        <v>165</v>
      </c>
      <c r="AD482">
        <v>1000</v>
      </c>
      <c r="AE482">
        <v>230</v>
      </c>
      <c r="AF482" t="s">
        <v>653</v>
      </c>
      <c r="AH482">
        <v>230</v>
      </c>
      <c r="AL482" t="b">
        <v>1</v>
      </c>
      <c r="AM482" t="b">
        <v>1</v>
      </c>
      <c r="AN482" t="b">
        <v>0</v>
      </c>
      <c r="AO482" t="b">
        <v>0</v>
      </c>
      <c r="AP482" t="s">
        <v>675</v>
      </c>
      <c r="AQ482" t="s">
        <v>676</v>
      </c>
      <c r="AS482">
        <v>5.4380793089231956</v>
      </c>
      <c r="AT482">
        <v>1.882352941176471</v>
      </c>
      <c r="AU482">
        <v>2.3529411764705879</v>
      </c>
      <c r="AV482">
        <v>1.6470588235294119</v>
      </c>
      <c r="AW482">
        <v>0</v>
      </c>
      <c r="AX482">
        <v>0.32</v>
      </c>
      <c r="AY482">
        <v>0.4</v>
      </c>
      <c r="AZ482">
        <v>0.28000000000000003</v>
      </c>
      <c r="BA482">
        <v>0</v>
      </c>
      <c r="BB482">
        <v>5.9274406232352943</v>
      </c>
      <c r="BC482">
        <v>20</v>
      </c>
      <c r="BD482">
        <v>218.43262216091571</v>
      </c>
      <c r="BE482">
        <v>1</v>
      </c>
      <c r="BF482">
        <v>9.1561415150097566E-2</v>
      </c>
      <c r="BG482">
        <v>14.88329339</v>
      </c>
      <c r="BH482">
        <v>14.88329339</v>
      </c>
      <c r="BI482">
        <v>14.88329339</v>
      </c>
      <c r="BJ482">
        <v>422.61306904883998</v>
      </c>
      <c r="BK482">
        <v>2</v>
      </c>
      <c r="BL482">
        <v>9.4649226276950119E-2</v>
      </c>
      <c r="BM482">
        <v>3.8250999999999999</v>
      </c>
      <c r="BN482">
        <v>3.8250999999999999</v>
      </c>
      <c r="BO482">
        <v>28.884</v>
      </c>
      <c r="BP482">
        <v>0</v>
      </c>
      <c r="BQ482">
        <v>0</v>
      </c>
      <c r="BS482">
        <v>0</v>
      </c>
      <c r="BT482">
        <v>0</v>
      </c>
      <c r="BU482">
        <v>0</v>
      </c>
      <c r="BV482">
        <v>423.82135294154398</v>
      </c>
      <c r="BW482">
        <v>9.4379388207741013E-2</v>
      </c>
      <c r="BX482">
        <v>10</v>
      </c>
      <c r="BY482">
        <v>4.7189694103870507E-2</v>
      </c>
      <c r="BZ482">
        <v>4.5780707575048783E-2</v>
      </c>
      <c r="CA482">
        <v>4.7324613138475059E-2</v>
      </c>
      <c r="CC482">
        <v>0.55146660057091246</v>
      </c>
      <c r="CD482">
        <v>0.57006422384419808</v>
      </c>
      <c r="CF482">
        <v>0.56843901214899417</v>
      </c>
    </row>
    <row r="483" spans="1:84" x14ac:dyDescent="0.3">
      <c r="A483" s="1">
        <v>274</v>
      </c>
      <c r="B483" t="s">
        <v>281</v>
      </c>
      <c r="C483" t="s">
        <v>282</v>
      </c>
      <c r="F483">
        <v>3.9</v>
      </c>
      <c r="G483" t="s">
        <v>283</v>
      </c>
      <c r="H483" t="s">
        <v>284</v>
      </c>
      <c r="I483">
        <v>-1</v>
      </c>
      <c r="Q483" t="s">
        <v>87</v>
      </c>
      <c r="R483">
        <v>1473</v>
      </c>
      <c r="S483">
        <v>10</v>
      </c>
      <c r="T483" t="b">
        <v>0</v>
      </c>
      <c r="U483" t="s">
        <v>88</v>
      </c>
      <c r="V483" t="s">
        <v>89</v>
      </c>
      <c r="W483">
        <v>0</v>
      </c>
      <c r="X483">
        <v>0.7</v>
      </c>
      <c r="Y483">
        <v>1.32</v>
      </c>
      <c r="Z483">
        <v>0</v>
      </c>
      <c r="AC483" t="s">
        <v>90</v>
      </c>
      <c r="AD483">
        <v>400</v>
      </c>
      <c r="AF483" t="s">
        <v>91</v>
      </c>
      <c r="AH483">
        <v>20</v>
      </c>
      <c r="AL483" t="b">
        <v>1</v>
      </c>
      <c r="AM483" t="b">
        <v>0</v>
      </c>
      <c r="AN483" t="b">
        <v>0</v>
      </c>
      <c r="AO483" t="b">
        <v>0</v>
      </c>
      <c r="AP483" t="s">
        <v>283</v>
      </c>
      <c r="AQ483" t="s">
        <v>284</v>
      </c>
      <c r="AS483">
        <v>2.9957322735539909</v>
      </c>
      <c r="AT483">
        <v>1.833333333333333</v>
      </c>
      <c r="AU483">
        <v>2.5</v>
      </c>
      <c r="AV483">
        <v>0.66666666666666663</v>
      </c>
      <c r="AW483">
        <v>0</v>
      </c>
      <c r="AX483">
        <v>0.36666666666666659</v>
      </c>
      <c r="AY483">
        <v>0.5</v>
      </c>
      <c r="AZ483">
        <v>0.1333333333333333</v>
      </c>
      <c r="BA483">
        <v>0</v>
      </c>
      <c r="BB483">
        <v>5.9098750142708329</v>
      </c>
      <c r="BC483">
        <v>30</v>
      </c>
      <c r="BD483">
        <v>353.45760058531442</v>
      </c>
      <c r="BE483">
        <v>1</v>
      </c>
      <c r="BF483">
        <v>8.487580957467307E-2</v>
      </c>
      <c r="BG483">
        <v>5.8532381300000003</v>
      </c>
      <c r="BH483">
        <v>5.8532371599999999</v>
      </c>
      <c r="BI483">
        <v>11.912811489999999</v>
      </c>
      <c r="BJ483">
        <v>342.77011164986561</v>
      </c>
      <c r="BK483">
        <v>1</v>
      </c>
      <c r="BL483">
        <v>8.7522216728874364E-2</v>
      </c>
      <c r="BM483">
        <v>5.7946</v>
      </c>
      <c r="BN483">
        <v>5.7946</v>
      </c>
      <c r="BO483">
        <v>11.787599999999999</v>
      </c>
      <c r="BP483">
        <v>0</v>
      </c>
      <c r="BQ483">
        <v>0</v>
      </c>
      <c r="BS483">
        <v>0</v>
      </c>
      <c r="BT483">
        <v>0</v>
      </c>
      <c r="BU483">
        <v>0</v>
      </c>
      <c r="BX483">
        <v>15</v>
      </c>
      <c r="BZ483">
        <v>4.2437904787336528E-2</v>
      </c>
      <c r="CA483">
        <v>4.3761108364437182E-2</v>
      </c>
      <c r="CC483">
        <v>0.57410011132036631</v>
      </c>
      <c r="CD483">
        <v>0.59200041353179089</v>
      </c>
    </row>
    <row r="484" spans="1:84" x14ac:dyDescent="0.3">
      <c r="A484" s="1">
        <v>276</v>
      </c>
      <c r="B484" t="s">
        <v>281</v>
      </c>
      <c r="C484" t="s">
        <v>282</v>
      </c>
      <c r="F484">
        <v>3.9</v>
      </c>
      <c r="G484" t="s">
        <v>283</v>
      </c>
      <c r="H484" t="s">
        <v>284</v>
      </c>
      <c r="I484">
        <v>-1</v>
      </c>
      <c r="Q484" t="s">
        <v>467</v>
      </c>
      <c r="R484">
        <v>973</v>
      </c>
      <c r="S484">
        <v>10</v>
      </c>
      <c r="T484" t="b">
        <v>0</v>
      </c>
      <c r="U484" t="s">
        <v>88</v>
      </c>
      <c r="V484" t="s">
        <v>89</v>
      </c>
      <c r="W484">
        <v>0</v>
      </c>
      <c r="X484">
        <v>0.7</v>
      </c>
      <c r="Y484">
        <v>1.32</v>
      </c>
      <c r="Z484">
        <v>0</v>
      </c>
      <c r="AC484" t="s">
        <v>90</v>
      </c>
      <c r="AD484">
        <v>400</v>
      </c>
      <c r="AF484" t="s">
        <v>91</v>
      </c>
      <c r="AH484">
        <v>6</v>
      </c>
      <c r="AL484" t="b">
        <v>1</v>
      </c>
      <c r="AM484" t="b">
        <v>0</v>
      </c>
      <c r="AN484" t="b">
        <v>0</v>
      </c>
      <c r="AO484" t="b">
        <v>0</v>
      </c>
      <c r="AP484" t="s">
        <v>283</v>
      </c>
      <c r="AQ484" t="s">
        <v>284</v>
      </c>
      <c r="AS484">
        <v>1.791759469228055</v>
      </c>
      <c r="AT484">
        <v>1.833333333333333</v>
      </c>
      <c r="AU484">
        <v>2.5</v>
      </c>
      <c r="AV484">
        <v>0.66666666666666663</v>
      </c>
      <c r="AW484">
        <v>0</v>
      </c>
      <c r="AX484">
        <v>0.36666666666666659</v>
      </c>
      <c r="AY484">
        <v>0.5</v>
      </c>
      <c r="AZ484">
        <v>0.1333333333333333</v>
      </c>
      <c r="BA484">
        <v>0</v>
      </c>
      <c r="BB484">
        <v>5.9098750142708329</v>
      </c>
      <c r="BC484">
        <v>30</v>
      </c>
      <c r="BD484">
        <v>353.45760058531442</v>
      </c>
      <c r="BE484">
        <v>1</v>
      </c>
      <c r="BF484">
        <v>8.487580957467307E-2</v>
      </c>
      <c r="BG484">
        <v>5.8532381300000003</v>
      </c>
      <c r="BH484">
        <v>5.8532371599999999</v>
      </c>
      <c r="BI484">
        <v>11.912811489999999</v>
      </c>
      <c r="BJ484">
        <v>342.77011164986561</v>
      </c>
      <c r="BK484">
        <v>1</v>
      </c>
      <c r="BL484">
        <v>8.7522216728874364E-2</v>
      </c>
      <c r="BM484">
        <v>5.7946</v>
      </c>
      <c r="BN484">
        <v>5.7946</v>
      </c>
      <c r="BO484">
        <v>11.787599999999999</v>
      </c>
      <c r="BP484">
        <v>0</v>
      </c>
      <c r="BQ484">
        <v>0</v>
      </c>
      <c r="BS484">
        <v>0</v>
      </c>
      <c r="BT484">
        <v>0</v>
      </c>
      <c r="BU484">
        <v>0</v>
      </c>
      <c r="BX484">
        <v>15</v>
      </c>
      <c r="BZ484">
        <v>4.2437904787336528E-2</v>
      </c>
      <c r="CA484">
        <v>4.3761108364437182E-2</v>
      </c>
      <c r="CC484">
        <v>0.57410011132036631</v>
      </c>
      <c r="CD484">
        <v>0.59200041353179089</v>
      </c>
    </row>
    <row r="485" spans="1:84" x14ac:dyDescent="0.3">
      <c r="A485" s="1">
        <v>293</v>
      </c>
      <c r="B485" t="s">
        <v>690</v>
      </c>
      <c r="C485" t="s">
        <v>691</v>
      </c>
      <c r="E485" t="s">
        <v>690</v>
      </c>
      <c r="F485">
        <v>3.82</v>
      </c>
      <c r="G485" t="s">
        <v>692</v>
      </c>
      <c r="H485">
        <v>1001022</v>
      </c>
      <c r="I485">
        <v>-1</v>
      </c>
      <c r="J485">
        <v>4</v>
      </c>
      <c r="K485">
        <v>13.01</v>
      </c>
      <c r="L485">
        <v>5.5439999999999996</v>
      </c>
      <c r="M485">
        <v>7.81</v>
      </c>
      <c r="N485" t="s">
        <v>730</v>
      </c>
      <c r="O485">
        <v>13.01</v>
      </c>
      <c r="Q485" t="s">
        <v>87</v>
      </c>
      <c r="R485">
        <v>1423</v>
      </c>
      <c r="S485">
        <v>10</v>
      </c>
      <c r="T485" t="b">
        <v>0</v>
      </c>
      <c r="U485" t="s">
        <v>88</v>
      </c>
      <c r="V485" t="s">
        <v>89</v>
      </c>
      <c r="W485">
        <v>0</v>
      </c>
      <c r="Y485">
        <v>2</v>
      </c>
      <c r="Z485">
        <v>0</v>
      </c>
      <c r="AC485" t="s">
        <v>90</v>
      </c>
      <c r="AD485">
        <v>450</v>
      </c>
      <c r="AE485">
        <v>200</v>
      </c>
      <c r="AF485" t="s">
        <v>91</v>
      </c>
      <c r="AH485">
        <v>10</v>
      </c>
      <c r="AL485" t="b">
        <v>1</v>
      </c>
      <c r="AM485" t="b">
        <v>0</v>
      </c>
      <c r="AN485" t="b">
        <v>0</v>
      </c>
      <c r="AO485" t="b">
        <v>0</v>
      </c>
      <c r="AP485" t="s">
        <v>692</v>
      </c>
      <c r="AQ485">
        <v>1001022</v>
      </c>
      <c r="AS485">
        <v>2.3025850929940459</v>
      </c>
      <c r="AT485">
        <v>2</v>
      </c>
      <c r="AU485">
        <v>2.545454545454545</v>
      </c>
      <c r="AV485">
        <v>0.54545454545454541</v>
      </c>
      <c r="AW485">
        <v>0</v>
      </c>
      <c r="AX485">
        <v>0.39285714285714279</v>
      </c>
      <c r="AY485">
        <v>0.5</v>
      </c>
      <c r="AZ485">
        <v>0.1071428571428571</v>
      </c>
      <c r="BA485">
        <v>0</v>
      </c>
      <c r="BB485">
        <v>5.9831999205909083</v>
      </c>
      <c r="BC485">
        <v>14</v>
      </c>
      <c r="BD485">
        <v>288.33429290182369</v>
      </c>
      <c r="BE485">
        <v>2</v>
      </c>
      <c r="BF485">
        <v>9.7109503410799117E-2</v>
      </c>
      <c r="BG485">
        <v>7.41544296</v>
      </c>
      <c r="BH485">
        <v>7.4154429599999991</v>
      </c>
      <c r="BI485">
        <v>7.41544296</v>
      </c>
      <c r="BJ485">
        <v>556.51188553357167</v>
      </c>
      <c r="BK485">
        <v>4</v>
      </c>
      <c r="BL485">
        <v>0.10062678166578309</v>
      </c>
      <c r="BM485">
        <v>7.8</v>
      </c>
      <c r="BN485">
        <v>13.010999999999999</v>
      </c>
      <c r="BO485">
        <v>5.5460000000000003</v>
      </c>
      <c r="BP485">
        <v>0</v>
      </c>
      <c r="BQ485">
        <v>0</v>
      </c>
      <c r="BS485">
        <v>0</v>
      </c>
      <c r="BT485">
        <v>0</v>
      </c>
      <c r="BU485">
        <v>0</v>
      </c>
      <c r="BV485">
        <v>563.31530639999994</v>
      </c>
      <c r="BW485">
        <v>9.9411465237614932E-2</v>
      </c>
      <c r="BX485">
        <v>7</v>
      </c>
      <c r="BY485">
        <v>4.9705732618807473E-2</v>
      </c>
      <c r="BZ485">
        <v>4.8554751705399558E-2</v>
      </c>
      <c r="CA485">
        <v>5.0313390832891547E-2</v>
      </c>
      <c r="CC485">
        <v>0.52442413903612495</v>
      </c>
      <c r="CD485">
        <v>0.54341863036636617</v>
      </c>
      <c r="CF485">
        <v>0.53685551090727035</v>
      </c>
    </row>
    <row r="486" spans="1:84" x14ac:dyDescent="0.3">
      <c r="A486" s="1">
        <v>294</v>
      </c>
      <c r="B486" t="s">
        <v>731</v>
      </c>
      <c r="C486" t="s">
        <v>732</v>
      </c>
      <c r="E486" t="s">
        <v>690</v>
      </c>
      <c r="F486">
        <v>3.68</v>
      </c>
      <c r="G486" t="s">
        <v>692</v>
      </c>
      <c r="H486" t="s">
        <v>693</v>
      </c>
      <c r="I486">
        <v>-1</v>
      </c>
      <c r="J486">
        <v>4</v>
      </c>
      <c r="K486">
        <v>13.02</v>
      </c>
      <c r="L486">
        <v>5.5119999999999996</v>
      </c>
      <c r="M486">
        <v>7.7450000000000001</v>
      </c>
      <c r="N486" t="s">
        <v>730</v>
      </c>
      <c r="O486">
        <v>13.02</v>
      </c>
      <c r="Q486" t="s">
        <v>87</v>
      </c>
      <c r="R486">
        <v>1423</v>
      </c>
      <c r="S486">
        <v>10</v>
      </c>
      <c r="T486" t="b">
        <v>0</v>
      </c>
      <c r="U486" t="s">
        <v>88</v>
      </c>
      <c r="V486" t="s">
        <v>89</v>
      </c>
      <c r="W486">
        <v>0</v>
      </c>
      <c r="Y486">
        <v>2</v>
      </c>
      <c r="Z486">
        <v>0</v>
      </c>
      <c r="AC486" t="s">
        <v>90</v>
      </c>
      <c r="AD486">
        <v>450</v>
      </c>
      <c r="AE486">
        <v>200</v>
      </c>
      <c r="AF486" t="s">
        <v>91</v>
      </c>
      <c r="AH486">
        <v>6</v>
      </c>
      <c r="AI486" t="s">
        <v>733</v>
      </c>
      <c r="AL486" t="b">
        <v>1</v>
      </c>
      <c r="AM486" t="b">
        <v>0</v>
      </c>
      <c r="AN486" t="b">
        <v>0</v>
      </c>
      <c r="AO486" t="b">
        <v>0</v>
      </c>
      <c r="AP486" t="s">
        <v>734</v>
      </c>
      <c r="AQ486" t="s">
        <v>693</v>
      </c>
      <c r="AS486">
        <v>1.791759469228055</v>
      </c>
      <c r="AT486">
        <v>2</v>
      </c>
      <c r="AU486">
        <v>2.545454545454545</v>
      </c>
      <c r="AV486">
        <v>0.45454545454545447</v>
      </c>
      <c r="AW486">
        <v>0.36363636363636359</v>
      </c>
      <c r="AX486">
        <v>0.3728813559322034</v>
      </c>
      <c r="AY486">
        <v>0.47457627118644069</v>
      </c>
      <c r="AZ486">
        <v>8.4745762711864403E-2</v>
      </c>
      <c r="BA486">
        <v>6.7796610169491525E-2</v>
      </c>
      <c r="BB486">
        <v>5.9599293342272723</v>
      </c>
      <c r="BC486">
        <v>14</v>
      </c>
      <c r="BD486">
        <v>288.33429290182369</v>
      </c>
      <c r="BE486">
        <v>2</v>
      </c>
      <c r="BF486">
        <v>9.7109503410799117E-2</v>
      </c>
      <c r="BG486">
        <v>7.41544296</v>
      </c>
      <c r="BH486">
        <v>7.4154429599999991</v>
      </c>
      <c r="BI486">
        <v>7.41544296</v>
      </c>
      <c r="BJ486">
        <v>556.51188553357167</v>
      </c>
      <c r="BK486">
        <v>4</v>
      </c>
      <c r="BL486">
        <v>0.10062678166578309</v>
      </c>
      <c r="BM486">
        <v>7.8</v>
      </c>
      <c r="BN486">
        <v>13.010999999999999</v>
      </c>
      <c r="BO486">
        <v>5.5460000000000003</v>
      </c>
      <c r="BP486">
        <v>0</v>
      </c>
      <c r="BQ486">
        <v>0</v>
      </c>
      <c r="BS486">
        <v>0</v>
      </c>
      <c r="BT486">
        <v>0</v>
      </c>
      <c r="BU486">
        <v>0</v>
      </c>
      <c r="BV486">
        <v>555.82952879999993</v>
      </c>
      <c r="BW486">
        <v>0.10075031479687729</v>
      </c>
      <c r="BX486">
        <v>7</v>
      </c>
      <c r="BY486">
        <v>5.0375157398438668E-2</v>
      </c>
      <c r="BZ486">
        <v>4.8554751705399558E-2</v>
      </c>
      <c r="CA486">
        <v>5.0313390832891547E-2</v>
      </c>
      <c r="CC486">
        <v>0.51879928811151954</v>
      </c>
      <c r="CD486">
        <v>0.5375900489607085</v>
      </c>
      <c r="CF486">
        <v>0.5382500142392741</v>
      </c>
    </row>
    <row r="487" spans="1:84" x14ac:dyDescent="0.3">
      <c r="A487" s="1">
        <v>295</v>
      </c>
      <c r="B487" t="s">
        <v>735</v>
      </c>
      <c r="C487" t="s">
        <v>736</v>
      </c>
      <c r="E487" t="s">
        <v>690</v>
      </c>
      <c r="F487">
        <v>3.65</v>
      </c>
      <c r="G487" t="s">
        <v>737</v>
      </c>
      <c r="H487" t="s">
        <v>738</v>
      </c>
      <c r="I487">
        <v>-1</v>
      </c>
      <c r="J487">
        <v>4</v>
      </c>
      <c r="K487">
        <v>13.02</v>
      </c>
      <c r="L487">
        <v>5.48</v>
      </c>
      <c r="M487">
        <v>7.68</v>
      </c>
      <c r="N487" t="s">
        <v>730</v>
      </c>
      <c r="O487">
        <v>13.02</v>
      </c>
      <c r="Q487" t="s">
        <v>87</v>
      </c>
      <c r="R487">
        <v>1423</v>
      </c>
      <c r="S487">
        <v>10</v>
      </c>
      <c r="T487" t="b">
        <v>0</v>
      </c>
      <c r="U487" t="s">
        <v>88</v>
      </c>
      <c r="V487" t="s">
        <v>89</v>
      </c>
      <c r="W487">
        <v>0</v>
      </c>
      <c r="Y487">
        <v>2</v>
      </c>
      <c r="Z487">
        <v>0</v>
      </c>
      <c r="AC487" t="s">
        <v>90</v>
      </c>
      <c r="AD487">
        <v>450</v>
      </c>
      <c r="AE487">
        <v>200</v>
      </c>
      <c r="AF487" t="s">
        <v>91</v>
      </c>
      <c r="AH487">
        <v>4</v>
      </c>
      <c r="AL487" t="b">
        <v>1</v>
      </c>
      <c r="AM487" t="b">
        <v>0</v>
      </c>
      <c r="AN487" t="b">
        <v>0</v>
      </c>
      <c r="AO487" t="b">
        <v>0</v>
      </c>
      <c r="AP487" t="s">
        <v>737</v>
      </c>
      <c r="AQ487" t="s">
        <v>738</v>
      </c>
      <c r="AS487">
        <v>1.386294361119891</v>
      </c>
      <c r="AT487">
        <v>2</v>
      </c>
      <c r="AU487">
        <v>2.545454545454545</v>
      </c>
      <c r="AV487">
        <v>0.36363636363636359</v>
      </c>
      <c r="AW487">
        <v>0.72727272727272729</v>
      </c>
      <c r="AX487">
        <v>0.35483870967741932</v>
      </c>
      <c r="AY487">
        <v>0.45161290322580638</v>
      </c>
      <c r="AZ487">
        <v>6.4516129032258063E-2</v>
      </c>
      <c r="BA487">
        <v>0.1290322580645161</v>
      </c>
      <c r="BB487">
        <v>5.9366587478636346</v>
      </c>
      <c r="BC487">
        <v>14</v>
      </c>
      <c r="BD487">
        <v>273.44070809730869</v>
      </c>
      <c r="BE487">
        <v>2</v>
      </c>
      <c r="BF487">
        <v>0.1023987986091511</v>
      </c>
      <c r="BG487">
        <v>7.2854997800000012</v>
      </c>
      <c r="BH487">
        <v>7.2855000099999998</v>
      </c>
      <c r="BI487">
        <v>7.28550129</v>
      </c>
      <c r="BJ487">
        <v>1077.884035254056</v>
      </c>
      <c r="BK487">
        <v>8</v>
      </c>
      <c r="BL487">
        <v>0.1039072816155049</v>
      </c>
      <c r="BM487">
        <v>7.6769999999999996</v>
      </c>
      <c r="BN487">
        <v>5.4560000000000004</v>
      </c>
      <c r="BO487">
        <v>26.012989999999999</v>
      </c>
      <c r="BP487">
        <v>0</v>
      </c>
      <c r="BQ487">
        <v>0</v>
      </c>
      <c r="BS487">
        <v>0</v>
      </c>
      <c r="BT487">
        <v>0</v>
      </c>
      <c r="BU487">
        <v>0</v>
      </c>
      <c r="BV487">
        <v>547.9649280000001</v>
      </c>
      <c r="BW487">
        <v>0.1021963215864793</v>
      </c>
      <c r="BX487">
        <v>7</v>
      </c>
      <c r="BY487">
        <v>5.1098160793239672E-2</v>
      </c>
      <c r="BZ487">
        <v>5.1199399304575573E-2</v>
      </c>
      <c r="CA487">
        <v>5.1953640807752437E-2</v>
      </c>
      <c r="CC487">
        <v>0.54112567770605691</v>
      </c>
      <c r="CD487">
        <v>0.54909724475770683</v>
      </c>
      <c r="CF487">
        <v>0.54005568940930559</v>
      </c>
    </row>
    <row r="488" spans="1:84" x14ac:dyDescent="0.3">
      <c r="A488" s="1">
        <v>296</v>
      </c>
      <c r="B488" t="s">
        <v>739</v>
      </c>
      <c r="C488" t="s">
        <v>740</v>
      </c>
      <c r="E488" t="s">
        <v>690</v>
      </c>
      <c r="F488">
        <v>2.99</v>
      </c>
      <c r="G488" t="s">
        <v>737</v>
      </c>
      <c r="H488">
        <v>2002197</v>
      </c>
      <c r="I488">
        <v>-1</v>
      </c>
      <c r="J488">
        <v>4</v>
      </c>
      <c r="K488">
        <v>12.996</v>
      </c>
      <c r="L488">
        <v>5.4850000000000003</v>
      </c>
      <c r="M488">
        <v>7.7039999999999997</v>
      </c>
      <c r="N488" t="s">
        <v>730</v>
      </c>
      <c r="O488">
        <v>12.996</v>
      </c>
      <c r="Q488" t="s">
        <v>87</v>
      </c>
      <c r="R488">
        <v>1423</v>
      </c>
      <c r="S488">
        <v>10</v>
      </c>
      <c r="T488" t="b">
        <v>0</v>
      </c>
      <c r="U488" t="s">
        <v>88</v>
      </c>
      <c r="V488" t="s">
        <v>89</v>
      </c>
      <c r="W488">
        <v>0</v>
      </c>
      <c r="Y488">
        <v>2</v>
      </c>
      <c r="Z488">
        <v>0</v>
      </c>
      <c r="AC488" t="s">
        <v>90</v>
      </c>
      <c r="AD488">
        <v>450</v>
      </c>
      <c r="AE488">
        <v>200</v>
      </c>
      <c r="AF488" t="s">
        <v>91</v>
      </c>
      <c r="AH488">
        <v>5</v>
      </c>
      <c r="AI488" t="s">
        <v>541</v>
      </c>
      <c r="AJ488" t="s">
        <v>541</v>
      </c>
      <c r="AL488" t="b">
        <v>1</v>
      </c>
      <c r="AM488" t="b">
        <v>1</v>
      </c>
      <c r="AN488" t="b">
        <v>0</v>
      </c>
      <c r="AO488" t="b">
        <v>0</v>
      </c>
      <c r="AP488" t="s">
        <v>741</v>
      </c>
      <c r="AQ488" t="s">
        <v>742</v>
      </c>
      <c r="AS488">
        <v>1.6094379124341001</v>
      </c>
      <c r="AT488">
        <v>2</v>
      </c>
      <c r="AU488">
        <v>2.545454545454545</v>
      </c>
      <c r="AV488">
        <v>0.36363636363636359</v>
      </c>
      <c r="AW488">
        <v>0.54545454545454541</v>
      </c>
      <c r="AX488">
        <v>0.3666666666666667</v>
      </c>
      <c r="AY488">
        <v>0.46666666666666667</v>
      </c>
      <c r="AZ488">
        <v>6.666666666666668E-2</v>
      </c>
      <c r="BA488">
        <v>0.1</v>
      </c>
      <c r="BB488">
        <v>5.9327443205909089</v>
      </c>
      <c r="BC488">
        <v>14</v>
      </c>
      <c r="BD488">
        <v>273.44070809730869</v>
      </c>
      <c r="BE488">
        <v>2</v>
      </c>
      <c r="BF488">
        <v>0.1023987986091511</v>
      </c>
      <c r="BG488">
        <v>7.2854997800000012</v>
      </c>
      <c r="BH488">
        <v>7.2855000099999998</v>
      </c>
      <c r="BI488">
        <v>7.28550129</v>
      </c>
      <c r="BJ488">
        <v>1077.884035254056</v>
      </c>
      <c r="BK488">
        <v>8</v>
      </c>
      <c r="BL488">
        <v>0.1039072816155049</v>
      </c>
      <c r="BM488">
        <v>7.6769999999999996</v>
      </c>
      <c r="BN488">
        <v>5.4560000000000004</v>
      </c>
      <c r="BO488">
        <v>26.012989999999999</v>
      </c>
      <c r="BP488">
        <v>0</v>
      </c>
      <c r="BQ488">
        <v>0</v>
      </c>
      <c r="BS488">
        <v>0</v>
      </c>
      <c r="BT488">
        <v>0</v>
      </c>
      <c r="BU488">
        <v>0</v>
      </c>
      <c r="BV488">
        <v>549.16469424000002</v>
      </c>
      <c r="BW488">
        <v>0.1019730521414883</v>
      </c>
      <c r="BX488">
        <v>7</v>
      </c>
      <c r="BY488">
        <v>5.0986526070744151E-2</v>
      </c>
      <c r="BZ488">
        <v>5.1199399304575573E-2</v>
      </c>
      <c r="CA488">
        <v>5.1953640807752437E-2</v>
      </c>
      <c r="CC488">
        <v>0.5427586112667282</v>
      </c>
      <c r="CD488">
        <v>0.5507542338010617</v>
      </c>
      <c r="CF488">
        <v>0.54050196797912087</v>
      </c>
    </row>
    <row r="489" spans="1:84" x14ac:dyDescent="0.3">
      <c r="A489" s="1">
        <v>297</v>
      </c>
      <c r="B489" t="s">
        <v>743</v>
      </c>
      <c r="C489" t="s">
        <v>744</v>
      </c>
      <c r="E489" t="s">
        <v>690</v>
      </c>
      <c r="F489">
        <v>2.98</v>
      </c>
      <c r="G489" t="s">
        <v>692</v>
      </c>
      <c r="H489" t="s">
        <v>693</v>
      </c>
      <c r="I489">
        <v>-1</v>
      </c>
      <c r="J489">
        <v>4</v>
      </c>
      <c r="K489">
        <v>13.003</v>
      </c>
      <c r="L489">
        <v>5.5149999999999997</v>
      </c>
      <c r="M489">
        <v>7.7569999999999997</v>
      </c>
      <c r="N489" t="s">
        <v>730</v>
      </c>
      <c r="O489">
        <v>13.003</v>
      </c>
      <c r="Q489" t="s">
        <v>87</v>
      </c>
      <c r="R489">
        <v>1423</v>
      </c>
      <c r="S489">
        <v>10</v>
      </c>
      <c r="T489" t="b">
        <v>0</v>
      </c>
      <c r="U489" t="s">
        <v>88</v>
      </c>
      <c r="V489" t="s">
        <v>89</v>
      </c>
      <c r="W489">
        <v>0</v>
      </c>
      <c r="Y489">
        <v>2</v>
      </c>
      <c r="Z489">
        <v>0</v>
      </c>
      <c r="AC489" t="s">
        <v>90</v>
      </c>
      <c r="AD489">
        <v>450</v>
      </c>
      <c r="AE489">
        <v>200</v>
      </c>
      <c r="AF489" t="s">
        <v>91</v>
      </c>
      <c r="AH489">
        <v>8</v>
      </c>
      <c r="AI489" t="s">
        <v>745</v>
      </c>
      <c r="AL489" t="b">
        <v>1</v>
      </c>
      <c r="AM489" t="b">
        <v>0</v>
      </c>
      <c r="AN489" t="b">
        <v>0</v>
      </c>
      <c r="AO489" t="b">
        <v>0</v>
      </c>
      <c r="AP489" t="s">
        <v>746</v>
      </c>
      <c r="AQ489" t="s">
        <v>693</v>
      </c>
      <c r="AS489">
        <v>2.0794415416798362</v>
      </c>
      <c r="AT489">
        <v>2</v>
      </c>
      <c r="AU489">
        <v>2.545454545454545</v>
      </c>
      <c r="AV489">
        <v>0.45454545454545447</v>
      </c>
      <c r="AW489">
        <v>0.27272727272727271</v>
      </c>
      <c r="AX489">
        <v>0.37931034482758619</v>
      </c>
      <c r="AY489">
        <v>0.48275862068965519</v>
      </c>
      <c r="AZ489">
        <v>8.6206896551724144E-2</v>
      </c>
      <c r="BA489">
        <v>5.1724137931034482E-2</v>
      </c>
      <c r="BB489">
        <v>5.9579721205909086</v>
      </c>
      <c r="BC489">
        <v>14</v>
      </c>
      <c r="BD489">
        <v>288.33429290182369</v>
      </c>
      <c r="BE489">
        <v>2</v>
      </c>
      <c r="BF489">
        <v>9.7109503410799117E-2</v>
      </c>
      <c r="BG489">
        <v>7.41544296</v>
      </c>
      <c r="BH489">
        <v>7.4154429599999991</v>
      </c>
      <c r="BI489">
        <v>7.41544296</v>
      </c>
      <c r="BJ489">
        <v>556.51188553357167</v>
      </c>
      <c r="BK489">
        <v>4</v>
      </c>
      <c r="BL489">
        <v>0.10062678166578309</v>
      </c>
      <c r="BM489">
        <v>7.8</v>
      </c>
      <c r="BN489">
        <v>13.010999999999999</v>
      </c>
      <c r="BO489">
        <v>5.5460000000000003</v>
      </c>
      <c r="BP489">
        <v>0</v>
      </c>
      <c r="BQ489">
        <v>0</v>
      </c>
      <c r="BS489">
        <v>0</v>
      </c>
      <c r="BT489">
        <v>0</v>
      </c>
      <c r="BU489">
        <v>0</v>
      </c>
      <c r="BV489">
        <v>556.266454565</v>
      </c>
      <c r="BW489">
        <v>0.1006711793250088</v>
      </c>
      <c r="BX489">
        <v>7</v>
      </c>
      <c r="BY489">
        <v>5.0335589662504419E-2</v>
      </c>
      <c r="BZ489">
        <v>4.8554751705399558E-2</v>
      </c>
      <c r="CA489">
        <v>5.0313390832891547E-2</v>
      </c>
      <c r="CC489">
        <v>0.51957358121521546</v>
      </c>
      <c r="CD489">
        <v>0.53839238673769541</v>
      </c>
      <c r="CF489">
        <v>0.53862993146803873</v>
      </c>
    </row>
    <row r="490" spans="1:84" x14ac:dyDescent="0.3">
      <c r="A490" s="1">
        <v>332</v>
      </c>
      <c r="B490" t="s">
        <v>94</v>
      </c>
      <c r="C490" t="s">
        <v>138</v>
      </c>
      <c r="E490" t="s">
        <v>94</v>
      </c>
      <c r="F490">
        <v>3.36</v>
      </c>
      <c r="G490" t="s">
        <v>139</v>
      </c>
      <c r="H490">
        <v>-1</v>
      </c>
      <c r="I490">
        <v>-1</v>
      </c>
      <c r="J490">
        <v>1</v>
      </c>
      <c r="K490">
        <v>3.8860000000000001</v>
      </c>
      <c r="L490">
        <v>3.8860000000000001</v>
      </c>
      <c r="M490">
        <v>10.548299999999999</v>
      </c>
      <c r="N490" t="s">
        <v>757</v>
      </c>
      <c r="O490">
        <v>10.548299999999999</v>
      </c>
      <c r="Q490" t="s">
        <v>87</v>
      </c>
      <c r="R490">
        <v>1423</v>
      </c>
      <c r="S490">
        <v>24</v>
      </c>
      <c r="T490" t="b">
        <v>0</v>
      </c>
      <c r="U490" t="s">
        <v>88</v>
      </c>
      <c r="V490" t="s">
        <v>89</v>
      </c>
      <c r="W490">
        <v>0</v>
      </c>
      <c r="X490">
        <v>4.18</v>
      </c>
      <c r="Y490">
        <v>2</v>
      </c>
      <c r="Z490">
        <v>10</v>
      </c>
      <c r="AC490" t="s">
        <v>90</v>
      </c>
      <c r="AD490">
        <v>100</v>
      </c>
      <c r="AE490">
        <v>400</v>
      </c>
      <c r="AF490" t="s">
        <v>407</v>
      </c>
      <c r="AG490">
        <v>333</v>
      </c>
      <c r="AH490">
        <v>723.21428571428578</v>
      </c>
      <c r="AL490" t="b">
        <v>1</v>
      </c>
      <c r="AM490" t="b">
        <v>0</v>
      </c>
      <c r="AN490" t="b">
        <v>0</v>
      </c>
      <c r="AO490" t="b">
        <v>0</v>
      </c>
      <c r="AP490" t="s">
        <v>139</v>
      </c>
      <c r="AQ490">
        <v>-1</v>
      </c>
      <c r="AS490">
        <v>6.5837055623594818</v>
      </c>
      <c r="AT490">
        <v>1.7272727272727271</v>
      </c>
      <c r="AU490">
        <v>2.545454545454545</v>
      </c>
      <c r="AV490">
        <v>0.81818181818181823</v>
      </c>
      <c r="AW490">
        <v>0</v>
      </c>
      <c r="AX490">
        <v>0.3392857142857143</v>
      </c>
      <c r="AY490">
        <v>0.5</v>
      </c>
      <c r="AZ490">
        <v>0.1607142857142857</v>
      </c>
      <c r="BA490">
        <v>0</v>
      </c>
      <c r="BB490">
        <v>6.4269893564864544</v>
      </c>
      <c r="BC490">
        <v>14</v>
      </c>
      <c r="BD490">
        <v>165.66723991337099</v>
      </c>
      <c r="BE490">
        <v>1</v>
      </c>
      <c r="BF490">
        <v>8.4506749839743392E-2</v>
      </c>
      <c r="BG490">
        <v>3.9263319999999999</v>
      </c>
      <c r="BH490">
        <v>3.9263319999999999</v>
      </c>
      <c r="BI490">
        <v>10.74639</v>
      </c>
      <c r="BJ490">
        <v>0</v>
      </c>
      <c r="BK490">
        <v>0</v>
      </c>
      <c r="BM490">
        <v>0</v>
      </c>
      <c r="BP490">
        <v>0</v>
      </c>
      <c r="BQ490">
        <v>0</v>
      </c>
      <c r="BS490">
        <v>0</v>
      </c>
      <c r="BT490">
        <v>0</v>
      </c>
      <c r="BU490">
        <v>0</v>
      </c>
      <c r="BV490">
        <v>159.28983610680001</v>
      </c>
      <c r="BW490">
        <v>8.789010235790147E-2</v>
      </c>
      <c r="BX490">
        <v>7</v>
      </c>
      <c r="BY490">
        <v>4.3945051178950742E-2</v>
      </c>
      <c r="BZ490">
        <v>4.2253374919871703E-2</v>
      </c>
      <c r="CC490">
        <v>0.41874907041247761</v>
      </c>
      <c r="CF490">
        <v>0.4355143077993508</v>
      </c>
    </row>
    <row r="491" spans="1:84" x14ac:dyDescent="0.3">
      <c r="A491" s="1">
        <v>333</v>
      </c>
      <c r="B491" t="s">
        <v>94</v>
      </c>
      <c r="C491" t="s">
        <v>138</v>
      </c>
      <c r="E491" t="s">
        <v>94</v>
      </c>
      <c r="F491">
        <v>3.1</v>
      </c>
      <c r="G491" t="s">
        <v>139</v>
      </c>
      <c r="H491">
        <v>-1</v>
      </c>
      <c r="I491">
        <v>-1</v>
      </c>
      <c r="J491">
        <v>1</v>
      </c>
      <c r="K491">
        <v>3.8860000000000001</v>
      </c>
      <c r="L491">
        <v>3.8860000000000001</v>
      </c>
      <c r="M491">
        <v>10.548299999999999</v>
      </c>
      <c r="N491" t="s">
        <v>757</v>
      </c>
      <c r="O491">
        <v>10.548299999999999</v>
      </c>
      <c r="Q491" t="s">
        <v>87</v>
      </c>
      <c r="R491">
        <v>1423</v>
      </c>
      <c r="S491">
        <v>24</v>
      </c>
      <c r="T491" t="b">
        <v>0</v>
      </c>
      <c r="U491" t="s">
        <v>88</v>
      </c>
      <c r="V491" t="s">
        <v>89</v>
      </c>
      <c r="W491">
        <v>0</v>
      </c>
      <c r="X491">
        <v>4.18</v>
      </c>
      <c r="Y491">
        <v>2</v>
      </c>
      <c r="Z491">
        <v>10</v>
      </c>
      <c r="AC491" t="s">
        <v>90</v>
      </c>
      <c r="AD491">
        <v>100</v>
      </c>
      <c r="AE491">
        <v>290</v>
      </c>
      <c r="AF491" t="s">
        <v>407</v>
      </c>
      <c r="AG491">
        <v>333</v>
      </c>
      <c r="AH491">
        <v>2008.928571428572</v>
      </c>
      <c r="AL491" t="b">
        <v>1</v>
      </c>
      <c r="AM491" t="b">
        <v>0</v>
      </c>
      <c r="AN491" t="b">
        <v>0</v>
      </c>
      <c r="AO491" t="b">
        <v>0</v>
      </c>
      <c r="AP491" t="s">
        <v>139</v>
      </c>
      <c r="AQ491">
        <v>-1</v>
      </c>
      <c r="AS491">
        <v>7.6053568098914628</v>
      </c>
      <c r="AT491">
        <v>1.7272727272727271</v>
      </c>
      <c r="AU491">
        <v>2.545454545454545</v>
      </c>
      <c r="AV491">
        <v>0.81818181818181823</v>
      </c>
      <c r="AW491">
        <v>0</v>
      </c>
      <c r="AX491">
        <v>0.3392857142857143</v>
      </c>
      <c r="AY491">
        <v>0.5</v>
      </c>
      <c r="AZ491">
        <v>0.1607142857142857</v>
      </c>
      <c r="BA491">
        <v>0</v>
      </c>
      <c r="BB491">
        <v>6.4269893564864544</v>
      </c>
      <c r="BC491">
        <v>14</v>
      </c>
      <c r="BD491">
        <v>165.66723991337099</v>
      </c>
      <c r="BE491">
        <v>1</v>
      </c>
      <c r="BF491">
        <v>8.4506749839743392E-2</v>
      </c>
      <c r="BG491">
        <v>3.9263319999999999</v>
      </c>
      <c r="BH491">
        <v>3.9263319999999999</v>
      </c>
      <c r="BI491">
        <v>10.74639</v>
      </c>
      <c r="BJ491">
        <v>0</v>
      </c>
      <c r="BK491">
        <v>0</v>
      </c>
      <c r="BM491">
        <v>0</v>
      </c>
      <c r="BP491">
        <v>0</v>
      </c>
      <c r="BQ491">
        <v>0</v>
      </c>
      <c r="BS491">
        <v>0</v>
      </c>
      <c r="BT491">
        <v>0</v>
      </c>
      <c r="BU491">
        <v>0</v>
      </c>
      <c r="BV491">
        <v>159.28983610680001</v>
      </c>
      <c r="BW491">
        <v>8.789010235790147E-2</v>
      </c>
      <c r="BX491">
        <v>7</v>
      </c>
      <c r="BY491">
        <v>4.3945051178950742E-2</v>
      </c>
      <c r="BZ491">
        <v>4.2253374919871703E-2</v>
      </c>
      <c r="CC491">
        <v>0.41874907041247761</v>
      </c>
      <c r="CF491">
        <v>0.4355143077993508</v>
      </c>
    </row>
    <row r="492" spans="1:84" x14ac:dyDescent="0.3">
      <c r="A492" s="1">
        <v>335</v>
      </c>
      <c r="B492" t="s">
        <v>480</v>
      </c>
      <c r="C492" t="s">
        <v>481</v>
      </c>
      <c r="F492">
        <v>3.08</v>
      </c>
      <c r="G492" t="s">
        <v>482</v>
      </c>
      <c r="H492" t="s">
        <v>483</v>
      </c>
      <c r="I492">
        <v>-1</v>
      </c>
      <c r="Q492" t="s">
        <v>755</v>
      </c>
      <c r="R492">
        <v>1023</v>
      </c>
      <c r="S492">
        <v>3</v>
      </c>
      <c r="T492" t="b">
        <v>0</v>
      </c>
      <c r="U492" t="s">
        <v>88</v>
      </c>
      <c r="V492" t="s">
        <v>89</v>
      </c>
      <c r="W492">
        <v>0</v>
      </c>
      <c r="Y492">
        <v>0.23799999999999999</v>
      </c>
      <c r="Z492">
        <v>4.76</v>
      </c>
      <c r="AC492" t="s">
        <v>165</v>
      </c>
      <c r="AD492">
        <v>350</v>
      </c>
      <c r="AE492">
        <v>400</v>
      </c>
      <c r="AF492" t="s">
        <v>407</v>
      </c>
      <c r="AH492">
        <v>35</v>
      </c>
      <c r="AL492" t="b">
        <v>1</v>
      </c>
      <c r="AM492" t="b">
        <v>1</v>
      </c>
      <c r="AN492" t="b">
        <v>0</v>
      </c>
      <c r="AO492" t="b">
        <v>0</v>
      </c>
      <c r="AP492" t="s">
        <v>482</v>
      </c>
      <c r="AQ492" t="s">
        <v>483</v>
      </c>
      <c r="AS492">
        <v>3.555348061489414</v>
      </c>
      <c r="AT492">
        <v>2</v>
      </c>
      <c r="AU492">
        <v>3.1578947368421049</v>
      </c>
      <c r="AV492">
        <v>2.4210526315789469</v>
      </c>
      <c r="AW492">
        <v>2.947368421052631</v>
      </c>
      <c r="AX492">
        <v>0.19</v>
      </c>
      <c r="AY492">
        <v>0.3</v>
      </c>
      <c r="AZ492">
        <v>0.23</v>
      </c>
      <c r="BA492">
        <v>0.28000000000000003</v>
      </c>
      <c r="BB492">
        <v>6.1729611386315781</v>
      </c>
      <c r="BC492">
        <v>24</v>
      </c>
      <c r="BD492">
        <v>251.01098912285789</v>
      </c>
      <c r="BE492">
        <v>1</v>
      </c>
      <c r="BF492">
        <v>9.5613343797681868E-2</v>
      </c>
      <c r="BG492">
        <v>3.86469438</v>
      </c>
      <c r="BH492">
        <v>3.86469438</v>
      </c>
      <c r="BI492">
        <v>16.978874730000001</v>
      </c>
      <c r="BJ492">
        <v>967.79977224000004</v>
      </c>
      <c r="BK492">
        <v>4</v>
      </c>
      <c r="BL492">
        <v>9.919407170122109E-2</v>
      </c>
      <c r="BM492">
        <v>32.83</v>
      </c>
      <c r="BN492">
        <v>5.4109999999999996</v>
      </c>
      <c r="BO492">
        <v>5.4480000000000004</v>
      </c>
      <c r="BP492">
        <v>0</v>
      </c>
      <c r="BQ492">
        <v>0</v>
      </c>
      <c r="BS492">
        <v>0</v>
      </c>
      <c r="BT492">
        <v>0</v>
      </c>
      <c r="BU492">
        <v>0</v>
      </c>
      <c r="BX492">
        <v>12</v>
      </c>
      <c r="BZ492">
        <v>4.7806671898840927E-2</v>
      </c>
      <c r="CA492">
        <v>4.9597035850610538E-2</v>
      </c>
      <c r="CC492">
        <v>0.52818907539878346</v>
      </c>
      <c r="CD492">
        <v>0.54796980145127872</v>
      </c>
    </row>
    <row r="493" spans="1:84" x14ac:dyDescent="0.3">
      <c r="A493" s="1">
        <v>336</v>
      </c>
      <c r="B493" t="s">
        <v>758</v>
      </c>
      <c r="C493" t="s">
        <v>759</v>
      </c>
      <c r="F493">
        <v>3.08</v>
      </c>
      <c r="G493" t="s">
        <v>482</v>
      </c>
      <c r="H493" t="s">
        <v>483</v>
      </c>
      <c r="I493">
        <v>-1</v>
      </c>
      <c r="Q493" t="s">
        <v>755</v>
      </c>
      <c r="R493">
        <v>1023</v>
      </c>
      <c r="S493">
        <v>3</v>
      </c>
      <c r="T493" t="b">
        <v>0</v>
      </c>
      <c r="U493" t="s">
        <v>88</v>
      </c>
      <c r="V493" t="s">
        <v>89</v>
      </c>
      <c r="W493">
        <v>0</v>
      </c>
      <c r="Y493">
        <v>0.23799999999999999</v>
      </c>
      <c r="Z493">
        <v>4.76</v>
      </c>
      <c r="AC493" t="s">
        <v>165</v>
      </c>
      <c r="AD493">
        <v>350</v>
      </c>
      <c r="AE493">
        <v>400</v>
      </c>
      <c r="AF493" t="s">
        <v>407</v>
      </c>
      <c r="AH493">
        <v>48</v>
      </c>
      <c r="AI493" t="s">
        <v>760</v>
      </c>
      <c r="AJ493" t="s">
        <v>760</v>
      </c>
      <c r="AL493" t="b">
        <v>1</v>
      </c>
      <c r="AM493" t="b">
        <v>1</v>
      </c>
      <c r="AN493" t="b">
        <v>0</v>
      </c>
      <c r="AO493" t="b">
        <v>0</v>
      </c>
      <c r="AP493" t="s">
        <v>761</v>
      </c>
      <c r="AQ493" t="s">
        <v>762</v>
      </c>
      <c r="AS493">
        <v>3.8712010109078911</v>
      </c>
      <c r="AT493">
        <v>1.996842105263158</v>
      </c>
      <c r="AU493">
        <v>3.1578947368421049</v>
      </c>
      <c r="AV493">
        <v>2.4305263157894741</v>
      </c>
      <c r="AW493">
        <v>2.947368421052631</v>
      </c>
      <c r="AX493">
        <v>0.18958624825104939</v>
      </c>
      <c r="AY493">
        <v>0.29982010793523878</v>
      </c>
      <c r="AZ493">
        <v>0.2307615430741555</v>
      </c>
      <c r="BA493">
        <v>0.27983210073955622</v>
      </c>
      <c r="BB493">
        <v>6.1738118332684202</v>
      </c>
      <c r="BC493">
        <v>24</v>
      </c>
      <c r="BD493">
        <v>251.01098912285789</v>
      </c>
      <c r="BE493">
        <v>1</v>
      </c>
      <c r="BF493">
        <v>9.5613343797681868E-2</v>
      </c>
      <c r="BG493">
        <v>3.86469438</v>
      </c>
      <c r="BH493">
        <v>3.86469438</v>
      </c>
      <c r="BI493">
        <v>16.978874730000001</v>
      </c>
      <c r="BJ493">
        <v>967.79977224000004</v>
      </c>
      <c r="BK493">
        <v>1</v>
      </c>
      <c r="BL493">
        <v>2.4798517925305269E-2</v>
      </c>
      <c r="BM493">
        <v>32.83</v>
      </c>
      <c r="BN493">
        <v>5.4109999999999996</v>
      </c>
      <c r="BO493">
        <v>5.4480000000000004</v>
      </c>
      <c r="BP493">
        <v>0</v>
      </c>
      <c r="BQ493">
        <v>0</v>
      </c>
      <c r="BS493">
        <v>0</v>
      </c>
      <c r="BT493">
        <v>0</v>
      </c>
      <c r="BU493">
        <v>0</v>
      </c>
      <c r="BX493">
        <v>12</v>
      </c>
      <c r="BZ493">
        <v>4.7806671898840927E-2</v>
      </c>
      <c r="CA493">
        <v>1.239925896265264E-2</v>
      </c>
      <c r="CC493">
        <v>0.52797041848302806</v>
      </c>
      <c r="CD493">
        <v>0.1369357389538314</v>
      </c>
    </row>
    <row r="494" spans="1:84" x14ac:dyDescent="0.3">
      <c r="A494" s="1">
        <v>337</v>
      </c>
      <c r="B494" t="s">
        <v>763</v>
      </c>
      <c r="C494" t="s">
        <v>764</v>
      </c>
      <c r="F494">
        <v>3.08</v>
      </c>
      <c r="G494" t="s">
        <v>482</v>
      </c>
      <c r="H494" t="s">
        <v>483</v>
      </c>
      <c r="I494">
        <v>-1</v>
      </c>
      <c r="Q494" t="s">
        <v>755</v>
      </c>
      <c r="R494">
        <v>1023</v>
      </c>
      <c r="S494">
        <v>3</v>
      </c>
      <c r="T494" t="b">
        <v>0</v>
      </c>
      <c r="U494" t="s">
        <v>88</v>
      </c>
      <c r="V494" t="s">
        <v>89</v>
      </c>
      <c r="W494">
        <v>0</v>
      </c>
      <c r="Y494">
        <v>0.23799999999999999</v>
      </c>
      <c r="Z494">
        <v>4.76</v>
      </c>
      <c r="AC494" t="s">
        <v>165</v>
      </c>
      <c r="AD494">
        <v>350</v>
      </c>
      <c r="AE494">
        <v>400</v>
      </c>
      <c r="AF494" t="s">
        <v>407</v>
      </c>
      <c r="AH494">
        <v>48</v>
      </c>
      <c r="AI494" t="s">
        <v>765</v>
      </c>
      <c r="AJ494" t="s">
        <v>765</v>
      </c>
      <c r="AL494" t="b">
        <v>1</v>
      </c>
      <c r="AM494" t="b">
        <v>1</v>
      </c>
      <c r="AN494" t="b">
        <v>0</v>
      </c>
      <c r="AO494" t="b">
        <v>0</v>
      </c>
      <c r="AP494" t="s">
        <v>766</v>
      </c>
      <c r="AQ494" t="s">
        <v>767</v>
      </c>
      <c r="AS494">
        <v>3.8712010109078911</v>
      </c>
      <c r="AT494">
        <v>1.992105263157895</v>
      </c>
      <c r="AU494">
        <v>3.1578947368421049</v>
      </c>
      <c r="AV494">
        <v>2.4447368421052631</v>
      </c>
      <c r="AW494">
        <v>2.947368421052631</v>
      </c>
      <c r="AX494">
        <v>0.1889665501747379</v>
      </c>
      <c r="AY494">
        <v>0.29955067398901652</v>
      </c>
      <c r="AZ494">
        <v>0.23190214677983029</v>
      </c>
      <c r="BA494">
        <v>0.27958062905641529</v>
      </c>
      <c r="BB494">
        <v>6.1750878752236833</v>
      </c>
      <c r="BC494">
        <v>24</v>
      </c>
      <c r="BD494">
        <v>251.01098912285789</v>
      </c>
      <c r="BE494">
        <v>1</v>
      </c>
      <c r="BF494">
        <v>9.5613343797681868E-2</v>
      </c>
      <c r="BG494">
        <v>3.86469438</v>
      </c>
      <c r="BH494">
        <v>3.86469438</v>
      </c>
      <c r="BI494">
        <v>16.978874730000001</v>
      </c>
      <c r="BJ494">
        <v>967.79977224000004</v>
      </c>
      <c r="BK494">
        <v>1</v>
      </c>
      <c r="BL494">
        <v>2.4798517925305269E-2</v>
      </c>
      <c r="BM494">
        <v>32.83</v>
      </c>
      <c r="BN494">
        <v>5.4109999999999996</v>
      </c>
      <c r="BO494">
        <v>5.4480000000000004</v>
      </c>
      <c r="BP494">
        <v>0</v>
      </c>
      <c r="BQ494">
        <v>0</v>
      </c>
      <c r="BS494">
        <v>0</v>
      </c>
      <c r="BT494">
        <v>0</v>
      </c>
      <c r="BU494">
        <v>0</v>
      </c>
      <c r="BX494">
        <v>12</v>
      </c>
      <c r="BZ494">
        <v>4.7806671898840927E-2</v>
      </c>
      <c r="CA494">
        <v>1.239925896265264E-2</v>
      </c>
      <c r="CC494">
        <v>0.52764243310939496</v>
      </c>
      <c r="CD494">
        <v>0.13685067184034891</v>
      </c>
    </row>
    <row r="495" spans="1:84" x14ac:dyDescent="0.3">
      <c r="A495" s="1">
        <v>338</v>
      </c>
      <c r="B495" t="s">
        <v>768</v>
      </c>
      <c r="C495" t="s">
        <v>769</v>
      </c>
      <c r="F495">
        <v>3.08</v>
      </c>
      <c r="G495" t="s">
        <v>482</v>
      </c>
      <c r="H495" t="s">
        <v>483</v>
      </c>
      <c r="I495">
        <v>-1</v>
      </c>
      <c r="Q495" t="s">
        <v>755</v>
      </c>
      <c r="R495">
        <v>1023</v>
      </c>
      <c r="S495">
        <v>3</v>
      </c>
      <c r="T495" t="b">
        <v>0</v>
      </c>
      <c r="U495" t="s">
        <v>88</v>
      </c>
      <c r="V495" t="s">
        <v>89</v>
      </c>
      <c r="W495">
        <v>0</v>
      </c>
      <c r="Y495">
        <v>0.23799999999999999</v>
      </c>
      <c r="Z495">
        <v>4.76</v>
      </c>
      <c r="AC495" t="s">
        <v>165</v>
      </c>
      <c r="AD495">
        <v>350</v>
      </c>
      <c r="AE495">
        <v>400</v>
      </c>
      <c r="AF495" t="s">
        <v>407</v>
      </c>
      <c r="AH495">
        <v>51</v>
      </c>
      <c r="AI495" t="s">
        <v>770</v>
      </c>
      <c r="AJ495" t="s">
        <v>770</v>
      </c>
      <c r="AL495" t="b">
        <v>1</v>
      </c>
      <c r="AM495" t="b">
        <v>1</v>
      </c>
      <c r="AN495" t="b">
        <v>0</v>
      </c>
      <c r="AO495" t="b">
        <v>0</v>
      </c>
      <c r="AP495" t="s">
        <v>771</v>
      </c>
      <c r="AQ495" t="s">
        <v>772</v>
      </c>
      <c r="AS495">
        <v>3.9318256327243262</v>
      </c>
      <c r="AT495">
        <v>1.9842105263157901</v>
      </c>
      <c r="AU495">
        <v>3.1578947368421049</v>
      </c>
      <c r="AV495">
        <v>2.4684210526315788</v>
      </c>
      <c r="AW495">
        <v>2.947368421052631</v>
      </c>
      <c r="AX495">
        <v>0.18793619142572279</v>
      </c>
      <c r="AY495">
        <v>0.29910269192422728</v>
      </c>
      <c r="AZ495">
        <v>0.2337986041874377</v>
      </c>
      <c r="BA495">
        <v>0.27916251246261209</v>
      </c>
      <c r="BB495">
        <v>6.1772146118157893</v>
      </c>
      <c r="BC495">
        <v>24</v>
      </c>
      <c r="BD495">
        <v>251.01098912285789</v>
      </c>
      <c r="BE495">
        <v>1</v>
      </c>
      <c r="BF495">
        <v>9.5613343797681868E-2</v>
      </c>
      <c r="BG495">
        <v>3.86469438</v>
      </c>
      <c r="BH495">
        <v>3.86469438</v>
      </c>
      <c r="BI495">
        <v>16.978874730000001</v>
      </c>
      <c r="BJ495">
        <v>967.79977224000004</v>
      </c>
      <c r="BK495">
        <v>1</v>
      </c>
      <c r="BL495">
        <v>2.4798517925305269E-2</v>
      </c>
      <c r="BM495">
        <v>32.83</v>
      </c>
      <c r="BN495">
        <v>5.4109999999999996</v>
      </c>
      <c r="BO495">
        <v>5.4480000000000004</v>
      </c>
      <c r="BP495">
        <v>0</v>
      </c>
      <c r="BQ495">
        <v>0</v>
      </c>
      <c r="BS495">
        <v>0</v>
      </c>
      <c r="BT495">
        <v>0</v>
      </c>
      <c r="BU495">
        <v>0</v>
      </c>
      <c r="BX495">
        <v>12</v>
      </c>
      <c r="BZ495">
        <v>4.7806671898840927E-2</v>
      </c>
      <c r="CA495">
        <v>1.239925896265264E-2</v>
      </c>
      <c r="CC495">
        <v>0.52709579082000635</v>
      </c>
      <c r="CD495">
        <v>0.136708893317878</v>
      </c>
    </row>
    <row r="496" spans="1:84" x14ac:dyDescent="0.3">
      <c r="A496" s="1">
        <v>339</v>
      </c>
      <c r="B496" t="s">
        <v>773</v>
      </c>
      <c r="C496" t="s">
        <v>774</v>
      </c>
      <c r="F496">
        <v>3.08</v>
      </c>
      <c r="G496" t="s">
        <v>482</v>
      </c>
      <c r="H496" t="s">
        <v>483</v>
      </c>
      <c r="I496">
        <v>-1</v>
      </c>
      <c r="Q496" t="s">
        <v>755</v>
      </c>
      <c r="R496">
        <v>1023</v>
      </c>
      <c r="S496">
        <v>3</v>
      </c>
      <c r="T496" t="b">
        <v>0</v>
      </c>
      <c r="U496" t="s">
        <v>88</v>
      </c>
      <c r="V496" t="s">
        <v>89</v>
      </c>
      <c r="W496">
        <v>0</v>
      </c>
      <c r="Y496">
        <v>0.23799999999999999</v>
      </c>
      <c r="Z496">
        <v>4.76</v>
      </c>
      <c r="AC496" t="s">
        <v>165</v>
      </c>
      <c r="AD496">
        <v>350</v>
      </c>
      <c r="AE496">
        <v>400</v>
      </c>
      <c r="AF496" t="s">
        <v>407</v>
      </c>
      <c r="AH496">
        <v>58</v>
      </c>
      <c r="AI496" t="s">
        <v>775</v>
      </c>
      <c r="AJ496" t="s">
        <v>775</v>
      </c>
      <c r="AL496" t="b">
        <v>1</v>
      </c>
      <c r="AM496" t="b">
        <v>1</v>
      </c>
      <c r="AN496" t="b">
        <v>0</v>
      </c>
      <c r="AO496" t="b">
        <v>0</v>
      </c>
      <c r="AP496" t="s">
        <v>776</v>
      </c>
      <c r="AQ496" t="s">
        <v>777</v>
      </c>
      <c r="AS496">
        <v>4.0604430105464191</v>
      </c>
      <c r="AT496">
        <v>1.978947368421053</v>
      </c>
      <c r="AU496">
        <v>3.1578947368421049</v>
      </c>
      <c r="AV496">
        <v>2.4842105263157901</v>
      </c>
      <c r="AW496">
        <v>2.947368421052631</v>
      </c>
      <c r="AX496">
        <v>0.18725099601593631</v>
      </c>
      <c r="AY496">
        <v>0.29880478087649398</v>
      </c>
      <c r="AZ496">
        <v>0.23505976095617531</v>
      </c>
      <c r="BA496">
        <v>0.2788844621513944</v>
      </c>
      <c r="BB496">
        <v>6.1786324362105258</v>
      </c>
      <c r="BC496">
        <v>24</v>
      </c>
      <c r="BD496">
        <v>251.01098912285789</v>
      </c>
      <c r="BE496">
        <v>1</v>
      </c>
      <c r="BF496">
        <v>9.5613343797681868E-2</v>
      </c>
      <c r="BG496">
        <v>3.86469438</v>
      </c>
      <c r="BH496">
        <v>3.86469438</v>
      </c>
      <c r="BI496">
        <v>16.978874730000001</v>
      </c>
      <c r="BJ496">
        <v>967.79977224000004</v>
      </c>
      <c r="BK496">
        <v>1</v>
      </c>
      <c r="BL496">
        <v>2.4798517925305269E-2</v>
      </c>
      <c r="BM496">
        <v>32.83</v>
      </c>
      <c r="BN496">
        <v>5.4109999999999996</v>
      </c>
      <c r="BO496">
        <v>5.4480000000000004</v>
      </c>
      <c r="BP496">
        <v>0</v>
      </c>
      <c r="BQ496">
        <v>0</v>
      </c>
      <c r="BS496">
        <v>0</v>
      </c>
      <c r="BT496">
        <v>0</v>
      </c>
      <c r="BU496">
        <v>0</v>
      </c>
      <c r="BX496">
        <v>12</v>
      </c>
      <c r="BZ496">
        <v>4.7806671898840927E-2</v>
      </c>
      <c r="CA496">
        <v>1.239925896265264E-2</v>
      </c>
      <c r="CC496">
        <v>0.52673136262708065</v>
      </c>
      <c r="CD496">
        <v>0.1366143743028975</v>
      </c>
    </row>
    <row r="497" spans="1:84" x14ac:dyDescent="0.3">
      <c r="A497" s="1">
        <v>340</v>
      </c>
      <c r="B497" t="s">
        <v>778</v>
      </c>
      <c r="C497" t="s">
        <v>779</v>
      </c>
      <c r="F497">
        <v>3.08</v>
      </c>
      <c r="G497" t="s">
        <v>482</v>
      </c>
      <c r="H497" t="s">
        <v>483</v>
      </c>
      <c r="I497">
        <v>-1</v>
      </c>
      <c r="Q497" t="s">
        <v>755</v>
      </c>
      <c r="R497">
        <v>1023</v>
      </c>
      <c r="S497">
        <v>3</v>
      </c>
      <c r="T497" t="b">
        <v>0</v>
      </c>
      <c r="U497" t="s">
        <v>88</v>
      </c>
      <c r="V497" t="s">
        <v>89</v>
      </c>
      <c r="W497">
        <v>0</v>
      </c>
      <c r="Y497">
        <v>0.23799999999999999</v>
      </c>
      <c r="Z497">
        <v>4.76</v>
      </c>
      <c r="AC497" t="s">
        <v>165</v>
      </c>
      <c r="AD497">
        <v>350</v>
      </c>
      <c r="AE497">
        <v>400</v>
      </c>
      <c r="AF497" t="s">
        <v>407</v>
      </c>
      <c r="AH497">
        <v>52</v>
      </c>
      <c r="AI497" t="s">
        <v>780</v>
      </c>
      <c r="AJ497" t="s">
        <v>780</v>
      </c>
      <c r="AL497" t="b">
        <v>1</v>
      </c>
      <c r="AM497" t="b">
        <v>1</v>
      </c>
      <c r="AN497" t="b">
        <v>0</v>
      </c>
      <c r="AO497" t="b">
        <v>0</v>
      </c>
      <c r="AP497" t="s">
        <v>781</v>
      </c>
      <c r="AQ497" t="s">
        <v>782</v>
      </c>
      <c r="AS497">
        <v>3.951243718581428</v>
      </c>
      <c r="AT497">
        <v>1.9736842105263159</v>
      </c>
      <c r="AU497">
        <v>3.1578947368421049</v>
      </c>
      <c r="AV497">
        <v>2.5</v>
      </c>
      <c r="AW497">
        <v>2.947368421052631</v>
      </c>
      <c r="AX497">
        <v>0.18656716417910449</v>
      </c>
      <c r="AY497">
        <v>0.29850746268656708</v>
      </c>
      <c r="AZ497">
        <v>0.23631840796019901</v>
      </c>
      <c r="BA497">
        <v>0.27860696517412931</v>
      </c>
      <c r="BB497">
        <v>6.1800502606052623</v>
      </c>
      <c r="BC497">
        <v>24</v>
      </c>
      <c r="BD497">
        <v>251.01098912285789</v>
      </c>
      <c r="BE497">
        <v>1</v>
      </c>
      <c r="BF497">
        <v>9.5613343797681868E-2</v>
      </c>
      <c r="BG497">
        <v>3.86469438</v>
      </c>
      <c r="BH497">
        <v>3.86469438</v>
      </c>
      <c r="BI497">
        <v>16.978874730000001</v>
      </c>
      <c r="BJ497">
        <v>967.79977224000004</v>
      </c>
      <c r="BK497">
        <v>2</v>
      </c>
      <c r="BL497">
        <v>4.9597035850610538E-2</v>
      </c>
      <c r="BM497">
        <v>32.83</v>
      </c>
      <c r="BN497">
        <v>5.4109999999999996</v>
      </c>
      <c r="BO497">
        <v>5.4480000000000004</v>
      </c>
      <c r="BP497">
        <v>0</v>
      </c>
      <c r="BQ497">
        <v>0</v>
      </c>
      <c r="BS497">
        <v>0</v>
      </c>
      <c r="BT497">
        <v>0</v>
      </c>
      <c r="BU497">
        <v>0</v>
      </c>
      <c r="BX497">
        <v>12</v>
      </c>
      <c r="BZ497">
        <v>4.7806671898840927E-2</v>
      </c>
      <c r="CA497">
        <v>2.4798517925305269E-2</v>
      </c>
      <c r="CC497">
        <v>0.52636693443415494</v>
      </c>
      <c r="CD497">
        <v>0.27303971057583382</v>
      </c>
    </row>
    <row r="498" spans="1:84" x14ac:dyDescent="0.3">
      <c r="A498" s="1">
        <v>383</v>
      </c>
      <c r="B498" t="s">
        <v>128</v>
      </c>
      <c r="C498" t="s">
        <v>129</v>
      </c>
      <c r="E498" t="s">
        <v>130</v>
      </c>
      <c r="F498">
        <v>3.26</v>
      </c>
      <c r="G498" t="s">
        <v>131</v>
      </c>
      <c r="H498" t="s">
        <v>132</v>
      </c>
      <c r="I498">
        <v>-1</v>
      </c>
      <c r="O498">
        <v>0</v>
      </c>
      <c r="Q498" t="s">
        <v>87</v>
      </c>
      <c r="R498">
        <v>1423</v>
      </c>
      <c r="S498">
        <v>24</v>
      </c>
      <c r="T498" t="b">
        <v>0</v>
      </c>
      <c r="U498" t="s">
        <v>88</v>
      </c>
      <c r="V498" t="s">
        <v>89</v>
      </c>
      <c r="W498">
        <v>0</v>
      </c>
      <c r="X498">
        <v>47.1</v>
      </c>
      <c r="Y498">
        <v>2</v>
      </c>
      <c r="Z498">
        <v>10</v>
      </c>
      <c r="AC498" t="s">
        <v>90</v>
      </c>
      <c r="AD498">
        <v>100</v>
      </c>
      <c r="AE498">
        <v>290</v>
      </c>
      <c r="AF498" t="s">
        <v>91</v>
      </c>
      <c r="AG498">
        <v>333</v>
      </c>
      <c r="AH498">
        <v>133.92857142857139</v>
      </c>
      <c r="AL498" t="b">
        <v>1</v>
      </c>
      <c r="AM498" t="b">
        <v>0</v>
      </c>
      <c r="AN498" t="b">
        <v>0</v>
      </c>
      <c r="AO498" t="b">
        <v>0</v>
      </c>
      <c r="AP498" t="s">
        <v>131</v>
      </c>
      <c r="AQ498" t="s">
        <v>132</v>
      </c>
      <c r="AS498">
        <v>4.8973066087892523</v>
      </c>
      <c r="AT498">
        <v>2</v>
      </c>
      <c r="AU498">
        <v>2.666666666666667</v>
      </c>
      <c r="AV498">
        <v>0.66666666666666663</v>
      </c>
      <c r="AW498">
        <v>0</v>
      </c>
      <c r="AX498">
        <v>0.375</v>
      </c>
      <c r="AY498">
        <v>0.5</v>
      </c>
      <c r="AZ498">
        <v>0.125</v>
      </c>
      <c r="BA498">
        <v>0</v>
      </c>
      <c r="BB498">
        <v>6.1770001596666662</v>
      </c>
      <c r="BC498">
        <v>4</v>
      </c>
      <c r="BD498">
        <v>1182.741260108548</v>
      </c>
      <c r="BE498">
        <v>30</v>
      </c>
      <c r="BF498">
        <v>0.1014592151701775</v>
      </c>
      <c r="BG498">
        <v>10.59112378</v>
      </c>
      <c r="BH498">
        <v>10.784736629999999</v>
      </c>
      <c r="BI498">
        <v>10.486176179999999</v>
      </c>
      <c r="BJ498">
        <v>130.36387300000001</v>
      </c>
      <c r="BK498">
        <v>4</v>
      </c>
      <c r="BL498">
        <v>0.1227333894874388</v>
      </c>
      <c r="BM498">
        <v>3.73</v>
      </c>
      <c r="BN498">
        <v>3.73</v>
      </c>
      <c r="BO498">
        <v>9.3699999999999992</v>
      </c>
      <c r="BP498">
        <v>0</v>
      </c>
      <c r="BQ498">
        <v>0</v>
      </c>
      <c r="BS498">
        <v>0</v>
      </c>
      <c r="BT498">
        <v>0</v>
      </c>
      <c r="BU498">
        <v>0</v>
      </c>
      <c r="BX498">
        <v>2</v>
      </c>
      <c r="BZ498">
        <v>5.0729607585088737E-2</v>
      </c>
      <c r="CA498">
        <v>6.1366694743719377E-2</v>
      </c>
      <c r="CC498">
        <v>0.46900407026869612</v>
      </c>
      <c r="CD498">
        <v>0.56734579634715776</v>
      </c>
    </row>
    <row r="499" spans="1:84" x14ac:dyDescent="0.3">
      <c r="A499" s="1">
        <v>384</v>
      </c>
      <c r="B499" t="s">
        <v>94</v>
      </c>
      <c r="C499" t="s">
        <v>138</v>
      </c>
      <c r="E499" t="s">
        <v>94</v>
      </c>
      <c r="F499">
        <v>3.1</v>
      </c>
      <c r="G499" t="s">
        <v>139</v>
      </c>
      <c r="H499">
        <v>-1</v>
      </c>
      <c r="I499">
        <v>-1</v>
      </c>
      <c r="J499">
        <v>1</v>
      </c>
      <c r="K499">
        <v>3.8849999999999998</v>
      </c>
      <c r="L499">
        <v>3.8849999999999998</v>
      </c>
      <c r="M499">
        <v>10.989000000000001</v>
      </c>
      <c r="O499">
        <v>10.989000000000001</v>
      </c>
      <c r="Q499" t="s">
        <v>87</v>
      </c>
      <c r="R499">
        <v>1423</v>
      </c>
      <c r="S499">
        <v>24</v>
      </c>
      <c r="T499" t="b">
        <v>0</v>
      </c>
      <c r="U499" t="s">
        <v>88</v>
      </c>
      <c r="V499" t="s">
        <v>89</v>
      </c>
      <c r="W499">
        <v>0</v>
      </c>
      <c r="X499">
        <v>4.18</v>
      </c>
      <c r="Y499">
        <v>2</v>
      </c>
      <c r="Z499">
        <v>10</v>
      </c>
      <c r="AC499" t="s">
        <v>90</v>
      </c>
      <c r="AD499">
        <v>100</v>
      </c>
      <c r="AE499">
        <v>290</v>
      </c>
      <c r="AF499" t="s">
        <v>91</v>
      </c>
      <c r="AG499">
        <v>333</v>
      </c>
      <c r="AH499">
        <v>357.14285714285722</v>
      </c>
      <c r="AL499" t="b">
        <v>1</v>
      </c>
      <c r="AM499" t="b">
        <v>0</v>
      </c>
      <c r="AN499" t="b">
        <v>0</v>
      </c>
      <c r="AO499" t="b">
        <v>0</v>
      </c>
      <c r="AP499" t="s">
        <v>139</v>
      </c>
      <c r="AQ499">
        <v>-1</v>
      </c>
      <c r="AS499">
        <v>5.8781358618009794</v>
      </c>
      <c r="AT499">
        <v>1.7272727272727271</v>
      </c>
      <c r="AU499">
        <v>2.545454545454545</v>
      </c>
      <c r="AV499">
        <v>0.81818181818181823</v>
      </c>
      <c r="AW499">
        <v>0</v>
      </c>
      <c r="AX499">
        <v>0.3392857142857143</v>
      </c>
      <c r="AY499">
        <v>0.5</v>
      </c>
      <c r="AZ499">
        <v>0.1607142857142857</v>
      </c>
      <c r="BA499">
        <v>0</v>
      </c>
      <c r="BB499">
        <v>6.4269893564864544</v>
      </c>
      <c r="BC499">
        <v>14</v>
      </c>
      <c r="BD499">
        <v>165.66723991337099</v>
      </c>
      <c r="BE499">
        <v>1</v>
      </c>
      <c r="BF499">
        <v>8.4506749839743392E-2</v>
      </c>
      <c r="BG499">
        <v>3.9263319999999999</v>
      </c>
      <c r="BH499">
        <v>3.9263319999999999</v>
      </c>
      <c r="BI499">
        <v>10.74639</v>
      </c>
      <c r="BJ499">
        <v>0</v>
      </c>
      <c r="BK499">
        <v>0</v>
      </c>
      <c r="BM499">
        <v>0</v>
      </c>
      <c r="BP499">
        <v>0</v>
      </c>
      <c r="BQ499">
        <v>0</v>
      </c>
      <c r="BS499">
        <v>0</v>
      </c>
      <c r="BT499">
        <v>0</v>
      </c>
      <c r="BU499">
        <v>0</v>
      </c>
      <c r="BV499">
        <v>165.859449525</v>
      </c>
      <c r="BW499">
        <v>8.4408817466199174E-2</v>
      </c>
      <c r="BX499">
        <v>7</v>
      </c>
      <c r="BY499">
        <v>4.2204408733099587E-2</v>
      </c>
      <c r="BZ499">
        <v>4.2253374919871703E-2</v>
      </c>
      <c r="CC499">
        <v>0.41874907041247761</v>
      </c>
      <c r="CF499">
        <v>0.41826379449708978</v>
      </c>
    </row>
    <row r="500" spans="1:84" x14ac:dyDescent="0.3">
      <c r="A500" s="1">
        <v>416</v>
      </c>
      <c r="B500" t="s">
        <v>690</v>
      </c>
      <c r="C500" t="s">
        <v>691</v>
      </c>
      <c r="E500" t="s">
        <v>690</v>
      </c>
      <c r="F500">
        <v>3.31</v>
      </c>
      <c r="G500" t="s">
        <v>692</v>
      </c>
      <c r="H500" t="s">
        <v>693</v>
      </c>
      <c r="I500">
        <v>-1</v>
      </c>
      <c r="O500">
        <v>0</v>
      </c>
      <c r="Q500" t="s">
        <v>821</v>
      </c>
      <c r="R500">
        <v>473</v>
      </c>
      <c r="S500">
        <v>24</v>
      </c>
      <c r="T500" t="b">
        <v>0</v>
      </c>
      <c r="U500" t="s">
        <v>88</v>
      </c>
      <c r="V500" t="s">
        <v>89</v>
      </c>
      <c r="W500">
        <v>0</v>
      </c>
      <c r="X500">
        <v>69.8</v>
      </c>
      <c r="Y500">
        <v>2</v>
      </c>
      <c r="Z500">
        <v>16</v>
      </c>
      <c r="AC500" t="s">
        <v>90</v>
      </c>
      <c r="AD500">
        <v>400</v>
      </c>
      <c r="AF500" t="s">
        <v>91</v>
      </c>
      <c r="AH500">
        <v>750</v>
      </c>
      <c r="AL500" t="b">
        <v>1</v>
      </c>
      <c r="AM500" t="b">
        <v>0</v>
      </c>
      <c r="AN500" t="b">
        <v>0</v>
      </c>
      <c r="AO500" t="b">
        <v>0</v>
      </c>
      <c r="AP500" t="s">
        <v>692</v>
      </c>
      <c r="AQ500" t="s">
        <v>693</v>
      </c>
      <c r="AS500">
        <v>6.620073206530356</v>
      </c>
      <c r="AT500">
        <v>2</v>
      </c>
      <c r="AU500">
        <v>2.545454545454545</v>
      </c>
      <c r="AV500">
        <v>0.54545454545454541</v>
      </c>
      <c r="AW500">
        <v>0</v>
      </c>
      <c r="AX500">
        <v>0.39285714285714279</v>
      </c>
      <c r="AY500">
        <v>0.5</v>
      </c>
      <c r="AZ500">
        <v>0.1071428571428571</v>
      </c>
      <c r="BA500">
        <v>0</v>
      </c>
      <c r="BB500">
        <v>5.9831999205909083</v>
      </c>
      <c r="BC500">
        <v>14</v>
      </c>
      <c r="BD500">
        <v>288.33429290182369</v>
      </c>
      <c r="BE500">
        <v>2</v>
      </c>
      <c r="BF500">
        <v>9.7109503410799117E-2</v>
      </c>
      <c r="BG500">
        <v>7.41544296</v>
      </c>
      <c r="BH500">
        <v>7.4154429599999991</v>
      </c>
      <c r="BI500">
        <v>7.41544296</v>
      </c>
      <c r="BJ500">
        <v>556.51188553357167</v>
      </c>
      <c r="BK500">
        <v>4</v>
      </c>
      <c r="BL500">
        <v>0.10062678166578309</v>
      </c>
      <c r="BM500">
        <v>7.8</v>
      </c>
      <c r="BN500">
        <v>13.010999999999999</v>
      </c>
      <c r="BO500">
        <v>5.5460000000000003</v>
      </c>
      <c r="BP500">
        <v>0</v>
      </c>
      <c r="BQ500">
        <v>0</v>
      </c>
      <c r="BS500">
        <v>0</v>
      </c>
      <c r="BT500">
        <v>0</v>
      </c>
      <c r="BU500">
        <v>0</v>
      </c>
      <c r="BX500">
        <v>7</v>
      </c>
      <c r="BZ500">
        <v>4.8554751705399558E-2</v>
      </c>
      <c r="CA500">
        <v>5.0313390832891547E-2</v>
      </c>
      <c r="CC500">
        <v>0.52442413903612495</v>
      </c>
      <c r="CD500">
        <v>0.54341863036636617</v>
      </c>
    </row>
    <row r="501" spans="1:84" x14ac:dyDescent="0.3">
      <c r="A501" s="1">
        <v>417</v>
      </c>
      <c r="B501" t="s">
        <v>690</v>
      </c>
      <c r="C501" t="s">
        <v>691</v>
      </c>
      <c r="E501" t="s">
        <v>690</v>
      </c>
      <c r="F501">
        <v>3.31</v>
      </c>
      <c r="G501" t="s">
        <v>692</v>
      </c>
      <c r="H501" t="s">
        <v>693</v>
      </c>
      <c r="I501">
        <v>-1</v>
      </c>
      <c r="O501">
        <v>0</v>
      </c>
      <c r="Q501" t="s">
        <v>87</v>
      </c>
      <c r="R501">
        <v>1323</v>
      </c>
      <c r="T501" t="b">
        <v>0</v>
      </c>
      <c r="U501" t="s">
        <v>88</v>
      </c>
      <c r="V501" t="s">
        <v>89</v>
      </c>
      <c r="W501">
        <v>0</v>
      </c>
      <c r="X501">
        <v>1.2</v>
      </c>
      <c r="Y501">
        <v>2</v>
      </c>
      <c r="Z501">
        <v>16</v>
      </c>
      <c r="AC501" t="s">
        <v>90</v>
      </c>
      <c r="AD501">
        <v>400</v>
      </c>
      <c r="AF501" t="s">
        <v>91</v>
      </c>
      <c r="AH501">
        <v>20</v>
      </c>
      <c r="AL501" t="b">
        <v>1</v>
      </c>
      <c r="AM501" t="b">
        <v>0</v>
      </c>
      <c r="AN501" t="b">
        <v>0</v>
      </c>
      <c r="AO501" t="b">
        <v>0</v>
      </c>
      <c r="AP501" t="s">
        <v>692</v>
      </c>
      <c r="AQ501" t="s">
        <v>693</v>
      </c>
      <c r="AS501">
        <v>2.9957322735539909</v>
      </c>
      <c r="AT501">
        <v>2</v>
      </c>
      <c r="AU501">
        <v>2.545454545454545</v>
      </c>
      <c r="AV501">
        <v>0.54545454545454541</v>
      </c>
      <c r="AW501">
        <v>0</v>
      </c>
      <c r="AX501">
        <v>0.39285714285714279</v>
      </c>
      <c r="AY501">
        <v>0.5</v>
      </c>
      <c r="AZ501">
        <v>0.1071428571428571</v>
      </c>
      <c r="BA501">
        <v>0</v>
      </c>
      <c r="BB501">
        <v>5.9831999205909083</v>
      </c>
      <c r="BC501">
        <v>14</v>
      </c>
      <c r="BD501">
        <v>288.33429290182369</v>
      </c>
      <c r="BE501">
        <v>2</v>
      </c>
      <c r="BF501">
        <v>9.7109503410799117E-2</v>
      </c>
      <c r="BG501">
        <v>7.41544296</v>
      </c>
      <c r="BH501">
        <v>7.4154429599999991</v>
      </c>
      <c r="BI501">
        <v>7.41544296</v>
      </c>
      <c r="BJ501">
        <v>556.51188553357167</v>
      </c>
      <c r="BK501">
        <v>4</v>
      </c>
      <c r="BL501">
        <v>0.10062678166578309</v>
      </c>
      <c r="BM501">
        <v>7.8</v>
      </c>
      <c r="BN501">
        <v>13.010999999999999</v>
      </c>
      <c r="BO501">
        <v>5.5460000000000003</v>
      </c>
      <c r="BP501">
        <v>0</v>
      </c>
      <c r="BQ501">
        <v>0</v>
      </c>
      <c r="BS501">
        <v>0</v>
      </c>
      <c r="BT501">
        <v>0</v>
      </c>
      <c r="BU501">
        <v>0</v>
      </c>
      <c r="BX501">
        <v>7</v>
      </c>
      <c r="BZ501">
        <v>4.8554751705399558E-2</v>
      </c>
      <c r="CA501">
        <v>5.0313390832891547E-2</v>
      </c>
      <c r="CC501">
        <v>0.52442413903612495</v>
      </c>
      <c r="CD501">
        <v>0.54341863036636617</v>
      </c>
    </row>
    <row r="502" spans="1:84" x14ac:dyDescent="0.3">
      <c r="A502" s="1">
        <v>453</v>
      </c>
      <c r="B502" t="s">
        <v>281</v>
      </c>
      <c r="C502" t="s">
        <v>282</v>
      </c>
      <c r="F502">
        <v>3.92</v>
      </c>
      <c r="G502" t="s">
        <v>283</v>
      </c>
      <c r="H502" t="s">
        <v>284</v>
      </c>
      <c r="I502">
        <v>-1</v>
      </c>
      <c r="Q502" t="s">
        <v>821</v>
      </c>
      <c r="R502">
        <v>473</v>
      </c>
      <c r="S502">
        <v>12</v>
      </c>
      <c r="T502" t="b">
        <v>0</v>
      </c>
      <c r="U502" t="s">
        <v>88</v>
      </c>
      <c r="V502" t="s">
        <v>89</v>
      </c>
      <c r="W502">
        <v>0</v>
      </c>
      <c r="X502">
        <v>1.6</v>
      </c>
      <c r="Y502">
        <v>0.83</v>
      </c>
      <c r="Z502">
        <v>0</v>
      </c>
      <c r="AC502" t="s">
        <v>90</v>
      </c>
      <c r="AD502">
        <v>450</v>
      </c>
      <c r="AF502" t="s">
        <v>91</v>
      </c>
      <c r="AG502">
        <v>298</v>
      </c>
      <c r="AH502">
        <v>15</v>
      </c>
      <c r="AL502" t="b">
        <v>1</v>
      </c>
      <c r="AM502" t="b">
        <v>0</v>
      </c>
      <c r="AN502" t="b">
        <v>0</v>
      </c>
      <c r="AO502" t="b">
        <v>0</v>
      </c>
      <c r="AP502" t="s">
        <v>283</v>
      </c>
      <c r="AQ502" t="s">
        <v>284</v>
      </c>
      <c r="AS502">
        <v>2.7080502011022101</v>
      </c>
      <c r="AT502">
        <v>1.833333333333333</v>
      </c>
      <c r="AU502">
        <v>2.5</v>
      </c>
      <c r="AV502">
        <v>0.66666666666666663</v>
      </c>
      <c r="AW502">
        <v>0</v>
      </c>
      <c r="AX502">
        <v>0.36666666666666659</v>
      </c>
      <c r="AY502">
        <v>0.5</v>
      </c>
      <c r="AZ502">
        <v>0.1333333333333333</v>
      </c>
      <c r="BA502">
        <v>0</v>
      </c>
      <c r="BB502">
        <v>5.9098750142708329</v>
      </c>
      <c r="BC502">
        <v>30</v>
      </c>
      <c r="BD502">
        <v>353.45760058531442</v>
      </c>
      <c r="BE502">
        <v>1</v>
      </c>
      <c r="BF502">
        <v>8.487580957467307E-2</v>
      </c>
      <c r="BG502">
        <v>5.8532381300000003</v>
      </c>
      <c r="BH502">
        <v>5.8532371599999999</v>
      </c>
      <c r="BI502">
        <v>11.912811489999999</v>
      </c>
      <c r="BJ502">
        <v>342.77011164986561</v>
      </c>
      <c r="BK502">
        <v>1</v>
      </c>
      <c r="BL502">
        <v>8.7522216728874364E-2</v>
      </c>
      <c r="BM502">
        <v>5.7946</v>
      </c>
      <c r="BN502">
        <v>5.7946</v>
      </c>
      <c r="BO502">
        <v>11.787599999999999</v>
      </c>
      <c r="BP502">
        <v>0</v>
      </c>
      <c r="BQ502">
        <v>0</v>
      </c>
      <c r="BS502">
        <v>0</v>
      </c>
      <c r="BT502">
        <v>0</v>
      </c>
      <c r="BU502">
        <v>0</v>
      </c>
      <c r="BX502">
        <v>15</v>
      </c>
      <c r="BZ502">
        <v>4.2437904787336528E-2</v>
      </c>
      <c r="CA502">
        <v>4.3761108364437182E-2</v>
      </c>
      <c r="CC502">
        <v>0.57410011132036631</v>
      </c>
      <c r="CD502">
        <v>0.59200041353179089</v>
      </c>
    </row>
    <row r="503" spans="1:84" x14ac:dyDescent="0.3">
      <c r="A503" s="1">
        <v>454</v>
      </c>
      <c r="B503" t="s">
        <v>281</v>
      </c>
      <c r="C503" t="s">
        <v>282</v>
      </c>
      <c r="F503">
        <v>3.84</v>
      </c>
      <c r="G503" t="s">
        <v>283</v>
      </c>
      <c r="H503" t="s">
        <v>284</v>
      </c>
      <c r="I503">
        <v>-1</v>
      </c>
      <c r="Q503" t="s">
        <v>821</v>
      </c>
      <c r="R503">
        <v>473</v>
      </c>
      <c r="S503">
        <v>12</v>
      </c>
      <c r="T503" t="b">
        <v>0</v>
      </c>
      <c r="U503" t="s">
        <v>88</v>
      </c>
      <c r="V503" t="s">
        <v>89</v>
      </c>
      <c r="W503">
        <v>0</v>
      </c>
      <c r="X503">
        <v>10.9</v>
      </c>
      <c r="Y503">
        <v>0.83</v>
      </c>
      <c r="Z503">
        <v>0</v>
      </c>
      <c r="AC503" t="s">
        <v>90</v>
      </c>
      <c r="AD503">
        <v>450</v>
      </c>
      <c r="AF503" t="s">
        <v>91</v>
      </c>
      <c r="AG503">
        <v>298</v>
      </c>
      <c r="AH503">
        <v>35.200000000000003</v>
      </c>
      <c r="AL503" t="b">
        <v>1</v>
      </c>
      <c r="AM503" t="b">
        <v>0</v>
      </c>
      <c r="AN503" t="b">
        <v>0</v>
      </c>
      <c r="AO503" t="b">
        <v>0</v>
      </c>
      <c r="AP503" t="s">
        <v>283</v>
      </c>
      <c r="AQ503" t="s">
        <v>284</v>
      </c>
      <c r="AS503">
        <v>3.5610460826040509</v>
      </c>
      <c r="AT503">
        <v>1.833333333333333</v>
      </c>
      <c r="AU503">
        <v>2.5</v>
      </c>
      <c r="AV503">
        <v>0.66666666666666663</v>
      </c>
      <c r="AW503">
        <v>0</v>
      </c>
      <c r="AX503">
        <v>0.36666666666666659</v>
      </c>
      <c r="AY503">
        <v>0.5</v>
      </c>
      <c r="AZ503">
        <v>0.1333333333333333</v>
      </c>
      <c r="BA503">
        <v>0</v>
      </c>
      <c r="BB503">
        <v>5.9098750142708329</v>
      </c>
      <c r="BC503">
        <v>30</v>
      </c>
      <c r="BD503">
        <v>353.45760058531442</v>
      </c>
      <c r="BE503">
        <v>1</v>
      </c>
      <c r="BF503">
        <v>8.487580957467307E-2</v>
      </c>
      <c r="BG503">
        <v>5.8532381300000003</v>
      </c>
      <c r="BH503">
        <v>5.8532371599999999</v>
      </c>
      <c r="BI503">
        <v>11.912811489999999</v>
      </c>
      <c r="BJ503">
        <v>342.77011164986561</v>
      </c>
      <c r="BK503">
        <v>1</v>
      </c>
      <c r="BL503">
        <v>8.7522216728874364E-2</v>
      </c>
      <c r="BM503">
        <v>5.7946</v>
      </c>
      <c r="BN503">
        <v>5.7946</v>
      </c>
      <c r="BO503">
        <v>11.787599999999999</v>
      </c>
      <c r="BP503">
        <v>0</v>
      </c>
      <c r="BQ503">
        <v>0</v>
      </c>
      <c r="BS503">
        <v>0</v>
      </c>
      <c r="BT503">
        <v>0</v>
      </c>
      <c r="BU503">
        <v>0</v>
      </c>
      <c r="BX503">
        <v>15</v>
      </c>
      <c r="BZ503">
        <v>4.2437904787336528E-2</v>
      </c>
      <c r="CA503">
        <v>4.3761108364437182E-2</v>
      </c>
      <c r="CC503">
        <v>0.57410011132036631</v>
      </c>
      <c r="CD503">
        <v>0.59200041353179089</v>
      </c>
    </row>
    <row r="504" spans="1:84" x14ac:dyDescent="0.3">
      <c r="A504" s="1">
        <v>455</v>
      </c>
      <c r="B504" t="s">
        <v>281</v>
      </c>
      <c r="C504" t="s">
        <v>282</v>
      </c>
      <c r="F504">
        <v>3.92</v>
      </c>
      <c r="G504" t="s">
        <v>283</v>
      </c>
      <c r="H504" t="s">
        <v>284</v>
      </c>
      <c r="I504">
        <v>-1</v>
      </c>
      <c r="Q504" t="s">
        <v>821</v>
      </c>
      <c r="R504">
        <v>473</v>
      </c>
      <c r="S504">
        <v>12</v>
      </c>
      <c r="T504" t="b">
        <v>0</v>
      </c>
      <c r="U504" t="s">
        <v>172</v>
      </c>
      <c r="V504" t="s">
        <v>173</v>
      </c>
      <c r="W504">
        <v>0</v>
      </c>
      <c r="X504">
        <v>1.6</v>
      </c>
      <c r="Y504">
        <v>0.83</v>
      </c>
      <c r="Z504">
        <v>0</v>
      </c>
      <c r="AC504" t="s">
        <v>90</v>
      </c>
      <c r="AD504">
        <v>450</v>
      </c>
      <c r="AF504" t="s">
        <v>91</v>
      </c>
      <c r="AG504">
        <v>298</v>
      </c>
      <c r="AH504">
        <v>94.5</v>
      </c>
      <c r="AL504" t="b">
        <v>1</v>
      </c>
      <c r="AM504" t="b">
        <v>0</v>
      </c>
      <c r="AN504" t="b">
        <v>0</v>
      </c>
      <c r="AO504" t="b">
        <v>0</v>
      </c>
      <c r="AP504" t="s">
        <v>283</v>
      </c>
      <c r="AQ504" t="s">
        <v>284</v>
      </c>
      <c r="AS504">
        <v>4.5485998344996972</v>
      </c>
      <c r="AT504">
        <v>1.833333333333333</v>
      </c>
      <c r="AU504">
        <v>2.5</v>
      </c>
      <c r="AV504">
        <v>0.66666666666666663</v>
      </c>
      <c r="AW504">
        <v>0</v>
      </c>
      <c r="AX504">
        <v>0.36666666666666659</v>
      </c>
      <c r="AY504">
        <v>0.5</v>
      </c>
      <c r="AZ504">
        <v>0.1333333333333333</v>
      </c>
      <c r="BA504">
        <v>0</v>
      </c>
      <c r="BB504">
        <v>5.9098750142708329</v>
      </c>
      <c r="BC504">
        <v>30</v>
      </c>
      <c r="BD504">
        <v>353.45760058531442</v>
      </c>
      <c r="BE504">
        <v>1</v>
      </c>
      <c r="BF504">
        <v>8.487580957467307E-2</v>
      </c>
      <c r="BG504">
        <v>5.8532381300000003</v>
      </c>
      <c r="BH504">
        <v>5.8532371599999999</v>
      </c>
      <c r="BI504">
        <v>11.912811489999999</v>
      </c>
      <c r="BJ504">
        <v>342.77011164986561</v>
      </c>
      <c r="BK504">
        <v>1</v>
      </c>
      <c r="BL504">
        <v>8.7522216728874364E-2</v>
      </c>
      <c r="BM504">
        <v>5.7946</v>
      </c>
      <c r="BN504">
        <v>5.7946</v>
      </c>
      <c r="BO504">
        <v>11.787599999999999</v>
      </c>
      <c r="BP504">
        <v>0</v>
      </c>
      <c r="BQ504">
        <v>0</v>
      </c>
      <c r="BS504">
        <v>0</v>
      </c>
      <c r="BT504">
        <v>0</v>
      </c>
      <c r="BU504">
        <v>0</v>
      </c>
      <c r="BX504">
        <v>15</v>
      </c>
      <c r="BZ504">
        <v>4.2437904787336528E-2</v>
      </c>
      <c r="CA504">
        <v>4.3761108364437182E-2</v>
      </c>
      <c r="CC504">
        <v>0.57410011132036631</v>
      </c>
      <c r="CD504">
        <v>0.59200041353179089</v>
      </c>
    </row>
    <row r="505" spans="1:84" x14ac:dyDescent="0.3">
      <c r="A505" s="1">
        <v>456</v>
      </c>
      <c r="B505" t="s">
        <v>281</v>
      </c>
      <c r="C505" t="s">
        <v>282</v>
      </c>
      <c r="F505">
        <v>3.84</v>
      </c>
      <c r="G505" t="s">
        <v>283</v>
      </c>
      <c r="H505" t="s">
        <v>284</v>
      </c>
      <c r="I505">
        <v>-1</v>
      </c>
      <c r="Q505" t="s">
        <v>821</v>
      </c>
      <c r="R505">
        <v>473</v>
      </c>
      <c r="S505">
        <v>12</v>
      </c>
      <c r="T505" t="b">
        <v>0</v>
      </c>
      <c r="U505" t="s">
        <v>172</v>
      </c>
      <c r="V505" t="s">
        <v>173</v>
      </c>
      <c r="W505">
        <v>0</v>
      </c>
      <c r="X505">
        <v>10.9</v>
      </c>
      <c r="Y505">
        <v>0.83</v>
      </c>
      <c r="Z505">
        <v>0</v>
      </c>
      <c r="AC505" t="s">
        <v>90</v>
      </c>
      <c r="AD505">
        <v>450</v>
      </c>
      <c r="AF505" t="s">
        <v>91</v>
      </c>
      <c r="AG505">
        <v>298</v>
      </c>
      <c r="AH505">
        <v>321.60000000000002</v>
      </c>
      <c r="AL505" t="b">
        <v>1</v>
      </c>
      <c r="AM505" t="b">
        <v>0</v>
      </c>
      <c r="AN505" t="b">
        <v>0</v>
      </c>
      <c r="AO505" t="b">
        <v>0</v>
      </c>
      <c r="AP505" t="s">
        <v>283</v>
      </c>
      <c r="AQ505" t="s">
        <v>284</v>
      </c>
      <c r="AS505">
        <v>5.7733085373048114</v>
      </c>
      <c r="AT505">
        <v>1.833333333333333</v>
      </c>
      <c r="AU505">
        <v>2.5</v>
      </c>
      <c r="AV505">
        <v>0.66666666666666663</v>
      </c>
      <c r="AW505">
        <v>0</v>
      </c>
      <c r="AX505">
        <v>0.36666666666666659</v>
      </c>
      <c r="AY505">
        <v>0.5</v>
      </c>
      <c r="AZ505">
        <v>0.1333333333333333</v>
      </c>
      <c r="BA505">
        <v>0</v>
      </c>
      <c r="BB505">
        <v>5.9098750142708329</v>
      </c>
      <c r="BC505">
        <v>30</v>
      </c>
      <c r="BD505">
        <v>353.45760058531442</v>
      </c>
      <c r="BE505">
        <v>1</v>
      </c>
      <c r="BF505">
        <v>8.487580957467307E-2</v>
      </c>
      <c r="BG505">
        <v>5.8532381300000003</v>
      </c>
      <c r="BH505">
        <v>5.8532371599999999</v>
      </c>
      <c r="BI505">
        <v>11.912811489999999</v>
      </c>
      <c r="BJ505">
        <v>342.77011164986561</v>
      </c>
      <c r="BK505">
        <v>1</v>
      </c>
      <c r="BL505">
        <v>8.7522216728874364E-2</v>
      </c>
      <c r="BM505">
        <v>5.7946</v>
      </c>
      <c r="BN505">
        <v>5.7946</v>
      </c>
      <c r="BO505">
        <v>11.787599999999999</v>
      </c>
      <c r="BP505">
        <v>0</v>
      </c>
      <c r="BQ505">
        <v>0</v>
      </c>
      <c r="BS505">
        <v>0</v>
      </c>
      <c r="BT505">
        <v>0</v>
      </c>
      <c r="BU505">
        <v>0</v>
      </c>
      <c r="BX505">
        <v>15</v>
      </c>
      <c r="BZ505">
        <v>4.2437904787336528E-2</v>
      </c>
      <c r="CA505">
        <v>4.3761108364437182E-2</v>
      </c>
      <c r="CC505">
        <v>0.57410011132036631</v>
      </c>
      <c r="CD505">
        <v>0.59200041353179089</v>
      </c>
    </row>
    <row r="506" spans="1:84" x14ac:dyDescent="0.3">
      <c r="A506" s="1">
        <v>463</v>
      </c>
      <c r="B506" t="s">
        <v>853</v>
      </c>
      <c r="C506" t="s">
        <v>854</v>
      </c>
      <c r="E506" t="s">
        <v>106</v>
      </c>
      <c r="G506" t="s">
        <v>108</v>
      </c>
      <c r="H506" t="s">
        <v>109</v>
      </c>
      <c r="I506">
        <v>-1</v>
      </c>
      <c r="Q506" t="s">
        <v>838</v>
      </c>
      <c r="R506">
        <v>1473</v>
      </c>
      <c r="S506">
        <v>10</v>
      </c>
      <c r="T506" t="b">
        <v>0</v>
      </c>
      <c r="U506" t="s">
        <v>88</v>
      </c>
      <c r="V506" t="s">
        <v>89</v>
      </c>
      <c r="W506">
        <v>0</v>
      </c>
      <c r="X506">
        <v>84</v>
      </c>
      <c r="Y506">
        <v>3.3300000000000003E-2</v>
      </c>
      <c r="Z506">
        <v>10</v>
      </c>
      <c r="AC506" t="s">
        <v>165</v>
      </c>
      <c r="AD506">
        <v>500</v>
      </c>
      <c r="AF506" t="s">
        <v>91</v>
      </c>
      <c r="AH506">
        <v>46</v>
      </c>
      <c r="AI506" t="s">
        <v>855</v>
      </c>
      <c r="AJ506" t="s">
        <v>855</v>
      </c>
      <c r="AL506" t="b">
        <v>1</v>
      </c>
      <c r="AM506" t="b">
        <v>1</v>
      </c>
      <c r="AN506" t="b">
        <v>0</v>
      </c>
      <c r="AO506" t="b">
        <v>0</v>
      </c>
      <c r="AP506" t="s">
        <v>856</v>
      </c>
      <c r="AQ506" t="s">
        <v>857</v>
      </c>
      <c r="AS506">
        <v>3.8286413964890951</v>
      </c>
      <c r="AT506">
        <v>1.75</v>
      </c>
      <c r="AU506">
        <v>2.5</v>
      </c>
      <c r="AV506">
        <v>0.75750000000000006</v>
      </c>
      <c r="AW506">
        <v>0</v>
      </c>
      <c r="AX506">
        <v>0.34947578632051918</v>
      </c>
      <c r="AY506">
        <v>0.49925112331502741</v>
      </c>
      <c r="AZ506">
        <v>0.1512730903644533</v>
      </c>
      <c r="BA506">
        <v>0</v>
      </c>
      <c r="BB506">
        <v>5.9676797699999993</v>
      </c>
      <c r="BC506">
        <v>20</v>
      </c>
      <c r="BD506">
        <v>924.74694800021894</v>
      </c>
      <c r="BE506">
        <v>1</v>
      </c>
      <c r="BF506">
        <v>2.16275382614134E-2</v>
      </c>
      <c r="BG506">
        <v>7.8084429999999996</v>
      </c>
      <c r="BH506">
        <v>7.8548809999999998</v>
      </c>
      <c r="BI506">
        <v>15.19056011</v>
      </c>
      <c r="BJ506">
        <v>883.22940750240002</v>
      </c>
      <c r="BK506">
        <v>1</v>
      </c>
      <c r="BL506">
        <v>2.264417356364536E-2</v>
      </c>
      <c r="BM506">
        <v>3.8801999999999999</v>
      </c>
      <c r="BN506">
        <v>29.507999999999999</v>
      </c>
      <c r="BO506">
        <v>7.7140000000000004</v>
      </c>
      <c r="BP506">
        <v>0</v>
      </c>
      <c r="BQ506">
        <v>0</v>
      </c>
      <c r="BS506">
        <v>0</v>
      </c>
      <c r="BT506">
        <v>0</v>
      </c>
      <c r="BU506">
        <v>0</v>
      </c>
      <c r="BX506">
        <v>10</v>
      </c>
      <c r="BZ506">
        <v>1.08137691307067E-2</v>
      </c>
      <c r="CA506">
        <v>1.132208678182268E-2</v>
      </c>
      <c r="CC506">
        <v>0.12639441658156531</v>
      </c>
      <c r="CD506">
        <v>0.1323357782080565</v>
      </c>
    </row>
    <row r="507" spans="1:84" x14ac:dyDescent="0.3">
      <c r="A507" s="1">
        <v>464</v>
      </c>
      <c r="B507" t="s">
        <v>858</v>
      </c>
      <c r="C507" t="s">
        <v>859</v>
      </c>
      <c r="E507" t="s">
        <v>106</v>
      </c>
      <c r="G507" t="s">
        <v>108</v>
      </c>
      <c r="H507" t="s">
        <v>109</v>
      </c>
      <c r="I507">
        <v>-1</v>
      </c>
      <c r="Q507" t="s">
        <v>838</v>
      </c>
      <c r="R507">
        <v>1473</v>
      </c>
      <c r="S507">
        <v>10</v>
      </c>
      <c r="T507" t="b">
        <v>0</v>
      </c>
      <c r="U507" t="s">
        <v>88</v>
      </c>
      <c r="V507" t="s">
        <v>89</v>
      </c>
      <c r="W507">
        <v>0</v>
      </c>
      <c r="X507">
        <v>84</v>
      </c>
      <c r="Y507">
        <v>3.3300000000000003E-2</v>
      </c>
      <c r="Z507">
        <v>10</v>
      </c>
      <c r="AC507" t="s">
        <v>165</v>
      </c>
      <c r="AD507">
        <v>500</v>
      </c>
      <c r="AF507" t="s">
        <v>91</v>
      </c>
      <c r="AH507">
        <v>6976</v>
      </c>
      <c r="AI507" t="s">
        <v>860</v>
      </c>
      <c r="AJ507" t="s">
        <v>860</v>
      </c>
      <c r="AL507" t="b">
        <v>1</v>
      </c>
      <c r="AM507" t="b">
        <v>1</v>
      </c>
      <c r="AN507" t="b">
        <v>0</v>
      </c>
      <c r="AO507" t="b">
        <v>0</v>
      </c>
      <c r="AP507" t="s">
        <v>861</v>
      </c>
      <c r="AQ507" t="s">
        <v>862</v>
      </c>
      <c r="AS507">
        <v>8.8502309655888158</v>
      </c>
      <c r="AT507">
        <v>1.75</v>
      </c>
      <c r="AU507">
        <v>2.5</v>
      </c>
      <c r="AV507">
        <v>0.75750000000000006</v>
      </c>
      <c r="AW507">
        <v>0</v>
      </c>
      <c r="AX507">
        <v>0.34947578632051918</v>
      </c>
      <c r="AY507">
        <v>0.49925112331502741</v>
      </c>
      <c r="AZ507">
        <v>0.1512730903644533</v>
      </c>
      <c r="BA507">
        <v>0</v>
      </c>
      <c r="BB507">
        <v>6.2648831115531873</v>
      </c>
      <c r="BC507">
        <v>20</v>
      </c>
      <c r="BD507">
        <v>924.74694800021894</v>
      </c>
      <c r="BE507">
        <v>1</v>
      </c>
      <c r="BF507">
        <v>2.16275382614134E-2</v>
      </c>
      <c r="BG507">
        <v>7.8084429999999996</v>
      </c>
      <c r="BH507">
        <v>7.8548809999999998</v>
      </c>
      <c r="BI507">
        <v>15.19056011</v>
      </c>
      <c r="BJ507">
        <v>883.22940750240002</v>
      </c>
      <c r="BK507">
        <v>1</v>
      </c>
      <c r="BL507">
        <v>2.264417356364536E-2</v>
      </c>
      <c r="BM507">
        <v>3.8801999999999999</v>
      </c>
      <c r="BN507">
        <v>29.507999999999999</v>
      </c>
      <c r="BO507">
        <v>7.7140000000000004</v>
      </c>
      <c r="BP507">
        <v>0</v>
      </c>
      <c r="BQ507">
        <v>0</v>
      </c>
      <c r="BS507">
        <v>0</v>
      </c>
      <c r="BT507">
        <v>0</v>
      </c>
      <c r="BU507">
        <v>0</v>
      </c>
      <c r="BX507">
        <v>10</v>
      </c>
      <c r="BZ507">
        <v>1.08137691307067E-2</v>
      </c>
      <c r="CA507">
        <v>1.132208678182268E-2</v>
      </c>
      <c r="CC507">
        <v>0.1104871530074817</v>
      </c>
      <c r="CD507">
        <v>0.11568076953622521</v>
      </c>
    </row>
    <row r="508" spans="1:84" x14ac:dyDescent="0.3">
      <c r="A508" s="1">
        <v>466</v>
      </c>
      <c r="B508" t="s">
        <v>140</v>
      </c>
      <c r="C508" t="s">
        <v>141</v>
      </c>
      <c r="E508" t="s">
        <v>106</v>
      </c>
      <c r="F508">
        <v>3.512</v>
      </c>
      <c r="G508" t="s">
        <v>108</v>
      </c>
      <c r="H508" t="s">
        <v>109</v>
      </c>
      <c r="I508">
        <v>-1</v>
      </c>
      <c r="Q508" t="s">
        <v>838</v>
      </c>
      <c r="R508">
        <v>1473</v>
      </c>
      <c r="S508">
        <v>10</v>
      </c>
      <c r="T508" t="b">
        <v>0</v>
      </c>
      <c r="U508" t="s">
        <v>88</v>
      </c>
      <c r="V508" t="s">
        <v>89</v>
      </c>
      <c r="W508">
        <v>0</v>
      </c>
      <c r="X508">
        <v>84</v>
      </c>
      <c r="Y508">
        <v>3.3300000000000003E-2</v>
      </c>
      <c r="Z508">
        <v>10</v>
      </c>
      <c r="AC508" t="s">
        <v>165</v>
      </c>
      <c r="AD508">
        <v>500</v>
      </c>
      <c r="AF508" t="s">
        <v>91</v>
      </c>
      <c r="AH508">
        <v>400</v>
      </c>
      <c r="AI508" t="s">
        <v>136</v>
      </c>
      <c r="AJ508" t="s">
        <v>136</v>
      </c>
      <c r="AL508" t="b">
        <v>1</v>
      </c>
      <c r="AM508" t="b">
        <v>1</v>
      </c>
      <c r="AN508" t="b">
        <v>0</v>
      </c>
      <c r="AO508" t="b">
        <v>0</v>
      </c>
      <c r="AP508" t="s">
        <v>865</v>
      </c>
      <c r="AQ508" t="s">
        <v>866</v>
      </c>
      <c r="AS508">
        <v>5.9914645471079817</v>
      </c>
      <c r="AT508">
        <v>1.75</v>
      </c>
      <c r="AU508">
        <v>2.5</v>
      </c>
      <c r="AV508">
        <v>0.75</v>
      </c>
      <c r="AW508">
        <v>0</v>
      </c>
      <c r="AX508">
        <v>0.35</v>
      </c>
      <c r="AY508">
        <v>0.5</v>
      </c>
      <c r="AZ508">
        <v>0.15</v>
      </c>
      <c r="BA508">
        <v>0</v>
      </c>
      <c r="BB508">
        <v>6.2640154224906874</v>
      </c>
      <c r="BC508">
        <v>20</v>
      </c>
      <c r="BD508">
        <v>924.74694800021894</v>
      </c>
      <c r="BE508">
        <v>4</v>
      </c>
      <c r="BF508">
        <v>8.6510153045653584E-2</v>
      </c>
      <c r="BG508">
        <v>7.8084429999999996</v>
      </c>
      <c r="BH508">
        <v>7.8548809999999998</v>
      </c>
      <c r="BI508">
        <v>15.19056011</v>
      </c>
      <c r="BJ508">
        <v>883.22940750240002</v>
      </c>
      <c r="BK508">
        <v>4</v>
      </c>
      <c r="BL508">
        <v>9.0576694254581439E-2</v>
      </c>
      <c r="BM508">
        <v>3.8801999999999999</v>
      </c>
      <c r="BN508">
        <v>29.507999999999999</v>
      </c>
      <c r="BO508">
        <v>7.7140000000000004</v>
      </c>
      <c r="BP508">
        <v>0</v>
      </c>
      <c r="BQ508">
        <v>0</v>
      </c>
      <c r="BS508">
        <v>0</v>
      </c>
      <c r="BT508">
        <v>0</v>
      </c>
      <c r="BU508">
        <v>0</v>
      </c>
      <c r="BX508">
        <v>10</v>
      </c>
      <c r="BZ508">
        <v>4.3255076522826792E-2</v>
      </c>
      <c r="CA508">
        <v>4.5288347127290719E-2</v>
      </c>
      <c r="CC508">
        <v>0.44192300596941569</v>
      </c>
      <c r="CD508">
        <v>0.46269626843260342</v>
      </c>
    </row>
    <row r="509" spans="1:84" x14ac:dyDescent="0.3">
      <c r="A509" s="1">
        <v>467</v>
      </c>
      <c r="B509" t="s">
        <v>867</v>
      </c>
      <c r="C509" t="s">
        <v>868</v>
      </c>
      <c r="E509" t="s">
        <v>106</v>
      </c>
      <c r="G509" t="s">
        <v>108</v>
      </c>
      <c r="H509" t="s">
        <v>109</v>
      </c>
      <c r="I509">
        <v>-1</v>
      </c>
      <c r="Q509" t="s">
        <v>838</v>
      </c>
      <c r="R509">
        <v>1473</v>
      </c>
      <c r="S509">
        <v>10</v>
      </c>
      <c r="T509" t="b">
        <v>0</v>
      </c>
      <c r="U509" t="s">
        <v>88</v>
      </c>
      <c r="V509" t="s">
        <v>89</v>
      </c>
      <c r="W509">
        <v>0</v>
      </c>
      <c r="X509">
        <v>84</v>
      </c>
      <c r="Y509">
        <v>3.3300000000000003E-2</v>
      </c>
      <c r="Z509">
        <v>10</v>
      </c>
      <c r="AC509" t="s">
        <v>165</v>
      </c>
      <c r="AD509">
        <v>500</v>
      </c>
      <c r="AF509" t="s">
        <v>91</v>
      </c>
      <c r="AH509">
        <v>3800</v>
      </c>
      <c r="AI509" t="s">
        <v>869</v>
      </c>
      <c r="AJ509" t="s">
        <v>869</v>
      </c>
      <c r="AL509" t="b">
        <v>1</v>
      </c>
      <c r="AM509" t="b">
        <v>1</v>
      </c>
      <c r="AN509" t="b">
        <v>0</v>
      </c>
      <c r="AO509" t="b">
        <v>0</v>
      </c>
      <c r="AP509" t="s">
        <v>870</v>
      </c>
      <c r="AQ509" t="s">
        <v>871</v>
      </c>
      <c r="AS509">
        <v>8.2427563457144775</v>
      </c>
      <c r="AT509">
        <v>1.75</v>
      </c>
      <c r="AU509">
        <v>2.5</v>
      </c>
      <c r="AV509">
        <v>0.75024999999999997</v>
      </c>
      <c r="AW509">
        <v>0</v>
      </c>
      <c r="AX509">
        <v>0.34998250087495619</v>
      </c>
      <c r="AY509">
        <v>0.49997500124993749</v>
      </c>
      <c r="AZ509">
        <v>0.15004249787510621</v>
      </c>
      <c r="BA509">
        <v>0</v>
      </c>
      <c r="BB509">
        <v>6.2640443454594372</v>
      </c>
      <c r="BC509">
        <v>20</v>
      </c>
      <c r="BD509">
        <v>924.74694800021894</v>
      </c>
      <c r="BE509">
        <v>1</v>
      </c>
      <c r="BF509">
        <v>2.16275382614134E-2</v>
      </c>
      <c r="BG509">
        <v>7.8084429999999996</v>
      </c>
      <c r="BH509">
        <v>7.8548809999999998</v>
      </c>
      <c r="BI509">
        <v>15.19056011</v>
      </c>
      <c r="BJ509">
        <v>883.22940750240002</v>
      </c>
      <c r="BK509">
        <v>1</v>
      </c>
      <c r="BL509">
        <v>2.264417356364536E-2</v>
      </c>
      <c r="BM509">
        <v>3.8801999999999999</v>
      </c>
      <c r="BN509">
        <v>29.507999999999999</v>
      </c>
      <c r="BO509">
        <v>7.7140000000000004</v>
      </c>
      <c r="BP509">
        <v>0</v>
      </c>
      <c r="BQ509">
        <v>0</v>
      </c>
      <c r="BS509">
        <v>0</v>
      </c>
      <c r="BT509">
        <v>0</v>
      </c>
      <c r="BU509">
        <v>0</v>
      </c>
      <c r="BX509">
        <v>10</v>
      </c>
      <c r="BZ509">
        <v>1.08137691307067E-2</v>
      </c>
      <c r="CA509">
        <v>1.132208678182268E-2</v>
      </c>
      <c r="CC509">
        <v>0.1104809648761915</v>
      </c>
      <c r="CD509">
        <v>0.11567429052242</v>
      </c>
    </row>
    <row r="510" spans="1:84" x14ac:dyDescent="0.3">
      <c r="A510" s="1">
        <v>468</v>
      </c>
      <c r="B510" t="s">
        <v>872</v>
      </c>
      <c r="C510" t="s">
        <v>873</v>
      </c>
      <c r="E510" t="s">
        <v>106</v>
      </c>
      <c r="G510" t="s">
        <v>108</v>
      </c>
      <c r="H510" t="s">
        <v>109</v>
      </c>
      <c r="I510">
        <v>-1</v>
      </c>
      <c r="Q510" t="s">
        <v>838</v>
      </c>
      <c r="R510">
        <v>1473</v>
      </c>
      <c r="S510">
        <v>10</v>
      </c>
      <c r="T510" t="b">
        <v>0</v>
      </c>
      <c r="U510" t="s">
        <v>88</v>
      </c>
      <c r="V510" t="s">
        <v>89</v>
      </c>
      <c r="W510">
        <v>0</v>
      </c>
      <c r="X510">
        <v>84</v>
      </c>
      <c r="Y510">
        <v>3.3300000000000003E-2</v>
      </c>
      <c r="Z510">
        <v>10</v>
      </c>
      <c r="AC510" t="s">
        <v>165</v>
      </c>
      <c r="AD510">
        <v>500</v>
      </c>
      <c r="AF510" t="s">
        <v>91</v>
      </c>
      <c r="AH510">
        <v>7400</v>
      </c>
      <c r="AI510" t="s">
        <v>874</v>
      </c>
      <c r="AJ510" t="s">
        <v>874</v>
      </c>
      <c r="AL510" t="b">
        <v>1</v>
      </c>
      <c r="AM510" t="b">
        <v>1</v>
      </c>
      <c r="AN510" t="b">
        <v>0</v>
      </c>
      <c r="AO510" t="b">
        <v>0</v>
      </c>
      <c r="AP510" t="s">
        <v>875</v>
      </c>
      <c r="AQ510" t="s">
        <v>876</v>
      </c>
      <c r="AS510">
        <v>8.9092352791922611</v>
      </c>
      <c r="AT510">
        <v>1.75</v>
      </c>
      <c r="AU510">
        <v>2.5</v>
      </c>
      <c r="AV510">
        <v>0.75250000000000006</v>
      </c>
      <c r="AW510">
        <v>0</v>
      </c>
      <c r="AX510">
        <v>0.34982508745627178</v>
      </c>
      <c r="AY510">
        <v>0.49975012493753118</v>
      </c>
      <c r="AZ510">
        <v>0.1504247876061969</v>
      </c>
      <c r="BA510">
        <v>0</v>
      </c>
      <c r="BB510">
        <v>6.2643046521781871</v>
      </c>
      <c r="BC510">
        <v>20</v>
      </c>
      <c r="BD510">
        <v>924.74694800021894</v>
      </c>
      <c r="BE510">
        <v>1</v>
      </c>
      <c r="BF510">
        <v>2.16275382614134E-2</v>
      </c>
      <c r="BG510">
        <v>7.8084429999999996</v>
      </c>
      <c r="BH510">
        <v>7.8548809999999998</v>
      </c>
      <c r="BI510">
        <v>15.19056011</v>
      </c>
      <c r="BJ510">
        <v>883.22940750240002</v>
      </c>
      <c r="BK510">
        <v>1</v>
      </c>
      <c r="BL510">
        <v>2.264417356364536E-2</v>
      </c>
      <c r="BM510">
        <v>3.8801999999999999</v>
      </c>
      <c r="BN510">
        <v>29.507999999999999</v>
      </c>
      <c r="BO510">
        <v>7.7140000000000004</v>
      </c>
      <c r="BP510">
        <v>0</v>
      </c>
      <c r="BQ510">
        <v>0</v>
      </c>
      <c r="BS510">
        <v>0</v>
      </c>
      <c r="BT510">
        <v>0</v>
      </c>
      <c r="BU510">
        <v>0</v>
      </c>
      <c r="BX510">
        <v>10</v>
      </c>
      <c r="BZ510">
        <v>1.08137691307067E-2</v>
      </c>
      <c r="CA510">
        <v>1.132208678182268E-2</v>
      </c>
      <c r="CC510">
        <v>0.11048288533072979</v>
      </c>
      <c r="CD510">
        <v>0.1156763012508423</v>
      </c>
    </row>
    <row r="511" spans="1:84" x14ac:dyDescent="0.3">
      <c r="A511" s="1">
        <v>469</v>
      </c>
      <c r="B511" t="s">
        <v>877</v>
      </c>
      <c r="C511" t="s">
        <v>878</v>
      </c>
      <c r="E511" t="s">
        <v>106</v>
      </c>
      <c r="G511" t="s">
        <v>108</v>
      </c>
      <c r="H511" t="s">
        <v>109</v>
      </c>
      <c r="I511">
        <v>-1</v>
      </c>
      <c r="Q511" t="s">
        <v>838</v>
      </c>
      <c r="R511">
        <v>1473</v>
      </c>
      <c r="S511">
        <v>10</v>
      </c>
      <c r="T511" t="b">
        <v>0</v>
      </c>
      <c r="U511" t="s">
        <v>88</v>
      </c>
      <c r="V511" t="s">
        <v>89</v>
      </c>
      <c r="W511">
        <v>0</v>
      </c>
      <c r="X511">
        <v>84</v>
      </c>
      <c r="Y511">
        <v>3.3300000000000003E-2</v>
      </c>
      <c r="Z511">
        <v>10</v>
      </c>
      <c r="AC511" t="s">
        <v>165</v>
      </c>
      <c r="AD511">
        <v>500</v>
      </c>
      <c r="AF511" t="s">
        <v>91</v>
      </c>
      <c r="AH511">
        <v>3000</v>
      </c>
      <c r="AI511" t="s">
        <v>879</v>
      </c>
      <c r="AJ511" t="s">
        <v>879</v>
      </c>
      <c r="AL511" t="b">
        <v>1</v>
      </c>
      <c r="AM511" t="b">
        <v>1</v>
      </c>
      <c r="AN511" t="b">
        <v>0</v>
      </c>
      <c r="AO511" t="b">
        <v>0</v>
      </c>
      <c r="AP511" t="s">
        <v>880</v>
      </c>
      <c r="AQ511" t="s">
        <v>881</v>
      </c>
      <c r="AS511">
        <v>8.0063675676502459</v>
      </c>
      <c r="AT511">
        <v>1.75</v>
      </c>
      <c r="AU511">
        <v>2.5</v>
      </c>
      <c r="AV511">
        <v>0.77500000000000002</v>
      </c>
      <c r="AW511">
        <v>0</v>
      </c>
      <c r="AX511">
        <v>0.34825870646766172</v>
      </c>
      <c r="AY511">
        <v>0.49751243781094517</v>
      </c>
      <c r="AZ511">
        <v>0.154228855721393</v>
      </c>
      <c r="BA511">
        <v>0</v>
      </c>
      <c r="BB511">
        <v>6.2669077193656868</v>
      </c>
      <c r="BC511">
        <v>20</v>
      </c>
      <c r="BD511">
        <v>924.74694800021894</v>
      </c>
      <c r="BE511">
        <v>1</v>
      </c>
      <c r="BF511">
        <v>2.16275382614134E-2</v>
      </c>
      <c r="BG511">
        <v>7.8084429999999996</v>
      </c>
      <c r="BH511">
        <v>7.8548809999999998</v>
      </c>
      <c r="BI511">
        <v>15.19056011</v>
      </c>
      <c r="BJ511">
        <v>883.22940750240002</v>
      </c>
      <c r="BK511">
        <v>1</v>
      </c>
      <c r="BL511">
        <v>2.264417356364536E-2</v>
      </c>
      <c r="BM511">
        <v>3.8801999999999999</v>
      </c>
      <c r="BN511">
        <v>29.507999999999999</v>
      </c>
      <c r="BO511">
        <v>7.7140000000000004</v>
      </c>
      <c r="BP511">
        <v>0</v>
      </c>
      <c r="BQ511">
        <v>0</v>
      </c>
      <c r="BS511">
        <v>0</v>
      </c>
      <c r="BT511">
        <v>0</v>
      </c>
      <c r="BU511">
        <v>0</v>
      </c>
      <c r="BX511">
        <v>10</v>
      </c>
      <c r="BZ511">
        <v>1.08137691307067E-2</v>
      </c>
      <c r="CA511">
        <v>1.132208678182268E-2</v>
      </c>
      <c r="CC511">
        <v>0.1105020898761131</v>
      </c>
      <c r="CD511">
        <v>0.11569640853506551</v>
      </c>
    </row>
    <row r="512" spans="1:84" x14ac:dyDescent="0.3">
      <c r="A512" s="1">
        <v>470</v>
      </c>
      <c r="B512" t="s">
        <v>882</v>
      </c>
      <c r="C512" t="s">
        <v>883</v>
      </c>
      <c r="E512" t="s">
        <v>106</v>
      </c>
      <c r="G512" t="s">
        <v>108</v>
      </c>
      <c r="H512" t="s">
        <v>109</v>
      </c>
      <c r="I512">
        <v>-1</v>
      </c>
      <c r="Q512" t="s">
        <v>838</v>
      </c>
      <c r="R512">
        <v>1473</v>
      </c>
      <c r="S512">
        <v>10</v>
      </c>
      <c r="T512" t="b">
        <v>0</v>
      </c>
      <c r="U512" t="s">
        <v>88</v>
      </c>
      <c r="V512" t="s">
        <v>89</v>
      </c>
      <c r="W512">
        <v>0</v>
      </c>
      <c r="X512">
        <v>84</v>
      </c>
      <c r="Y512">
        <v>3.3300000000000003E-2</v>
      </c>
      <c r="Z512">
        <v>10</v>
      </c>
      <c r="AC512" t="s">
        <v>165</v>
      </c>
      <c r="AD512">
        <v>500</v>
      </c>
      <c r="AF512" t="s">
        <v>91</v>
      </c>
      <c r="AH512">
        <v>1000</v>
      </c>
      <c r="AI512" t="s">
        <v>884</v>
      </c>
      <c r="AJ512" t="s">
        <v>884</v>
      </c>
      <c r="AL512" t="b">
        <v>1</v>
      </c>
      <c r="AM512" t="b">
        <v>1</v>
      </c>
      <c r="AN512" t="b">
        <v>0</v>
      </c>
      <c r="AO512" t="b">
        <v>0</v>
      </c>
      <c r="AP512" t="s">
        <v>885</v>
      </c>
      <c r="AQ512" t="s">
        <v>886</v>
      </c>
      <c r="AS512">
        <v>6.9077552789821368</v>
      </c>
      <c r="AT512">
        <v>1.75</v>
      </c>
      <c r="AU512">
        <v>2.5</v>
      </c>
      <c r="AV512">
        <v>0.78749999999999998</v>
      </c>
      <c r="AW512">
        <v>0</v>
      </c>
      <c r="AX512">
        <v>0.34739454094292799</v>
      </c>
      <c r="AY512">
        <v>0.49627791563275442</v>
      </c>
      <c r="AZ512">
        <v>0.15632754342431759</v>
      </c>
      <c r="BA512">
        <v>0</v>
      </c>
      <c r="BB512">
        <v>6.2683538678031869</v>
      </c>
      <c r="BC512">
        <v>20</v>
      </c>
      <c r="BD512">
        <v>924.74694800021894</v>
      </c>
      <c r="BE512">
        <v>1</v>
      </c>
      <c r="BF512">
        <v>2.16275382614134E-2</v>
      </c>
      <c r="BG512">
        <v>7.8084429999999996</v>
      </c>
      <c r="BH512">
        <v>7.8548809999999998</v>
      </c>
      <c r="BI512">
        <v>15.19056011</v>
      </c>
      <c r="BJ512">
        <v>883.22940750240002</v>
      </c>
      <c r="BK512">
        <v>1</v>
      </c>
      <c r="BL512">
        <v>2.264417356364536E-2</v>
      </c>
      <c r="BM512">
        <v>3.8801999999999999</v>
      </c>
      <c r="BN512">
        <v>29.507999999999999</v>
      </c>
      <c r="BO512">
        <v>7.7140000000000004</v>
      </c>
      <c r="BP512">
        <v>0</v>
      </c>
      <c r="BQ512">
        <v>0</v>
      </c>
      <c r="BS512">
        <v>0</v>
      </c>
      <c r="BT512">
        <v>0</v>
      </c>
      <c r="BU512">
        <v>0</v>
      </c>
      <c r="BX512">
        <v>10</v>
      </c>
      <c r="BZ512">
        <v>1.08137691307067E-2</v>
      </c>
      <c r="CA512">
        <v>1.132208678182268E-2</v>
      </c>
      <c r="CC512">
        <v>0.1105127590679927</v>
      </c>
      <c r="CD512">
        <v>0.1157075792485228</v>
      </c>
    </row>
    <row r="513" spans="1:84" x14ac:dyDescent="0.3">
      <c r="A513" s="1">
        <v>471</v>
      </c>
      <c r="B513" t="s">
        <v>140</v>
      </c>
      <c r="C513" t="s">
        <v>141</v>
      </c>
      <c r="E513" t="s">
        <v>106</v>
      </c>
      <c r="F513">
        <v>3.512</v>
      </c>
      <c r="G513" t="s">
        <v>108</v>
      </c>
      <c r="H513" t="s">
        <v>109</v>
      </c>
      <c r="I513">
        <v>-1</v>
      </c>
      <c r="Q513" t="s">
        <v>838</v>
      </c>
      <c r="R513">
        <v>1473</v>
      </c>
      <c r="S513">
        <v>10</v>
      </c>
      <c r="T513" t="b">
        <v>0</v>
      </c>
      <c r="U513" t="s">
        <v>88</v>
      </c>
      <c r="V513" t="s">
        <v>89</v>
      </c>
      <c r="W513">
        <v>0</v>
      </c>
      <c r="Y513">
        <v>3.3300000000000003E-2</v>
      </c>
      <c r="Z513">
        <v>10</v>
      </c>
      <c r="AC513" t="s">
        <v>165</v>
      </c>
      <c r="AD513">
        <v>500</v>
      </c>
      <c r="AF513" t="s">
        <v>91</v>
      </c>
      <c r="AH513">
        <v>32</v>
      </c>
      <c r="AI513" t="s">
        <v>136</v>
      </c>
      <c r="AJ513" t="s">
        <v>136</v>
      </c>
      <c r="AL513" t="b">
        <v>1</v>
      </c>
      <c r="AM513" t="b">
        <v>1</v>
      </c>
      <c r="AN513" t="b">
        <v>0</v>
      </c>
      <c r="AO513" t="b">
        <v>0</v>
      </c>
      <c r="AP513" t="s">
        <v>887</v>
      </c>
      <c r="AQ513" t="s">
        <v>888</v>
      </c>
      <c r="AS513">
        <v>3.465735902799727</v>
      </c>
      <c r="AT513">
        <v>1.75</v>
      </c>
      <c r="AU513">
        <v>2.5</v>
      </c>
      <c r="AV513">
        <v>0.75</v>
      </c>
      <c r="AW513">
        <v>0</v>
      </c>
      <c r="AX513">
        <v>0.35</v>
      </c>
      <c r="AY513">
        <v>0.5</v>
      </c>
      <c r="AZ513">
        <v>0.15</v>
      </c>
      <c r="BA513">
        <v>0</v>
      </c>
      <c r="BB513">
        <v>6.2640154224906874</v>
      </c>
      <c r="BC513">
        <v>20</v>
      </c>
      <c r="BD513">
        <v>924.74694800021894</v>
      </c>
      <c r="BE513">
        <v>4</v>
      </c>
      <c r="BF513">
        <v>8.6510153045653584E-2</v>
      </c>
      <c r="BG513">
        <v>7.8084429999999996</v>
      </c>
      <c r="BH513">
        <v>7.8548809999999998</v>
      </c>
      <c r="BI513">
        <v>15.19056011</v>
      </c>
      <c r="BJ513">
        <v>883.22940750240002</v>
      </c>
      <c r="BK513">
        <v>4</v>
      </c>
      <c r="BL513">
        <v>9.0576694254581439E-2</v>
      </c>
      <c r="BM513">
        <v>3.8801999999999999</v>
      </c>
      <c r="BN513">
        <v>29.507999999999999</v>
      </c>
      <c r="BO513">
        <v>7.7140000000000004</v>
      </c>
      <c r="BP513">
        <v>0</v>
      </c>
      <c r="BQ513">
        <v>0</v>
      </c>
      <c r="BS513">
        <v>0</v>
      </c>
      <c r="BT513">
        <v>0</v>
      </c>
      <c r="BU513">
        <v>0</v>
      </c>
      <c r="BX513">
        <v>10</v>
      </c>
      <c r="BZ513">
        <v>4.3255076522826792E-2</v>
      </c>
      <c r="CA513">
        <v>4.5288347127290719E-2</v>
      </c>
      <c r="CC513">
        <v>0.44192300596941569</v>
      </c>
      <c r="CD513">
        <v>0.46269626843260342</v>
      </c>
    </row>
    <row r="514" spans="1:84" x14ac:dyDescent="0.3">
      <c r="A514" s="1">
        <v>472</v>
      </c>
      <c r="B514" t="s">
        <v>889</v>
      </c>
      <c r="C514" t="s">
        <v>890</v>
      </c>
      <c r="E514" t="s">
        <v>106</v>
      </c>
      <c r="F514">
        <v>2.8</v>
      </c>
      <c r="G514" t="s">
        <v>891</v>
      </c>
      <c r="H514">
        <v>1526807</v>
      </c>
      <c r="I514">
        <v>-1</v>
      </c>
      <c r="J514">
        <v>1</v>
      </c>
      <c r="K514">
        <v>3.97</v>
      </c>
      <c r="L514">
        <v>3.97</v>
      </c>
      <c r="M514">
        <v>15.56</v>
      </c>
      <c r="N514" t="s">
        <v>529</v>
      </c>
      <c r="O514">
        <v>15.56</v>
      </c>
      <c r="Q514" t="s">
        <v>87</v>
      </c>
      <c r="T514" t="b">
        <v>0</v>
      </c>
      <c r="U514" t="s">
        <v>88</v>
      </c>
      <c r="V514" t="s">
        <v>89</v>
      </c>
      <c r="W514">
        <v>0</v>
      </c>
      <c r="Y514">
        <v>0.5</v>
      </c>
      <c r="Z514">
        <v>1</v>
      </c>
      <c r="AC514" t="s">
        <v>90</v>
      </c>
      <c r="AD514">
        <v>125</v>
      </c>
      <c r="AE514">
        <v>220</v>
      </c>
      <c r="AF514" t="s">
        <v>91</v>
      </c>
      <c r="AH514">
        <v>40</v>
      </c>
      <c r="AL514" t="b">
        <v>1</v>
      </c>
      <c r="AM514" t="b">
        <v>1</v>
      </c>
      <c r="AN514" t="b">
        <v>0</v>
      </c>
      <c r="AO514" t="b">
        <v>0</v>
      </c>
      <c r="AP514" t="s">
        <v>891</v>
      </c>
      <c r="AQ514">
        <v>1526807</v>
      </c>
      <c r="AS514">
        <v>3.6888794541139358</v>
      </c>
      <c r="AT514">
        <v>1.75</v>
      </c>
      <c r="AU514">
        <v>2.5</v>
      </c>
      <c r="AV514">
        <v>0.75</v>
      </c>
      <c r="AW514">
        <v>0</v>
      </c>
      <c r="AX514">
        <v>0.35</v>
      </c>
      <c r="AY514">
        <v>0.5</v>
      </c>
      <c r="AZ514">
        <v>0.15</v>
      </c>
      <c r="BA514">
        <v>0</v>
      </c>
      <c r="BB514">
        <v>5.9030792517321871</v>
      </c>
      <c r="BC514">
        <v>20</v>
      </c>
      <c r="BD514">
        <v>260.8671724870714</v>
      </c>
      <c r="BE514">
        <v>1</v>
      </c>
      <c r="BF514">
        <v>7.6667369869971663E-2</v>
      </c>
      <c r="BG514">
        <v>4.0290549999999996</v>
      </c>
      <c r="BH514">
        <v>4.0290549999999996</v>
      </c>
      <c r="BI514">
        <v>16.069894999999999</v>
      </c>
      <c r="BJ514">
        <v>246.35930430675199</v>
      </c>
      <c r="BK514">
        <v>1</v>
      </c>
      <c r="BL514">
        <v>8.1182239316186677E-2</v>
      </c>
      <c r="BM514">
        <v>3.9765999999999999</v>
      </c>
      <c r="BN514">
        <v>3.9765999999999999</v>
      </c>
      <c r="BO514">
        <v>15.5792</v>
      </c>
      <c r="BP514">
        <v>0</v>
      </c>
      <c r="BQ514">
        <v>0</v>
      </c>
      <c r="BS514">
        <v>0</v>
      </c>
      <c r="BT514">
        <v>0</v>
      </c>
      <c r="BU514">
        <v>0</v>
      </c>
      <c r="BV514">
        <v>245.23960400000001</v>
      </c>
      <c r="BW514">
        <v>8.1552896325831611E-2</v>
      </c>
      <c r="BX514">
        <v>10</v>
      </c>
      <c r="BY514">
        <v>4.0776448162915813E-2</v>
      </c>
      <c r="BZ514">
        <v>3.8333684934985832E-2</v>
      </c>
      <c r="CA514">
        <v>4.0591119658093339E-2</v>
      </c>
      <c r="CC514">
        <v>0.54551133687670883</v>
      </c>
      <c r="CD514">
        <v>0.57763598744977107</v>
      </c>
      <c r="CF514">
        <v>0.58027332327069536</v>
      </c>
    </row>
    <row r="515" spans="1:84" x14ac:dyDescent="0.3">
      <c r="A515" s="1">
        <v>474</v>
      </c>
      <c r="B515" t="s">
        <v>889</v>
      </c>
      <c r="C515" t="s">
        <v>890</v>
      </c>
      <c r="E515" t="s">
        <v>106</v>
      </c>
      <c r="F515">
        <v>2.8</v>
      </c>
      <c r="G515" t="s">
        <v>891</v>
      </c>
      <c r="H515" t="s">
        <v>892</v>
      </c>
      <c r="I515">
        <v>-1</v>
      </c>
      <c r="J515">
        <v>1</v>
      </c>
      <c r="K515">
        <v>3.97</v>
      </c>
      <c r="L515">
        <v>3.97</v>
      </c>
      <c r="M515">
        <v>15.56</v>
      </c>
      <c r="N515" t="s">
        <v>529</v>
      </c>
      <c r="O515">
        <v>15.56</v>
      </c>
      <c r="Q515" t="s">
        <v>87</v>
      </c>
      <c r="T515" t="b">
        <v>0</v>
      </c>
      <c r="U515" t="s">
        <v>88</v>
      </c>
      <c r="V515" t="s">
        <v>89</v>
      </c>
      <c r="W515">
        <v>0</v>
      </c>
      <c r="Y515">
        <v>0.5</v>
      </c>
      <c r="Z515">
        <v>1</v>
      </c>
      <c r="AC515" t="s">
        <v>893</v>
      </c>
      <c r="AD515">
        <v>100</v>
      </c>
      <c r="AE515">
        <v>425</v>
      </c>
      <c r="AF515" t="s">
        <v>91</v>
      </c>
      <c r="AH515">
        <v>0.4</v>
      </c>
      <c r="AL515" t="b">
        <v>1</v>
      </c>
      <c r="AM515" t="b">
        <v>1</v>
      </c>
      <c r="AN515" t="b">
        <v>0</v>
      </c>
      <c r="AO515" t="b">
        <v>0</v>
      </c>
      <c r="AP515" t="s">
        <v>891</v>
      </c>
      <c r="AQ515" t="s">
        <v>892</v>
      </c>
      <c r="AS515">
        <v>-0.916290731874155</v>
      </c>
      <c r="AT515">
        <v>1.75</v>
      </c>
      <c r="AU515">
        <v>2.5</v>
      </c>
      <c r="AV515">
        <v>0.75</v>
      </c>
      <c r="AW515">
        <v>0</v>
      </c>
      <c r="AX515">
        <v>0.35</v>
      </c>
      <c r="AY515">
        <v>0.5</v>
      </c>
      <c r="AZ515">
        <v>0.15</v>
      </c>
      <c r="BA515">
        <v>0</v>
      </c>
      <c r="BB515">
        <v>5.9030792517321871</v>
      </c>
      <c r="BC515">
        <v>20</v>
      </c>
      <c r="BD515">
        <v>260.8671724870714</v>
      </c>
      <c r="BE515">
        <v>1</v>
      </c>
      <c r="BF515">
        <v>7.6667369869971663E-2</v>
      </c>
      <c r="BG515">
        <v>4.0290549999999996</v>
      </c>
      <c r="BH515">
        <v>4.0290549999999996</v>
      </c>
      <c r="BI515">
        <v>16.069894999999999</v>
      </c>
      <c r="BJ515">
        <v>246.35930430675199</v>
      </c>
      <c r="BK515">
        <v>1</v>
      </c>
      <c r="BL515">
        <v>8.1182239316186677E-2</v>
      </c>
      <c r="BM515">
        <v>3.9765999999999999</v>
      </c>
      <c r="BN515">
        <v>3.9765999999999999</v>
      </c>
      <c r="BO515">
        <v>15.5792</v>
      </c>
      <c r="BP515">
        <v>0</v>
      </c>
      <c r="BQ515">
        <v>0</v>
      </c>
      <c r="BS515">
        <v>0</v>
      </c>
      <c r="BT515">
        <v>0</v>
      </c>
      <c r="BU515">
        <v>0</v>
      </c>
      <c r="BV515">
        <v>245.23960400000001</v>
      </c>
      <c r="BW515">
        <v>8.1552896325831611E-2</v>
      </c>
      <c r="BX515">
        <v>10</v>
      </c>
      <c r="BY515">
        <v>4.0776448162915813E-2</v>
      </c>
      <c r="BZ515">
        <v>3.8333684934985832E-2</v>
      </c>
      <c r="CA515">
        <v>4.0591119658093339E-2</v>
      </c>
      <c r="CC515">
        <v>0.54551133687670883</v>
      </c>
      <c r="CD515">
        <v>0.57763598744977107</v>
      </c>
      <c r="CF515">
        <v>0.58027332327069536</v>
      </c>
    </row>
    <row r="516" spans="1:84" x14ac:dyDescent="0.3">
      <c r="A516" s="1">
        <v>478</v>
      </c>
      <c r="B516" t="s">
        <v>894</v>
      </c>
      <c r="C516" t="s">
        <v>895</v>
      </c>
      <c r="E516" t="s">
        <v>404</v>
      </c>
      <c r="F516">
        <v>3.5</v>
      </c>
      <c r="G516" t="s">
        <v>896</v>
      </c>
      <c r="H516">
        <v>-1</v>
      </c>
      <c r="I516">
        <v>-1</v>
      </c>
      <c r="Q516" t="s">
        <v>87</v>
      </c>
      <c r="R516">
        <v>1173</v>
      </c>
      <c r="S516">
        <v>6</v>
      </c>
      <c r="T516" t="b">
        <v>0</v>
      </c>
      <c r="U516" t="s">
        <v>88</v>
      </c>
      <c r="V516" t="s">
        <v>89</v>
      </c>
      <c r="W516">
        <v>0</v>
      </c>
      <c r="Y516">
        <v>1</v>
      </c>
      <c r="Z516">
        <v>1</v>
      </c>
      <c r="AC516" t="s">
        <v>90</v>
      </c>
      <c r="AD516">
        <v>125</v>
      </c>
      <c r="AE516">
        <v>220</v>
      </c>
      <c r="AF516" t="s">
        <v>91</v>
      </c>
      <c r="AG516">
        <v>288</v>
      </c>
      <c r="AH516">
        <v>20</v>
      </c>
      <c r="AL516" t="b">
        <v>1</v>
      </c>
      <c r="AM516" t="b">
        <v>0</v>
      </c>
      <c r="AN516" t="b">
        <v>0</v>
      </c>
      <c r="AO516" t="b">
        <v>0</v>
      </c>
      <c r="AP516" t="s">
        <v>896</v>
      </c>
      <c r="AQ516">
        <v>-1</v>
      </c>
      <c r="AS516">
        <v>2.9957322735539909</v>
      </c>
      <c r="AT516">
        <v>1.882352941176471</v>
      </c>
      <c r="AU516">
        <v>2.3529411764705879</v>
      </c>
      <c r="AV516">
        <v>0.47058823529411759</v>
      </c>
      <c r="AW516">
        <v>0</v>
      </c>
      <c r="AX516">
        <v>0.4</v>
      </c>
      <c r="AY516">
        <v>0.5</v>
      </c>
      <c r="AZ516">
        <v>9.9999999999999992E-2</v>
      </c>
      <c r="BA516">
        <v>0</v>
      </c>
      <c r="BB516">
        <v>5.7585616359411764</v>
      </c>
      <c r="BC516">
        <v>20</v>
      </c>
      <c r="BD516">
        <v>201.0880346354428</v>
      </c>
      <c r="BE516">
        <v>1</v>
      </c>
      <c r="BF516">
        <v>9.9458926217357829E-2</v>
      </c>
      <c r="BG516">
        <v>13.656835900000001</v>
      </c>
      <c r="BH516">
        <v>13.656835900000001</v>
      </c>
      <c r="BI516">
        <v>13.656835900000001</v>
      </c>
      <c r="BJ516">
        <v>0</v>
      </c>
      <c r="BK516">
        <v>0</v>
      </c>
      <c r="BM516">
        <v>0</v>
      </c>
      <c r="BP516">
        <v>0</v>
      </c>
      <c r="BQ516">
        <v>0</v>
      </c>
      <c r="BS516">
        <v>0</v>
      </c>
      <c r="BT516">
        <v>0</v>
      </c>
      <c r="BU516">
        <v>0</v>
      </c>
      <c r="BX516">
        <v>10</v>
      </c>
      <c r="BZ516">
        <v>4.9729463108678908E-2</v>
      </c>
      <c r="CC516">
        <v>0.53996993008785343</v>
      </c>
    </row>
    <row r="517" spans="1:84" x14ac:dyDescent="0.3">
      <c r="A517" s="1">
        <v>479</v>
      </c>
      <c r="B517" t="s">
        <v>897</v>
      </c>
      <c r="C517" t="s">
        <v>898</v>
      </c>
      <c r="E517" t="s">
        <v>404</v>
      </c>
      <c r="F517">
        <v>3.3</v>
      </c>
      <c r="G517" t="s">
        <v>899</v>
      </c>
      <c r="H517" t="s">
        <v>900</v>
      </c>
      <c r="I517" t="s">
        <v>901</v>
      </c>
      <c r="J517">
        <v>2</v>
      </c>
      <c r="K517">
        <v>3.8</v>
      </c>
      <c r="L517">
        <v>3.8</v>
      </c>
      <c r="M517">
        <v>28.5</v>
      </c>
      <c r="O517">
        <v>14.25</v>
      </c>
      <c r="Q517" t="s">
        <v>87</v>
      </c>
      <c r="R517">
        <v>1173</v>
      </c>
      <c r="S517">
        <v>6</v>
      </c>
      <c r="T517" t="b">
        <v>0</v>
      </c>
      <c r="U517" t="s">
        <v>88</v>
      </c>
      <c r="V517" t="s">
        <v>89</v>
      </c>
      <c r="W517">
        <v>0</v>
      </c>
      <c r="Y517">
        <v>1</v>
      </c>
      <c r="Z517">
        <v>1</v>
      </c>
      <c r="AC517" t="s">
        <v>90</v>
      </c>
      <c r="AD517">
        <v>125</v>
      </c>
      <c r="AE517">
        <v>220</v>
      </c>
      <c r="AF517" t="s">
        <v>91</v>
      </c>
      <c r="AG517">
        <v>288</v>
      </c>
      <c r="AH517">
        <v>100</v>
      </c>
      <c r="AL517" t="b">
        <v>1</v>
      </c>
      <c r="AM517" t="b">
        <v>1</v>
      </c>
      <c r="AN517" t="b">
        <v>0</v>
      </c>
      <c r="AO517" t="b">
        <v>0</v>
      </c>
      <c r="AP517" t="s">
        <v>899</v>
      </c>
      <c r="AQ517" t="s">
        <v>900</v>
      </c>
      <c r="AR517" t="s">
        <v>901</v>
      </c>
      <c r="AS517">
        <v>4.6051701859880918</v>
      </c>
      <c r="AT517">
        <v>1.882352941176471</v>
      </c>
      <c r="AU517">
        <v>2.3529411764705879</v>
      </c>
      <c r="AV517">
        <v>0.47058823529411759</v>
      </c>
      <c r="AW517">
        <v>0</v>
      </c>
      <c r="AX517">
        <v>0.4</v>
      </c>
      <c r="AY517">
        <v>0.5</v>
      </c>
      <c r="AZ517">
        <v>9.9999999999999992E-2</v>
      </c>
      <c r="BA517">
        <v>0</v>
      </c>
      <c r="BB517">
        <v>5.7395756944117649</v>
      </c>
      <c r="BC517">
        <v>20</v>
      </c>
      <c r="BD517">
        <v>216.40687730768099</v>
      </c>
      <c r="BE517">
        <v>1</v>
      </c>
      <c r="BF517">
        <v>9.2418504665009241E-2</v>
      </c>
      <c r="BG517">
        <v>14.696413339999999</v>
      </c>
      <c r="BH517">
        <v>14.696413339999999</v>
      </c>
      <c r="BI517">
        <v>14.696413339999999</v>
      </c>
      <c r="BJ517">
        <v>420.30120210079798</v>
      </c>
      <c r="BK517">
        <v>2</v>
      </c>
      <c r="BL517">
        <v>9.516984438794697E-2</v>
      </c>
      <c r="BM517">
        <v>3.83528</v>
      </c>
      <c r="BN517">
        <v>3.83528</v>
      </c>
      <c r="BO517">
        <v>28.573699999999999</v>
      </c>
      <c r="BP517">
        <v>0</v>
      </c>
      <c r="BQ517">
        <v>0</v>
      </c>
      <c r="BS517">
        <v>0</v>
      </c>
      <c r="BT517">
        <v>0</v>
      </c>
      <c r="BU517">
        <v>0</v>
      </c>
      <c r="BV517">
        <v>411.54</v>
      </c>
      <c r="BW517">
        <v>9.719589833309035E-2</v>
      </c>
      <c r="BX517">
        <v>10</v>
      </c>
      <c r="BY517">
        <v>4.8597949166545168E-2</v>
      </c>
      <c r="BZ517">
        <v>4.620925233250462E-2</v>
      </c>
      <c r="CA517">
        <v>4.7584922193973478E-2</v>
      </c>
      <c r="CC517">
        <v>0.53395145789068021</v>
      </c>
      <c r="CD517">
        <v>0.54984742874132475</v>
      </c>
      <c r="CF517">
        <v>0.56155303317298855</v>
      </c>
    </row>
    <row r="518" spans="1:84" x14ac:dyDescent="0.3">
      <c r="A518" s="1">
        <v>480</v>
      </c>
      <c r="B518" t="s">
        <v>402</v>
      </c>
      <c r="C518" t="s">
        <v>403</v>
      </c>
      <c r="E518" t="s">
        <v>404</v>
      </c>
      <c r="F518">
        <v>3.2</v>
      </c>
      <c r="G518" t="s">
        <v>405</v>
      </c>
      <c r="H518">
        <v>-1</v>
      </c>
      <c r="I518" t="s">
        <v>754</v>
      </c>
      <c r="Q518" t="s">
        <v>87</v>
      </c>
      <c r="R518">
        <v>1173</v>
      </c>
      <c r="S518">
        <v>6</v>
      </c>
      <c r="T518" t="b">
        <v>0</v>
      </c>
      <c r="U518" t="s">
        <v>88</v>
      </c>
      <c r="V518" t="s">
        <v>89</v>
      </c>
      <c r="W518">
        <v>0</v>
      </c>
      <c r="Y518">
        <v>1</v>
      </c>
      <c r="Z518">
        <v>1</v>
      </c>
      <c r="AC518" t="s">
        <v>90</v>
      </c>
      <c r="AD518">
        <v>125</v>
      </c>
      <c r="AE518">
        <v>220</v>
      </c>
      <c r="AF518" t="s">
        <v>91</v>
      </c>
      <c r="AG518">
        <v>288</v>
      </c>
      <c r="AH518">
        <v>3500</v>
      </c>
      <c r="AL518" t="b">
        <v>1</v>
      </c>
      <c r="AM518" t="b">
        <v>0</v>
      </c>
      <c r="AN518" t="b">
        <v>0</v>
      </c>
      <c r="AO518" t="b">
        <v>0</v>
      </c>
      <c r="AP518" t="s">
        <v>405</v>
      </c>
      <c r="AQ518">
        <v>-1</v>
      </c>
      <c r="AR518" t="s">
        <v>754</v>
      </c>
      <c r="AS518">
        <v>8.1605182474775049</v>
      </c>
      <c r="AT518">
        <v>1.882352941176471</v>
      </c>
      <c r="AU518">
        <v>2.3529411764705879</v>
      </c>
      <c r="AV518">
        <v>0.47058823529411759</v>
      </c>
      <c r="AW518">
        <v>0</v>
      </c>
      <c r="AX518">
        <v>0.4</v>
      </c>
      <c r="AY518">
        <v>0.5</v>
      </c>
      <c r="AZ518">
        <v>9.9999999999999992E-2</v>
      </c>
      <c r="BA518">
        <v>0</v>
      </c>
      <c r="BB518">
        <v>5.6898768502941177</v>
      </c>
      <c r="BC518">
        <v>20</v>
      </c>
      <c r="BD518">
        <v>229.90248606119221</v>
      </c>
      <c r="BE518">
        <v>1</v>
      </c>
      <c r="BF518">
        <v>8.6993404650164072E-2</v>
      </c>
      <c r="BG518">
        <v>15.28115725</v>
      </c>
      <c r="BH518">
        <v>15.28115725</v>
      </c>
      <c r="BI518">
        <v>15.28115725</v>
      </c>
      <c r="BJ518">
        <v>0</v>
      </c>
      <c r="BK518">
        <v>0</v>
      </c>
      <c r="BM518">
        <v>0</v>
      </c>
      <c r="BP518">
        <v>0</v>
      </c>
      <c r="BQ518">
        <v>0</v>
      </c>
      <c r="BS518">
        <v>0</v>
      </c>
      <c r="BT518">
        <v>0</v>
      </c>
      <c r="BU518">
        <v>0</v>
      </c>
      <c r="BX518">
        <v>10</v>
      </c>
      <c r="BZ518">
        <v>4.3496702325082043E-2</v>
      </c>
      <c r="CC518">
        <v>0.57369840599679478</v>
      </c>
    </row>
    <row r="519" spans="1:84" x14ac:dyDescent="0.3">
      <c r="A519" s="1">
        <v>481</v>
      </c>
      <c r="B519" t="s">
        <v>902</v>
      </c>
      <c r="C519" t="s">
        <v>903</v>
      </c>
      <c r="E519" t="s">
        <v>404</v>
      </c>
      <c r="F519">
        <v>3.6</v>
      </c>
      <c r="G519" t="s">
        <v>405</v>
      </c>
      <c r="H519">
        <v>-1</v>
      </c>
      <c r="I519">
        <v>-1</v>
      </c>
      <c r="K519">
        <v>-1</v>
      </c>
      <c r="Q519" t="s">
        <v>87</v>
      </c>
      <c r="R519">
        <v>1173</v>
      </c>
      <c r="S519">
        <v>6</v>
      </c>
      <c r="T519" t="b">
        <v>0</v>
      </c>
      <c r="U519" t="s">
        <v>88</v>
      </c>
      <c r="V519" t="s">
        <v>89</v>
      </c>
      <c r="W519">
        <v>0</v>
      </c>
      <c r="Y519">
        <v>1</v>
      </c>
      <c r="Z519">
        <v>1</v>
      </c>
      <c r="AC519" t="s">
        <v>90</v>
      </c>
      <c r="AD519">
        <v>125</v>
      </c>
      <c r="AE519">
        <v>220</v>
      </c>
      <c r="AF519" t="s">
        <v>91</v>
      </c>
      <c r="AG519">
        <v>288</v>
      </c>
      <c r="AH519">
        <v>20</v>
      </c>
      <c r="AI519" t="s">
        <v>904</v>
      </c>
      <c r="AL519" t="b">
        <v>1</v>
      </c>
      <c r="AM519" t="b">
        <v>0</v>
      </c>
      <c r="AN519" t="b">
        <v>0</v>
      </c>
      <c r="AO519" t="b">
        <v>0</v>
      </c>
      <c r="AP519" t="s">
        <v>905</v>
      </c>
      <c r="AQ519">
        <v>-1</v>
      </c>
      <c r="AS519">
        <v>2.9957322735539909</v>
      </c>
      <c r="AT519">
        <v>1.882352941176471</v>
      </c>
      <c r="AU519">
        <v>2.3529411764705879</v>
      </c>
      <c r="AV519">
        <v>0.35294117647058831</v>
      </c>
      <c r="AW519">
        <v>0.47058823529411759</v>
      </c>
      <c r="AX519">
        <v>0.37209302325581389</v>
      </c>
      <c r="AY519">
        <v>0.46511627906976749</v>
      </c>
      <c r="AZ519">
        <v>6.9767441860465129E-2</v>
      </c>
      <c r="BA519">
        <v>9.3023255813953487E-2</v>
      </c>
      <c r="BB519">
        <v>5.7284467594705886</v>
      </c>
      <c r="BC519">
        <v>20</v>
      </c>
      <c r="BD519">
        <v>229.90248606119221</v>
      </c>
      <c r="BE519">
        <v>1</v>
      </c>
      <c r="BF519">
        <v>8.6993404650164072E-2</v>
      </c>
      <c r="BG519">
        <v>15.28115725</v>
      </c>
      <c r="BH519">
        <v>15.28115725</v>
      </c>
      <c r="BI519">
        <v>15.28115725</v>
      </c>
      <c r="BJ519">
        <v>0</v>
      </c>
      <c r="BK519">
        <v>0</v>
      </c>
      <c r="BM519">
        <v>0</v>
      </c>
      <c r="BP519">
        <v>0</v>
      </c>
      <c r="BQ519">
        <v>0</v>
      </c>
      <c r="BS519">
        <v>0</v>
      </c>
      <c r="BT519">
        <v>0</v>
      </c>
      <c r="BU519">
        <v>0</v>
      </c>
      <c r="BX519">
        <v>10</v>
      </c>
      <c r="BZ519">
        <v>4.3496702325082043E-2</v>
      </c>
      <c r="CC519">
        <v>0.46523922564765408</v>
      </c>
    </row>
    <row r="520" spans="1:84" x14ac:dyDescent="0.3">
      <c r="A520" s="1">
        <v>482</v>
      </c>
      <c r="B520" t="s">
        <v>906</v>
      </c>
      <c r="C520" t="s">
        <v>907</v>
      </c>
      <c r="E520" t="s">
        <v>404</v>
      </c>
      <c r="F520">
        <v>3.4</v>
      </c>
      <c r="G520" t="s">
        <v>908</v>
      </c>
      <c r="H520">
        <v>-1</v>
      </c>
      <c r="I520">
        <v>-1</v>
      </c>
      <c r="Q520" t="s">
        <v>87</v>
      </c>
      <c r="R520">
        <v>1173</v>
      </c>
      <c r="S520">
        <v>6</v>
      </c>
      <c r="T520" t="b">
        <v>0</v>
      </c>
      <c r="U520" t="s">
        <v>88</v>
      </c>
      <c r="V520" t="s">
        <v>89</v>
      </c>
      <c r="W520">
        <v>0</v>
      </c>
      <c r="Y520">
        <v>1</v>
      </c>
      <c r="Z520">
        <v>1</v>
      </c>
      <c r="AC520" t="s">
        <v>90</v>
      </c>
      <c r="AD520">
        <v>125</v>
      </c>
      <c r="AE520">
        <v>220</v>
      </c>
      <c r="AF520" t="s">
        <v>91</v>
      </c>
      <c r="AG520">
        <v>288</v>
      </c>
      <c r="AH520">
        <v>180</v>
      </c>
      <c r="AL520" t="b">
        <v>1</v>
      </c>
      <c r="AM520" t="b">
        <v>0</v>
      </c>
      <c r="AN520" t="b">
        <v>0</v>
      </c>
      <c r="AO520" t="b">
        <v>0</v>
      </c>
      <c r="AP520" t="s">
        <v>908</v>
      </c>
      <c r="AQ520">
        <v>-1</v>
      </c>
      <c r="AS520">
        <v>5.1929568508902104</v>
      </c>
      <c r="AT520">
        <v>1.882352941176471</v>
      </c>
      <c r="AU520">
        <v>2.3529411764705879</v>
      </c>
      <c r="AV520">
        <v>0.35294117647058831</v>
      </c>
      <c r="AW520">
        <v>0.47058823529411759</v>
      </c>
      <c r="AX520">
        <v>0.37209302325581389</v>
      </c>
      <c r="AY520">
        <v>0.46511627906976749</v>
      </c>
      <c r="AZ520">
        <v>6.9767441860465129E-2</v>
      </c>
      <c r="BA520">
        <v>9.3023255813953487E-2</v>
      </c>
      <c r="BB520">
        <v>5.7094608179411761</v>
      </c>
      <c r="BC520">
        <v>20</v>
      </c>
      <c r="BD520">
        <v>213.3423200442661</v>
      </c>
      <c r="BE520">
        <v>1</v>
      </c>
      <c r="BF520">
        <v>9.374605092815258E-2</v>
      </c>
      <c r="BG520">
        <v>14.64115209</v>
      </c>
      <c r="BH520">
        <v>14.64115209</v>
      </c>
      <c r="BI520">
        <v>14.64115209</v>
      </c>
      <c r="BJ520">
        <v>0</v>
      </c>
      <c r="BK520">
        <v>0</v>
      </c>
      <c r="BM520">
        <v>0</v>
      </c>
      <c r="BP520">
        <v>0</v>
      </c>
      <c r="BQ520">
        <v>0</v>
      </c>
      <c r="BS520">
        <v>0</v>
      </c>
      <c r="BT520">
        <v>0</v>
      </c>
      <c r="BU520">
        <v>0</v>
      </c>
      <c r="BX520">
        <v>10</v>
      </c>
      <c r="BZ520">
        <v>4.687302546407629E-2</v>
      </c>
      <c r="CC520">
        <v>0.53401936473899148</v>
      </c>
    </row>
    <row r="521" spans="1:84" x14ac:dyDescent="0.3">
      <c r="A521" s="1">
        <v>483</v>
      </c>
      <c r="B521" t="s">
        <v>909</v>
      </c>
      <c r="C521" t="s">
        <v>910</v>
      </c>
      <c r="E521" t="s">
        <v>404</v>
      </c>
      <c r="F521">
        <v>3.3</v>
      </c>
      <c r="G521" t="s">
        <v>911</v>
      </c>
      <c r="H521" t="s">
        <v>912</v>
      </c>
      <c r="I521">
        <v>-1</v>
      </c>
      <c r="Q521" t="s">
        <v>87</v>
      </c>
      <c r="R521">
        <v>1173</v>
      </c>
      <c r="S521">
        <v>6</v>
      </c>
      <c r="T521" t="b">
        <v>0</v>
      </c>
      <c r="U521" t="s">
        <v>88</v>
      </c>
      <c r="V521" t="s">
        <v>89</v>
      </c>
      <c r="W521">
        <v>0</v>
      </c>
      <c r="Y521">
        <v>1</v>
      </c>
      <c r="Z521">
        <v>1</v>
      </c>
      <c r="AC521" t="s">
        <v>90</v>
      </c>
      <c r="AD521">
        <v>125</v>
      </c>
      <c r="AE521">
        <v>220</v>
      </c>
      <c r="AF521" t="s">
        <v>91</v>
      </c>
      <c r="AG521">
        <v>288</v>
      </c>
      <c r="AH521">
        <v>2260</v>
      </c>
      <c r="AL521" t="b">
        <v>1</v>
      </c>
      <c r="AM521" t="b">
        <v>1</v>
      </c>
      <c r="AN521" t="b">
        <v>0</v>
      </c>
      <c r="AO521" t="b">
        <v>0</v>
      </c>
      <c r="AP521" t="s">
        <v>911</v>
      </c>
      <c r="AQ521" t="s">
        <v>912</v>
      </c>
      <c r="AS521">
        <v>7.7231200922663312</v>
      </c>
      <c r="AT521">
        <v>1.882352941176471</v>
      </c>
      <c r="AU521">
        <v>2.3529411764705879</v>
      </c>
      <c r="AV521">
        <v>0.35294117647058831</v>
      </c>
      <c r="AW521">
        <v>0.47058823529411759</v>
      </c>
      <c r="AX521">
        <v>0.37209302325581389</v>
      </c>
      <c r="AY521">
        <v>0.46511627906976749</v>
      </c>
      <c r="AZ521">
        <v>6.9767441860465129E-2</v>
      </c>
      <c r="BA521">
        <v>9.3023255813953487E-2</v>
      </c>
      <c r="BB521">
        <v>5.6597619738235299</v>
      </c>
      <c r="BC521">
        <v>20</v>
      </c>
      <c r="BD521">
        <v>227.79419475650769</v>
      </c>
      <c r="BE521">
        <v>1</v>
      </c>
      <c r="BF521">
        <v>8.7798550008608756E-2</v>
      </c>
      <c r="BG521">
        <v>15.19820412</v>
      </c>
      <c r="BH521">
        <v>15.194836840000001</v>
      </c>
      <c r="BI521">
        <v>3.9043439100000001</v>
      </c>
      <c r="BJ521">
        <v>441.58933615438389</v>
      </c>
      <c r="BK521">
        <v>2</v>
      </c>
      <c r="BL521">
        <v>9.0581897534807332E-2</v>
      </c>
      <c r="BM521">
        <v>3.8588</v>
      </c>
      <c r="BN521">
        <v>3.8588</v>
      </c>
      <c r="BO521">
        <v>29.656099999999999</v>
      </c>
      <c r="BP521">
        <v>0</v>
      </c>
      <c r="BQ521">
        <v>0</v>
      </c>
      <c r="BS521">
        <v>0</v>
      </c>
      <c r="BT521">
        <v>0</v>
      </c>
      <c r="BU521">
        <v>0</v>
      </c>
      <c r="BX521">
        <v>10</v>
      </c>
      <c r="BZ521">
        <v>4.3899275004304378E-2</v>
      </c>
      <c r="CA521">
        <v>4.5290948767403673E-2</v>
      </c>
      <c r="CC521">
        <v>0.57188837719605856</v>
      </c>
      <c r="CD521">
        <v>0.59001810826535639</v>
      </c>
    </row>
    <row r="522" spans="1:84" x14ac:dyDescent="0.3">
      <c r="A522" s="1">
        <v>484</v>
      </c>
      <c r="B522" t="s">
        <v>106</v>
      </c>
      <c r="C522" t="s">
        <v>107</v>
      </c>
      <c r="E522" t="s">
        <v>106</v>
      </c>
      <c r="F522">
        <v>3.26</v>
      </c>
      <c r="G522" t="s">
        <v>108</v>
      </c>
      <c r="H522" t="s">
        <v>109</v>
      </c>
      <c r="I522">
        <v>-1</v>
      </c>
      <c r="Q522" t="s">
        <v>87</v>
      </c>
      <c r="R522">
        <v>1473</v>
      </c>
      <c r="S522">
        <v>12</v>
      </c>
      <c r="T522" t="b">
        <v>0</v>
      </c>
      <c r="U522" t="s">
        <v>88</v>
      </c>
      <c r="V522" t="s">
        <v>89</v>
      </c>
      <c r="W522">
        <v>0</v>
      </c>
      <c r="Y522">
        <v>1</v>
      </c>
      <c r="Z522">
        <v>20</v>
      </c>
      <c r="AC522" t="s">
        <v>165</v>
      </c>
      <c r="AD522">
        <v>300</v>
      </c>
      <c r="AE522">
        <v>420</v>
      </c>
      <c r="AF522" t="s">
        <v>91</v>
      </c>
      <c r="AG522">
        <v>298</v>
      </c>
      <c r="AH522">
        <v>114</v>
      </c>
      <c r="AL522" t="b">
        <v>1</v>
      </c>
      <c r="AM522" t="b">
        <v>1</v>
      </c>
      <c r="AN522" t="b">
        <v>0</v>
      </c>
      <c r="AO522" t="b">
        <v>0</v>
      </c>
      <c r="AP522" t="s">
        <v>108</v>
      </c>
      <c r="AQ522" t="s">
        <v>109</v>
      </c>
      <c r="AS522">
        <v>4.7361984483944957</v>
      </c>
      <c r="AT522">
        <v>1.75</v>
      </c>
      <c r="AU522">
        <v>2.5</v>
      </c>
      <c r="AV522">
        <v>0.75</v>
      </c>
      <c r="AW522">
        <v>0</v>
      </c>
      <c r="AX522">
        <v>0.35</v>
      </c>
      <c r="AY522">
        <v>0.5</v>
      </c>
      <c r="AZ522">
        <v>0.15</v>
      </c>
      <c r="BA522">
        <v>0</v>
      </c>
      <c r="BB522">
        <v>5.9668120809374994</v>
      </c>
      <c r="BC522">
        <v>20</v>
      </c>
      <c r="BD522">
        <v>924.74694800021894</v>
      </c>
      <c r="BE522">
        <v>4</v>
      </c>
      <c r="BF522">
        <v>8.6510153045653584E-2</v>
      </c>
      <c r="BG522">
        <v>7.8084429999999996</v>
      </c>
      <c r="BH522">
        <v>7.8548809999999998</v>
      </c>
      <c r="BI522">
        <v>15.19056011</v>
      </c>
      <c r="BJ522">
        <v>883.22940750240002</v>
      </c>
      <c r="BK522">
        <v>4</v>
      </c>
      <c r="BL522">
        <v>9.0576694254581439E-2</v>
      </c>
      <c r="BM522">
        <v>3.8801999999999999</v>
      </c>
      <c r="BN522">
        <v>29.507999999999999</v>
      </c>
      <c r="BO522">
        <v>7.7140000000000004</v>
      </c>
      <c r="BP522">
        <v>0</v>
      </c>
      <c r="BQ522">
        <v>0</v>
      </c>
      <c r="BS522">
        <v>0</v>
      </c>
      <c r="BT522">
        <v>0</v>
      </c>
      <c r="BU522">
        <v>0</v>
      </c>
      <c r="BX522">
        <v>10</v>
      </c>
      <c r="BZ522">
        <v>4.3255076522826792E-2</v>
      </c>
      <c r="CA522">
        <v>4.5288347127290719E-2</v>
      </c>
      <c r="CC522">
        <v>0.50555206026575006</v>
      </c>
      <c r="CD522">
        <v>0.52931630311992839</v>
      </c>
    </row>
    <row r="523" spans="1:84" x14ac:dyDescent="0.3">
      <c r="A523" s="1">
        <v>517</v>
      </c>
      <c r="B523" t="s">
        <v>372</v>
      </c>
      <c r="C523" t="s">
        <v>944</v>
      </c>
      <c r="E523" t="s">
        <v>372</v>
      </c>
      <c r="F523">
        <v>3.45</v>
      </c>
      <c r="G523" t="s">
        <v>373</v>
      </c>
      <c r="H523">
        <v>-1</v>
      </c>
      <c r="I523">
        <v>-1</v>
      </c>
      <c r="J523">
        <v>2</v>
      </c>
      <c r="K523">
        <v>3.71</v>
      </c>
      <c r="L523">
        <v>3.71</v>
      </c>
      <c r="M523">
        <v>12.2</v>
      </c>
      <c r="N523" t="s">
        <v>529</v>
      </c>
      <c r="O523">
        <v>12.2</v>
      </c>
      <c r="Q523" t="s">
        <v>87</v>
      </c>
      <c r="R523">
        <v>1098</v>
      </c>
      <c r="S523">
        <v>12</v>
      </c>
      <c r="T523" t="b">
        <v>0</v>
      </c>
      <c r="U523" t="s">
        <v>88</v>
      </c>
      <c r="V523" t="s">
        <v>89</v>
      </c>
      <c r="W523">
        <v>0</v>
      </c>
      <c r="X523">
        <v>9.6999999999999993</v>
      </c>
      <c r="Y523">
        <v>0.5</v>
      </c>
      <c r="Z523">
        <v>1</v>
      </c>
      <c r="AC523" t="s">
        <v>90</v>
      </c>
      <c r="AD523">
        <v>125</v>
      </c>
      <c r="AE523">
        <v>220</v>
      </c>
      <c r="AF523" t="s">
        <v>91</v>
      </c>
      <c r="AG523">
        <v>288</v>
      </c>
      <c r="AH523">
        <v>29.2</v>
      </c>
      <c r="AI523" t="s">
        <v>136</v>
      </c>
      <c r="AL523" t="b">
        <v>1</v>
      </c>
      <c r="AM523" t="b">
        <v>0</v>
      </c>
      <c r="AN523" t="b">
        <v>0</v>
      </c>
      <c r="AO523" t="b">
        <v>0</v>
      </c>
      <c r="AP523" t="s">
        <v>945</v>
      </c>
      <c r="AQ523">
        <v>-1</v>
      </c>
      <c r="AS523">
        <v>3.3741687092742358</v>
      </c>
      <c r="AT523">
        <v>1.857142857142857</v>
      </c>
      <c r="AU523">
        <v>2.285714285714286</v>
      </c>
      <c r="AV523">
        <v>0.42857142857142849</v>
      </c>
      <c r="AW523">
        <v>0</v>
      </c>
      <c r="AX523">
        <v>0.40625000000000011</v>
      </c>
      <c r="AY523">
        <v>0.5</v>
      </c>
      <c r="AZ523">
        <v>9.375E-2</v>
      </c>
      <c r="BA523">
        <v>0</v>
      </c>
      <c r="BB523">
        <v>6.2648152075501429</v>
      </c>
      <c r="BC523">
        <v>8</v>
      </c>
      <c r="BD523">
        <v>203.79933701026059</v>
      </c>
      <c r="BE523">
        <v>2</v>
      </c>
      <c r="BF523">
        <v>7.8508596910668346E-2</v>
      </c>
      <c r="BG523">
        <v>3.8703880000000002</v>
      </c>
      <c r="BH523">
        <v>3.8703880000000002</v>
      </c>
      <c r="BI523">
        <v>13.604850000000001</v>
      </c>
      <c r="BJ523">
        <v>0</v>
      </c>
      <c r="BK523">
        <v>0</v>
      </c>
      <c r="BM523">
        <v>0</v>
      </c>
      <c r="BP523">
        <v>0</v>
      </c>
      <c r="BQ523">
        <v>0</v>
      </c>
      <c r="BS523">
        <v>0</v>
      </c>
      <c r="BT523">
        <v>0</v>
      </c>
      <c r="BU523">
        <v>0</v>
      </c>
      <c r="BV523">
        <v>167.92202</v>
      </c>
      <c r="BW523">
        <v>9.5282322115944076E-2</v>
      </c>
      <c r="BX523">
        <v>4</v>
      </c>
      <c r="BY523">
        <v>4.7641161057972038E-2</v>
      </c>
      <c r="BZ523">
        <v>3.9254298455334173E-2</v>
      </c>
      <c r="CC523">
        <v>0.41209139981608062</v>
      </c>
      <c r="CF523">
        <v>0.50013663526765251</v>
      </c>
    </row>
    <row r="524" spans="1:84" x14ac:dyDescent="0.3">
      <c r="A524" s="1">
        <v>518</v>
      </c>
      <c r="B524" t="s">
        <v>946</v>
      </c>
      <c r="C524" t="s">
        <v>947</v>
      </c>
      <c r="E524" t="s">
        <v>372</v>
      </c>
      <c r="F524">
        <v>3.58</v>
      </c>
      <c r="G524" t="s">
        <v>948</v>
      </c>
      <c r="H524">
        <v>-1</v>
      </c>
      <c r="I524">
        <v>-1</v>
      </c>
      <c r="J524">
        <v>4</v>
      </c>
      <c r="K524">
        <v>3.77</v>
      </c>
      <c r="L524">
        <v>3.77</v>
      </c>
      <c r="M524">
        <v>33.299999999999997</v>
      </c>
      <c r="N524" t="s">
        <v>529</v>
      </c>
      <c r="O524">
        <v>16.649999999999999</v>
      </c>
      <c r="Q524" t="s">
        <v>87</v>
      </c>
      <c r="R524">
        <v>1098</v>
      </c>
      <c r="S524">
        <v>12</v>
      </c>
      <c r="T524" t="b">
        <v>0</v>
      </c>
      <c r="U524" t="s">
        <v>88</v>
      </c>
      <c r="V524" t="s">
        <v>89</v>
      </c>
      <c r="W524">
        <v>0</v>
      </c>
      <c r="X524">
        <v>4</v>
      </c>
      <c r="Y524">
        <v>0.5</v>
      </c>
      <c r="Z524">
        <v>1</v>
      </c>
      <c r="AC524" t="s">
        <v>90</v>
      </c>
      <c r="AD524">
        <v>125</v>
      </c>
      <c r="AE524">
        <v>220</v>
      </c>
      <c r="AF524" t="s">
        <v>91</v>
      </c>
      <c r="AG524">
        <v>288</v>
      </c>
      <c r="AH524">
        <v>920</v>
      </c>
      <c r="AL524" t="b">
        <v>1</v>
      </c>
      <c r="AM524" t="b">
        <v>0</v>
      </c>
      <c r="AN524" t="b">
        <v>0</v>
      </c>
      <c r="AO524" t="b">
        <v>0</v>
      </c>
      <c r="AP524" t="s">
        <v>948</v>
      </c>
      <c r="AQ524">
        <v>-1</v>
      </c>
      <c r="AS524">
        <v>6.8243736700430864</v>
      </c>
      <c r="AT524">
        <v>1.571428571428571</v>
      </c>
      <c r="AU524">
        <v>1.5</v>
      </c>
      <c r="AV524">
        <v>0.2142857142857143</v>
      </c>
      <c r="AW524">
        <v>0</v>
      </c>
      <c r="AX524">
        <v>0.47826086956521741</v>
      </c>
      <c r="AY524">
        <v>0.45652173913043481</v>
      </c>
      <c r="AZ524">
        <v>6.5217391304347824E-2</v>
      </c>
      <c r="BA524">
        <v>0</v>
      </c>
      <c r="BB524">
        <v>6.659182230900428</v>
      </c>
      <c r="BC524">
        <v>8</v>
      </c>
      <c r="BD524">
        <v>249.41538945455761</v>
      </c>
      <c r="BE524">
        <v>2</v>
      </c>
      <c r="BF524">
        <v>6.4150011091898274E-2</v>
      </c>
      <c r="BG524">
        <v>3.8703880000000002</v>
      </c>
      <c r="BH524">
        <v>3.8703880000000002</v>
      </c>
      <c r="BI524">
        <v>16.649999999999999</v>
      </c>
      <c r="BJ524">
        <v>0</v>
      </c>
      <c r="BK524">
        <v>0</v>
      </c>
      <c r="BM524">
        <v>0</v>
      </c>
      <c r="BP524">
        <v>0</v>
      </c>
      <c r="BQ524">
        <v>0</v>
      </c>
      <c r="BS524">
        <v>0</v>
      </c>
      <c r="BT524">
        <v>0</v>
      </c>
      <c r="BU524">
        <v>0</v>
      </c>
      <c r="BV524">
        <v>473.28956999999991</v>
      </c>
      <c r="BW524">
        <v>6.7611885045343392E-2</v>
      </c>
      <c r="BX524">
        <v>4</v>
      </c>
      <c r="BY524">
        <v>3.3805942522671703E-2</v>
      </c>
      <c r="BZ524">
        <v>3.2075005545949137E-2</v>
      </c>
      <c r="CC524">
        <v>0.41488478690173181</v>
      </c>
      <c r="CF524">
        <v>0.43727416475231679</v>
      </c>
    </row>
    <row r="525" spans="1:84" x14ac:dyDescent="0.3">
      <c r="A525" s="1">
        <v>519</v>
      </c>
      <c r="B525" t="s">
        <v>949</v>
      </c>
      <c r="C525" t="s">
        <v>950</v>
      </c>
      <c r="E525" t="s">
        <v>372</v>
      </c>
      <c r="F525">
        <v>3.48</v>
      </c>
      <c r="G525" t="s">
        <v>951</v>
      </c>
      <c r="H525">
        <v>-1</v>
      </c>
      <c r="I525">
        <v>-1</v>
      </c>
      <c r="J525">
        <v>4</v>
      </c>
      <c r="K525">
        <v>3.75</v>
      </c>
      <c r="L525">
        <v>3.75</v>
      </c>
      <c r="M525">
        <v>37.299999999999997</v>
      </c>
      <c r="N525" t="s">
        <v>529</v>
      </c>
      <c r="O525">
        <v>18.649999999999999</v>
      </c>
      <c r="Q525" t="s">
        <v>87</v>
      </c>
      <c r="R525">
        <v>1098</v>
      </c>
      <c r="S525">
        <v>12</v>
      </c>
      <c r="T525" t="b">
        <v>0</v>
      </c>
      <c r="U525" t="s">
        <v>88</v>
      </c>
      <c r="V525" t="s">
        <v>89</v>
      </c>
      <c r="W525">
        <v>0</v>
      </c>
      <c r="Y525">
        <v>0.5</v>
      </c>
      <c r="Z525">
        <v>1</v>
      </c>
      <c r="AC525" t="s">
        <v>90</v>
      </c>
      <c r="AD525">
        <v>125</v>
      </c>
      <c r="AE525">
        <v>220</v>
      </c>
      <c r="AF525" t="s">
        <v>91</v>
      </c>
      <c r="AG525">
        <v>288</v>
      </c>
      <c r="AH525">
        <v>327.99999999999989</v>
      </c>
      <c r="AL525" t="b">
        <v>1</v>
      </c>
      <c r="AM525" t="b">
        <v>0</v>
      </c>
      <c r="AN525" t="b">
        <v>0</v>
      </c>
      <c r="AO525" t="b">
        <v>0</v>
      </c>
      <c r="AP525" t="s">
        <v>951</v>
      </c>
      <c r="AQ525">
        <v>-1</v>
      </c>
      <c r="AS525">
        <v>5.7930136083841433</v>
      </c>
      <c r="AT525">
        <v>1.529411764705882</v>
      </c>
      <c r="AU525">
        <v>1.3529411764705881</v>
      </c>
      <c r="AV525">
        <v>0.1764705882352941</v>
      </c>
      <c r="AW525">
        <v>0</v>
      </c>
      <c r="AX525">
        <v>0.5</v>
      </c>
      <c r="AY525">
        <v>0.44230769230769229</v>
      </c>
      <c r="AZ525">
        <v>5.7692307692307702E-2</v>
      </c>
      <c r="BA525">
        <v>0</v>
      </c>
      <c r="BB525">
        <v>6.696610960459294</v>
      </c>
      <c r="BC525">
        <v>8</v>
      </c>
      <c r="BD525">
        <v>279.37519599564558</v>
      </c>
      <c r="BE525">
        <v>2</v>
      </c>
      <c r="BF525">
        <v>5.7270653334053963E-2</v>
      </c>
      <c r="BG525">
        <v>3.8703880000000002</v>
      </c>
      <c r="BH525">
        <v>3.8703880000000002</v>
      </c>
      <c r="BI525">
        <v>18.649999999999999</v>
      </c>
      <c r="BJ525">
        <v>0</v>
      </c>
      <c r="BK525">
        <v>0</v>
      </c>
      <c r="BM525">
        <v>0</v>
      </c>
      <c r="BP525">
        <v>0</v>
      </c>
      <c r="BQ525">
        <v>0</v>
      </c>
      <c r="BS525">
        <v>0</v>
      </c>
      <c r="BT525">
        <v>0</v>
      </c>
      <c r="BU525">
        <v>0</v>
      </c>
      <c r="BV525">
        <v>524.53125</v>
      </c>
      <c r="BW525">
        <v>6.1006851355376833E-2</v>
      </c>
      <c r="BX525">
        <v>4</v>
      </c>
      <c r="BY525">
        <v>3.050342567768841E-2</v>
      </c>
      <c r="BZ525">
        <v>2.8635326667026981E-2</v>
      </c>
      <c r="CC525">
        <v>0.37120324532256599</v>
      </c>
      <c r="CF525">
        <v>0.39541964150357722</v>
      </c>
    </row>
    <row r="526" spans="1:84" x14ac:dyDescent="0.3">
      <c r="A526" s="1">
        <v>520</v>
      </c>
      <c r="B526" t="s">
        <v>952</v>
      </c>
      <c r="C526" t="s">
        <v>953</v>
      </c>
      <c r="E526" t="s">
        <v>372</v>
      </c>
      <c r="F526">
        <v>3.61</v>
      </c>
      <c r="G526" t="s">
        <v>954</v>
      </c>
      <c r="H526">
        <v>-1</v>
      </c>
      <c r="I526">
        <v>-1</v>
      </c>
      <c r="J526">
        <v>4</v>
      </c>
      <c r="K526">
        <v>3.76</v>
      </c>
      <c r="L526">
        <v>3.76</v>
      </c>
      <c r="M526">
        <v>47.8</v>
      </c>
      <c r="N526" t="s">
        <v>529</v>
      </c>
      <c r="O526">
        <v>23.9</v>
      </c>
      <c r="Q526" t="s">
        <v>87</v>
      </c>
      <c r="R526">
        <v>1098</v>
      </c>
      <c r="S526">
        <v>12</v>
      </c>
      <c r="T526" t="b">
        <v>0</v>
      </c>
      <c r="U526" t="s">
        <v>88</v>
      </c>
      <c r="V526" t="s">
        <v>89</v>
      </c>
      <c r="W526">
        <v>0</v>
      </c>
      <c r="X526">
        <v>2.6</v>
      </c>
      <c r="Y526">
        <v>0.5</v>
      </c>
      <c r="Z526">
        <v>1</v>
      </c>
      <c r="AC526" t="s">
        <v>90</v>
      </c>
      <c r="AD526">
        <v>125</v>
      </c>
      <c r="AE526">
        <v>220</v>
      </c>
      <c r="AF526" t="s">
        <v>91</v>
      </c>
      <c r="AG526">
        <v>288</v>
      </c>
      <c r="AH526">
        <v>520</v>
      </c>
      <c r="AL526" t="b">
        <v>1</v>
      </c>
      <c r="AM526" t="b">
        <v>0</v>
      </c>
      <c r="AN526" t="b">
        <v>0</v>
      </c>
      <c r="AO526" t="b">
        <v>0</v>
      </c>
      <c r="AP526" t="s">
        <v>954</v>
      </c>
      <c r="AQ526">
        <v>-1</v>
      </c>
      <c r="AS526">
        <v>6.253828811575473</v>
      </c>
      <c r="AT526">
        <v>1.4782608695652171</v>
      </c>
      <c r="AU526">
        <v>1.173913043478261</v>
      </c>
      <c r="AV526">
        <v>0.13043478260869559</v>
      </c>
      <c r="AW526">
        <v>0</v>
      </c>
      <c r="AX526">
        <v>0.53125</v>
      </c>
      <c r="AY526">
        <v>0.42187500000000011</v>
      </c>
      <c r="AZ526">
        <v>4.6875E-2</v>
      </c>
      <c r="BA526">
        <v>0</v>
      </c>
      <c r="BB526">
        <v>6.7421763703570434</v>
      </c>
      <c r="BC526">
        <v>8</v>
      </c>
      <c r="BD526">
        <v>358.01968816600157</v>
      </c>
      <c r="BE526">
        <v>2</v>
      </c>
      <c r="BF526">
        <v>4.4690279693728303E-2</v>
      </c>
      <c r="BG526">
        <v>3.8703880000000002</v>
      </c>
      <c r="BH526">
        <v>3.8703880000000002</v>
      </c>
      <c r="BI526">
        <v>23.9</v>
      </c>
      <c r="BJ526">
        <v>0</v>
      </c>
      <c r="BK526">
        <v>0</v>
      </c>
      <c r="BM526">
        <v>0</v>
      </c>
      <c r="BP526">
        <v>0</v>
      </c>
      <c r="BQ526">
        <v>0</v>
      </c>
      <c r="BS526">
        <v>0</v>
      </c>
      <c r="BT526">
        <v>0</v>
      </c>
      <c r="BU526">
        <v>0</v>
      </c>
      <c r="BV526">
        <v>675.77727999999991</v>
      </c>
      <c r="BW526">
        <v>4.7352879339181107E-2</v>
      </c>
      <c r="BX526">
        <v>4</v>
      </c>
      <c r="BY526">
        <v>2.367643966959055E-2</v>
      </c>
      <c r="BZ526">
        <v>2.2345139846864152E-2</v>
      </c>
      <c r="CC526">
        <v>0.29092712016610461</v>
      </c>
      <c r="CF526">
        <v>0.30826025059884121</v>
      </c>
    </row>
    <row r="527" spans="1:84" x14ac:dyDescent="0.3">
      <c r="A527" s="1">
        <v>521</v>
      </c>
      <c r="B527" t="s">
        <v>955</v>
      </c>
      <c r="C527" t="s">
        <v>956</v>
      </c>
      <c r="E527" t="s">
        <v>372</v>
      </c>
      <c r="F527">
        <v>3.47</v>
      </c>
      <c r="G527" t="s">
        <v>957</v>
      </c>
      <c r="H527">
        <v>-1</v>
      </c>
      <c r="I527">
        <v>-1</v>
      </c>
      <c r="J527">
        <v>4</v>
      </c>
      <c r="K527">
        <v>3.76</v>
      </c>
      <c r="L527">
        <v>3.76</v>
      </c>
      <c r="M527">
        <v>54.9</v>
      </c>
      <c r="N527" t="s">
        <v>529</v>
      </c>
      <c r="O527">
        <v>27.45</v>
      </c>
      <c r="Q527" t="s">
        <v>87</v>
      </c>
      <c r="R527">
        <v>1098</v>
      </c>
      <c r="S527">
        <v>12</v>
      </c>
      <c r="T527" t="b">
        <v>0</v>
      </c>
      <c r="U527" t="s">
        <v>88</v>
      </c>
      <c r="V527" t="s">
        <v>89</v>
      </c>
      <c r="W527">
        <v>0</v>
      </c>
      <c r="Y527">
        <v>0.5</v>
      </c>
      <c r="Z527">
        <v>1</v>
      </c>
      <c r="AC527" t="s">
        <v>90</v>
      </c>
      <c r="AD527">
        <v>125</v>
      </c>
      <c r="AE527">
        <v>220</v>
      </c>
      <c r="AF527" t="s">
        <v>91</v>
      </c>
      <c r="AG527">
        <v>288</v>
      </c>
      <c r="AH527">
        <v>600</v>
      </c>
      <c r="AL527" t="b">
        <v>1</v>
      </c>
      <c r="AM527" t="b">
        <v>0</v>
      </c>
      <c r="AN527" t="b">
        <v>0</v>
      </c>
      <c r="AO527" t="b">
        <v>0</v>
      </c>
      <c r="AP527" t="s">
        <v>957</v>
      </c>
      <c r="AQ527">
        <v>-1</v>
      </c>
      <c r="AS527">
        <v>6.3969296552161463</v>
      </c>
      <c r="AT527">
        <v>1.448275862068966</v>
      </c>
      <c r="AU527">
        <v>1.068965517241379</v>
      </c>
      <c r="AV527">
        <v>0.10344827586206901</v>
      </c>
      <c r="AW527">
        <v>0</v>
      </c>
      <c r="AX527">
        <v>0.55263157894736847</v>
      </c>
      <c r="AY527">
        <v>0.40789473684210531</v>
      </c>
      <c r="AZ527">
        <v>3.9473684210526307E-2</v>
      </c>
      <c r="BA527">
        <v>0</v>
      </c>
      <c r="BB527">
        <v>6.7688871278833096</v>
      </c>
      <c r="BC527">
        <v>8</v>
      </c>
      <c r="BD527">
        <v>411.19834477643292</v>
      </c>
      <c r="BE527">
        <v>2</v>
      </c>
      <c r="BF527">
        <v>3.8910662465577638E-2</v>
      </c>
      <c r="BG527">
        <v>3.8703880000000002</v>
      </c>
      <c r="BH527">
        <v>3.8703880000000002</v>
      </c>
      <c r="BI527">
        <v>27.45</v>
      </c>
      <c r="BJ527">
        <v>0</v>
      </c>
      <c r="BK527">
        <v>0</v>
      </c>
      <c r="BM527">
        <v>0</v>
      </c>
      <c r="BP527">
        <v>0</v>
      </c>
      <c r="BQ527">
        <v>0</v>
      </c>
      <c r="BS527">
        <v>0</v>
      </c>
      <c r="BT527">
        <v>0</v>
      </c>
      <c r="BU527">
        <v>0</v>
      </c>
      <c r="BV527">
        <v>776.15423999999996</v>
      </c>
      <c r="BW527">
        <v>4.1228918623185E-2</v>
      </c>
      <c r="BX527">
        <v>4</v>
      </c>
      <c r="BY527">
        <v>2.06144593115925E-2</v>
      </c>
      <c r="BZ527">
        <v>1.9455331232788819E-2</v>
      </c>
      <c r="CC527">
        <v>0.25440349066207429</v>
      </c>
      <c r="CF527">
        <v>0.26956058183896969</v>
      </c>
    </row>
    <row r="528" spans="1:84" x14ac:dyDescent="0.3">
      <c r="A528" s="1">
        <v>522</v>
      </c>
      <c r="B528" t="s">
        <v>958</v>
      </c>
      <c r="C528" t="s">
        <v>959</v>
      </c>
      <c r="E528" t="s">
        <v>372</v>
      </c>
      <c r="F528">
        <v>3.47</v>
      </c>
      <c r="G528" t="s">
        <v>960</v>
      </c>
      <c r="H528">
        <v>-1</v>
      </c>
      <c r="I528">
        <v>-1</v>
      </c>
      <c r="J528">
        <v>4</v>
      </c>
      <c r="K528">
        <v>3.72</v>
      </c>
      <c r="L528">
        <v>3.72</v>
      </c>
      <c r="M528">
        <v>32.299999999999997</v>
      </c>
      <c r="N528" t="s">
        <v>529</v>
      </c>
      <c r="O528">
        <v>16.149999999999999</v>
      </c>
      <c r="Q528" t="s">
        <v>87</v>
      </c>
      <c r="R528">
        <v>1098</v>
      </c>
      <c r="S528">
        <v>12</v>
      </c>
      <c r="T528" t="b">
        <v>0</v>
      </c>
      <c r="U528" t="s">
        <v>88</v>
      </c>
      <c r="V528" t="s">
        <v>89</v>
      </c>
      <c r="W528">
        <v>0</v>
      </c>
      <c r="X528">
        <v>17</v>
      </c>
      <c r="Y528">
        <v>0.5</v>
      </c>
      <c r="Z528">
        <v>1</v>
      </c>
      <c r="AC528" t="s">
        <v>90</v>
      </c>
      <c r="AD528">
        <v>125</v>
      </c>
      <c r="AE528">
        <v>220</v>
      </c>
      <c r="AF528" t="s">
        <v>91</v>
      </c>
      <c r="AG528">
        <v>288</v>
      </c>
      <c r="AH528">
        <v>2000</v>
      </c>
      <c r="AL528" t="b">
        <v>1</v>
      </c>
      <c r="AM528" t="b">
        <v>0</v>
      </c>
      <c r="AN528" t="b">
        <v>0</v>
      </c>
      <c r="AO528" t="b">
        <v>0</v>
      </c>
      <c r="AP528" t="s">
        <v>960</v>
      </c>
      <c r="AQ528">
        <v>-1</v>
      </c>
      <c r="AS528">
        <v>7.6009024595420822</v>
      </c>
      <c r="AT528">
        <v>1.615384615384615</v>
      </c>
      <c r="AU528">
        <v>1.6923076923076921</v>
      </c>
      <c r="AV528">
        <v>0.23076923076923081</v>
      </c>
      <c r="AW528">
        <v>0</v>
      </c>
      <c r="AX528">
        <v>0.45652173913043481</v>
      </c>
      <c r="AY528">
        <v>0.47826086956521741</v>
      </c>
      <c r="AZ528">
        <v>6.5217391304347838E-2</v>
      </c>
      <c r="BA528">
        <v>0</v>
      </c>
      <c r="BB528">
        <v>6.6430581020965382</v>
      </c>
      <c r="BC528">
        <v>10</v>
      </c>
      <c r="BD528">
        <v>249.41538945455761</v>
      </c>
      <c r="BE528">
        <v>2</v>
      </c>
      <c r="BF528">
        <v>8.0187513864872856E-2</v>
      </c>
      <c r="BG528">
        <v>3.8703880000000002</v>
      </c>
      <c r="BH528">
        <v>3.8703880000000002</v>
      </c>
      <c r="BI528">
        <v>16.649999999999999</v>
      </c>
      <c r="BJ528">
        <v>0</v>
      </c>
      <c r="BK528">
        <v>0</v>
      </c>
      <c r="BM528">
        <v>0</v>
      </c>
      <c r="BP528">
        <v>0</v>
      </c>
      <c r="BQ528">
        <v>0</v>
      </c>
      <c r="BS528">
        <v>0</v>
      </c>
      <c r="BT528">
        <v>0</v>
      </c>
      <c r="BU528">
        <v>0</v>
      </c>
      <c r="BV528">
        <v>446.98032000000001</v>
      </c>
      <c r="BW528">
        <v>8.9489398548911497E-2</v>
      </c>
      <c r="BX528">
        <v>5</v>
      </c>
      <c r="BY528">
        <v>4.4744699274455749E-2</v>
      </c>
      <c r="BZ528">
        <v>4.0093756932436428E-2</v>
      </c>
      <c r="CC528">
        <v>0.4048215622699361</v>
      </c>
      <c r="CF528">
        <v>0.45178153531752158</v>
      </c>
    </row>
    <row r="529" spans="1:84" x14ac:dyDescent="0.3">
      <c r="A529" s="1">
        <v>523</v>
      </c>
      <c r="B529" t="s">
        <v>961</v>
      </c>
      <c r="C529" t="s">
        <v>962</v>
      </c>
      <c r="E529" t="s">
        <v>372</v>
      </c>
      <c r="F529">
        <v>3.47</v>
      </c>
      <c r="G529" t="s">
        <v>963</v>
      </c>
      <c r="H529">
        <v>-1</v>
      </c>
      <c r="I529">
        <v>-1</v>
      </c>
      <c r="J529">
        <v>4</v>
      </c>
      <c r="K529">
        <v>3.72</v>
      </c>
      <c r="L529">
        <v>3.72</v>
      </c>
      <c r="M529">
        <v>36.6</v>
      </c>
      <c r="N529" t="s">
        <v>529</v>
      </c>
      <c r="O529">
        <v>18.3</v>
      </c>
      <c r="Q529" t="s">
        <v>87</v>
      </c>
      <c r="R529">
        <v>1098</v>
      </c>
      <c r="S529">
        <v>12</v>
      </c>
      <c r="T529" t="b">
        <v>0</v>
      </c>
      <c r="U529" t="s">
        <v>88</v>
      </c>
      <c r="V529" t="s">
        <v>89</v>
      </c>
      <c r="W529">
        <v>0</v>
      </c>
      <c r="Y529">
        <v>0.5</v>
      </c>
      <c r="Z529">
        <v>1</v>
      </c>
      <c r="AC529" t="s">
        <v>90</v>
      </c>
      <c r="AD529">
        <v>125</v>
      </c>
      <c r="AE529">
        <v>220</v>
      </c>
      <c r="AF529" t="s">
        <v>91</v>
      </c>
      <c r="AG529">
        <v>288</v>
      </c>
      <c r="AH529">
        <v>520</v>
      </c>
      <c r="AL529" t="b">
        <v>1</v>
      </c>
      <c r="AM529" t="b">
        <v>0</v>
      </c>
      <c r="AN529" t="b">
        <v>0</v>
      </c>
      <c r="AO529" t="b">
        <v>0</v>
      </c>
      <c r="AP529" t="s">
        <v>963</v>
      </c>
      <c r="AQ529">
        <v>-1</v>
      </c>
      <c r="AS529">
        <v>6.253828811575473</v>
      </c>
      <c r="AT529">
        <v>1.5625</v>
      </c>
      <c r="AU529">
        <v>1.5</v>
      </c>
      <c r="AV529">
        <v>0.1875</v>
      </c>
      <c r="AW529">
        <v>0</v>
      </c>
      <c r="AX529">
        <v>0.48076923076923078</v>
      </c>
      <c r="AY529">
        <v>0.46153846153846162</v>
      </c>
      <c r="AZ529">
        <v>5.7692307692307702E-2</v>
      </c>
      <c r="BA529">
        <v>0</v>
      </c>
      <c r="BB529">
        <v>6.6858494014035621</v>
      </c>
      <c r="BC529">
        <v>10</v>
      </c>
      <c r="BD529">
        <v>279.37519599564558</v>
      </c>
      <c r="BE529">
        <v>2</v>
      </c>
      <c r="BF529">
        <v>7.1588316667567459E-2</v>
      </c>
      <c r="BG529">
        <v>3.8703880000000002</v>
      </c>
      <c r="BH529">
        <v>3.8703880000000002</v>
      </c>
      <c r="BI529">
        <v>18.649999999999999</v>
      </c>
      <c r="BJ529">
        <v>0</v>
      </c>
      <c r="BK529">
        <v>0</v>
      </c>
      <c r="BM529">
        <v>0</v>
      </c>
      <c r="BP529">
        <v>0</v>
      </c>
      <c r="BQ529">
        <v>0</v>
      </c>
      <c r="BS529">
        <v>0</v>
      </c>
      <c r="BT529">
        <v>0</v>
      </c>
      <c r="BU529">
        <v>0</v>
      </c>
      <c r="BV529">
        <v>506.4854400000001</v>
      </c>
      <c r="BW529">
        <v>7.8975616752181454E-2</v>
      </c>
      <c r="BX529">
        <v>5</v>
      </c>
      <c r="BY529">
        <v>3.9487808376090727E-2</v>
      </c>
      <c r="BZ529">
        <v>3.5794158333783729E-2</v>
      </c>
      <c r="CC529">
        <v>0.36221918687112381</v>
      </c>
      <c r="CF529">
        <v>0.39959709927891929</v>
      </c>
    </row>
    <row r="530" spans="1:84" x14ac:dyDescent="0.3">
      <c r="A530" s="1">
        <v>524</v>
      </c>
      <c r="B530" t="s">
        <v>964</v>
      </c>
      <c r="C530" t="s">
        <v>965</v>
      </c>
      <c r="E530" t="s">
        <v>372</v>
      </c>
      <c r="F530">
        <v>3.45</v>
      </c>
      <c r="G530" t="s">
        <v>966</v>
      </c>
      <c r="H530">
        <v>-1</v>
      </c>
      <c r="I530">
        <v>-1</v>
      </c>
      <c r="J530">
        <v>4</v>
      </c>
      <c r="K530">
        <v>3.73</v>
      </c>
      <c r="L530">
        <v>3.73</v>
      </c>
      <c r="M530">
        <v>45.6</v>
      </c>
      <c r="N530" t="s">
        <v>529</v>
      </c>
      <c r="O530">
        <v>22.8</v>
      </c>
      <c r="Q530" t="s">
        <v>87</v>
      </c>
      <c r="R530">
        <v>1098</v>
      </c>
      <c r="S530">
        <v>12</v>
      </c>
      <c r="T530" t="b">
        <v>0</v>
      </c>
      <c r="U530" t="s">
        <v>88</v>
      </c>
      <c r="V530" t="s">
        <v>89</v>
      </c>
      <c r="W530">
        <v>0</v>
      </c>
      <c r="X530">
        <v>1.6</v>
      </c>
      <c r="Y530">
        <v>0.5</v>
      </c>
      <c r="Z530">
        <v>1</v>
      </c>
      <c r="AC530" t="s">
        <v>90</v>
      </c>
      <c r="AD530">
        <v>125</v>
      </c>
      <c r="AE530">
        <v>220</v>
      </c>
      <c r="AF530" t="s">
        <v>91</v>
      </c>
      <c r="AG530">
        <v>288</v>
      </c>
      <c r="AH530">
        <v>204</v>
      </c>
      <c r="AL530" t="b">
        <v>1</v>
      </c>
      <c r="AM530" t="b">
        <v>0</v>
      </c>
      <c r="AN530" t="b">
        <v>0</v>
      </c>
      <c r="AO530" t="b">
        <v>0</v>
      </c>
      <c r="AP530" t="s">
        <v>966</v>
      </c>
      <c r="AQ530">
        <v>-1</v>
      </c>
      <c r="AS530">
        <v>5.3181199938442161</v>
      </c>
      <c r="AT530">
        <v>1.5</v>
      </c>
      <c r="AU530">
        <v>1.2727272727272729</v>
      </c>
      <c r="AV530">
        <v>0.13636363636363641</v>
      </c>
      <c r="AW530">
        <v>0</v>
      </c>
      <c r="AX530">
        <v>0.515625</v>
      </c>
      <c r="AY530">
        <v>0.4375</v>
      </c>
      <c r="AZ530">
        <v>4.6874999999999993E-2</v>
      </c>
      <c r="BA530">
        <v>0</v>
      </c>
      <c r="BB530">
        <v>6.7364209369482273</v>
      </c>
      <c r="BC530">
        <v>10</v>
      </c>
      <c r="BD530">
        <v>358.01968816600157</v>
      </c>
      <c r="BE530">
        <v>2</v>
      </c>
      <c r="BF530">
        <v>5.5862849617160371E-2</v>
      </c>
      <c r="BG530">
        <v>3.8703880000000002</v>
      </c>
      <c r="BH530">
        <v>3.8703880000000002</v>
      </c>
      <c r="BI530">
        <v>23.9</v>
      </c>
      <c r="BJ530">
        <v>0</v>
      </c>
      <c r="BK530">
        <v>0</v>
      </c>
      <c r="BM530">
        <v>0</v>
      </c>
      <c r="BP530">
        <v>0</v>
      </c>
      <c r="BQ530">
        <v>0</v>
      </c>
      <c r="BS530">
        <v>0</v>
      </c>
      <c r="BT530">
        <v>0</v>
      </c>
      <c r="BU530">
        <v>0</v>
      </c>
      <c r="BV530">
        <v>634.42824000000007</v>
      </c>
      <c r="BW530">
        <v>6.3048895805773081E-2</v>
      </c>
      <c r="BX530">
        <v>5</v>
      </c>
      <c r="BY530">
        <v>3.152444790288654E-2</v>
      </c>
      <c r="BZ530">
        <v>2.7931424808580189E-2</v>
      </c>
      <c r="CC530">
        <v>0.28391654735776151</v>
      </c>
      <c r="CF530">
        <v>0.32043880565655031</v>
      </c>
    </row>
    <row r="531" spans="1:84" x14ac:dyDescent="0.3">
      <c r="A531" s="1">
        <v>525</v>
      </c>
      <c r="B531" t="s">
        <v>967</v>
      </c>
      <c r="C531" t="s">
        <v>968</v>
      </c>
      <c r="E531" t="s">
        <v>372</v>
      </c>
      <c r="F531">
        <v>3.46</v>
      </c>
      <c r="G531" t="s">
        <v>969</v>
      </c>
      <c r="H531">
        <v>-1</v>
      </c>
      <c r="I531">
        <v>-1</v>
      </c>
      <c r="J531">
        <v>4</v>
      </c>
      <c r="K531">
        <v>3.74</v>
      </c>
      <c r="L531">
        <v>3.74</v>
      </c>
      <c r="M531">
        <v>55.4</v>
      </c>
      <c r="N531" t="s">
        <v>529</v>
      </c>
      <c r="O531">
        <v>27.7</v>
      </c>
      <c r="Q531" t="s">
        <v>87</v>
      </c>
      <c r="R531">
        <v>1098</v>
      </c>
      <c r="S531">
        <v>12</v>
      </c>
      <c r="T531" t="b">
        <v>0</v>
      </c>
      <c r="U531" t="s">
        <v>88</v>
      </c>
      <c r="V531" t="s">
        <v>89</v>
      </c>
      <c r="W531">
        <v>0</v>
      </c>
      <c r="Y531">
        <v>0.5</v>
      </c>
      <c r="Z531">
        <v>1</v>
      </c>
      <c r="AC531" t="s">
        <v>90</v>
      </c>
      <c r="AD531">
        <v>125</v>
      </c>
      <c r="AE531">
        <v>220</v>
      </c>
      <c r="AF531" t="s">
        <v>91</v>
      </c>
      <c r="AG531">
        <v>288</v>
      </c>
      <c r="AH531">
        <v>116</v>
      </c>
      <c r="AL531" t="b">
        <v>1</v>
      </c>
      <c r="AM531" t="b">
        <v>0</v>
      </c>
      <c r="AN531" t="b">
        <v>0</v>
      </c>
      <c r="AO531" t="b">
        <v>0</v>
      </c>
      <c r="AP531" t="s">
        <v>969</v>
      </c>
      <c r="AQ531">
        <v>-1</v>
      </c>
      <c r="AS531">
        <v>4.7535901911063636</v>
      </c>
      <c r="AT531">
        <v>1.464285714285714</v>
      </c>
      <c r="AU531">
        <v>1.142857142857143</v>
      </c>
      <c r="AV531">
        <v>0.1071428571428571</v>
      </c>
      <c r="AW531">
        <v>0</v>
      </c>
      <c r="AX531">
        <v>0.53947368421052622</v>
      </c>
      <c r="AY531">
        <v>0.42105263157894729</v>
      </c>
      <c r="AZ531">
        <v>3.9473684210526307E-2</v>
      </c>
      <c r="BA531">
        <v>0</v>
      </c>
      <c r="BB531">
        <v>6.7653189572594643</v>
      </c>
      <c r="BC531">
        <v>10</v>
      </c>
      <c r="BD531">
        <v>411.19834477643292</v>
      </c>
      <c r="BE531">
        <v>2</v>
      </c>
      <c r="BF531">
        <v>4.8638328081972049E-2</v>
      </c>
      <c r="BG531">
        <v>3.8703880000000002</v>
      </c>
      <c r="BH531">
        <v>3.8703880000000002</v>
      </c>
      <c r="BI531">
        <v>27.45</v>
      </c>
      <c r="BJ531">
        <v>0</v>
      </c>
      <c r="BK531">
        <v>0</v>
      </c>
      <c r="BM531">
        <v>0</v>
      </c>
      <c r="BP531">
        <v>0</v>
      </c>
      <c r="BQ531">
        <v>0</v>
      </c>
      <c r="BS531">
        <v>0</v>
      </c>
      <c r="BT531">
        <v>0</v>
      </c>
      <c r="BU531">
        <v>0</v>
      </c>
      <c r="BV531">
        <v>774.91304000000014</v>
      </c>
      <c r="BW531">
        <v>5.1618695176429079E-2</v>
      </c>
      <c r="BX531">
        <v>5</v>
      </c>
      <c r="BY531">
        <v>2.5809347588214539E-2</v>
      </c>
      <c r="BZ531">
        <v>2.4319164040986021E-2</v>
      </c>
      <c r="CC531">
        <v>0.24829956752475571</v>
      </c>
      <c r="CF531">
        <v>0.26351439685382932</v>
      </c>
    </row>
    <row r="532" spans="1:84" x14ac:dyDescent="0.3">
      <c r="A532" s="1">
        <v>526</v>
      </c>
      <c r="B532" t="s">
        <v>970</v>
      </c>
      <c r="C532" t="s">
        <v>971</v>
      </c>
      <c r="E532" t="s">
        <v>372</v>
      </c>
      <c r="F532">
        <v>3.48</v>
      </c>
      <c r="G532" t="s">
        <v>373</v>
      </c>
      <c r="H532">
        <v>-1</v>
      </c>
      <c r="I532" t="s">
        <v>754</v>
      </c>
      <c r="J532">
        <v>2</v>
      </c>
      <c r="K532">
        <v>3.68</v>
      </c>
      <c r="L532">
        <v>3.68</v>
      </c>
      <c r="M532">
        <v>12.1</v>
      </c>
      <c r="N532" t="s">
        <v>529</v>
      </c>
      <c r="O532">
        <v>12.1</v>
      </c>
      <c r="Q532" t="s">
        <v>87</v>
      </c>
      <c r="R532">
        <v>1098</v>
      </c>
      <c r="S532">
        <v>12</v>
      </c>
      <c r="T532" t="b">
        <v>0</v>
      </c>
      <c r="U532" t="s">
        <v>88</v>
      </c>
      <c r="V532" t="s">
        <v>89</v>
      </c>
      <c r="W532">
        <v>0</v>
      </c>
      <c r="X532">
        <v>8.5</v>
      </c>
      <c r="Y532">
        <v>0.5</v>
      </c>
      <c r="Z532">
        <v>1</v>
      </c>
      <c r="AC532" t="s">
        <v>90</v>
      </c>
      <c r="AD532">
        <v>125</v>
      </c>
      <c r="AE532">
        <v>220</v>
      </c>
      <c r="AF532" t="s">
        <v>91</v>
      </c>
      <c r="AG532">
        <v>288</v>
      </c>
      <c r="AH532">
        <v>29.2</v>
      </c>
      <c r="AI532" t="s">
        <v>972</v>
      </c>
      <c r="AL532" t="b">
        <v>1</v>
      </c>
      <c r="AM532" t="b">
        <v>0</v>
      </c>
      <c r="AN532" t="b">
        <v>0</v>
      </c>
      <c r="AO532" t="b">
        <v>0</v>
      </c>
      <c r="AP532" t="s">
        <v>973</v>
      </c>
      <c r="AQ532">
        <v>-1</v>
      </c>
      <c r="AR532" t="s">
        <v>754</v>
      </c>
      <c r="AS532">
        <v>3.3741687092742358</v>
      </c>
      <c r="AT532">
        <v>1.857142857142857</v>
      </c>
      <c r="AU532">
        <v>2.285714285714286</v>
      </c>
      <c r="AV532">
        <v>0.2857142857142857</v>
      </c>
      <c r="AW532">
        <v>0.5714285714285714</v>
      </c>
      <c r="AX532">
        <v>0.37142857142857139</v>
      </c>
      <c r="AY532">
        <v>0.45714285714285707</v>
      </c>
      <c r="AZ532">
        <v>5.7142857142857141E-2</v>
      </c>
      <c r="BA532">
        <v>0.1142857142857143</v>
      </c>
      <c r="BB532">
        <v>6.2282471432644284</v>
      </c>
      <c r="BC532">
        <v>8</v>
      </c>
      <c r="BD532">
        <v>203.79933701026059</v>
      </c>
      <c r="BE532">
        <v>2</v>
      </c>
      <c r="BF532">
        <v>7.8508596910668346E-2</v>
      </c>
      <c r="BG532">
        <v>3.8703880000000002</v>
      </c>
      <c r="BH532">
        <v>3.8703880000000002</v>
      </c>
      <c r="BI532">
        <v>13.604850000000001</v>
      </c>
      <c r="BJ532">
        <v>0</v>
      </c>
      <c r="BK532">
        <v>0</v>
      </c>
      <c r="BM532">
        <v>0</v>
      </c>
      <c r="BP532">
        <v>0</v>
      </c>
      <c r="BQ532">
        <v>0</v>
      </c>
      <c r="BS532">
        <v>0</v>
      </c>
      <c r="BT532">
        <v>0</v>
      </c>
      <c r="BU532">
        <v>0</v>
      </c>
      <c r="BV532">
        <v>163.86304000000001</v>
      </c>
      <c r="BW532">
        <v>9.7642519020762694E-2</v>
      </c>
      <c r="BX532">
        <v>4</v>
      </c>
      <c r="BY532">
        <v>4.8821259510381347E-2</v>
      </c>
      <c r="BZ532">
        <v>3.9254298455334173E-2</v>
      </c>
      <c r="CC532">
        <v>0.40413338857906378</v>
      </c>
      <c r="CF532">
        <v>0.50262778388661167</v>
      </c>
    </row>
    <row r="533" spans="1:84" x14ac:dyDescent="0.3">
      <c r="A533" s="1">
        <v>527</v>
      </c>
      <c r="B533" t="s">
        <v>974</v>
      </c>
      <c r="C533" t="s">
        <v>975</v>
      </c>
      <c r="E533" t="s">
        <v>372</v>
      </c>
      <c r="F533">
        <v>3.41</v>
      </c>
      <c r="G533" t="s">
        <v>948</v>
      </c>
      <c r="H533">
        <v>-1</v>
      </c>
      <c r="I533">
        <v>-1</v>
      </c>
      <c r="J533">
        <v>4</v>
      </c>
      <c r="K533">
        <v>3.74</v>
      </c>
      <c r="L533">
        <v>3.74</v>
      </c>
      <c r="M533">
        <v>33.1</v>
      </c>
      <c r="N533" t="s">
        <v>529</v>
      </c>
      <c r="O533">
        <v>16.55</v>
      </c>
      <c r="Q533" t="s">
        <v>87</v>
      </c>
      <c r="R533">
        <v>1098</v>
      </c>
      <c r="S533">
        <v>12</v>
      </c>
      <c r="T533" t="b">
        <v>0</v>
      </c>
      <c r="U533" t="s">
        <v>88</v>
      </c>
      <c r="V533" t="s">
        <v>89</v>
      </c>
      <c r="W533">
        <v>0</v>
      </c>
      <c r="X533">
        <v>5.6</v>
      </c>
      <c r="Y533">
        <v>0.5</v>
      </c>
      <c r="Z533">
        <v>1</v>
      </c>
      <c r="AC533" t="s">
        <v>90</v>
      </c>
      <c r="AD533">
        <v>125</v>
      </c>
      <c r="AE533">
        <v>220</v>
      </c>
      <c r="AF533" t="s">
        <v>91</v>
      </c>
      <c r="AG533">
        <v>288</v>
      </c>
      <c r="AH533">
        <v>44</v>
      </c>
      <c r="AI533" t="s">
        <v>550</v>
      </c>
      <c r="AL533" t="b">
        <v>1</v>
      </c>
      <c r="AM533" t="b">
        <v>0</v>
      </c>
      <c r="AN533" t="b">
        <v>0</v>
      </c>
      <c r="AO533" t="b">
        <v>0</v>
      </c>
      <c r="AP533" t="s">
        <v>976</v>
      </c>
      <c r="AQ533">
        <v>-1</v>
      </c>
      <c r="AS533">
        <v>3.784189633918261</v>
      </c>
      <c r="AT533">
        <v>1.571428571428571</v>
      </c>
      <c r="AU533">
        <v>1.5</v>
      </c>
      <c r="AV533">
        <v>0.14285714285714279</v>
      </c>
      <c r="AW533">
        <v>0.2857142857142857</v>
      </c>
      <c r="AX533">
        <v>0.44897959183673469</v>
      </c>
      <c r="AY533">
        <v>0.42857142857142849</v>
      </c>
      <c r="AZ533">
        <v>4.0816326530612242E-2</v>
      </c>
      <c r="BA533">
        <v>8.1632653061224483E-2</v>
      </c>
      <c r="BB533">
        <v>6.6408981987575713</v>
      </c>
      <c r="BC533">
        <v>8</v>
      </c>
      <c r="BD533">
        <v>249.41538945455761</v>
      </c>
      <c r="BE533">
        <v>2</v>
      </c>
      <c r="BF533">
        <v>6.4150011091898274E-2</v>
      </c>
      <c r="BG533">
        <v>3.8703880000000002</v>
      </c>
      <c r="BH533">
        <v>3.8703880000000002</v>
      </c>
      <c r="BI533">
        <v>16.649999999999999</v>
      </c>
      <c r="BJ533">
        <v>0</v>
      </c>
      <c r="BK533">
        <v>0</v>
      </c>
      <c r="BM533">
        <v>0</v>
      </c>
      <c r="BP533">
        <v>0</v>
      </c>
      <c r="BQ533">
        <v>0</v>
      </c>
      <c r="BS533">
        <v>0</v>
      </c>
      <c r="BT533">
        <v>0</v>
      </c>
      <c r="BU533">
        <v>0</v>
      </c>
      <c r="BV533">
        <v>462.9895600000001</v>
      </c>
      <c r="BW533">
        <v>6.9116029311762431E-2</v>
      </c>
      <c r="BX533">
        <v>4</v>
      </c>
      <c r="BY533">
        <v>3.4558014655881222E-2</v>
      </c>
      <c r="BZ533">
        <v>3.2075005545949137E-2</v>
      </c>
      <c r="CC533">
        <v>0.40838223139554991</v>
      </c>
      <c r="CF533">
        <v>0.43999615580896612</v>
      </c>
    </row>
    <row r="534" spans="1:84" x14ac:dyDescent="0.3">
      <c r="A534" s="1">
        <v>528</v>
      </c>
      <c r="B534" t="s">
        <v>977</v>
      </c>
      <c r="C534" t="s">
        <v>978</v>
      </c>
      <c r="E534" t="s">
        <v>372</v>
      </c>
      <c r="F534">
        <v>3.5</v>
      </c>
      <c r="G534" t="s">
        <v>951</v>
      </c>
      <c r="H534">
        <v>-1</v>
      </c>
      <c r="I534">
        <v>-1</v>
      </c>
      <c r="J534">
        <v>4</v>
      </c>
      <c r="K534">
        <v>3.74</v>
      </c>
      <c r="L534">
        <v>3.74</v>
      </c>
      <c r="M534">
        <v>37.6</v>
      </c>
      <c r="N534" t="s">
        <v>529</v>
      </c>
      <c r="O534">
        <v>18.8</v>
      </c>
      <c r="Q534" t="s">
        <v>87</v>
      </c>
      <c r="R534">
        <v>1098</v>
      </c>
      <c r="S534">
        <v>12</v>
      </c>
      <c r="T534" t="b">
        <v>0</v>
      </c>
      <c r="U534" t="s">
        <v>88</v>
      </c>
      <c r="V534" t="s">
        <v>89</v>
      </c>
      <c r="W534">
        <v>0</v>
      </c>
      <c r="Y534">
        <v>0.5</v>
      </c>
      <c r="Z534">
        <v>1</v>
      </c>
      <c r="AC534" t="s">
        <v>90</v>
      </c>
      <c r="AD534">
        <v>125</v>
      </c>
      <c r="AE534">
        <v>220</v>
      </c>
      <c r="AF534" t="s">
        <v>91</v>
      </c>
      <c r="AG534">
        <v>288</v>
      </c>
      <c r="AH534">
        <v>44</v>
      </c>
      <c r="AI534" t="s">
        <v>550</v>
      </c>
      <c r="AL534" t="b">
        <v>1</v>
      </c>
      <c r="AM534" t="b">
        <v>0</v>
      </c>
      <c r="AN534" t="b">
        <v>0</v>
      </c>
      <c r="AO534" t="b">
        <v>0</v>
      </c>
      <c r="AP534" t="s">
        <v>979</v>
      </c>
      <c r="AQ534">
        <v>-1</v>
      </c>
      <c r="AS534">
        <v>3.784189633918261</v>
      </c>
      <c r="AT534">
        <v>1.529411764705882</v>
      </c>
      <c r="AU534">
        <v>1.3529411764705881</v>
      </c>
      <c r="AV534">
        <v>0.1176470588235294</v>
      </c>
      <c r="AW534">
        <v>0.23529411764705879</v>
      </c>
      <c r="AX534">
        <v>0.47272727272727272</v>
      </c>
      <c r="AY534">
        <v>0.41818181818181821</v>
      </c>
      <c r="AZ534">
        <v>3.6363636363636362E-2</v>
      </c>
      <c r="BA534">
        <v>7.2727272727272724E-2</v>
      </c>
      <c r="BB534">
        <v>6.6815535222240001</v>
      </c>
      <c r="BC534">
        <v>8</v>
      </c>
      <c r="BD534">
        <v>279.37519599564558</v>
      </c>
      <c r="BE534">
        <v>2</v>
      </c>
      <c r="BF534">
        <v>5.7270653334053963E-2</v>
      </c>
      <c r="BG534">
        <v>3.8703880000000002</v>
      </c>
      <c r="BH534">
        <v>3.8703880000000002</v>
      </c>
      <c r="BI534">
        <v>18.649999999999999</v>
      </c>
      <c r="BJ534">
        <v>0</v>
      </c>
      <c r="BK534">
        <v>0</v>
      </c>
      <c r="BM534">
        <v>0</v>
      </c>
      <c r="BP534">
        <v>0</v>
      </c>
      <c r="BQ534">
        <v>0</v>
      </c>
      <c r="BS534">
        <v>0</v>
      </c>
      <c r="BT534">
        <v>0</v>
      </c>
      <c r="BU534">
        <v>0</v>
      </c>
      <c r="BV534">
        <v>525.93376000000012</v>
      </c>
      <c r="BW534">
        <v>6.0844164101578099E-2</v>
      </c>
      <c r="BX534">
        <v>4</v>
      </c>
      <c r="BY534">
        <v>3.042208205078905E-2</v>
      </c>
      <c r="BZ534">
        <v>2.8635326667026981E-2</v>
      </c>
      <c r="CC534">
        <v>0.36539801480364231</v>
      </c>
      <c r="CF534">
        <v>0.38819771524911167</v>
      </c>
    </row>
    <row r="535" spans="1:84" x14ac:dyDescent="0.3">
      <c r="A535" s="1">
        <v>529</v>
      </c>
      <c r="B535" t="s">
        <v>980</v>
      </c>
      <c r="C535" t="s">
        <v>981</v>
      </c>
      <c r="E535" t="s">
        <v>372</v>
      </c>
      <c r="F535">
        <v>3.5</v>
      </c>
      <c r="G535" t="s">
        <v>954</v>
      </c>
      <c r="H535">
        <v>-1</v>
      </c>
      <c r="I535">
        <v>-1</v>
      </c>
      <c r="J535">
        <v>4</v>
      </c>
      <c r="K535">
        <v>3.74</v>
      </c>
      <c r="L535">
        <v>3.74</v>
      </c>
      <c r="M535">
        <v>47.7</v>
      </c>
      <c r="N535" t="s">
        <v>529</v>
      </c>
      <c r="O535">
        <v>23.85</v>
      </c>
      <c r="Q535" t="s">
        <v>87</v>
      </c>
      <c r="R535">
        <v>1098</v>
      </c>
      <c r="S535">
        <v>12</v>
      </c>
      <c r="T535" t="b">
        <v>0</v>
      </c>
      <c r="U535" t="s">
        <v>88</v>
      </c>
      <c r="V535" t="s">
        <v>89</v>
      </c>
      <c r="W535">
        <v>0</v>
      </c>
      <c r="X535">
        <v>5.6</v>
      </c>
      <c r="Y535">
        <v>0.5</v>
      </c>
      <c r="Z535">
        <v>1</v>
      </c>
      <c r="AC535" t="s">
        <v>90</v>
      </c>
      <c r="AD535">
        <v>125</v>
      </c>
      <c r="AE535">
        <v>220</v>
      </c>
      <c r="AF535" t="s">
        <v>91</v>
      </c>
      <c r="AG535">
        <v>288</v>
      </c>
      <c r="AH535">
        <v>44</v>
      </c>
      <c r="AI535" t="s">
        <v>550</v>
      </c>
      <c r="AL535" t="b">
        <v>1</v>
      </c>
      <c r="AM535" t="b">
        <v>0</v>
      </c>
      <c r="AN535" t="b">
        <v>0</v>
      </c>
      <c r="AO535" t="b">
        <v>0</v>
      </c>
      <c r="AP535" t="s">
        <v>982</v>
      </c>
      <c r="AQ535">
        <v>-1</v>
      </c>
      <c r="AS535">
        <v>3.784189633918261</v>
      </c>
      <c r="AT535">
        <v>1.4782608695652171</v>
      </c>
      <c r="AU535">
        <v>1.173913043478261</v>
      </c>
      <c r="AV535">
        <v>8.6956521739130432E-2</v>
      </c>
      <c r="AW535">
        <v>0.17391304347826089</v>
      </c>
      <c r="AX535">
        <v>0.50746268656716409</v>
      </c>
      <c r="AY535">
        <v>0.40298507462686572</v>
      </c>
      <c r="AZ535">
        <v>2.9850746268656719E-2</v>
      </c>
      <c r="BA535">
        <v>5.9701492537313432E-2</v>
      </c>
      <c r="BB535">
        <v>6.731046959487478</v>
      </c>
      <c r="BC535">
        <v>8</v>
      </c>
      <c r="BD535">
        <v>358.01968816600157</v>
      </c>
      <c r="BE535">
        <v>2</v>
      </c>
      <c r="BF535">
        <v>4.4690279693728303E-2</v>
      </c>
      <c r="BG535">
        <v>3.8703880000000002</v>
      </c>
      <c r="BH535">
        <v>3.8703880000000002</v>
      </c>
      <c r="BI535">
        <v>23.9</v>
      </c>
      <c r="BJ535">
        <v>0</v>
      </c>
      <c r="BK535">
        <v>0</v>
      </c>
      <c r="BM535">
        <v>0</v>
      </c>
      <c r="BP535">
        <v>0</v>
      </c>
      <c r="BQ535">
        <v>0</v>
      </c>
      <c r="BS535">
        <v>0</v>
      </c>
      <c r="BT535">
        <v>0</v>
      </c>
      <c r="BU535">
        <v>0</v>
      </c>
      <c r="BV535">
        <v>667.20852000000014</v>
      </c>
      <c r="BW535">
        <v>4.796101824359196E-2</v>
      </c>
      <c r="BX535">
        <v>4</v>
      </c>
      <c r="BY535">
        <v>2.398050912179598E-2</v>
      </c>
      <c r="BZ535">
        <v>2.2345139846864152E-2</v>
      </c>
      <c r="CC535">
        <v>0.28639709718794848</v>
      </c>
      <c r="CF535">
        <v>0.30735758418335962</v>
      </c>
    </row>
    <row r="536" spans="1:84" x14ac:dyDescent="0.3">
      <c r="A536" s="1">
        <v>530</v>
      </c>
      <c r="B536" t="s">
        <v>983</v>
      </c>
      <c r="C536" t="s">
        <v>984</v>
      </c>
      <c r="E536" t="s">
        <v>372</v>
      </c>
      <c r="F536">
        <v>3.42</v>
      </c>
      <c r="G536" t="s">
        <v>957</v>
      </c>
      <c r="H536">
        <v>-1</v>
      </c>
      <c r="I536">
        <v>-1</v>
      </c>
      <c r="J536">
        <v>4</v>
      </c>
      <c r="K536">
        <v>3.72</v>
      </c>
      <c r="L536">
        <v>3.72</v>
      </c>
      <c r="M536">
        <v>54</v>
      </c>
      <c r="N536" t="s">
        <v>529</v>
      </c>
      <c r="O536">
        <v>27</v>
      </c>
      <c r="Q536" t="s">
        <v>87</v>
      </c>
      <c r="R536">
        <v>1098</v>
      </c>
      <c r="S536">
        <v>12</v>
      </c>
      <c r="T536" t="b">
        <v>0</v>
      </c>
      <c r="U536" t="s">
        <v>88</v>
      </c>
      <c r="V536" t="s">
        <v>89</v>
      </c>
      <c r="W536">
        <v>0</v>
      </c>
      <c r="Y536">
        <v>0.5</v>
      </c>
      <c r="Z536">
        <v>1</v>
      </c>
      <c r="AC536" t="s">
        <v>90</v>
      </c>
      <c r="AD536">
        <v>125</v>
      </c>
      <c r="AE536">
        <v>220</v>
      </c>
      <c r="AF536" t="s">
        <v>91</v>
      </c>
      <c r="AG536">
        <v>288</v>
      </c>
      <c r="AH536">
        <v>44</v>
      </c>
      <c r="AI536" t="s">
        <v>550</v>
      </c>
      <c r="AL536" t="b">
        <v>1</v>
      </c>
      <c r="AM536" t="b">
        <v>0</v>
      </c>
      <c r="AN536" t="b">
        <v>0</v>
      </c>
      <c r="AO536" t="b">
        <v>0</v>
      </c>
      <c r="AP536" t="s">
        <v>985</v>
      </c>
      <c r="AQ536">
        <v>-1</v>
      </c>
      <c r="AS536">
        <v>3.784189633918261</v>
      </c>
      <c r="AT536">
        <v>1.448275862068966</v>
      </c>
      <c r="AU536">
        <v>1.068965517241379</v>
      </c>
      <c r="AV536">
        <v>6.8965517241379309E-2</v>
      </c>
      <c r="AW536">
        <v>0.13793103448275859</v>
      </c>
      <c r="AX536">
        <v>0.53164556962025322</v>
      </c>
      <c r="AY536">
        <v>0.39240506329113922</v>
      </c>
      <c r="AZ536">
        <v>2.5316455696202531E-2</v>
      </c>
      <c r="BA536">
        <v>5.0632911392405063E-2</v>
      </c>
      <c r="BB536">
        <v>6.7600603537453789</v>
      </c>
      <c r="BC536">
        <v>8</v>
      </c>
      <c r="BD536">
        <v>411.19834477643292</v>
      </c>
      <c r="BE536">
        <v>2</v>
      </c>
      <c r="BF536">
        <v>3.8910662465577638E-2</v>
      </c>
      <c r="BG536">
        <v>3.8703880000000002</v>
      </c>
      <c r="BH536">
        <v>3.8703880000000002</v>
      </c>
      <c r="BI536">
        <v>27.45</v>
      </c>
      <c r="BJ536">
        <v>0</v>
      </c>
      <c r="BK536">
        <v>0</v>
      </c>
      <c r="BM536">
        <v>0</v>
      </c>
      <c r="BP536">
        <v>0</v>
      </c>
      <c r="BQ536">
        <v>0</v>
      </c>
      <c r="BS536">
        <v>0</v>
      </c>
      <c r="BT536">
        <v>0</v>
      </c>
      <c r="BU536">
        <v>0</v>
      </c>
      <c r="BV536">
        <v>747.2736000000001</v>
      </c>
      <c r="BW536">
        <v>4.282233441673839E-2</v>
      </c>
      <c r="BX536">
        <v>4</v>
      </c>
      <c r="BY536">
        <v>2.1411167208369199E-2</v>
      </c>
      <c r="BZ536">
        <v>1.9455331232788819E-2</v>
      </c>
      <c r="CC536">
        <v>0.25045931765012802</v>
      </c>
      <c r="CF536">
        <v>0.27563788377260329</v>
      </c>
    </row>
    <row r="537" spans="1:84" x14ac:dyDescent="0.3">
      <c r="A537" s="1">
        <v>531</v>
      </c>
      <c r="B537" t="s">
        <v>986</v>
      </c>
      <c r="C537" t="s">
        <v>987</v>
      </c>
      <c r="E537" t="s">
        <v>372</v>
      </c>
      <c r="F537">
        <v>3.42</v>
      </c>
      <c r="G537" t="s">
        <v>960</v>
      </c>
      <c r="H537">
        <v>-1</v>
      </c>
      <c r="I537">
        <v>-1</v>
      </c>
      <c r="J537">
        <v>4</v>
      </c>
      <c r="K537">
        <v>3.71</v>
      </c>
      <c r="L537">
        <v>3.71</v>
      </c>
      <c r="M537">
        <v>32</v>
      </c>
      <c r="N537" t="s">
        <v>529</v>
      </c>
      <c r="O537">
        <v>16</v>
      </c>
      <c r="Q537" t="s">
        <v>87</v>
      </c>
      <c r="R537">
        <v>1098</v>
      </c>
      <c r="S537">
        <v>12</v>
      </c>
      <c r="T537" t="b">
        <v>0</v>
      </c>
      <c r="U537" t="s">
        <v>88</v>
      </c>
      <c r="V537" t="s">
        <v>89</v>
      </c>
      <c r="W537">
        <v>0</v>
      </c>
      <c r="X537">
        <v>5</v>
      </c>
      <c r="Y537">
        <v>0.5</v>
      </c>
      <c r="Z537">
        <v>1</v>
      </c>
      <c r="AC537" t="s">
        <v>90</v>
      </c>
      <c r="AD537">
        <v>125</v>
      </c>
      <c r="AE537">
        <v>220</v>
      </c>
      <c r="AF537" t="s">
        <v>91</v>
      </c>
      <c r="AG537">
        <v>288</v>
      </c>
      <c r="AH537">
        <v>520</v>
      </c>
      <c r="AI537" t="s">
        <v>550</v>
      </c>
      <c r="AL537" t="b">
        <v>1</v>
      </c>
      <c r="AM537" t="b">
        <v>0</v>
      </c>
      <c r="AN537" t="b">
        <v>0</v>
      </c>
      <c r="AO537" t="b">
        <v>0</v>
      </c>
      <c r="AP537" t="s">
        <v>988</v>
      </c>
      <c r="AQ537">
        <v>-1</v>
      </c>
      <c r="AS537">
        <v>6.253828811575473</v>
      </c>
      <c r="AT537">
        <v>1.615384615384615</v>
      </c>
      <c r="AU537">
        <v>1.6923076923076921</v>
      </c>
      <c r="AV537">
        <v>0.15384615384615391</v>
      </c>
      <c r="AW537">
        <v>0.30769230769230771</v>
      </c>
      <c r="AX537">
        <v>0.4285714285714286</v>
      </c>
      <c r="AY537">
        <v>0.44897959183673469</v>
      </c>
      <c r="AZ537">
        <v>4.0816326530612249E-2</v>
      </c>
      <c r="BA537">
        <v>8.1632653061224497E-2</v>
      </c>
      <c r="BB537">
        <v>6.6233676059426916</v>
      </c>
      <c r="BC537">
        <v>10</v>
      </c>
      <c r="BD537">
        <v>249.41538945455761</v>
      </c>
      <c r="BE537">
        <v>2</v>
      </c>
      <c r="BF537">
        <v>8.0187513864872856E-2</v>
      </c>
      <c r="BG537">
        <v>3.8703880000000002</v>
      </c>
      <c r="BH537">
        <v>3.8703880000000002</v>
      </c>
      <c r="BI537">
        <v>16.649999999999999</v>
      </c>
      <c r="BJ537">
        <v>0</v>
      </c>
      <c r="BK537">
        <v>0</v>
      </c>
      <c r="BM537">
        <v>0</v>
      </c>
      <c r="BP537">
        <v>0</v>
      </c>
      <c r="BQ537">
        <v>0</v>
      </c>
      <c r="BS537">
        <v>0</v>
      </c>
      <c r="BT537">
        <v>0</v>
      </c>
      <c r="BU537">
        <v>0</v>
      </c>
      <c r="BV537">
        <v>440.45119999999997</v>
      </c>
      <c r="BW537">
        <v>9.0815963266759184E-2</v>
      </c>
      <c r="BX537">
        <v>5</v>
      </c>
      <c r="BY537">
        <v>4.5407981633379592E-2</v>
      </c>
      <c r="BZ537">
        <v>4.0093756932436428E-2</v>
      </c>
      <c r="CC537">
        <v>0.39831900676375431</v>
      </c>
      <c r="CF537">
        <v>0.45111417654956709</v>
      </c>
    </row>
    <row r="538" spans="1:84" x14ac:dyDescent="0.3">
      <c r="A538" s="1">
        <v>532</v>
      </c>
      <c r="B538" t="s">
        <v>989</v>
      </c>
      <c r="C538" t="s">
        <v>990</v>
      </c>
      <c r="E538" t="s">
        <v>372</v>
      </c>
      <c r="F538">
        <v>3.39</v>
      </c>
      <c r="G538" t="s">
        <v>963</v>
      </c>
      <c r="H538">
        <v>-1</v>
      </c>
      <c r="I538">
        <v>-1</v>
      </c>
      <c r="J538">
        <v>4</v>
      </c>
      <c r="K538">
        <v>3.7</v>
      </c>
      <c r="L538">
        <v>3.7</v>
      </c>
      <c r="M538">
        <v>36.4</v>
      </c>
      <c r="N538" t="s">
        <v>529</v>
      </c>
      <c r="O538">
        <v>18.2</v>
      </c>
      <c r="Q538" t="s">
        <v>87</v>
      </c>
      <c r="R538">
        <v>1098</v>
      </c>
      <c r="S538">
        <v>12</v>
      </c>
      <c r="T538" t="b">
        <v>0</v>
      </c>
      <c r="U538" t="s">
        <v>88</v>
      </c>
      <c r="V538" t="s">
        <v>89</v>
      </c>
      <c r="W538">
        <v>0</v>
      </c>
      <c r="Y538">
        <v>0.5</v>
      </c>
      <c r="Z538">
        <v>1</v>
      </c>
      <c r="AC538" t="s">
        <v>90</v>
      </c>
      <c r="AD538">
        <v>125</v>
      </c>
      <c r="AE538">
        <v>220</v>
      </c>
      <c r="AF538" t="s">
        <v>91</v>
      </c>
      <c r="AG538">
        <v>288</v>
      </c>
      <c r="AH538">
        <v>268</v>
      </c>
      <c r="AI538" t="s">
        <v>550</v>
      </c>
      <c r="AL538" t="b">
        <v>1</v>
      </c>
      <c r="AM538" t="b">
        <v>0</v>
      </c>
      <c r="AN538" t="b">
        <v>0</v>
      </c>
      <c r="AO538" t="b">
        <v>0</v>
      </c>
      <c r="AP538" t="s">
        <v>991</v>
      </c>
      <c r="AQ538">
        <v>-1</v>
      </c>
      <c r="AS538">
        <v>5.5909869805108574</v>
      </c>
      <c r="AT538">
        <v>1.5625</v>
      </c>
      <c r="AU538">
        <v>1.5</v>
      </c>
      <c r="AV538">
        <v>0.125</v>
      </c>
      <c r="AW538">
        <v>0.25</v>
      </c>
      <c r="AX538">
        <v>0.45454545454545447</v>
      </c>
      <c r="AY538">
        <v>0.43636363636363629</v>
      </c>
      <c r="AZ538">
        <v>3.6363636363636362E-2</v>
      </c>
      <c r="BA538">
        <v>7.2727272727272724E-2</v>
      </c>
      <c r="BB538">
        <v>6.6698508732785617</v>
      </c>
      <c r="BC538">
        <v>10</v>
      </c>
      <c r="BD538">
        <v>279.37519599564558</v>
      </c>
      <c r="BE538">
        <v>2</v>
      </c>
      <c r="BF538">
        <v>7.1588316667567459E-2</v>
      </c>
      <c r="BG538">
        <v>3.8703880000000002</v>
      </c>
      <c r="BH538">
        <v>3.8703880000000002</v>
      </c>
      <c r="BI538">
        <v>18.649999999999999</v>
      </c>
      <c r="BJ538">
        <v>0</v>
      </c>
      <c r="BK538">
        <v>0</v>
      </c>
      <c r="BM538">
        <v>0</v>
      </c>
      <c r="BP538">
        <v>0</v>
      </c>
      <c r="BQ538">
        <v>0</v>
      </c>
      <c r="BS538">
        <v>0</v>
      </c>
      <c r="BT538">
        <v>0</v>
      </c>
      <c r="BU538">
        <v>0</v>
      </c>
      <c r="BV538">
        <v>498.31599999999997</v>
      </c>
      <c r="BW538">
        <v>8.0270350540620802E-2</v>
      </c>
      <c r="BX538">
        <v>5</v>
      </c>
      <c r="BY538">
        <v>4.0135175270310401E-2</v>
      </c>
      <c r="BZ538">
        <v>3.5794158333783729E-2</v>
      </c>
      <c r="CC538">
        <v>0.35641395635220002</v>
      </c>
      <c r="CF538">
        <v>0.39963885932412108</v>
      </c>
    </row>
    <row r="539" spans="1:84" x14ac:dyDescent="0.3">
      <c r="A539" s="1">
        <v>533</v>
      </c>
      <c r="B539" t="s">
        <v>992</v>
      </c>
      <c r="C539" t="s">
        <v>993</v>
      </c>
      <c r="E539" t="s">
        <v>372</v>
      </c>
      <c r="F539">
        <v>3.45</v>
      </c>
      <c r="G539" t="s">
        <v>966</v>
      </c>
      <c r="H539">
        <v>-1</v>
      </c>
      <c r="I539">
        <v>-1</v>
      </c>
      <c r="J539">
        <v>4</v>
      </c>
      <c r="K539">
        <v>3.71</v>
      </c>
      <c r="L539">
        <v>3.71</v>
      </c>
      <c r="M539">
        <v>44.5</v>
      </c>
      <c r="N539" t="s">
        <v>529</v>
      </c>
      <c r="O539">
        <v>22.25</v>
      </c>
      <c r="Q539" t="s">
        <v>87</v>
      </c>
      <c r="R539">
        <v>1098</v>
      </c>
      <c r="S539">
        <v>12</v>
      </c>
      <c r="T539" t="b">
        <v>0</v>
      </c>
      <c r="U539" t="s">
        <v>88</v>
      </c>
      <c r="V539" t="s">
        <v>89</v>
      </c>
      <c r="W539">
        <v>0</v>
      </c>
      <c r="X539">
        <v>4</v>
      </c>
      <c r="Y539">
        <v>0.5</v>
      </c>
      <c r="Z539">
        <v>1</v>
      </c>
      <c r="AC539" t="s">
        <v>90</v>
      </c>
      <c r="AD539">
        <v>125</v>
      </c>
      <c r="AE539">
        <v>220</v>
      </c>
      <c r="AF539" t="s">
        <v>91</v>
      </c>
      <c r="AG539">
        <v>288</v>
      </c>
      <c r="AH539">
        <v>120</v>
      </c>
      <c r="AI539" t="s">
        <v>550</v>
      </c>
      <c r="AL539" t="b">
        <v>1</v>
      </c>
      <c r="AM539" t="b">
        <v>0</v>
      </c>
      <c r="AN539" t="b">
        <v>0</v>
      </c>
      <c r="AO539" t="b">
        <v>0</v>
      </c>
      <c r="AP539" t="s">
        <v>994</v>
      </c>
      <c r="AQ539">
        <v>-1</v>
      </c>
      <c r="AS539">
        <v>4.7874917427820458</v>
      </c>
      <c r="AT539">
        <v>1.5</v>
      </c>
      <c r="AU539">
        <v>1.2727272727272729</v>
      </c>
      <c r="AV539">
        <v>9.0909090909090912E-2</v>
      </c>
      <c r="AW539">
        <v>0.1818181818181818</v>
      </c>
      <c r="AX539">
        <v>0.49253731343283591</v>
      </c>
      <c r="AY539">
        <v>0.41791044776119401</v>
      </c>
      <c r="AZ539">
        <v>2.9850746268656719E-2</v>
      </c>
      <c r="BA539">
        <v>5.9701492537313439E-2</v>
      </c>
      <c r="BB539">
        <v>6.7247856437664089</v>
      </c>
      <c r="BC539">
        <v>10</v>
      </c>
      <c r="BD539">
        <v>358.01968816600157</v>
      </c>
      <c r="BE539">
        <v>2</v>
      </c>
      <c r="BF539">
        <v>5.5862849617160371E-2</v>
      </c>
      <c r="BG539">
        <v>3.8703880000000002</v>
      </c>
      <c r="BH539">
        <v>3.8703880000000002</v>
      </c>
      <c r="BI539">
        <v>23.9</v>
      </c>
      <c r="BJ539">
        <v>0</v>
      </c>
      <c r="BK539">
        <v>0</v>
      </c>
      <c r="BM539">
        <v>0</v>
      </c>
      <c r="BP539">
        <v>0</v>
      </c>
      <c r="BQ539">
        <v>0</v>
      </c>
      <c r="BS539">
        <v>0</v>
      </c>
      <c r="BT539">
        <v>0</v>
      </c>
      <c r="BU539">
        <v>0</v>
      </c>
      <c r="BV539">
        <v>612.50244999999995</v>
      </c>
      <c r="BW539">
        <v>6.5305861225534695E-2</v>
      </c>
      <c r="BX539">
        <v>5</v>
      </c>
      <c r="BY539">
        <v>3.2652930612767347E-2</v>
      </c>
      <c r="BZ539">
        <v>2.7931424808580189E-2</v>
      </c>
      <c r="CC539">
        <v>0.27938652437960559</v>
      </c>
      <c r="CF539">
        <v>0.32661379994861872</v>
      </c>
    </row>
    <row r="540" spans="1:84" x14ac:dyDescent="0.3">
      <c r="A540" s="1">
        <v>534</v>
      </c>
      <c r="B540" t="s">
        <v>995</v>
      </c>
      <c r="C540" t="s">
        <v>996</v>
      </c>
      <c r="E540" t="s">
        <v>372</v>
      </c>
      <c r="F540">
        <v>3.41</v>
      </c>
      <c r="G540" t="s">
        <v>969</v>
      </c>
      <c r="H540">
        <v>-1</v>
      </c>
      <c r="I540">
        <v>-1</v>
      </c>
      <c r="J540">
        <v>4</v>
      </c>
      <c r="K540">
        <v>3.71</v>
      </c>
      <c r="L540">
        <v>3.71</v>
      </c>
      <c r="M540">
        <v>54.9</v>
      </c>
      <c r="N540" t="s">
        <v>529</v>
      </c>
      <c r="O540">
        <v>27.45</v>
      </c>
      <c r="Q540" t="s">
        <v>87</v>
      </c>
      <c r="R540">
        <v>1098</v>
      </c>
      <c r="S540">
        <v>12</v>
      </c>
      <c r="T540" t="b">
        <v>0</v>
      </c>
      <c r="U540" t="s">
        <v>88</v>
      </c>
      <c r="V540" t="s">
        <v>89</v>
      </c>
      <c r="W540">
        <v>0</v>
      </c>
      <c r="Y540">
        <v>0.5</v>
      </c>
      <c r="Z540">
        <v>1</v>
      </c>
      <c r="AC540" t="s">
        <v>90</v>
      </c>
      <c r="AD540">
        <v>125</v>
      </c>
      <c r="AE540">
        <v>220</v>
      </c>
      <c r="AF540" t="s">
        <v>91</v>
      </c>
      <c r="AG540">
        <v>288</v>
      </c>
      <c r="AH540">
        <v>60</v>
      </c>
      <c r="AI540" t="s">
        <v>550</v>
      </c>
      <c r="AL540" t="b">
        <v>1</v>
      </c>
      <c r="AM540" t="b">
        <v>0</v>
      </c>
      <c r="AN540" t="b">
        <v>0</v>
      </c>
      <c r="AO540" t="b">
        <v>0</v>
      </c>
      <c r="AP540" t="s">
        <v>997</v>
      </c>
      <c r="AQ540">
        <v>-1</v>
      </c>
      <c r="AS540">
        <v>4.0943445622221004</v>
      </c>
      <c r="AT540">
        <v>1.464285714285714</v>
      </c>
      <c r="AU540">
        <v>1.142857142857143</v>
      </c>
      <c r="AV540">
        <v>7.1428571428571425E-2</v>
      </c>
      <c r="AW540">
        <v>0.14285714285714279</v>
      </c>
      <c r="AX540">
        <v>0.51898734177215178</v>
      </c>
      <c r="AY540">
        <v>0.40506329113924039</v>
      </c>
      <c r="AZ540">
        <v>2.5316455696202531E-2</v>
      </c>
      <c r="BA540">
        <v>5.0632911392405063E-2</v>
      </c>
      <c r="BB540">
        <v>6.7561769411880359</v>
      </c>
      <c r="BC540">
        <v>10</v>
      </c>
      <c r="BD540">
        <v>411.19834477643292</v>
      </c>
      <c r="BE540">
        <v>2</v>
      </c>
      <c r="BF540">
        <v>4.8638328081972049E-2</v>
      </c>
      <c r="BG540">
        <v>3.8703880000000002</v>
      </c>
      <c r="BH540">
        <v>3.8703880000000002</v>
      </c>
      <c r="BI540">
        <v>27.45</v>
      </c>
      <c r="BJ540">
        <v>0</v>
      </c>
      <c r="BK540">
        <v>0</v>
      </c>
      <c r="BM540">
        <v>0</v>
      </c>
      <c r="BP540">
        <v>0</v>
      </c>
      <c r="BQ540">
        <v>0</v>
      </c>
      <c r="BS540">
        <v>0</v>
      </c>
      <c r="BT540">
        <v>0</v>
      </c>
      <c r="BU540">
        <v>0</v>
      </c>
      <c r="BV540">
        <v>755.64908999999989</v>
      </c>
      <c r="BW540">
        <v>5.2934623397746697E-2</v>
      </c>
      <c r="BX540">
        <v>5</v>
      </c>
      <c r="BY540">
        <v>2.6467311698873348E-2</v>
      </c>
      <c r="BZ540">
        <v>2.4319164040986021E-2</v>
      </c>
      <c r="CC540">
        <v>0.2443553945128093</v>
      </c>
      <c r="CF540">
        <v>0.26593966720944362</v>
      </c>
    </row>
    <row r="541" spans="1:84" x14ac:dyDescent="0.3">
      <c r="A541" s="1">
        <v>553</v>
      </c>
      <c r="B541" t="s">
        <v>151</v>
      </c>
      <c r="C541" t="s">
        <v>152</v>
      </c>
      <c r="E541" t="s">
        <v>106</v>
      </c>
      <c r="F541">
        <v>3.26</v>
      </c>
      <c r="G541" t="s">
        <v>142</v>
      </c>
      <c r="H541">
        <v>1522043</v>
      </c>
      <c r="I541">
        <v>-1</v>
      </c>
      <c r="J541">
        <v>1</v>
      </c>
      <c r="K541">
        <v>3.89</v>
      </c>
      <c r="L541">
        <v>3.89</v>
      </c>
      <c r="M541">
        <v>16.399999999999999</v>
      </c>
      <c r="O541">
        <v>16.399999999999999</v>
      </c>
      <c r="Q541" t="s">
        <v>87</v>
      </c>
      <c r="R541">
        <v>1573</v>
      </c>
      <c r="S541">
        <v>10</v>
      </c>
      <c r="T541" t="b">
        <v>0</v>
      </c>
      <c r="U541" t="s">
        <v>88</v>
      </c>
      <c r="V541" t="s">
        <v>89</v>
      </c>
      <c r="W541">
        <v>0</v>
      </c>
      <c r="X541">
        <v>3.1</v>
      </c>
      <c r="Y541">
        <v>0.5</v>
      </c>
      <c r="Z541">
        <v>1</v>
      </c>
      <c r="AC541" t="s">
        <v>90</v>
      </c>
      <c r="AD541">
        <v>125</v>
      </c>
      <c r="AE541">
        <v>220</v>
      </c>
      <c r="AF541" t="s">
        <v>91</v>
      </c>
      <c r="AG541">
        <v>288</v>
      </c>
      <c r="AH541">
        <v>1400</v>
      </c>
      <c r="AI541" t="s">
        <v>153</v>
      </c>
      <c r="AJ541" t="s">
        <v>153</v>
      </c>
      <c r="AL541" t="b">
        <v>1</v>
      </c>
      <c r="AM541" t="b">
        <v>1</v>
      </c>
      <c r="AN541" t="b">
        <v>0</v>
      </c>
      <c r="AO541" t="b">
        <v>0</v>
      </c>
      <c r="AP541" t="s">
        <v>1008</v>
      </c>
      <c r="AQ541" t="s">
        <v>1009</v>
      </c>
      <c r="AS541">
        <v>7.2442275156033498</v>
      </c>
      <c r="AT541">
        <v>1.75</v>
      </c>
      <c r="AU541">
        <v>2.5</v>
      </c>
      <c r="AV541">
        <v>0.75</v>
      </c>
      <c r="AW541">
        <v>0</v>
      </c>
      <c r="AX541">
        <v>0.35</v>
      </c>
      <c r="AY541">
        <v>0.5</v>
      </c>
      <c r="AZ541">
        <v>0.15</v>
      </c>
      <c r="BA541">
        <v>0</v>
      </c>
      <c r="BB541">
        <v>6.2395921087406876</v>
      </c>
      <c r="BC541">
        <v>20</v>
      </c>
      <c r="BD541">
        <v>242.1279024923125</v>
      </c>
      <c r="BE541">
        <v>1</v>
      </c>
      <c r="BF541">
        <v>8.2600971611006269E-2</v>
      </c>
      <c r="BG541">
        <v>3.950634</v>
      </c>
      <c r="BH541">
        <v>3.950634</v>
      </c>
      <c r="BI541">
        <v>15.513552000000001</v>
      </c>
      <c r="BJ541">
        <v>227.970829547178</v>
      </c>
      <c r="BK541">
        <v>1</v>
      </c>
      <c r="BL541">
        <v>8.7730522539775438E-2</v>
      </c>
      <c r="BM541">
        <v>3.8658999999999999</v>
      </c>
      <c r="BN541">
        <v>3.8658999999999999</v>
      </c>
      <c r="BO541">
        <v>15.2538</v>
      </c>
      <c r="BP541">
        <v>0</v>
      </c>
      <c r="BQ541">
        <v>0</v>
      </c>
      <c r="BS541">
        <v>0</v>
      </c>
      <c r="BT541">
        <v>0</v>
      </c>
      <c r="BU541">
        <v>0</v>
      </c>
      <c r="BV541">
        <v>248.16643999999999</v>
      </c>
      <c r="BW541">
        <v>8.0591074280631989E-2</v>
      </c>
      <c r="BX541">
        <v>10</v>
      </c>
      <c r="BY541">
        <v>4.0295537140315987E-2</v>
      </c>
      <c r="BZ541">
        <v>4.1300485805503127E-2</v>
      </c>
      <c r="CA541">
        <v>4.3865261269887719E-2</v>
      </c>
      <c r="CC541">
        <v>0.45027090848362911</v>
      </c>
      <c r="CD541">
        <v>0.47823289866077828</v>
      </c>
      <c r="CF541">
        <v>0.43931464151417537</v>
      </c>
    </row>
    <row r="542" spans="1:84" x14ac:dyDescent="0.3">
      <c r="A542" s="1">
        <v>554</v>
      </c>
      <c r="B542" t="s">
        <v>140</v>
      </c>
      <c r="C542" t="s">
        <v>141</v>
      </c>
      <c r="E542" t="s">
        <v>106</v>
      </c>
      <c r="F542">
        <v>3.5</v>
      </c>
      <c r="G542" t="s">
        <v>142</v>
      </c>
      <c r="H542">
        <v>1522043</v>
      </c>
      <c r="I542">
        <v>-1</v>
      </c>
      <c r="J542">
        <v>1</v>
      </c>
      <c r="K542">
        <v>3.82</v>
      </c>
      <c r="L542">
        <v>3.82</v>
      </c>
      <c r="M542">
        <v>16</v>
      </c>
      <c r="O542">
        <v>16</v>
      </c>
      <c r="Q542" t="s">
        <v>87</v>
      </c>
      <c r="R542">
        <v>1373</v>
      </c>
      <c r="S542">
        <v>24</v>
      </c>
      <c r="T542" t="b">
        <v>0</v>
      </c>
      <c r="U542" t="s">
        <v>88</v>
      </c>
      <c r="V542" t="s">
        <v>89</v>
      </c>
      <c r="W542">
        <v>0</v>
      </c>
      <c r="X542">
        <v>7.6</v>
      </c>
      <c r="Y542">
        <v>0.5</v>
      </c>
      <c r="Z542">
        <v>1</v>
      </c>
      <c r="AC542" t="s">
        <v>90</v>
      </c>
      <c r="AD542">
        <v>125</v>
      </c>
      <c r="AE542">
        <v>220</v>
      </c>
      <c r="AF542" t="s">
        <v>91</v>
      </c>
      <c r="AG542">
        <v>288</v>
      </c>
      <c r="AH542">
        <v>520</v>
      </c>
      <c r="AI542" t="s">
        <v>144</v>
      </c>
      <c r="AJ542" t="s">
        <v>144</v>
      </c>
      <c r="AL542" t="b">
        <v>1</v>
      </c>
      <c r="AM542" t="b">
        <v>1</v>
      </c>
      <c r="AN542" t="b">
        <v>0</v>
      </c>
      <c r="AO542" t="b">
        <v>0</v>
      </c>
      <c r="AP542" t="s">
        <v>1010</v>
      </c>
      <c r="AQ542" t="s">
        <v>1011</v>
      </c>
      <c r="AS542">
        <v>6.253828811575473</v>
      </c>
      <c r="AT542">
        <v>1.75</v>
      </c>
      <c r="AU542">
        <v>2.5</v>
      </c>
      <c r="AV542">
        <v>0.75</v>
      </c>
      <c r="AW542">
        <v>0</v>
      </c>
      <c r="AX542">
        <v>0.35</v>
      </c>
      <c r="AY542">
        <v>0.5</v>
      </c>
      <c r="AZ542">
        <v>0.15</v>
      </c>
      <c r="BA542">
        <v>0</v>
      </c>
      <c r="BB542">
        <v>6.2640154224906874</v>
      </c>
      <c r="BC542">
        <v>20</v>
      </c>
      <c r="BD542">
        <v>242.1279024923125</v>
      </c>
      <c r="BE542">
        <v>1</v>
      </c>
      <c r="BF542">
        <v>8.2600971611006269E-2</v>
      </c>
      <c r="BG542">
        <v>3.950634</v>
      </c>
      <c r="BH542">
        <v>3.950634</v>
      </c>
      <c r="BI542">
        <v>15.513552000000001</v>
      </c>
      <c r="BJ542">
        <v>227.970829547178</v>
      </c>
      <c r="BK542">
        <v>1</v>
      </c>
      <c r="BL542">
        <v>8.7730522539775438E-2</v>
      </c>
      <c r="BM542">
        <v>3.8658999999999999</v>
      </c>
      <c r="BN542">
        <v>3.8658999999999999</v>
      </c>
      <c r="BO542">
        <v>15.2538</v>
      </c>
      <c r="BP542">
        <v>0</v>
      </c>
      <c r="BQ542">
        <v>0</v>
      </c>
      <c r="BS542">
        <v>0</v>
      </c>
      <c r="BT542">
        <v>0</v>
      </c>
      <c r="BU542">
        <v>0</v>
      </c>
      <c r="BV542">
        <v>233.47839999999999</v>
      </c>
      <c r="BW542">
        <v>8.5661029028809524E-2</v>
      </c>
      <c r="BX542">
        <v>10</v>
      </c>
      <c r="BY542">
        <v>4.2830514514404762E-2</v>
      </c>
      <c r="BZ542">
        <v>4.1300485805503127E-2</v>
      </c>
      <c r="CA542">
        <v>4.3865261269887719E-2</v>
      </c>
      <c r="CC542">
        <v>0.42195359024583579</v>
      </c>
      <c r="CD542">
        <v>0.44815706447294301</v>
      </c>
      <c r="CF542">
        <v>0.43758539443188288</v>
      </c>
    </row>
    <row r="543" spans="1:84" x14ac:dyDescent="0.3">
      <c r="A543" s="1">
        <v>555</v>
      </c>
      <c r="B543" t="s">
        <v>151</v>
      </c>
      <c r="C543" t="s">
        <v>152</v>
      </c>
      <c r="E543" t="s">
        <v>106</v>
      </c>
      <c r="F543">
        <v>3.26</v>
      </c>
      <c r="G543" t="s">
        <v>142</v>
      </c>
      <c r="H543">
        <v>1522043</v>
      </c>
      <c r="I543">
        <v>-1</v>
      </c>
      <c r="J543">
        <v>1</v>
      </c>
      <c r="K543">
        <v>3.89</v>
      </c>
      <c r="L543">
        <v>3.89</v>
      </c>
      <c r="M543">
        <v>16.399999999999999</v>
      </c>
      <c r="O543">
        <v>16.399999999999999</v>
      </c>
      <c r="Q543" t="s">
        <v>87</v>
      </c>
      <c r="R543">
        <v>1573</v>
      </c>
      <c r="S543">
        <v>10</v>
      </c>
      <c r="T543" t="b">
        <v>0</v>
      </c>
      <c r="U543" t="s">
        <v>88</v>
      </c>
      <c r="V543" t="s">
        <v>89</v>
      </c>
      <c r="W543">
        <v>0</v>
      </c>
      <c r="X543">
        <v>103</v>
      </c>
      <c r="Y543">
        <v>0.5</v>
      </c>
      <c r="Z543">
        <v>1</v>
      </c>
      <c r="AC543" t="s">
        <v>90</v>
      </c>
      <c r="AD543">
        <v>125</v>
      </c>
      <c r="AE543">
        <v>220</v>
      </c>
      <c r="AF543" t="s">
        <v>91</v>
      </c>
      <c r="AG543">
        <v>288</v>
      </c>
      <c r="AH543">
        <v>380</v>
      </c>
      <c r="AI543" t="s">
        <v>153</v>
      </c>
      <c r="AJ543" t="s">
        <v>153</v>
      </c>
      <c r="AL543" t="b">
        <v>1</v>
      </c>
      <c r="AM543" t="b">
        <v>1</v>
      </c>
      <c r="AN543" t="b">
        <v>0</v>
      </c>
      <c r="AO543" t="b">
        <v>0</v>
      </c>
      <c r="AP543" t="s">
        <v>1012</v>
      </c>
      <c r="AQ543" t="s">
        <v>1013</v>
      </c>
      <c r="AS543">
        <v>5.9401712527204316</v>
      </c>
      <c r="AT543">
        <v>1.75</v>
      </c>
      <c r="AU543">
        <v>2.5</v>
      </c>
      <c r="AV543">
        <v>0.75</v>
      </c>
      <c r="AW543">
        <v>0</v>
      </c>
      <c r="AX543">
        <v>0.35</v>
      </c>
      <c r="AY543">
        <v>0.5</v>
      </c>
      <c r="AZ543">
        <v>0.15</v>
      </c>
      <c r="BA543">
        <v>0</v>
      </c>
      <c r="BB543">
        <v>6.2395921087406876</v>
      </c>
      <c r="BC543">
        <v>20</v>
      </c>
      <c r="BD543">
        <v>242.1279024923125</v>
      </c>
      <c r="BE543">
        <v>1</v>
      </c>
      <c r="BF543">
        <v>8.2600971611006269E-2</v>
      </c>
      <c r="BG543">
        <v>3.950634</v>
      </c>
      <c r="BH543">
        <v>3.950634</v>
      </c>
      <c r="BI543">
        <v>15.513552000000001</v>
      </c>
      <c r="BJ543">
        <v>227.970829547178</v>
      </c>
      <c r="BK543">
        <v>1</v>
      </c>
      <c r="BL543">
        <v>8.7730522539775438E-2</v>
      </c>
      <c r="BM543">
        <v>3.8658999999999999</v>
      </c>
      <c r="BN543">
        <v>3.8658999999999999</v>
      </c>
      <c r="BO543">
        <v>15.2538</v>
      </c>
      <c r="BP543">
        <v>0</v>
      </c>
      <c r="BQ543">
        <v>0</v>
      </c>
      <c r="BS543">
        <v>0</v>
      </c>
      <c r="BT543">
        <v>0</v>
      </c>
      <c r="BU543">
        <v>0</v>
      </c>
      <c r="BV543">
        <v>248.16643999999999</v>
      </c>
      <c r="BW543">
        <v>8.0591074280631989E-2</v>
      </c>
      <c r="BX543">
        <v>10</v>
      </c>
      <c r="BY543">
        <v>4.0295537140315987E-2</v>
      </c>
      <c r="BZ543">
        <v>4.1300485805503127E-2</v>
      </c>
      <c r="CA543">
        <v>4.3865261269887719E-2</v>
      </c>
      <c r="CC543">
        <v>0.45027090848362911</v>
      </c>
      <c r="CD543">
        <v>0.47823289866077828</v>
      </c>
      <c r="CF543">
        <v>0.43931464151417537</v>
      </c>
    </row>
    <row r="544" spans="1:84" x14ac:dyDescent="0.3">
      <c r="A544" s="1">
        <v>556</v>
      </c>
      <c r="B544" t="s">
        <v>140</v>
      </c>
      <c r="C544" t="s">
        <v>141</v>
      </c>
      <c r="E544" t="s">
        <v>106</v>
      </c>
      <c r="F544">
        <v>3.38</v>
      </c>
      <c r="G544" t="s">
        <v>142</v>
      </c>
      <c r="H544">
        <v>1522043</v>
      </c>
      <c r="I544">
        <v>-1</v>
      </c>
      <c r="J544">
        <v>1</v>
      </c>
      <c r="K544">
        <v>3.82</v>
      </c>
      <c r="L544">
        <v>3.82</v>
      </c>
      <c r="M544">
        <v>16</v>
      </c>
      <c r="O544">
        <v>16</v>
      </c>
      <c r="Q544" t="s">
        <v>87</v>
      </c>
      <c r="R544">
        <v>1373</v>
      </c>
      <c r="S544">
        <v>24</v>
      </c>
      <c r="T544" t="b">
        <v>0</v>
      </c>
      <c r="U544" t="s">
        <v>88</v>
      </c>
      <c r="V544" t="s">
        <v>89</v>
      </c>
      <c r="W544">
        <v>0</v>
      </c>
      <c r="X544">
        <v>76.3</v>
      </c>
      <c r="Y544">
        <v>0.5</v>
      </c>
      <c r="Z544">
        <v>1</v>
      </c>
      <c r="AC544" t="s">
        <v>90</v>
      </c>
      <c r="AD544">
        <v>125</v>
      </c>
      <c r="AE544">
        <v>220</v>
      </c>
      <c r="AF544" t="s">
        <v>91</v>
      </c>
      <c r="AG544">
        <v>288</v>
      </c>
      <c r="AH544">
        <v>296</v>
      </c>
      <c r="AI544" t="s">
        <v>144</v>
      </c>
      <c r="AJ544" t="s">
        <v>144</v>
      </c>
      <c r="AL544" t="b">
        <v>1</v>
      </c>
      <c r="AM544" t="b">
        <v>1</v>
      </c>
      <c r="AN544" t="b">
        <v>0</v>
      </c>
      <c r="AO544" t="b">
        <v>0</v>
      </c>
      <c r="AP544" t="s">
        <v>1014</v>
      </c>
      <c r="AQ544" t="s">
        <v>1015</v>
      </c>
      <c r="AS544">
        <v>5.6903594543240601</v>
      </c>
      <c r="AT544">
        <v>1.75</v>
      </c>
      <c r="AU544">
        <v>2.5</v>
      </c>
      <c r="AV544">
        <v>0.75</v>
      </c>
      <c r="AW544">
        <v>0</v>
      </c>
      <c r="AX544">
        <v>0.35</v>
      </c>
      <c r="AY544">
        <v>0.5</v>
      </c>
      <c r="AZ544">
        <v>0.15</v>
      </c>
      <c r="BA544">
        <v>0</v>
      </c>
      <c r="BB544">
        <v>6.2640154224906874</v>
      </c>
      <c r="BC544">
        <v>20</v>
      </c>
      <c r="BD544">
        <v>242.1279024923125</v>
      </c>
      <c r="BE544">
        <v>1</v>
      </c>
      <c r="BF544">
        <v>8.2600971611006269E-2</v>
      </c>
      <c r="BG544">
        <v>3.950634</v>
      </c>
      <c r="BH544">
        <v>3.950634</v>
      </c>
      <c r="BI544">
        <v>15.513552000000001</v>
      </c>
      <c r="BJ544">
        <v>227.970829547178</v>
      </c>
      <c r="BK544">
        <v>1</v>
      </c>
      <c r="BL544">
        <v>8.7730522539775438E-2</v>
      </c>
      <c r="BM544">
        <v>3.8658999999999999</v>
      </c>
      <c r="BN544">
        <v>3.8658999999999999</v>
      </c>
      <c r="BO544">
        <v>15.2538</v>
      </c>
      <c r="BP544">
        <v>0</v>
      </c>
      <c r="BQ544">
        <v>0</v>
      </c>
      <c r="BS544">
        <v>0</v>
      </c>
      <c r="BT544">
        <v>0</v>
      </c>
      <c r="BU544">
        <v>0</v>
      </c>
      <c r="BV544">
        <v>233.47839999999999</v>
      </c>
      <c r="BW544">
        <v>8.5661029028809524E-2</v>
      </c>
      <c r="BX544">
        <v>10</v>
      </c>
      <c r="BY544">
        <v>4.2830514514404762E-2</v>
      </c>
      <c r="BZ544">
        <v>4.1300485805503127E-2</v>
      </c>
      <c r="CA544">
        <v>4.3865261269887719E-2</v>
      </c>
      <c r="CC544">
        <v>0.42195359024583579</v>
      </c>
      <c r="CD544">
        <v>0.44815706447294301</v>
      </c>
      <c r="CF544">
        <v>0.43758539443188288</v>
      </c>
    </row>
    <row r="545" spans="1:84" x14ac:dyDescent="0.3">
      <c r="A545" s="1">
        <v>561</v>
      </c>
      <c r="B545" t="s">
        <v>151</v>
      </c>
      <c r="C545" t="s">
        <v>152</v>
      </c>
      <c r="E545" t="s">
        <v>106</v>
      </c>
      <c r="F545">
        <v>3.26</v>
      </c>
      <c r="G545" t="s">
        <v>142</v>
      </c>
      <c r="H545">
        <v>1522043</v>
      </c>
      <c r="I545">
        <v>-1</v>
      </c>
      <c r="J545">
        <v>1</v>
      </c>
      <c r="K545">
        <v>3.89</v>
      </c>
      <c r="L545">
        <v>3.89</v>
      </c>
      <c r="M545">
        <v>16.399999999999999</v>
      </c>
      <c r="O545">
        <v>16.399999999999999</v>
      </c>
      <c r="Q545" t="s">
        <v>87</v>
      </c>
      <c r="R545">
        <v>1573</v>
      </c>
      <c r="S545">
        <v>10</v>
      </c>
      <c r="T545" t="b">
        <v>0</v>
      </c>
      <c r="U545" t="s">
        <v>88</v>
      </c>
      <c r="V545" t="s">
        <v>89</v>
      </c>
      <c r="W545">
        <v>0</v>
      </c>
      <c r="X545">
        <v>3.1</v>
      </c>
      <c r="Y545">
        <v>0.5</v>
      </c>
      <c r="Z545">
        <v>0</v>
      </c>
      <c r="AC545" t="s">
        <v>90</v>
      </c>
      <c r="AD545">
        <v>125</v>
      </c>
      <c r="AE545">
        <v>220</v>
      </c>
      <c r="AF545" t="s">
        <v>91</v>
      </c>
      <c r="AG545">
        <v>288</v>
      </c>
      <c r="AH545">
        <v>23.2</v>
      </c>
      <c r="AI545" t="s">
        <v>153</v>
      </c>
      <c r="AJ545" t="s">
        <v>153</v>
      </c>
      <c r="AL545" t="b">
        <v>1</v>
      </c>
      <c r="AM545" t="b">
        <v>1</v>
      </c>
      <c r="AN545" t="b">
        <v>0</v>
      </c>
      <c r="AO545" t="b">
        <v>0</v>
      </c>
      <c r="AP545" t="s">
        <v>1024</v>
      </c>
      <c r="AQ545" t="s">
        <v>1025</v>
      </c>
      <c r="AS545">
        <v>3.144152278672264</v>
      </c>
      <c r="AT545">
        <v>1.75</v>
      </c>
      <c r="AU545">
        <v>2.5</v>
      </c>
      <c r="AV545">
        <v>0.75</v>
      </c>
      <c r="AW545">
        <v>0</v>
      </c>
      <c r="AX545">
        <v>0.35</v>
      </c>
      <c r="AY545">
        <v>0.5</v>
      </c>
      <c r="AZ545">
        <v>0.15</v>
      </c>
      <c r="BA545">
        <v>0</v>
      </c>
      <c r="BB545">
        <v>6.2395921087406876</v>
      </c>
      <c r="BC545">
        <v>20</v>
      </c>
      <c r="BD545">
        <v>242.1279024923125</v>
      </c>
      <c r="BE545">
        <v>1</v>
      </c>
      <c r="BF545">
        <v>8.2600971611006269E-2</v>
      </c>
      <c r="BG545">
        <v>3.950634</v>
      </c>
      <c r="BH545">
        <v>3.950634</v>
      </c>
      <c r="BI545">
        <v>15.513552000000001</v>
      </c>
      <c r="BJ545">
        <v>227.970829547178</v>
      </c>
      <c r="BK545">
        <v>1</v>
      </c>
      <c r="BL545">
        <v>8.7730522539775438E-2</v>
      </c>
      <c r="BM545">
        <v>3.8658999999999999</v>
      </c>
      <c r="BN545">
        <v>3.8658999999999999</v>
      </c>
      <c r="BO545">
        <v>15.2538</v>
      </c>
      <c r="BP545">
        <v>0</v>
      </c>
      <c r="BQ545">
        <v>0</v>
      </c>
      <c r="BS545">
        <v>0</v>
      </c>
      <c r="BT545">
        <v>0</v>
      </c>
      <c r="BU545">
        <v>0</v>
      </c>
      <c r="BV545">
        <v>248.16643999999999</v>
      </c>
      <c r="BW545">
        <v>8.0591074280631989E-2</v>
      </c>
      <c r="BX545">
        <v>10</v>
      </c>
      <c r="BY545">
        <v>4.0295537140315987E-2</v>
      </c>
      <c r="BZ545">
        <v>4.1300485805503127E-2</v>
      </c>
      <c r="CA545">
        <v>4.3865261269887719E-2</v>
      </c>
      <c r="CC545">
        <v>0.45027090848362911</v>
      </c>
      <c r="CD545">
        <v>0.47823289866077828</v>
      </c>
      <c r="CF545">
        <v>0.43931464151417537</v>
      </c>
    </row>
    <row r="546" spans="1:84" x14ac:dyDescent="0.3">
      <c r="A546" s="1">
        <v>562</v>
      </c>
      <c r="B546" t="s">
        <v>140</v>
      </c>
      <c r="C546" t="s">
        <v>141</v>
      </c>
      <c r="E546" t="s">
        <v>106</v>
      </c>
      <c r="F546">
        <v>3.5</v>
      </c>
      <c r="G546" t="s">
        <v>142</v>
      </c>
      <c r="H546">
        <v>1522043</v>
      </c>
      <c r="I546">
        <v>-1</v>
      </c>
      <c r="J546">
        <v>1</v>
      </c>
      <c r="K546">
        <v>3.82</v>
      </c>
      <c r="L546">
        <v>3.82</v>
      </c>
      <c r="M546">
        <v>16</v>
      </c>
      <c r="O546">
        <v>16</v>
      </c>
      <c r="Q546" t="s">
        <v>87</v>
      </c>
      <c r="R546">
        <v>1373</v>
      </c>
      <c r="S546">
        <v>24</v>
      </c>
      <c r="T546" t="b">
        <v>0</v>
      </c>
      <c r="U546" t="s">
        <v>88</v>
      </c>
      <c r="V546" t="s">
        <v>89</v>
      </c>
      <c r="W546">
        <v>0</v>
      </c>
      <c r="X546">
        <v>7.6</v>
      </c>
      <c r="Y546">
        <v>0.5</v>
      </c>
      <c r="Z546">
        <v>0</v>
      </c>
      <c r="AC546" t="s">
        <v>90</v>
      </c>
      <c r="AD546">
        <v>125</v>
      </c>
      <c r="AE546">
        <v>220</v>
      </c>
      <c r="AF546" t="s">
        <v>91</v>
      </c>
      <c r="AG546">
        <v>288</v>
      </c>
      <c r="AH546">
        <v>160</v>
      </c>
      <c r="AI546" t="s">
        <v>144</v>
      </c>
      <c r="AJ546" t="s">
        <v>144</v>
      </c>
      <c r="AL546" t="b">
        <v>1</v>
      </c>
      <c r="AM546" t="b">
        <v>1</v>
      </c>
      <c r="AN546" t="b">
        <v>0</v>
      </c>
      <c r="AO546" t="b">
        <v>0</v>
      </c>
      <c r="AP546" t="s">
        <v>1026</v>
      </c>
      <c r="AQ546" t="s">
        <v>1027</v>
      </c>
      <c r="AS546">
        <v>5.0751738152338266</v>
      </c>
      <c r="AT546">
        <v>1.75</v>
      </c>
      <c r="AU546">
        <v>2.5</v>
      </c>
      <c r="AV546">
        <v>0.75</v>
      </c>
      <c r="AW546">
        <v>0</v>
      </c>
      <c r="AX546">
        <v>0.35</v>
      </c>
      <c r="AY546">
        <v>0.5</v>
      </c>
      <c r="AZ546">
        <v>0.15</v>
      </c>
      <c r="BA546">
        <v>0</v>
      </c>
      <c r="BB546">
        <v>6.2640154224906874</v>
      </c>
      <c r="BC546">
        <v>20</v>
      </c>
      <c r="BD546">
        <v>242.1279024923125</v>
      </c>
      <c r="BE546">
        <v>1</v>
      </c>
      <c r="BF546">
        <v>8.2600971611006269E-2</v>
      </c>
      <c r="BG546">
        <v>3.950634</v>
      </c>
      <c r="BH546">
        <v>3.950634</v>
      </c>
      <c r="BI546">
        <v>15.513552000000001</v>
      </c>
      <c r="BJ546">
        <v>227.970829547178</v>
      </c>
      <c r="BK546">
        <v>1</v>
      </c>
      <c r="BL546">
        <v>8.7730522539775438E-2</v>
      </c>
      <c r="BM546">
        <v>3.8658999999999999</v>
      </c>
      <c r="BN546">
        <v>3.8658999999999999</v>
      </c>
      <c r="BO546">
        <v>15.2538</v>
      </c>
      <c r="BP546">
        <v>0</v>
      </c>
      <c r="BQ546">
        <v>0</v>
      </c>
      <c r="BS546">
        <v>0</v>
      </c>
      <c r="BT546">
        <v>0</v>
      </c>
      <c r="BU546">
        <v>0</v>
      </c>
      <c r="BV546">
        <v>233.47839999999999</v>
      </c>
      <c r="BW546">
        <v>8.5661029028809524E-2</v>
      </c>
      <c r="BX546">
        <v>10</v>
      </c>
      <c r="BY546">
        <v>4.2830514514404762E-2</v>
      </c>
      <c r="BZ546">
        <v>4.1300485805503127E-2</v>
      </c>
      <c r="CA546">
        <v>4.3865261269887719E-2</v>
      </c>
      <c r="CC546">
        <v>0.42195359024583579</v>
      </c>
      <c r="CD546">
        <v>0.44815706447294301</v>
      </c>
      <c r="CF546">
        <v>0.43758539443188288</v>
      </c>
    </row>
    <row r="547" spans="1:84" x14ac:dyDescent="0.3">
      <c r="A547" s="1">
        <v>563</v>
      </c>
      <c r="B547" t="s">
        <v>151</v>
      </c>
      <c r="C547" t="s">
        <v>152</v>
      </c>
      <c r="E547" t="s">
        <v>106</v>
      </c>
      <c r="F547">
        <v>3.26</v>
      </c>
      <c r="G547" t="s">
        <v>142</v>
      </c>
      <c r="H547">
        <v>1522043</v>
      </c>
      <c r="I547">
        <v>-1</v>
      </c>
      <c r="J547">
        <v>1</v>
      </c>
      <c r="K547">
        <v>3.89</v>
      </c>
      <c r="L547">
        <v>3.89</v>
      </c>
      <c r="M547">
        <v>16.399999999999999</v>
      </c>
      <c r="O547">
        <v>16.399999999999999</v>
      </c>
      <c r="Q547" t="s">
        <v>87</v>
      </c>
      <c r="R547">
        <v>1573</v>
      </c>
      <c r="S547">
        <v>10</v>
      </c>
      <c r="T547" t="b">
        <v>0</v>
      </c>
      <c r="U547" t="s">
        <v>88</v>
      </c>
      <c r="V547" t="s">
        <v>89</v>
      </c>
      <c r="W547">
        <v>0</v>
      </c>
      <c r="X547">
        <v>103</v>
      </c>
      <c r="Y547">
        <v>0.5</v>
      </c>
      <c r="Z547">
        <v>0</v>
      </c>
      <c r="AC547" t="s">
        <v>90</v>
      </c>
      <c r="AD547">
        <v>125</v>
      </c>
      <c r="AE547">
        <v>220</v>
      </c>
      <c r="AF547" t="s">
        <v>91</v>
      </c>
      <c r="AG547">
        <v>288</v>
      </c>
      <c r="AH547">
        <v>84</v>
      </c>
      <c r="AI547" t="s">
        <v>153</v>
      </c>
      <c r="AJ547" t="s">
        <v>153</v>
      </c>
      <c r="AL547" t="b">
        <v>1</v>
      </c>
      <c r="AM547" t="b">
        <v>1</v>
      </c>
      <c r="AN547" t="b">
        <v>0</v>
      </c>
      <c r="AO547" t="b">
        <v>0</v>
      </c>
      <c r="AP547" t="s">
        <v>1028</v>
      </c>
      <c r="AQ547" t="s">
        <v>1029</v>
      </c>
      <c r="AS547">
        <v>4.4308167988433134</v>
      </c>
      <c r="AT547">
        <v>1.75</v>
      </c>
      <c r="AU547">
        <v>2.5</v>
      </c>
      <c r="AV547">
        <v>0.75</v>
      </c>
      <c r="AW547">
        <v>0</v>
      </c>
      <c r="AX547">
        <v>0.35</v>
      </c>
      <c r="AY547">
        <v>0.5</v>
      </c>
      <c r="AZ547">
        <v>0.15</v>
      </c>
      <c r="BA547">
        <v>0</v>
      </c>
      <c r="BB547">
        <v>6.2395921087406876</v>
      </c>
      <c r="BC547">
        <v>20</v>
      </c>
      <c r="BD547">
        <v>242.1279024923125</v>
      </c>
      <c r="BE547">
        <v>1</v>
      </c>
      <c r="BF547">
        <v>8.2600971611006269E-2</v>
      </c>
      <c r="BG547">
        <v>3.950634</v>
      </c>
      <c r="BH547">
        <v>3.950634</v>
      </c>
      <c r="BI547">
        <v>15.513552000000001</v>
      </c>
      <c r="BJ547">
        <v>227.970829547178</v>
      </c>
      <c r="BK547">
        <v>1</v>
      </c>
      <c r="BL547">
        <v>8.7730522539775438E-2</v>
      </c>
      <c r="BM547">
        <v>3.8658999999999999</v>
      </c>
      <c r="BN547">
        <v>3.8658999999999999</v>
      </c>
      <c r="BO547">
        <v>15.2538</v>
      </c>
      <c r="BP547">
        <v>0</v>
      </c>
      <c r="BQ547">
        <v>0</v>
      </c>
      <c r="BS547">
        <v>0</v>
      </c>
      <c r="BT547">
        <v>0</v>
      </c>
      <c r="BU547">
        <v>0</v>
      </c>
      <c r="BV547">
        <v>248.16643999999999</v>
      </c>
      <c r="BW547">
        <v>8.0591074280631989E-2</v>
      </c>
      <c r="BX547">
        <v>10</v>
      </c>
      <c r="BY547">
        <v>4.0295537140315987E-2</v>
      </c>
      <c r="BZ547">
        <v>4.1300485805503127E-2</v>
      </c>
      <c r="CA547">
        <v>4.3865261269887719E-2</v>
      </c>
      <c r="CC547">
        <v>0.45027090848362911</v>
      </c>
      <c r="CD547">
        <v>0.47823289866077828</v>
      </c>
      <c r="CF547">
        <v>0.43931464151417537</v>
      </c>
    </row>
    <row r="548" spans="1:84" x14ac:dyDescent="0.3">
      <c r="A548" s="1">
        <v>564</v>
      </c>
      <c r="B548" t="s">
        <v>140</v>
      </c>
      <c r="C548" t="s">
        <v>141</v>
      </c>
      <c r="E548" t="s">
        <v>106</v>
      </c>
      <c r="F548">
        <v>3.38</v>
      </c>
      <c r="G548" t="s">
        <v>142</v>
      </c>
      <c r="H548">
        <v>1522043</v>
      </c>
      <c r="I548">
        <v>-1</v>
      </c>
      <c r="J548">
        <v>1</v>
      </c>
      <c r="K548">
        <v>3.82</v>
      </c>
      <c r="L548">
        <v>3.82</v>
      </c>
      <c r="M548">
        <v>16</v>
      </c>
      <c r="O548">
        <v>16</v>
      </c>
      <c r="Q548" t="s">
        <v>87</v>
      </c>
      <c r="R548">
        <v>1373</v>
      </c>
      <c r="S548">
        <v>24</v>
      </c>
      <c r="T548" t="b">
        <v>0</v>
      </c>
      <c r="U548" t="s">
        <v>88</v>
      </c>
      <c r="V548" t="s">
        <v>89</v>
      </c>
      <c r="W548">
        <v>0</v>
      </c>
      <c r="X548">
        <v>76.3</v>
      </c>
      <c r="Y548">
        <v>0.5</v>
      </c>
      <c r="Z548">
        <v>0</v>
      </c>
      <c r="AC548" t="s">
        <v>90</v>
      </c>
      <c r="AD548">
        <v>125</v>
      </c>
      <c r="AE548">
        <v>220</v>
      </c>
      <c r="AF548" t="s">
        <v>91</v>
      </c>
      <c r="AG548">
        <v>288</v>
      </c>
      <c r="AH548">
        <v>55.999999999999993</v>
      </c>
      <c r="AI548" t="s">
        <v>144</v>
      </c>
      <c r="AJ548" t="s">
        <v>144</v>
      </c>
      <c r="AL548" t="b">
        <v>1</v>
      </c>
      <c r="AM548" t="b">
        <v>1</v>
      </c>
      <c r="AN548" t="b">
        <v>0</v>
      </c>
      <c r="AO548" t="b">
        <v>0</v>
      </c>
      <c r="AP548" t="s">
        <v>1030</v>
      </c>
      <c r="AQ548" t="s">
        <v>1031</v>
      </c>
      <c r="AS548">
        <v>4.0253516907351488</v>
      </c>
      <c r="AT548">
        <v>1.75</v>
      </c>
      <c r="AU548">
        <v>2.5</v>
      </c>
      <c r="AV548">
        <v>0.75</v>
      </c>
      <c r="AW548">
        <v>0</v>
      </c>
      <c r="AX548">
        <v>0.35</v>
      </c>
      <c r="AY548">
        <v>0.5</v>
      </c>
      <c r="AZ548">
        <v>0.15</v>
      </c>
      <c r="BA548">
        <v>0</v>
      </c>
      <c r="BB548">
        <v>6.2640154224906874</v>
      </c>
      <c r="BC548">
        <v>20</v>
      </c>
      <c r="BD548">
        <v>242.1279024923125</v>
      </c>
      <c r="BE548">
        <v>1</v>
      </c>
      <c r="BF548">
        <v>8.2600971611006269E-2</v>
      </c>
      <c r="BG548">
        <v>3.950634</v>
      </c>
      <c r="BH548">
        <v>3.950634</v>
      </c>
      <c r="BI548">
        <v>15.513552000000001</v>
      </c>
      <c r="BJ548">
        <v>227.970829547178</v>
      </c>
      <c r="BK548">
        <v>1</v>
      </c>
      <c r="BL548">
        <v>8.7730522539775438E-2</v>
      </c>
      <c r="BM548">
        <v>3.8658999999999999</v>
      </c>
      <c r="BN548">
        <v>3.8658999999999999</v>
      </c>
      <c r="BO548">
        <v>15.2538</v>
      </c>
      <c r="BP548">
        <v>0</v>
      </c>
      <c r="BQ548">
        <v>0</v>
      </c>
      <c r="BS548">
        <v>0</v>
      </c>
      <c r="BT548">
        <v>0</v>
      </c>
      <c r="BU548">
        <v>0</v>
      </c>
      <c r="BV548">
        <v>233.47839999999999</v>
      </c>
      <c r="BW548">
        <v>8.5661029028809524E-2</v>
      </c>
      <c r="BX548">
        <v>10</v>
      </c>
      <c r="BY548">
        <v>4.2830514514404762E-2</v>
      </c>
      <c r="BZ548">
        <v>4.1300485805503127E-2</v>
      </c>
      <c r="CA548">
        <v>4.3865261269887719E-2</v>
      </c>
      <c r="CC548">
        <v>0.42195359024583579</v>
      </c>
      <c r="CD548">
        <v>0.44815706447294301</v>
      </c>
      <c r="CF548">
        <v>0.43758539443188288</v>
      </c>
    </row>
    <row r="549" spans="1:84" x14ac:dyDescent="0.3">
      <c r="A549" s="1">
        <v>569</v>
      </c>
      <c r="B549" t="s">
        <v>106</v>
      </c>
      <c r="C549" t="s">
        <v>107</v>
      </c>
      <c r="E549" t="s">
        <v>106</v>
      </c>
      <c r="F549">
        <v>3.54</v>
      </c>
      <c r="G549" t="s">
        <v>108</v>
      </c>
      <c r="H549" t="s">
        <v>109</v>
      </c>
      <c r="I549">
        <v>-1</v>
      </c>
      <c r="J549">
        <v>2</v>
      </c>
      <c r="K549">
        <v>3.86</v>
      </c>
      <c r="L549">
        <v>3.86</v>
      </c>
      <c r="M549">
        <v>29.4</v>
      </c>
      <c r="O549">
        <v>14.7</v>
      </c>
      <c r="Q549" t="s">
        <v>87</v>
      </c>
      <c r="R549">
        <v>1373</v>
      </c>
      <c r="S549">
        <v>24</v>
      </c>
      <c r="T549" t="b">
        <v>0</v>
      </c>
      <c r="U549" t="s">
        <v>88</v>
      </c>
      <c r="V549" t="s">
        <v>89</v>
      </c>
      <c r="W549">
        <v>0</v>
      </c>
      <c r="X549">
        <v>3.8</v>
      </c>
      <c r="Y549">
        <v>0.5</v>
      </c>
      <c r="Z549">
        <v>0</v>
      </c>
      <c r="AC549" t="s">
        <v>90</v>
      </c>
      <c r="AD549">
        <v>125</v>
      </c>
      <c r="AE549">
        <v>220</v>
      </c>
      <c r="AF549" t="s">
        <v>91</v>
      </c>
      <c r="AG549">
        <v>288</v>
      </c>
      <c r="AH549">
        <v>37.599999999999987</v>
      </c>
      <c r="AL549" t="b">
        <v>1</v>
      </c>
      <c r="AM549" t="b">
        <v>1</v>
      </c>
      <c r="AN549" t="b">
        <v>0</v>
      </c>
      <c r="AO549" t="b">
        <v>0</v>
      </c>
      <c r="AP549" t="s">
        <v>108</v>
      </c>
      <c r="AQ549" t="s">
        <v>109</v>
      </c>
      <c r="AS549">
        <v>3.6270040503958478</v>
      </c>
      <c r="AT549">
        <v>1.75</v>
      </c>
      <c r="AU549">
        <v>2.5</v>
      </c>
      <c r="AV549">
        <v>0.75</v>
      </c>
      <c r="AW549">
        <v>0</v>
      </c>
      <c r="AX549">
        <v>0.35</v>
      </c>
      <c r="AY549">
        <v>0.5</v>
      </c>
      <c r="AZ549">
        <v>0.15</v>
      </c>
      <c r="BA549">
        <v>0</v>
      </c>
      <c r="BB549">
        <v>5.9668120809374994</v>
      </c>
      <c r="BC549">
        <v>20</v>
      </c>
      <c r="BD549">
        <v>924.74694800021894</v>
      </c>
      <c r="BE549">
        <v>4</v>
      </c>
      <c r="BF549">
        <v>8.6510153045653584E-2</v>
      </c>
      <c r="BG549">
        <v>7.8084429999999996</v>
      </c>
      <c r="BH549">
        <v>7.8548809999999998</v>
      </c>
      <c r="BI549">
        <v>15.19056011</v>
      </c>
      <c r="BJ549">
        <v>883.22940750240002</v>
      </c>
      <c r="BK549">
        <v>4</v>
      </c>
      <c r="BL549">
        <v>9.0576694254581439E-2</v>
      </c>
      <c r="BM549">
        <v>3.8801999999999999</v>
      </c>
      <c r="BN549">
        <v>29.507999999999999</v>
      </c>
      <c r="BO549">
        <v>7.7140000000000004</v>
      </c>
      <c r="BP549">
        <v>0</v>
      </c>
      <c r="BQ549">
        <v>0</v>
      </c>
      <c r="BS549">
        <v>0</v>
      </c>
      <c r="BT549">
        <v>0</v>
      </c>
      <c r="BU549">
        <v>0</v>
      </c>
      <c r="BV549">
        <v>438.04824000000002</v>
      </c>
      <c r="BW549">
        <v>9.1314143848631832E-2</v>
      </c>
      <c r="BX549">
        <v>10</v>
      </c>
      <c r="BY549">
        <v>4.5657071924315923E-2</v>
      </c>
      <c r="BZ549">
        <v>4.3255076522826792E-2</v>
      </c>
      <c r="CA549">
        <v>4.5288347127290719E-2</v>
      </c>
      <c r="CC549">
        <v>0.50555206026575006</v>
      </c>
      <c r="CD549">
        <v>0.52931630311992839</v>
      </c>
      <c r="CF549">
        <v>0.53362584539316393</v>
      </c>
    </row>
    <row r="550" spans="1:84" x14ac:dyDescent="0.3">
      <c r="A550" s="1">
        <v>570</v>
      </c>
      <c r="B550" t="s">
        <v>140</v>
      </c>
      <c r="C550" t="s">
        <v>141</v>
      </c>
      <c r="E550" t="s">
        <v>106</v>
      </c>
      <c r="F550">
        <v>3.5</v>
      </c>
      <c r="G550" t="s">
        <v>142</v>
      </c>
      <c r="H550">
        <v>1522043</v>
      </c>
      <c r="I550">
        <v>-1</v>
      </c>
      <c r="J550">
        <v>1</v>
      </c>
      <c r="K550">
        <v>3.82</v>
      </c>
      <c r="L550">
        <v>3.82</v>
      </c>
      <c r="M550">
        <v>16</v>
      </c>
      <c r="O550">
        <v>16</v>
      </c>
      <c r="Q550" t="s">
        <v>87</v>
      </c>
      <c r="R550">
        <v>1373</v>
      </c>
      <c r="S550">
        <v>24</v>
      </c>
      <c r="T550" t="b">
        <v>0</v>
      </c>
      <c r="U550" t="s">
        <v>88</v>
      </c>
      <c r="V550" t="s">
        <v>89</v>
      </c>
      <c r="W550">
        <v>0</v>
      </c>
      <c r="X550">
        <v>5.6</v>
      </c>
      <c r="Y550">
        <v>0.5</v>
      </c>
      <c r="Z550">
        <v>0</v>
      </c>
      <c r="AC550" t="s">
        <v>90</v>
      </c>
      <c r="AD550">
        <v>125</v>
      </c>
      <c r="AE550">
        <v>220</v>
      </c>
      <c r="AF550" t="s">
        <v>91</v>
      </c>
      <c r="AG550">
        <v>288</v>
      </c>
      <c r="AH550">
        <v>520</v>
      </c>
      <c r="AI550" t="s">
        <v>144</v>
      </c>
      <c r="AJ550" t="s">
        <v>144</v>
      </c>
      <c r="AL550" t="b">
        <v>1</v>
      </c>
      <c r="AM550" t="b">
        <v>1</v>
      </c>
      <c r="AN550" t="b">
        <v>0</v>
      </c>
      <c r="AO550" t="b">
        <v>0</v>
      </c>
      <c r="AP550" t="s">
        <v>1040</v>
      </c>
      <c r="AQ550" t="s">
        <v>1041</v>
      </c>
      <c r="AS550">
        <v>6.253828811575473</v>
      </c>
      <c r="AT550">
        <v>1.75</v>
      </c>
      <c r="AU550">
        <v>2.5</v>
      </c>
      <c r="AV550">
        <v>0.75</v>
      </c>
      <c r="AW550">
        <v>0</v>
      </c>
      <c r="AX550">
        <v>0.35</v>
      </c>
      <c r="AY550">
        <v>0.5</v>
      </c>
      <c r="AZ550">
        <v>0.15</v>
      </c>
      <c r="BA550">
        <v>0</v>
      </c>
      <c r="BB550">
        <v>6.2640154224906874</v>
      </c>
      <c r="BC550">
        <v>20</v>
      </c>
      <c r="BD550">
        <v>242.1279024923125</v>
      </c>
      <c r="BE550">
        <v>1</v>
      </c>
      <c r="BF550">
        <v>8.2600971611006269E-2</v>
      </c>
      <c r="BG550">
        <v>3.950634</v>
      </c>
      <c r="BH550">
        <v>3.950634</v>
      </c>
      <c r="BI550">
        <v>15.513552000000001</v>
      </c>
      <c r="BJ550">
        <v>227.970829547178</v>
      </c>
      <c r="BK550">
        <v>1</v>
      </c>
      <c r="BL550">
        <v>8.7730522539775438E-2</v>
      </c>
      <c r="BM550">
        <v>3.8658999999999999</v>
      </c>
      <c r="BN550">
        <v>3.8658999999999999</v>
      </c>
      <c r="BO550">
        <v>15.2538</v>
      </c>
      <c r="BP550">
        <v>0</v>
      </c>
      <c r="BQ550">
        <v>0</v>
      </c>
      <c r="BS550">
        <v>0</v>
      </c>
      <c r="BT550">
        <v>0</v>
      </c>
      <c r="BU550">
        <v>0</v>
      </c>
      <c r="BV550">
        <v>233.47839999999999</v>
      </c>
      <c r="BW550">
        <v>8.5661029028809524E-2</v>
      </c>
      <c r="BX550">
        <v>10</v>
      </c>
      <c r="BY550">
        <v>4.2830514514404762E-2</v>
      </c>
      <c r="BZ550">
        <v>4.1300485805503127E-2</v>
      </c>
      <c r="CA550">
        <v>4.3865261269887719E-2</v>
      </c>
      <c r="CC550">
        <v>0.42195359024583579</v>
      </c>
      <c r="CD550">
        <v>0.44815706447294301</v>
      </c>
      <c r="CF550">
        <v>0.43758539443188288</v>
      </c>
    </row>
    <row r="551" spans="1:84" x14ac:dyDescent="0.3">
      <c r="A551" s="1">
        <v>573</v>
      </c>
      <c r="B551" t="s">
        <v>673</v>
      </c>
      <c r="C551" t="s">
        <v>674</v>
      </c>
      <c r="E551" t="s">
        <v>404</v>
      </c>
      <c r="F551">
        <v>3.6</v>
      </c>
      <c r="G551" t="s">
        <v>405</v>
      </c>
      <c r="H551">
        <v>-1</v>
      </c>
      <c r="I551">
        <v>-1</v>
      </c>
      <c r="J551">
        <v>2</v>
      </c>
      <c r="K551">
        <v>3.895</v>
      </c>
      <c r="L551">
        <v>3.895</v>
      </c>
      <c r="M551">
        <v>30.46</v>
      </c>
      <c r="N551" t="s">
        <v>206</v>
      </c>
      <c r="O551">
        <v>15.23</v>
      </c>
      <c r="Q551" t="s">
        <v>87</v>
      </c>
      <c r="R551">
        <v>1273</v>
      </c>
      <c r="S551">
        <v>10</v>
      </c>
      <c r="T551" t="b">
        <v>0</v>
      </c>
      <c r="U551" t="s">
        <v>88</v>
      </c>
      <c r="V551" t="s">
        <v>89</v>
      </c>
      <c r="W551">
        <v>0</v>
      </c>
      <c r="X551">
        <v>1.4</v>
      </c>
      <c r="Y551">
        <v>0.5</v>
      </c>
      <c r="Z551">
        <v>0</v>
      </c>
      <c r="AC551" t="s">
        <v>90</v>
      </c>
      <c r="AD551">
        <v>125</v>
      </c>
      <c r="AE551">
        <v>220</v>
      </c>
      <c r="AF551" t="s">
        <v>91</v>
      </c>
      <c r="AG551">
        <v>288</v>
      </c>
      <c r="AH551">
        <v>707.99999999999989</v>
      </c>
      <c r="AI551" t="s">
        <v>320</v>
      </c>
      <c r="AL551" t="b">
        <v>1</v>
      </c>
      <c r="AM551" t="b">
        <v>0</v>
      </c>
      <c r="AN551" t="b">
        <v>0</v>
      </c>
      <c r="AO551" t="b">
        <v>0</v>
      </c>
      <c r="AP551" t="s">
        <v>1044</v>
      </c>
      <c r="AQ551">
        <v>-1</v>
      </c>
      <c r="AS551">
        <v>6.5624440936937196</v>
      </c>
      <c r="AT551">
        <v>1.882352941176471</v>
      </c>
      <c r="AU551">
        <v>2.3529411764705879</v>
      </c>
      <c r="AV551">
        <v>0.47058823529411759</v>
      </c>
      <c r="AW551">
        <v>0</v>
      </c>
      <c r="AX551">
        <v>0.4</v>
      </c>
      <c r="AY551">
        <v>0.5</v>
      </c>
      <c r="AZ551">
        <v>9.9999999999999992E-2</v>
      </c>
      <c r="BA551">
        <v>0</v>
      </c>
      <c r="BB551">
        <v>5.6793428179411762</v>
      </c>
      <c r="BC551">
        <v>20</v>
      </c>
      <c r="BD551">
        <v>229.90248606119221</v>
      </c>
      <c r="BE551">
        <v>1</v>
      </c>
      <c r="BF551">
        <v>8.6993404650164072E-2</v>
      </c>
      <c r="BG551">
        <v>15.28115725</v>
      </c>
      <c r="BH551">
        <v>15.28115725</v>
      </c>
      <c r="BI551">
        <v>15.28115725</v>
      </c>
      <c r="BJ551">
        <v>0</v>
      </c>
      <c r="BK551">
        <v>0</v>
      </c>
      <c r="BM551">
        <v>0</v>
      </c>
      <c r="BP551">
        <v>0</v>
      </c>
      <c r="BQ551">
        <v>0</v>
      </c>
      <c r="BS551">
        <v>0</v>
      </c>
      <c r="BT551">
        <v>0</v>
      </c>
      <c r="BU551">
        <v>0</v>
      </c>
      <c r="BV551">
        <v>462.1094215</v>
      </c>
      <c r="BW551">
        <v>8.655958554179792E-2</v>
      </c>
      <c r="BX551">
        <v>10</v>
      </c>
      <c r="BY551">
        <v>4.327979277089896E-2</v>
      </c>
      <c r="BZ551">
        <v>4.3496702325082043E-2</v>
      </c>
      <c r="CC551">
        <v>0.61241516285620945</v>
      </c>
      <c r="CF551">
        <v>0.60936116811984309</v>
      </c>
    </row>
    <row r="552" spans="1:84" x14ac:dyDescent="0.3">
      <c r="A552" s="1">
        <v>574</v>
      </c>
      <c r="B552" t="s">
        <v>1045</v>
      </c>
      <c r="C552" t="s">
        <v>1046</v>
      </c>
      <c r="E552" t="s">
        <v>404</v>
      </c>
      <c r="F552">
        <v>3.65</v>
      </c>
      <c r="G552" t="s">
        <v>405</v>
      </c>
      <c r="H552">
        <v>-1</v>
      </c>
      <c r="I552">
        <v>-1</v>
      </c>
      <c r="J552">
        <v>2</v>
      </c>
      <c r="K552">
        <v>3.84</v>
      </c>
      <c r="L552">
        <v>3.84</v>
      </c>
      <c r="M552">
        <v>32.520000000000003</v>
      </c>
      <c r="N552" t="s">
        <v>1047</v>
      </c>
      <c r="O552">
        <v>16.260000000000002</v>
      </c>
      <c r="Q552" t="s">
        <v>87</v>
      </c>
      <c r="R552">
        <v>1273</v>
      </c>
      <c r="S552">
        <v>10</v>
      </c>
      <c r="T552" t="b">
        <v>0</v>
      </c>
      <c r="U552" t="s">
        <v>88</v>
      </c>
      <c r="V552" t="s">
        <v>89</v>
      </c>
      <c r="W552">
        <v>0</v>
      </c>
      <c r="X552">
        <v>7.1</v>
      </c>
      <c r="Y552">
        <v>0.5</v>
      </c>
      <c r="Z552">
        <v>0</v>
      </c>
      <c r="AC552" t="s">
        <v>90</v>
      </c>
      <c r="AD552">
        <v>125</v>
      </c>
      <c r="AE552">
        <v>220</v>
      </c>
      <c r="AF552" t="s">
        <v>91</v>
      </c>
      <c r="AG552">
        <v>288</v>
      </c>
      <c r="AH552">
        <v>244</v>
      </c>
      <c r="AI552" t="s">
        <v>1048</v>
      </c>
      <c r="AL552" t="b">
        <v>1</v>
      </c>
      <c r="AM552" t="b">
        <v>0</v>
      </c>
      <c r="AN552" t="b">
        <v>0</v>
      </c>
      <c r="AO552" t="b">
        <v>0</v>
      </c>
      <c r="AP552" t="s">
        <v>1049</v>
      </c>
      <c r="AQ552">
        <v>-1</v>
      </c>
      <c r="AS552">
        <v>5.4971682252932021</v>
      </c>
      <c r="AT552">
        <v>1.882352941176471</v>
      </c>
      <c r="AU552">
        <v>2.3529411764705879</v>
      </c>
      <c r="AV552">
        <v>0.47058823529411759</v>
      </c>
      <c r="AW552">
        <v>0</v>
      </c>
      <c r="AX552">
        <v>0.4</v>
      </c>
      <c r="AY552">
        <v>0.5</v>
      </c>
      <c r="AZ552">
        <v>9.9999999999999992E-2</v>
      </c>
      <c r="BA552">
        <v>0</v>
      </c>
      <c r="BB552">
        <v>5.9643306261677056</v>
      </c>
      <c r="BC552">
        <v>20</v>
      </c>
      <c r="BD552">
        <v>229.90248606119221</v>
      </c>
      <c r="BE552">
        <v>1</v>
      </c>
      <c r="BF552">
        <v>8.6993404650164072E-2</v>
      </c>
      <c r="BG552">
        <v>15.28115725</v>
      </c>
      <c r="BH552">
        <v>15.28115725</v>
      </c>
      <c r="BI552">
        <v>15.28115725</v>
      </c>
      <c r="BJ552">
        <v>0</v>
      </c>
      <c r="BK552">
        <v>0</v>
      </c>
      <c r="BM552">
        <v>0</v>
      </c>
      <c r="BP552">
        <v>0</v>
      </c>
      <c r="BQ552">
        <v>0</v>
      </c>
      <c r="BS552">
        <v>0</v>
      </c>
      <c r="BT552">
        <v>0</v>
      </c>
      <c r="BU552">
        <v>0</v>
      </c>
      <c r="BV552">
        <v>479.52691199999998</v>
      </c>
      <c r="BW552">
        <v>8.3415547697143627E-2</v>
      </c>
      <c r="BX552">
        <v>10</v>
      </c>
      <c r="BY552">
        <v>4.1707773848571807E-2</v>
      </c>
      <c r="BZ552">
        <v>4.3496702325082043E-2</v>
      </c>
      <c r="CC552">
        <v>0.52907229390101251</v>
      </c>
      <c r="CF552">
        <v>0.50731265599516773</v>
      </c>
    </row>
    <row r="553" spans="1:84" x14ac:dyDescent="0.3">
      <c r="A553" s="1">
        <v>575</v>
      </c>
      <c r="B553" t="s">
        <v>1050</v>
      </c>
      <c r="C553" t="s">
        <v>1051</v>
      </c>
      <c r="E553" t="s">
        <v>404</v>
      </c>
      <c r="F553">
        <v>3.58</v>
      </c>
      <c r="G553" t="s">
        <v>405</v>
      </c>
      <c r="H553">
        <v>-1</v>
      </c>
      <c r="I553">
        <v>-1</v>
      </c>
      <c r="J553">
        <v>1</v>
      </c>
      <c r="K553">
        <v>3.82</v>
      </c>
      <c r="L553">
        <v>3.82</v>
      </c>
      <c r="M553">
        <v>14.9</v>
      </c>
      <c r="N553" t="s">
        <v>101</v>
      </c>
      <c r="O553">
        <v>14.9</v>
      </c>
      <c r="Q553" t="s">
        <v>87</v>
      </c>
      <c r="R553">
        <v>1273</v>
      </c>
      <c r="S553">
        <v>10</v>
      </c>
      <c r="T553" t="b">
        <v>0</v>
      </c>
      <c r="U553" t="s">
        <v>88</v>
      </c>
      <c r="V553" t="s">
        <v>89</v>
      </c>
      <c r="W553">
        <v>0</v>
      </c>
      <c r="X553">
        <v>7.8</v>
      </c>
      <c r="Y553">
        <v>0.5</v>
      </c>
      <c r="Z553">
        <v>0</v>
      </c>
      <c r="AC553" t="s">
        <v>90</v>
      </c>
      <c r="AD553">
        <v>125</v>
      </c>
      <c r="AE553">
        <v>220</v>
      </c>
      <c r="AF553" t="s">
        <v>91</v>
      </c>
      <c r="AG553">
        <v>288</v>
      </c>
      <c r="AH553">
        <v>47.999999999999993</v>
      </c>
      <c r="AI553" t="s">
        <v>1052</v>
      </c>
      <c r="AL553" t="b">
        <v>1</v>
      </c>
      <c r="AM553" t="b">
        <v>0</v>
      </c>
      <c r="AN553" t="b">
        <v>0</v>
      </c>
      <c r="AO553" t="b">
        <v>0</v>
      </c>
      <c r="AP553" t="s">
        <v>1053</v>
      </c>
      <c r="AQ553">
        <v>-1</v>
      </c>
      <c r="AS553">
        <v>3.8712010109078911</v>
      </c>
      <c r="AT553">
        <v>1.882352941176471</v>
      </c>
      <c r="AU553">
        <v>2.3529411764705879</v>
      </c>
      <c r="AV553">
        <v>0.47058823529411759</v>
      </c>
      <c r="AW553">
        <v>0</v>
      </c>
      <c r="AX553">
        <v>0.4</v>
      </c>
      <c r="AY553">
        <v>0.5</v>
      </c>
      <c r="AZ553">
        <v>9.9999999999999992E-2</v>
      </c>
      <c r="BA553">
        <v>0</v>
      </c>
      <c r="BB553">
        <v>6.1068245302809707</v>
      </c>
      <c r="BC553">
        <v>20</v>
      </c>
      <c r="BD553">
        <v>229.90248606119221</v>
      </c>
      <c r="BE553">
        <v>1</v>
      </c>
      <c r="BF553">
        <v>8.6993404650164072E-2</v>
      </c>
      <c r="BG553">
        <v>15.28115725</v>
      </c>
      <c r="BH553">
        <v>15.28115725</v>
      </c>
      <c r="BI553">
        <v>15.28115725</v>
      </c>
      <c r="BJ553">
        <v>0</v>
      </c>
      <c r="BK553">
        <v>0</v>
      </c>
      <c r="BM553">
        <v>0</v>
      </c>
      <c r="BP553">
        <v>0</v>
      </c>
      <c r="BQ553">
        <v>0</v>
      </c>
      <c r="BS553">
        <v>0</v>
      </c>
      <c r="BT553">
        <v>0</v>
      </c>
      <c r="BU553">
        <v>0</v>
      </c>
      <c r="BV553">
        <v>217.42676</v>
      </c>
      <c r="BW553">
        <v>9.1984997614829006E-2</v>
      </c>
      <c r="BX553">
        <v>10</v>
      </c>
      <c r="BY553">
        <v>4.5992498807414503E-2</v>
      </c>
      <c r="BZ553">
        <v>4.3496702325082043E-2</v>
      </c>
      <c r="CC553">
        <v>0.4874008594234141</v>
      </c>
      <c r="CF553">
        <v>0.51536742436765637</v>
      </c>
    </row>
    <row r="554" spans="1:84" x14ac:dyDescent="0.3">
      <c r="A554" s="1">
        <v>576</v>
      </c>
      <c r="B554" t="s">
        <v>1054</v>
      </c>
      <c r="C554" t="s">
        <v>1055</v>
      </c>
      <c r="E554" t="s">
        <v>404</v>
      </c>
      <c r="F554">
        <v>3.55</v>
      </c>
      <c r="G554" t="s">
        <v>405</v>
      </c>
      <c r="H554">
        <v>-1</v>
      </c>
      <c r="I554" t="s">
        <v>1056</v>
      </c>
      <c r="J554">
        <v>2</v>
      </c>
      <c r="K554">
        <v>3.8050000000000002</v>
      </c>
      <c r="L554">
        <v>3.8050000000000002</v>
      </c>
      <c r="M554">
        <v>27.44</v>
      </c>
      <c r="N554" t="s">
        <v>1047</v>
      </c>
      <c r="O554">
        <v>13.72</v>
      </c>
      <c r="Q554" t="s">
        <v>87</v>
      </c>
      <c r="R554">
        <v>1273</v>
      </c>
      <c r="S554">
        <v>10</v>
      </c>
      <c r="T554" t="b">
        <v>0</v>
      </c>
      <c r="U554" t="s">
        <v>88</v>
      </c>
      <c r="V554" t="s">
        <v>89</v>
      </c>
      <c r="W554">
        <v>0</v>
      </c>
      <c r="X554">
        <v>8.1</v>
      </c>
      <c r="Y554">
        <v>0.5</v>
      </c>
      <c r="Z554">
        <v>0</v>
      </c>
      <c r="AC554" t="s">
        <v>90</v>
      </c>
      <c r="AD554">
        <v>125</v>
      </c>
      <c r="AE554">
        <v>220</v>
      </c>
      <c r="AF554" t="s">
        <v>91</v>
      </c>
      <c r="AG554">
        <v>288</v>
      </c>
      <c r="AH554">
        <v>16</v>
      </c>
      <c r="AI554" t="s">
        <v>136</v>
      </c>
      <c r="AL554" t="b">
        <v>1</v>
      </c>
      <c r="AM554" t="b">
        <v>0</v>
      </c>
      <c r="AN554" t="b">
        <v>0</v>
      </c>
      <c r="AO554" t="b">
        <v>0</v>
      </c>
      <c r="AP554" t="s">
        <v>1057</v>
      </c>
      <c r="AQ554">
        <v>-1</v>
      </c>
      <c r="AR554" t="s">
        <v>1056</v>
      </c>
      <c r="AS554">
        <v>2.7725887222397811</v>
      </c>
      <c r="AT554">
        <v>1.882352941176471</v>
      </c>
      <c r="AU554">
        <v>2.3529411764705879</v>
      </c>
      <c r="AV554">
        <v>0.47058823529411759</v>
      </c>
      <c r="AW554">
        <v>0</v>
      </c>
      <c r="AX554">
        <v>0.4</v>
      </c>
      <c r="AY554">
        <v>0.5</v>
      </c>
      <c r="AZ554">
        <v>9.9999999999999992E-2</v>
      </c>
      <c r="BA554">
        <v>0</v>
      </c>
      <c r="BB554">
        <v>6.249318434394235</v>
      </c>
      <c r="BC554">
        <v>20</v>
      </c>
      <c r="BD554">
        <v>229.90248606119221</v>
      </c>
      <c r="BE554">
        <v>1</v>
      </c>
      <c r="BF554">
        <v>8.6993404650164072E-2</v>
      </c>
      <c r="BG554">
        <v>15.28115725</v>
      </c>
      <c r="BH554">
        <v>15.28115725</v>
      </c>
      <c r="BI554">
        <v>15.28115725</v>
      </c>
      <c r="BJ554">
        <v>0</v>
      </c>
      <c r="BK554">
        <v>0</v>
      </c>
      <c r="BM554">
        <v>0</v>
      </c>
      <c r="BP554">
        <v>0</v>
      </c>
      <c r="BQ554">
        <v>0</v>
      </c>
      <c r="BS554">
        <v>0</v>
      </c>
      <c r="BT554">
        <v>0</v>
      </c>
      <c r="BU554">
        <v>0</v>
      </c>
      <c r="BV554">
        <v>397.27700599999997</v>
      </c>
      <c r="BW554">
        <v>0.1006854144485775</v>
      </c>
      <c r="BX554">
        <v>10</v>
      </c>
      <c r="BY554">
        <v>5.0342707224288727E-2</v>
      </c>
      <c r="BZ554">
        <v>4.3496702325082043E-2</v>
      </c>
      <c r="CC554">
        <v>0.44572942494581569</v>
      </c>
      <c r="CF554">
        <v>0.51588338291931557</v>
      </c>
    </row>
    <row r="555" spans="1:84" x14ac:dyDescent="0.3">
      <c r="A555" s="1">
        <v>577</v>
      </c>
      <c r="B555" t="s">
        <v>128</v>
      </c>
      <c r="C555" t="s">
        <v>129</v>
      </c>
      <c r="E555" t="s">
        <v>130</v>
      </c>
      <c r="F555">
        <v>3.2</v>
      </c>
      <c r="G555" t="s">
        <v>131</v>
      </c>
      <c r="H555" t="s">
        <v>132</v>
      </c>
      <c r="I555">
        <v>-1</v>
      </c>
      <c r="O555">
        <v>0</v>
      </c>
      <c r="Q555" t="s">
        <v>1058</v>
      </c>
      <c r="T555" t="b">
        <v>0</v>
      </c>
      <c r="U555" t="s">
        <v>88</v>
      </c>
      <c r="V555" t="s">
        <v>89</v>
      </c>
      <c r="W555">
        <v>0</v>
      </c>
      <c r="X555">
        <v>49</v>
      </c>
      <c r="Y555">
        <v>0.5</v>
      </c>
      <c r="Z555">
        <v>0</v>
      </c>
      <c r="AC555" t="s">
        <v>90</v>
      </c>
      <c r="AD555">
        <v>125</v>
      </c>
      <c r="AE555">
        <v>220</v>
      </c>
      <c r="AF555" t="s">
        <v>91</v>
      </c>
      <c r="AG555">
        <v>288</v>
      </c>
      <c r="AH555">
        <v>32</v>
      </c>
      <c r="AL555" t="b">
        <v>1</v>
      </c>
      <c r="AM555" t="b">
        <v>0</v>
      </c>
      <c r="AN555" t="b">
        <v>0</v>
      </c>
      <c r="AO555" t="b">
        <v>0</v>
      </c>
      <c r="AP555" t="s">
        <v>131</v>
      </c>
      <c r="AQ555" t="s">
        <v>132</v>
      </c>
      <c r="AS555">
        <v>3.465735902799727</v>
      </c>
      <c r="AT555">
        <v>2</v>
      </c>
      <c r="AU555">
        <v>2.666666666666667</v>
      </c>
      <c r="AV555">
        <v>0.66666666666666663</v>
      </c>
      <c r="AW555">
        <v>0</v>
      </c>
      <c r="AX555">
        <v>0.375</v>
      </c>
      <c r="AY555">
        <v>0.5</v>
      </c>
      <c r="AZ555">
        <v>0.125</v>
      </c>
      <c r="BA555">
        <v>0</v>
      </c>
      <c r="BB555">
        <v>6.1770001596666662</v>
      </c>
      <c r="BC555">
        <v>4</v>
      </c>
      <c r="BD555">
        <v>1182.741260108548</v>
      </c>
      <c r="BE555">
        <v>30</v>
      </c>
      <c r="BF555">
        <v>0.1014592151701775</v>
      </c>
      <c r="BG555">
        <v>10.59112378</v>
      </c>
      <c r="BH555">
        <v>10.784736629999999</v>
      </c>
      <c r="BI555">
        <v>10.486176179999999</v>
      </c>
      <c r="BJ555">
        <v>130.36387300000001</v>
      </c>
      <c r="BK555">
        <v>4</v>
      </c>
      <c r="BL555">
        <v>0.1227333894874388</v>
      </c>
      <c r="BM555">
        <v>3.73</v>
      </c>
      <c r="BN555">
        <v>3.73</v>
      </c>
      <c r="BO555">
        <v>9.3699999999999992</v>
      </c>
      <c r="BP555">
        <v>0</v>
      </c>
      <c r="BQ555">
        <v>0</v>
      </c>
      <c r="BS555">
        <v>0</v>
      </c>
      <c r="BT555">
        <v>0</v>
      </c>
      <c r="BU555">
        <v>0</v>
      </c>
      <c r="BX555">
        <v>2</v>
      </c>
      <c r="BZ555">
        <v>5.0729607585088737E-2</v>
      </c>
      <c r="CA555">
        <v>6.1366694743719377E-2</v>
      </c>
      <c r="CC555">
        <v>0.46900407026869612</v>
      </c>
      <c r="CD555">
        <v>0.56734579634715776</v>
      </c>
    </row>
    <row r="556" spans="1:84" x14ac:dyDescent="0.3">
      <c r="A556" s="1">
        <v>578</v>
      </c>
      <c r="B556" t="s">
        <v>544</v>
      </c>
      <c r="C556" t="s">
        <v>545</v>
      </c>
      <c r="E556" t="s">
        <v>94</v>
      </c>
      <c r="F556">
        <v>4.3600000000000003</v>
      </c>
      <c r="G556">
        <v>-1</v>
      </c>
      <c r="H556">
        <v>-1</v>
      </c>
      <c r="I556" t="s">
        <v>1059</v>
      </c>
      <c r="J556">
        <v>1</v>
      </c>
      <c r="K556">
        <v>3.89</v>
      </c>
      <c r="L556">
        <v>3.89</v>
      </c>
      <c r="M556">
        <v>10.48</v>
      </c>
      <c r="N556" t="s">
        <v>206</v>
      </c>
      <c r="O556">
        <v>10.48</v>
      </c>
      <c r="Q556" t="s">
        <v>87</v>
      </c>
      <c r="R556">
        <v>1373</v>
      </c>
      <c r="S556">
        <v>10</v>
      </c>
      <c r="T556" t="b">
        <v>0</v>
      </c>
      <c r="U556" t="s">
        <v>88</v>
      </c>
      <c r="V556" t="s">
        <v>89</v>
      </c>
      <c r="W556">
        <v>0</v>
      </c>
      <c r="X556">
        <v>3.9</v>
      </c>
      <c r="Y556">
        <v>0.5</v>
      </c>
      <c r="Z556">
        <v>0.1</v>
      </c>
      <c r="AC556" t="s">
        <v>90</v>
      </c>
      <c r="AD556">
        <v>125</v>
      </c>
      <c r="AE556">
        <v>220</v>
      </c>
      <c r="AF556" t="s">
        <v>91</v>
      </c>
      <c r="AG556">
        <v>288</v>
      </c>
      <c r="AH556">
        <v>1800</v>
      </c>
      <c r="AK556" t="s">
        <v>1060</v>
      </c>
      <c r="AL556" t="b">
        <v>0</v>
      </c>
      <c r="AM556" t="b">
        <v>0</v>
      </c>
      <c r="AN556" t="b">
        <v>1</v>
      </c>
      <c r="AO556" t="b">
        <v>0</v>
      </c>
      <c r="AP556">
        <v>-1</v>
      </c>
      <c r="AQ556">
        <v>-1</v>
      </c>
      <c r="AR556" t="s">
        <v>1061</v>
      </c>
      <c r="AS556">
        <v>7.4955419438842563</v>
      </c>
      <c r="AT556">
        <v>1.9090909090909089</v>
      </c>
      <c r="AU556">
        <v>2.545454545454545</v>
      </c>
      <c r="AV556">
        <v>0.54545454545454541</v>
      </c>
      <c r="AW556">
        <v>2.9090909090909092</v>
      </c>
      <c r="AX556">
        <v>0.2413793103448276</v>
      </c>
      <c r="AY556">
        <v>0.32183908045977011</v>
      </c>
      <c r="AZ556">
        <v>6.8965517241379309E-2</v>
      </c>
      <c r="BA556">
        <v>0.36781609195402298</v>
      </c>
      <c r="BB556">
        <v>6.4220981546682721</v>
      </c>
      <c r="BC556">
        <v>14</v>
      </c>
      <c r="BD556">
        <v>0</v>
      </c>
      <c r="BE556">
        <v>0</v>
      </c>
      <c r="BG556">
        <v>0</v>
      </c>
      <c r="BJ556">
        <v>0</v>
      </c>
      <c r="BK556">
        <v>0</v>
      </c>
      <c r="BM556">
        <v>0</v>
      </c>
      <c r="BP556">
        <v>603.56576793812405</v>
      </c>
      <c r="BQ556">
        <v>4</v>
      </c>
      <c r="BR556">
        <v>9.2781935250080272E-2</v>
      </c>
      <c r="BS556">
        <v>5.4092000000000002</v>
      </c>
      <c r="BT556">
        <v>20.501100000000001</v>
      </c>
      <c r="BU556">
        <v>5.4427000000000003</v>
      </c>
      <c r="BV556">
        <v>158.584408</v>
      </c>
      <c r="BW556">
        <v>8.8281062284509063E-2</v>
      </c>
      <c r="BX556">
        <v>7</v>
      </c>
      <c r="BY556">
        <v>4.4140531142254531E-2</v>
      </c>
      <c r="CB556">
        <v>4.6390967625040143E-2</v>
      </c>
      <c r="CE556">
        <v>0.4543802027655201</v>
      </c>
      <c r="CF556">
        <v>0.43233811488272478</v>
      </c>
    </row>
    <row r="557" spans="1:84" x14ac:dyDescent="0.3">
      <c r="A557" s="1">
        <v>579</v>
      </c>
      <c r="B557" t="s">
        <v>1062</v>
      </c>
      <c r="C557" t="s">
        <v>1063</v>
      </c>
      <c r="E557" t="s">
        <v>94</v>
      </c>
      <c r="F557">
        <v>4.49</v>
      </c>
      <c r="G557">
        <v>-1</v>
      </c>
      <c r="H557">
        <v>-1</v>
      </c>
      <c r="I557" t="s">
        <v>1059</v>
      </c>
      <c r="J557">
        <v>1</v>
      </c>
      <c r="K557">
        <v>3.8620000000000001</v>
      </c>
      <c r="L557">
        <v>3.8620000000000001</v>
      </c>
      <c r="M557">
        <v>10.220000000000001</v>
      </c>
      <c r="O557">
        <v>10.220000000000001</v>
      </c>
      <c r="Q557" t="s">
        <v>87</v>
      </c>
      <c r="R557">
        <v>1373</v>
      </c>
      <c r="S557">
        <v>10</v>
      </c>
      <c r="T557" t="b">
        <v>0</v>
      </c>
      <c r="U557" t="s">
        <v>88</v>
      </c>
      <c r="V557" t="s">
        <v>89</v>
      </c>
      <c r="W557">
        <v>0</v>
      </c>
      <c r="X557">
        <v>4.3</v>
      </c>
      <c r="Y557">
        <v>0.5</v>
      </c>
      <c r="Z557">
        <v>0.1</v>
      </c>
      <c r="AC557" t="s">
        <v>90</v>
      </c>
      <c r="AD557">
        <v>125</v>
      </c>
      <c r="AE557">
        <v>220</v>
      </c>
      <c r="AF557" t="s">
        <v>91</v>
      </c>
      <c r="AG557">
        <v>288</v>
      </c>
      <c r="AH557">
        <v>240</v>
      </c>
      <c r="AL557" t="b">
        <v>0</v>
      </c>
      <c r="AM557" t="b">
        <v>0</v>
      </c>
      <c r="AN557" t="b">
        <v>1</v>
      </c>
      <c r="AO557" t="b">
        <v>0</v>
      </c>
      <c r="AP557">
        <v>-1</v>
      </c>
      <c r="AQ557">
        <v>-1</v>
      </c>
      <c r="AR557" t="s">
        <v>1059</v>
      </c>
      <c r="AS557">
        <v>5.4806389233419912</v>
      </c>
      <c r="AT557">
        <v>1.9090909090909089</v>
      </c>
      <c r="AU557">
        <v>2.545454545454545</v>
      </c>
      <c r="AV557">
        <v>0.54545454545454541</v>
      </c>
      <c r="AW557">
        <v>2.9090909090909092</v>
      </c>
      <c r="AX557">
        <v>0.2413793103448276</v>
      </c>
      <c r="AY557">
        <v>0.32183908045977011</v>
      </c>
      <c r="AZ557">
        <v>6.8965517241379309E-2</v>
      </c>
      <c r="BA557">
        <v>0.36781609195402298</v>
      </c>
      <c r="BB557">
        <v>6.0428769922272716</v>
      </c>
      <c r="BC557">
        <v>14</v>
      </c>
      <c r="BD557">
        <v>0</v>
      </c>
      <c r="BE557">
        <v>0</v>
      </c>
      <c r="BG557">
        <v>0</v>
      </c>
      <c r="BJ557">
        <v>0</v>
      </c>
      <c r="BK557">
        <v>0</v>
      </c>
      <c r="BM557">
        <v>0</v>
      </c>
      <c r="BP557">
        <v>603.56576793812405</v>
      </c>
      <c r="BQ557">
        <v>4</v>
      </c>
      <c r="BR557">
        <v>9.2781935250080272E-2</v>
      </c>
      <c r="BS557">
        <v>5.4092000000000002</v>
      </c>
      <c r="BT557">
        <v>20.501100000000001</v>
      </c>
      <c r="BU557">
        <v>5.4427000000000003</v>
      </c>
      <c r="BV557">
        <v>152.43174968</v>
      </c>
      <c r="BW557">
        <v>9.1844383006756819E-2</v>
      </c>
      <c r="BX557">
        <v>7</v>
      </c>
      <c r="BY557">
        <v>4.5922191503378409E-2</v>
      </c>
      <c r="CB557">
        <v>4.6390967625040143E-2</v>
      </c>
      <c r="CE557">
        <v>0.47461723217425678</v>
      </c>
      <c r="CF557">
        <v>0.4698212721681892</v>
      </c>
    </row>
    <row r="558" spans="1:84" x14ac:dyDescent="0.3">
      <c r="A558" s="1">
        <v>580</v>
      </c>
      <c r="B558" t="s">
        <v>548</v>
      </c>
      <c r="C558" t="s">
        <v>549</v>
      </c>
      <c r="E558" t="s">
        <v>94</v>
      </c>
      <c r="F558">
        <v>4.38</v>
      </c>
      <c r="G558">
        <v>-1</v>
      </c>
      <c r="H558">
        <v>-1</v>
      </c>
      <c r="I558" t="s">
        <v>1064</v>
      </c>
      <c r="J558">
        <v>2</v>
      </c>
      <c r="K558">
        <v>3.92</v>
      </c>
      <c r="L558">
        <v>3.92</v>
      </c>
      <c r="M558">
        <v>21.024000000000001</v>
      </c>
      <c r="O558">
        <v>10.512</v>
      </c>
      <c r="Q558" t="s">
        <v>87</v>
      </c>
      <c r="R558">
        <v>1373</v>
      </c>
      <c r="S558">
        <v>10</v>
      </c>
      <c r="T558" t="b">
        <v>0</v>
      </c>
      <c r="U558" t="s">
        <v>88</v>
      </c>
      <c r="V558" t="s">
        <v>89</v>
      </c>
      <c r="W558">
        <v>0</v>
      </c>
      <c r="X558">
        <v>5</v>
      </c>
      <c r="Y558">
        <v>0.5</v>
      </c>
      <c r="Z558">
        <v>0.1</v>
      </c>
      <c r="AC558" t="s">
        <v>90</v>
      </c>
      <c r="AD558">
        <v>125</v>
      </c>
      <c r="AE558">
        <v>220</v>
      </c>
      <c r="AF558" t="s">
        <v>91</v>
      </c>
      <c r="AG558">
        <v>288</v>
      </c>
      <c r="AH558">
        <v>4160</v>
      </c>
      <c r="AL558" t="b">
        <v>0</v>
      </c>
      <c r="AM558" t="b">
        <v>0</v>
      </c>
      <c r="AN558" t="b">
        <v>1</v>
      </c>
      <c r="AO558" t="b">
        <v>0</v>
      </c>
      <c r="AP558">
        <v>-1</v>
      </c>
      <c r="AQ558">
        <v>-1</v>
      </c>
      <c r="AR558" t="s">
        <v>1064</v>
      </c>
      <c r="AS558">
        <v>8.3332703532553083</v>
      </c>
      <c r="AT558">
        <v>1.9090909090909089</v>
      </c>
      <c r="AU558">
        <v>2.545454545454545</v>
      </c>
      <c r="AV558">
        <v>0.54545454545454541</v>
      </c>
      <c r="AW558">
        <v>2.9090909090909092</v>
      </c>
      <c r="AX558">
        <v>0.2413793103448276</v>
      </c>
      <c r="AY558">
        <v>0.32183908045977011</v>
      </c>
      <c r="AZ558">
        <v>6.8965517241379309E-2</v>
      </c>
      <c r="BA558">
        <v>0.36781609195402298</v>
      </c>
      <c r="BB558">
        <v>6.0282060374090909</v>
      </c>
      <c r="BC558">
        <v>14</v>
      </c>
      <c r="BD558">
        <v>0</v>
      </c>
      <c r="BE558">
        <v>0</v>
      </c>
      <c r="BG558">
        <v>0</v>
      </c>
      <c r="BJ558">
        <v>0</v>
      </c>
      <c r="BK558">
        <v>0</v>
      </c>
      <c r="BM558">
        <v>0</v>
      </c>
      <c r="BP558">
        <v>632.03960647162</v>
      </c>
      <c r="BQ558">
        <v>4</v>
      </c>
      <c r="BR558">
        <v>8.8602042382472948E-2</v>
      </c>
      <c r="BS558">
        <v>5.4686000000000003</v>
      </c>
      <c r="BT558">
        <v>5.4686000000000003</v>
      </c>
      <c r="BU558">
        <v>21.134499999999999</v>
      </c>
      <c r="BV558">
        <v>323.06319359999998</v>
      </c>
      <c r="BW558">
        <v>8.6670349809852193E-2</v>
      </c>
      <c r="BX558">
        <v>7</v>
      </c>
      <c r="BY558">
        <v>4.3335174904926103E-2</v>
      </c>
      <c r="CB558">
        <v>4.4301021191236467E-2</v>
      </c>
      <c r="CE558">
        <v>0.4752886724231179</v>
      </c>
      <c r="CF558">
        <v>0.46492647789934771</v>
      </c>
    </row>
    <row r="559" spans="1:84" x14ac:dyDescent="0.3">
      <c r="A559" s="1">
        <v>581</v>
      </c>
      <c r="B559" t="s">
        <v>1065</v>
      </c>
      <c r="C559" t="s">
        <v>1066</v>
      </c>
      <c r="E559" t="s">
        <v>94</v>
      </c>
      <c r="F559">
        <v>4.38</v>
      </c>
      <c r="G559">
        <v>-1</v>
      </c>
      <c r="H559">
        <v>-1</v>
      </c>
      <c r="I559" t="s">
        <v>1067</v>
      </c>
      <c r="Q559" t="s">
        <v>87</v>
      </c>
      <c r="R559">
        <v>1373</v>
      </c>
      <c r="S559">
        <v>10</v>
      </c>
      <c r="T559" t="b">
        <v>0</v>
      </c>
      <c r="U559" t="s">
        <v>88</v>
      </c>
      <c r="V559" t="s">
        <v>89</v>
      </c>
      <c r="W559">
        <v>0</v>
      </c>
      <c r="X559">
        <v>1.2</v>
      </c>
      <c r="Y559">
        <v>0.5</v>
      </c>
      <c r="Z559">
        <v>0.1</v>
      </c>
      <c r="AC559" t="s">
        <v>90</v>
      </c>
      <c r="AD559">
        <v>125</v>
      </c>
      <c r="AE559">
        <v>220</v>
      </c>
      <c r="AF559" t="s">
        <v>91</v>
      </c>
      <c r="AG559">
        <v>288</v>
      </c>
      <c r="AH559">
        <v>1680</v>
      </c>
      <c r="AL559" t="b">
        <v>0</v>
      </c>
      <c r="AM559" t="b">
        <v>0</v>
      </c>
      <c r="AN559" t="b">
        <v>1</v>
      </c>
      <c r="AO559" t="b">
        <v>0</v>
      </c>
      <c r="AP559">
        <v>-1</v>
      </c>
      <c r="AQ559">
        <v>-1</v>
      </c>
      <c r="AR559" t="s">
        <v>1067</v>
      </c>
      <c r="AS559">
        <v>7.4265490723973047</v>
      </c>
      <c r="AT559">
        <v>1.9090909090909089</v>
      </c>
      <c r="AU559">
        <v>2.545454545454545</v>
      </c>
      <c r="AV559">
        <v>0.54545454545454541</v>
      </c>
      <c r="AW559">
        <v>2.9090909090909092</v>
      </c>
      <c r="AX559">
        <v>0.2413793103448276</v>
      </c>
      <c r="AY559">
        <v>0.32183908045977011</v>
      </c>
      <c r="AZ559">
        <v>6.8965517241379309E-2</v>
      </c>
      <c r="BA559">
        <v>0.36781609195402298</v>
      </c>
      <c r="BB559">
        <v>5.9898023851363629</v>
      </c>
      <c r="BC559">
        <v>14</v>
      </c>
      <c r="BD559">
        <v>0</v>
      </c>
      <c r="BE559">
        <v>0</v>
      </c>
      <c r="BG559">
        <v>0</v>
      </c>
      <c r="BJ559">
        <v>0</v>
      </c>
      <c r="BK559">
        <v>0</v>
      </c>
      <c r="BM559">
        <v>0</v>
      </c>
      <c r="BP559">
        <v>647.38147984939201</v>
      </c>
      <c r="BQ559">
        <v>4</v>
      </c>
      <c r="BR559">
        <v>8.6502320105029784E-2</v>
      </c>
      <c r="BS559">
        <v>7.7018000000000004</v>
      </c>
      <c r="BT559">
        <v>21.768799999999999</v>
      </c>
      <c r="BU559">
        <v>3.8613</v>
      </c>
      <c r="BX559">
        <v>7</v>
      </c>
      <c r="CB559">
        <v>4.3251160052514892E-2</v>
      </c>
      <c r="CE559">
        <v>0.51451751424865833</v>
      </c>
    </row>
    <row r="560" spans="1:84" x14ac:dyDescent="0.3">
      <c r="A560" s="1">
        <v>582</v>
      </c>
      <c r="B560" t="s">
        <v>182</v>
      </c>
      <c r="C560" t="s">
        <v>183</v>
      </c>
      <c r="E560" t="s">
        <v>94</v>
      </c>
      <c r="F560">
        <v>4.54</v>
      </c>
      <c r="G560">
        <v>-1</v>
      </c>
      <c r="H560">
        <v>-1</v>
      </c>
      <c r="I560" t="s">
        <v>1068</v>
      </c>
      <c r="Q560" t="s">
        <v>87</v>
      </c>
      <c r="R560">
        <v>1373</v>
      </c>
      <c r="S560">
        <v>10</v>
      </c>
      <c r="T560" t="b">
        <v>0</v>
      </c>
      <c r="U560" t="s">
        <v>88</v>
      </c>
      <c r="V560" t="s">
        <v>89</v>
      </c>
      <c r="W560">
        <v>0</v>
      </c>
      <c r="X560">
        <v>0.8</v>
      </c>
      <c r="Y560">
        <v>0.5</v>
      </c>
      <c r="Z560">
        <v>0.1</v>
      </c>
      <c r="AC560" t="s">
        <v>90</v>
      </c>
      <c r="AD560">
        <v>125</v>
      </c>
      <c r="AE560">
        <v>220</v>
      </c>
      <c r="AF560" t="s">
        <v>91</v>
      </c>
      <c r="AG560">
        <v>288</v>
      </c>
      <c r="AH560">
        <v>10520</v>
      </c>
      <c r="AL560" t="b">
        <v>0</v>
      </c>
      <c r="AM560" t="b">
        <v>0</v>
      </c>
      <c r="AN560" t="b">
        <v>1</v>
      </c>
      <c r="AO560" t="b">
        <v>0</v>
      </c>
      <c r="AP560">
        <v>-1</v>
      </c>
      <c r="AQ560">
        <v>-1</v>
      </c>
      <c r="AR560" t="s">
        <v>1068</v>
      </c>
      <c r="AS560">
        <v>9.2610334862917014</v>
      </c>
      <c r="AT560">
        <v>1.9090909090909089</v>
      </c>
      <c r="AU560">
        <v>2.545454545454545</v>
      </c>
      <c r="AV560">
        <v>0.54545454545454541</v>
      </c>
      <c r="AW560">
        <v>2.9090909090909092</v>
      </c>
      <c r="AX560">
        <v>0.2413793103448276</v>
      </c>
      <c r="AY560">
        <v>0.32183908045977011</v>
      </c>
      <c r="AZ560">
        <v>6.8965517241379309E-2</v>
      </c>
      <c r="BA560">
        <v>0.36781609195402298</v>
      </c>
      <c r="BB560">
        <v>5.9816624510454544</v>
      </c>
      <c r="BC560">
        <v>14</v>
      </c>
      <c r="BD560">
        <v>0</v>
      </c>
      <c r="BE560">
        <v>0</v>
      </c>
      <c r="BG560">
        <v>0</v>
      </c>
      <c r="BJ560">
        <v>0</v>
      </c>
      <c r="BK560">
        <v>0</v>
      </c>
      <c r="BM560">
        <v>0</v>
      </c>
      <c r="BP560">
        <v>163.0253881575</v>
      </c>
      <c r="BQ560">
        <v>1</v>
      </c>
      <c r="BR560">
        <v>8.5876194856683907E-2</v>
      </c>
      <c r="BS560">
        <v>3.8445</v>
      </c>
      <c r="BT560">
        <v>3.8445</v>
      </c>
      <c r="BU560">
        <v>11.03</v>
      </c>
      <c r="BX560">
        <v>7</v>
      </c>
      <c r="CB560">
        <v>4.2938097428341947E-2</v>
      </c>
      <c r="CE560">
        <v>0.53809297903977504</v>
      </c>
    </row>
    <row r="561" spans="1:84" x14ac:dyDescent="0.3">
      <c r="A561" s="1">
        <v>583</v>
      </c>
      <c r="B561" t="s">
        <v>554</v>
      </c>
      <c r="C561" t="s">
        <v>555</v>
      </c>
      <c r="E561" t="s">
        <v>94</v>
      </c>
      <c r="F561">
        <v>4.4000000000000004</v>
      </c>
      <c r="G561">
        <v>-1</v>
      </c>
      <c r="H561">
        <v>-1</v>
      </c>
      <c r="I561" t="s">
        <v>522</v>
      </c>
      <c r="J561">
        <v>1</v>
      </c>
      <c r="K561">
        <v>3.84</v>
      </c>
      <c r="L561">
        <v>3.84</v>
      </c>
      <c r="M561">
        <v>11.5395</v>
      </c>
      <c r="O561">
        <v>11.5395</v>
      </c>
      <c r="Q561" t="s">
        <v>87</v>
      </c>
      <c r="R561">
        <v>1373</v>
      </c>
      <c r="S561">
        <v>10</v>
      </c>
      <c r="T561" t="b">
        <v>0</v>
      </c>
      <c r="U561" t="s">
        <v>88</v>
      </c>
      <c r="V561" t="s">
        <v>89</v>
      </c>
      <c r="W561">
        <v>0</v>
      </c>
      <c r="X561">
        <v>2</v>
      </c>
      <c r="Y561">
        <v>0.5</v>
      </c>
      <c r="Z561">
        <v>0.1</v>
      </c>
      <c r="AC561" t="s">
        <v>90</v>
      </c>
      <c r="AD561">
        <v>125</v>
      </c>
      <c r="AE561">
        <v>220</v>
      </c>
      <c r="AF561" t="s">
        <v>91</v>
      </c>
      <c r="AG561">
        <v>288</v>
      </c>
      <c r="AH561">
        <v>7320</v>
      </c>
      <c r="AL561" t="b">
        <v>0</v>
      </c>
      <c r="AM561" t="b">
        <v>0</v>
      </c>
      <c r="AN561" t="b">
        <v>1</v>
      </c>
      <c r="AO561" t="b">
        <v>0</v>
      </c>
      <c r="AP561">
        <v>-1</v>
      </c>
      <c r="AQ561">
        <v>-1</v>
      </c>
      <c r="AR561" t="s">
        <v>522</v>
      </c>
      <c r="AS561">
        <v>8.8983656069553572</v>
      </c>
      <c r="AT561">
        <v>1.9090909090909089</v>
      </c>
      <c r="AU561">
        <v>2.545454545454545</v>
      </c>
      <c r="AV561">
        <v>0.54545454545454541</v>
      </c>
      <c r="AW561">
        <v>2.9090909090909092</v>
      </c>
      <c r="AX561">
        <v>0.2413793103448276</v>
      </c>
      <c r="AY561">
        <v>0.32183908045977011</v>
      </c>
      <c r="AZ561">
        <v>6.8965517241379309E-2</v>
      </c>
      <c r="BA561">
        <v>0.36781609195402298</v>
      </c>
      <c r="BB561">
        <v>5.9681378944740908</v>
      </c>
      <c r="BC561">
        <v>14</v>
      </c>
      <c r="BD561">
        <v>0</v>
      </c>
      <c r="BE561">
        <v>0</v>
      </c>
      <c r="BG561">
        <v>0</v>
      </c>
      <c r="BJ561">
        <v>0</v>
      </c>
      <c r="BK561">
        <v>0</v>
      </c>
      <c r="BM561">
        <v>0</v>
      </c>
      <c r="BP561">
        <v>171.98132883066</v>
      </c>
      <c r="BQ561">
        <v>1</v>
      </c>
      <c r="BR561">
        <v>8.1404185531005993E-2</v>
      </c>
      <c r="BS561">
        <v>3.8898000000000001</v>
      </c>
      <c r="BT561">
        <v>3.8898000000000001</v>
      </c>
      <c r="BU561">
        <v>11.3665</v>
      </c>
      <c r="BV561">
        <v>170.15685120000001</v>
      </c>
      <c r="BW561">
        <v>8.2277027937855962E-2</v>
      </c>
      <c r="BX561">
        <v>7</v>
      </c>
      <c r="BY561">
        <v>4.1138513968927981E-2</v>
      </c>
      <c r="CB561">
        <v>4.0702092765502997E-2</v>
      </c>
      <c r="CE561">
        <v>0.54308506712305693</v>
      </c>
      <c r="CF561">
        <v>0.5489082035382159</v>
      </c>
    </row>
    <row r="562" spans="1:84" x14ac:dyDescent="0.3">
      <c r="A562" s="1">
        <v>589</v>
      </c>
      <c r="B562" t="s">
        <v>1054</v>
      </c>
      <c r="C562" t="s">
        <v>1055</v>
      </c>
      <c r="E562" t="s">
        <v>404</v>
      </c>
      <c r="F562">
        <v>3.44</v>
      </c>
      <c r="G562" t="s">
        <v>405</v>
      </c>
      <c r="H562">
        <v>-1</v>
      </c>
      <c r="I562">
        <v>-1</v>
      </c>
      <c r="J562">
        <v>2</v>
      </c>
      <c r="K562">
        <v>3.79</v>
      </c>
      <c r="L562">
        <v>3.79</v>
      </c>
      <c r="M562">
        <v>27.2</v>
      </c>
      <c r="N562" t="s">
        <v>529</v>
      </c>
      <c r="O562">
        <v>13.6</v>
      </c>
      <c r="Q562" t="s">
        <v>87</v>
      </c>
      <c r="R562">
        <v>1373</v>
      </c>
      <c r="S562">
        <v>12</v>
      </c>
      <c r="T562" t="b">
        <v>0</v>
      </c>
      <c r="U562" t="s">
        <v>88</v>
      </c>
      <c r="V562" t="s">
        <v>89</v>
      </c>
      <c r="W562">
        <v>0</v>
      </c>
      <c r="X562">
        <v>3.24</v>
      </c>
      <c r="Y562">
        <v>0.5</v>
      </c>
      <c r="Z562">
        <v>1</v>
      </c>
      <c r="AC562" t="s">
        <v>90</v>
      </c>
      <c r="AD562">
        <v>125</v>
      </c>
      <c r="AE562">
        <v>220</v>
      </c>
      <c r="AF562" t="s">
        <v>91</v>
      </c>
      <c r="AG562">
        <v>288</v>
      </c>
      <c r="AH562">
        <v>50.8</v>
      </c>
      <c r="AI562" t="s">
        <v>136</v>
      </c>
      <c r="AL562" t="b">
        <v>1</v>
      </c>
      <c r="AM562" t="b">
        <v>0</v>
      </c>
      <c r="AN562" t="b">
        <v>0</v>
      </c>
      <c r="AO562" t="b">
        <v>0</v>
      </c>
      <c r="AP562" t="s">
        <v>1069</v>
      </c>
      <c r="AQ562">
        <v>-1</v>
      </c>
      <c r="AS562">
        <v>3.9278963545844361</v>
      </c>
      <c r="AT562">
        <v>1.882352941176471</v>
      </c>
      <c r="AU562">
        <v>2.3529411764705879</v>
      </c>
      <c r="AV562">
        <v>0.47058823529411759</v>
      </c>
      <c r="AW562">
        <v>0</v>
      </c>
      <c r="AX562">
        <v>0.4</v>
      </c>
      <c r="AY562">
        <v>0.5</v>
      </c>
      <c r="AZ562">
        <v>9.9999999999999992E-2</v>
      </c>
      <c r="BA562">
        <v>0</v>
      </c>
      <c r="BB562">
        <v>6.249318434394235</v>
      </c>
      <c r="BC562">
        <v>20</v>
      </c>
      <c r="BD562">
        <v>229.90248606119221</v>
      </c>
      <c r="BE562">
        <v>1</v>
      </c>
      <c r="BF562">
        <v>8.6993404650164072E-2</v>
      </c>
      <c r="BG562">
        <v>15.28115725</v>
      </c>
      <c r="BH562">
        <v>15.28115725</v>
      </c>
      <c r="BI562">
        <v>15.28115725</v>
      </c>
      <c r="BJ562">
        <v>0</v>
      </c>
      <c r="BK562">
        <v>0</v>
      </c>
      <c r="BM562">
        <v>0</v>
      </c>
      <c r="BP562">
        <v>0</v>
      </c>
      <c r="BQ562">
        <v>0</v>
      </c>
      <c r="BS562">
        <v>0</v>
      </c>
      <c r="BT562">
        <v>0</v>
      </c>
      <c r="BU562">
        <v>0</v>
      </c>
      <c r="BV562">
        <v>390.70352000000003</v>
      </c>
      <c r="BW562">
        <v>0.10237942058981191</v>
      </c>
      <c r="BX562">
        <v>10</v>
      </c>
      <c r="BY562">
        <v>5.1189710294905967E-2</v>
      </c>
      <c r="BZ562">
        <v>4.3496702325082043E-2</v>
      </c>
      <c r="CC562">
        <v>0.44572942494581569</v>
      </c>
      <c r="CF562">
        <v>0.52456298784136168</v>
      </c>
    </row>
    <row r="563" spans="1:84" x14ac:dyDescent="0.3">
      <c r="A563" s="1">
        <v>590</v>
      </c>
      <c r="B563" t="s">
        <v>1070</v>
      </c>
      <c r="C563" t="s">
        <v>1071</v>
      </c>
      <c r="E563" t="s">
        <v>404</v>
      </c>
      <c r="F563">
        <v>3.34</v>
      </c>
      <c r="G563" t="s">
        <v>1072</v>
      </c>
      <c r="H563">
        <v>-1</v>
      </c>
      <c r="I563">
        <v>-1</v>
      </c>
      <c r="J563">
        <v>2</v>
      </c>
      <c r="K563">
        <v>3.83</v>
      </c>
      <c r="L563">
        <v>3.83</v>
      </c>
      <c r="M563">
        <v>36.700000000000003</v>
      </c>
      <c r="N563" t="s">
        <v>529</v>
      </c>
      <c r="O563">
        <v>18.350000000000001</v>
      </c>
      <c r="Q563" t="s">
        <v>87</v>
      </c>
      <c r="R563">
        <v>1373</v>
      </c>
      <c r="S563">
        <v>12</v>
      </c>
      <c r="T563" t="b">
        <v>0</v>
      </c>
      <c r="U563" t="s">
        <v>88</v>
      </c>
      <c r="V563" t="s">
        <v>89</v>
      </c>
      <c r="W563">
        <v>0</v>
      </c>
      <c r="X563">
        <v>3.88</v>
      </c>
      <c r="Y563">
        <v>0.5</v>
      </c>
      <c r="Z563">
        <v>1</v>
      </c>
      <c r="AC563" t="s">
        <v>90</v>
      </c>
      <c r="AD563">
        <v>125</v>
      </c>
      <c r="AE563">
        <v>220</v>
      </c>
      <c r="AF563" t="s">
        <v>91</v>
      </c>
      <c r="AG563">
        <v>288</v>
      </c>
      <c r="AH563">
        <v>3276</v>
      </c>
      <c r="AI563" t="s">
        <v>136</v>
      </c>
      <c r="AL563" t="b">
        <v>1</v>
      </c>
      <c r="AM563" t="b">
        <v>0</v>
      </c>
      <c r="AN563" t="b">
        <v>0</v>
      </c>
      <c r="AO563" t="b">
        <v>0</v>
      </c>
      <c r="AP563" t="s">
        <v>1073</v>
      </c>
      <c r="AQ563">
        <v>-1</v>
      </c>
      <c r="AS563">
        <v>8.0943784449729606</v>
      </c>
      <c r="AT563">
        <v>1.612903225806452</v>
      </c>
      <c r="AU563">
        <v>1.612903225806452</v>
      </c>
      <c r="AV563">
        <v>0.25806451612903231</v>
      </c>
      <c r="AW563">
        <v>0</v>
      </c>
      <c r="AX563">
        <v>0.46296296296296291</v>
      </c>
      <c r="AY563">
        <v>0.46296296296296291</v>
      </c>
      <c r="AZ563">
        <v>7.407407407407407E-2</v>
      </c>
      <c r="BA563">
        <v>0</v>
      </c>
      <c r="BB563">
        <v>6.6125194498132904</v>
      </c>
      <c r="BC563">
        <v>20</v>
      </c>
      <c r="BD563">
        <v>442.10225086560899</v>
      </c>
      <c r="BE563">
        <v>2</v>
      </c>
      <c r="BF563">
        <v>9.0476806941567164E-2</v>
      </c>
      <c r="BG563">
        <v>3.8530000000000002</v>
      </c>
      <c r="BH563">
        <v>3.8530000000000002</v>
      </c>
      <c r="BI563">
        <v>29.780000999999999</v>
      </c>
      <c r="BJ563">
        <v>0</v>
      </c>
      <c r="BK563">
        <v>0</v>
      </c>
      <c r="BM563">
        <v>0</v>
      </c>
      <c r="BP563">
        <v>0</v>
      </c>
      <c r="BQ563">
        <v>0</v>
      </c>
      <c r="BS563">
        <v>0</v>
      </c>
      <c r="BT563">
        <v>0</v>
      </c>
      <c r="BU563">
        <v>0</v>
      </c>
      <c r="BV563">
        <v>538.34863000000007</v>
      </c>
      <c r="BW563">
        <v>7.4301294311829108E-2</v>
      </c>
      <c r="BX563">
        <v>10</v>
      </c>
      <c r="BY563">
        <v>3.7150647155914547E-2</v>
      </c>
      <c r="BZ563">
        <v>4.5238403470783582E-2</v>
      </c>
      <c r="CC563">
        <v>0.55176828120906396</v>
      </c>
      <c r="CF563">
        <v>0.45312272658476987</v>
      </c>
    </row>
    <row r="564" spans="1:84" x14ac:dyDescent="0.3">
      <c r="A564" s="1">
        <v>591</v>
      </c>
      <c r="B564" t="s">
        <v>1074</v>
      </c>
      <c r="C564" t="s">
        <v>1075</v>
      </c>
      <c r="E564" t="s">
        <v>404</v>
      </c>
      <c r="F564">
        <v>3.39</v>
      </c>
      <c r="G564" t="s">
        <v>1076</v>
      </c>
      <c r="H564">
        <v>-1</v>
      </c>
      <c r="I564">
        <v>-1</v>
      </c>
      <c r="J564">
        <v>1</v>
      </c>
      <c r="K564">
        <v>3.82</v>
      </c>
      <c r="L564">
        <v>3.82</v>
      </c>
      <c r="M564">
        <v>20.2</v>
      </c>
      <c r="N564" t="s">
        <v>529</v>
      </c>
      <c r="O564">
        <v>20.2</v>
      </c>
      <c r="Q564" t="s">
        <v>87</v>
      </c>
      <c r="R564">
        <v>1373</v>
      </c>
      <c r="S564">
        <v>12</v>
      </c>
      <c r="T564" t="b">
        <v>0</v>
      </c>
      <c r="U564" t="s">
        <v>88</v>
      </c>
      <c r="V564" t="s">
        <v>89</v>
      </c>
      <c r="W564">
        <v>0</v>
      </c>
      <c r="Y564">
        <v>0.5</v>
      </c>
      <c r="Z564">
        <v>1</v>
      </c>
      <c r="AC564" t="s">
        <v>90</v>
      </c>
      <c r="AD564">
        <v>125</v>
      </c>
      <c r="AE564">
        <v>220</v>
      </c>
      <c r="AF564" t="s">
        <v>91</v>
      </c>
      <c r="AG564">
        <v>288</v>
      </c>
      <c r="AH564">
        <v>2464</v>
      </c>
      <c r="AI564" t="s">
        <v>136</v>
      </c>
      <c r="AL564" t="b">
        <v>1</v>
      </c>
      <c r="AM564" t="b">
        <v>0</v>
      </c>
      <c r="AN564" t="b">
        <v>0</v>
      </c>
      <c r="AO564" t="b">
        <v>0</v>
      </c>
      <c r="AP564" t="s">
        <v>1077</v>
      </c>
      <c r="AQ564">
        <v>-1</v>
      </c>
      <c r="AS564">
        <v>7.8095413246534102</v>
      </c>
      <c r="AT564">
        <v>1.567567567567568</v>
      </c>
      <c r="AU564">
        <v>1.459459459459459</v>
      </c>
      <c r="AV564">
        <v>0.2162162162162162</v>
      </c>
      <c r="AW564">
        <v>0</v>
      </c>
      <c r="AX564">
        <v>0.48333333333333328</v>
      </c>
      <c r="AY564">
        <v>0.45</v>
      </c>
      <c r="AZ564">
        <v>6.6666666666666666E-2</v>
      </c>
      <c r="BA564">
        <v>0</v>
      </c>
      <c r="BB564">
        <v>6.6544803549896221</v>
      </c>
      <c r="BC564">
        <v>20</v>
      </c>
      <c r="BD564">
        <v>599.76260360000003</v>
      </c>
      <c r="BE564">
        <v>2</v>
      </c>
      <c r="BF564">
        <v>6.6693054485066267E-2</v>
      </c>
      <c r="BG564">
        <v>3.8530000000000002</v>
      </c>
      <c r="BH564">
        <v>3.8530000000000002</v>
      </c>
      <c r="BI564">
        <v>40.4</v>
      </c>
      <c r="BJ564">
        <v>0</v>
      </c>
      <c r="BK564">
        <v>0</v>
      </c>
      <c r="BM564">
        <v>0</v>
      </c>
      <c r="BP564">
        <v>0</v>
      </c>
      <c r="BQ564">
        <v>0</v>
      </c>
      <c r="BS564">
        <v>0</v>
      </c>
      <c r="BT564">
        <v>0</v>
      </c>
      <c r="BU564">
        <v>0</v>
      </c>
      <c r="BV564">
        <v>294.76648</v>
      </c>
      <c r="BW564">
        <v>6.7850320022819419E-2</v>
      </c>
      <c r="BX564">
        <v>10</v>
      </c>
      <c r="BY564">
        <v>3.3925160011409709E-2</v>
      </c>
      <c r="BZ564">
        <v>3.3346527242533133E-2</v>
      </c>
      <c r="CC564">
        <v>0.40747898424566847</v>
      </c>
      <c r="CF564">
        <v>0.41454960635867683</v>
      </c>
    </row>
    <row r="565" spans="1:84" x14ac:dyDescent="0.3">
      <c r="A565" s="1">
        <v>592</v>
      </c>
      <c r="B565" t="s">
        <v>1078</v>
      </c>
      <c r="C565" t="s">
        <v>1079</v>
      </c>
      <c r="E565" t="s">
        <v>404</v>
      </c>
      <c r="F565">
        <v>3.42</v>
      </c>
      <c r="G565" t="s">
        <v>1080</v>
      </c>
      <c r="H565">
        <v>-1</v>
      </c>
      <c r="I565">
        <v>-1</v>
      </c>
      <c r="J565">
        <v>1</v>
      </c>
      <c r="K565">
        <v>3.81</v>
      </c>
      <c r="L565">
        <v>3.81</v>
      </c>
      <c r="M565">
        <v>24.7</v>
      </c>
      <c r="N565" t="s">
        <v>529</v>
      </c>
      <c r="O565">
        <v>24.7</v>
      </c>
      <c r="Q565" t="s">
        <v>87</v>
      </c>
      <c r="R565">
        <v>1373</v>
      </c>
      <c r="S565">
        <v>12</v>
      </c>
      <c r="T565" t="b">
        <v>0</v>
      </c>
      <c r="U565" t="s">
        <v>88</v>
      </c>
      <c r="V565" t="s">
        <v>89</v>
      </c>
      <c r="W565">
        <v>0</v>
      </c>
      <c r="X565">
        <v>4.09</v>
      </c>
      <c r="Y565">
        <v>0.5</v>
      </c>
      <c r="Z565">
        <v>1</v>
      </c>
      <c r="AC565" t="s">
        <v>90</v>
      </c>
      <c r="AD565">
        <v>125</v>
      </c>
      <c r="AE565">
        <v>220</v>
      </c>
      <c r="AF565" t="s">
        <v>91</v>
      </c>
      <c r="AG565">
        <v>288</v>
      </c>
      <c r="AH565">
        <v>2892</v>
      </c>
      <c r="AI565" t="s">
        <v>136</v>
      </c>
      <c r="AL565" t="b">
        <v>1</v>
      </c>
      <c r="AM565" t="b">
        <v>0</v>
      </c>
      <c r="AN565" t="b">
        <v>0</v>
      </c>
      <c r="AO565" t="b">
        <v>0</v>
      </c>
      <c r="AP565" t="s">
        <v>1081</v>
      </c>
      <c r="AQ565">
        <v>-1</v>
      </c>
      <c r="AS565">
        <v>7.9697035832786556</v>
      </c>
      <c r="AT565">
        <v>1.510204081632653</v>
      </c>
      <c r="AU565">
        <v>1.2653061224489801</v>
      </c>
      <c r="AV565">
        <v>0.16326530612244899</v>
      </c>
      <c r="AW565">
        <v>0</v>
      </c>
      <c r="AX565">
        <v>0.51388888888888884</v>
      </c>
      <c r="AY565">
        <v>0.43055555555555558</v>
      </c>
      <c r="AZ565">
        <v>5.5555555555555552E-2</v>
      </c>
      <c r="BA565">
        <v>0</v>
      </c>
      <c r="BB565">
        <v>6.7075737452127342</v>
      </c>
      <c r="BC565">
        <v>20</v>
      </c>
      <c r="BD565">
        <v>733.37308460000008</v>
      </c>
      <c r="BE565">
        <v>2</v>
      </c>
      <c r="BF565">
        <v>5.4542497999932729E-2</v>
      </c>
      <c r="BG565">
        <v>3.8530000000000002</v>
      </c>
      <c r="BH565">
        <v>3.8530000000000002</v>
      </c>
      <c r="BI565">
        <v>49.4</v>
      </c>
      <c r="BJ565">
        <v>0</v>
      </c>
      <c r="BK565">
        <v>0</v>
      </c>
      <c r="BM565">
        <v>0</v>
      </c>
      <c r="BP565">
        <v>0</v>
      </c>
      <c r="BQ565">
        <v>0</v>
      </c>
      <c r="BS565">
        <v>0</v>
      </c>
      <c r="BT565">
        <v>0</v>
      </c>
      <c r="BU565">
        <v>0</v>
      </c>
      <c r="BV565">
        <v>358.54766999999998</v>
      </c>
      <c r="BW565">
        <v>5.5780588394285201E-2</v>
      </c>
      <c r="BX565">
        <v>10</v>
      </c>
      <c r="BY565">
        <v>2.78902941971426E-2</v>
      </c>
      <c r="BZ565">
        <v>2.7271248999966361E-2</v>
      </c>
      <c r="CC565">
        <v>0.33447637567260352</v>
      </c>
      <c r="CF565">
        <v>0.34206884032023638</v>
      </c>
    </row>
    <row r="566" spans="1:84" x14ac:dyDescent="0.3">
      <c r="A566" s="1">
        <v>593</v>
      </c>
      <c r="B566" t="s">
        <v>1082</v>
      </c>
      <c r="C566" t="s">
        <v>1083</v>
      </c>
      <c r="E566" t="s">
        <v>404</v>
      </c>
      <c r="F566">
        <v>3.41</v>
      </c>
      <c r="G566" t="s">
        <v>1084</v>
      </c>
      <c r="H566">
        <v>-1</v>
      </c>
      <c r="I566">
        <v>-1</v>
      </c>
      <c r="J566">
        <v>1</v>
      </c>
      <c r="K566">
        <v>3.87</v>
      </c>
      <c r="L566">
        <v>3.87</v>
      </c>
      <c r="M566">
        <v>29.4</v>
      </c>
      <c r="N566" t="s">
        <v>529</v>
      </c>
      <c r="O566">
        <v>29.4</v>
      </c>
      <c r="Q566" t="s">
        <v>87</v>
      </c>
      <c r="R566">
        <v>1373</v>
      </c>
      <c r="S566">
        <v>12</v>
      </c>
      <c r="T566" t="b">
        <v>0</v>
      </c>
      <c r="U566" t="s">
        <v>88</v>
      </c>
      <c r="V566" t="s">
        <v>89</v>
      </c>
      <c r="W566">
        <v>0</v>
      </c>
      <c r="Y566">
        <v>0.5</v>
      </c>
      <c r="Z566">
        <v>1</v>
      </c>
      <c r="AC566" t="s">
        <v>90</v>
      </c>
      <c r="AD566">
        <v>125</v>
      </c>
      <c r="AE566">
        <v>220</v>
      </c>
      <c r="AF566" t="s">
        <v>91</v>
      </c>
      <c r="AG566">
        <v>288</v>
      </c>
      <c r="AH566">
        <v>2152</v>
      </c>
      <c r="AI566" t="s">
        <v>136</v>
      </c>
      <c r="AL566" t="b">
        <v>1</v>
      </c>
      <c r="AM566" t="b">
        <v>0</v>
      </c>
      <c r="AN566" t="b">
        <v>0</v>
      </c>
      <c r="AO566" t="b">
        <v>0</v>
      </c>
      <c r="AP566" t="s">
        <v>1085</v>
      </c>
      <c r="AQ566">
        <v>-1</v>
      </c>
      <c r="AS566">
        <v>7.6741529212816753</v>
      </c>
      <c r="AT566">
        <v>1.4754098360655741</v>
      </c>
      <c r="AU566">
        <v>1.1475409836065571</v>
      </c>
      <c r="AV566">
        <v>0.13114754098360659</v>
      </c>
      <c r="AW566">
        <v>0</v>
      </c>
      <c r="AX566">
        <v>0.53571428571428581</v>
      </c>
      <c r="AY566">
        <v>0.41666666666666657</v>
      </c>
      <c r="AZ566">
        <v>4.7619047619047623E-2</v>
      </c>
      <c r="BA566">
        <v>0</v>
      </c>
      <c r="BB566">
        <v>6.7397779327251151</v>
      </c>
      <c r="BC566">
        <v>20</v>
      </c>
      <c r="BD566">
        <v>872.92180919999998</v>
      </c>
      <c r="BE566">
        <v>2</v>
      </c>
      <c r="BF566">
        <v>4.5823119067970701E-2</v>
      </c>
      <c r="BG566">
        <v>3.8530000000000002</v>
      </c>
      <c r="BH566">
        <v>3.8530000000000002</v>
      </c>
      <c r="BI566">
        <v>58.8</v>
      </c>
      <c r="BJ566">
        <v>0</v>
      </c>
      <c r="BK566">
        <v>0</v>
      </c>
      <c r="BM566">
        <v>0</v>
      </c>
      <c r="BP566">
        <v>0</v>
      </c>
      <c r="BQ566">
        <v>0</v>
      </c>
      <c r="BS566">
        <v>0</v>
      </c>
      <c r="BT566">
        <v>0</v>
      </c>
      <c r="BU566">
        <v>0</v>
      </c>
      <c r="BV566">
        <v>440.32085999999998</v>
      </c>
      <c r="BW566">
        <v>4.5421422914190351E-2</v>
      </c>
      <c r="BX566">
        <v>10</v>
      </c>
      <c r="BY566">
        <v>2.2710711457095179E-2</v>
      </c>
      <c r="BZ566">
        <v>2.291155953398535E-2</v>
      </c>
      <c r="CC566">
        <v>0.28204277130830302</v>
      </c>
      <c r="CF566">
        <v>0.2795703185652228</v>
      </c>
    </row>
    <row r="567" spans="1:84" x14ac:dyDescent="0.3">
      <c r="A567" s="1">
        <v>594</v>
      </c>
      <c r="B567" t="s">
        <v>1086</v>
      </c>
      <c r="C567" t="s">
        <v>1087</v>
      </c>
      <c r="E567" t="s">
        <v>404</v>
      </c>
      <c r="F567">
        <v>3.4</v>
      </c>
      <c r="G567" t="s">
        <v>1088</v>
      </c>
      <c r="H567">
        <v>-1</v>
      </c>
      <c r="I567">
        <v>-1</v>
      </c>
      <c r="J567">
        <v>1</v>
      </c>
      <c r="K567">
        <v>3.85</v>
      </c>
      <c r="L567">
        <v>3.85</v>
      </c>
      <c r="M567">
        <v>34.200000000000003</v>
      </c>
      <c r="N567" t="s">
        <v>529</v>
      </c>
      <c r="O567">
        <v>34.200000000000003</v>
      </c>
      <c r="Q567" t="s">
        <v>87</v>
      </c>
      <c r="R567">
        <v>1373</v>
      </c>
      <c r="S567">
        <v>12</v>
      </c>
      <c r="T567" t="b">
        <v>0</v>
      </c>
      <c r="U567" t="s">
        <v>88</v>
      </c>
      <c r="V567" t="s">
        <v>89</v>
      </c>
      <c r="W567">
        <v>0</v>
      </c>
      <c r="X567">
        <v>4.38</v>
      </c>
      <c r="Y567">
        <v>0.5</v>
      </c>
      <c r="Z567">
        <v>1</v>
      </c>
      <c r="AC567" t="s">
        <v>90</v>
      </c>
      <c r="AD567">
        <v>125</v>
      </c>
      <c r="AE567">
        <v>220</v>
      </c>
      <c r="AF567" t="s">
        <v>91</v>
      </c>
      <c r="AG567">
        <v>288</v>
      </c>
      <c r="AH567">
        <v>5960</v>
      </c>
      <c r="AI567" t="s">
        <v>136</v>
      </c>
      <c r="AL567" t="b">
        <v>1</v>
      </c>
      <c r="AM567" t="b">
        <v>0</v>
      </c>
      <c r="AN567" t="b">
        <v>0</v>
      </c>
      <c r="AO567" t="b">
        <v>0</v>
      </c>
      <c r="AP567" t="s">
        <v>1089</v>
      </c>
      <c r="AQ567">
        <v>-1</v>
      </c>
      <c r="AS567">
        <v>8.6928257600593959</v>
      </c>
      <c r="AT567">
        <v>1.452054794520548</v>
      </c>
      <c r="AU567">
        <v>1.068493150684932</v>
      </c>
      <c r="AV567">
        <v>0.1095890410958904</v>
      </c>
      <c r="AW567">
        <v>0</v>
      </c>
      <c r="AX567">
        <v>0.55208333333333337</v>
      </c>
      <c r="AY567">
        <v>0.40625000000000011</v>
      </c>
      <c r="AZ567">
        <v>4.1666666666666657E-2</v>
      </c>
      <c r="BA567">
        <v>0</v>
      </c>
      <c r="BB567">
        <v>6.7613944421512322</v>
      </c>
      <c r="BC567">
        <v>20</v>
      </c>
      <c r="BD567">
        <v>1015.4396556</v>
      </c>
      <c r="BE567">
        <v>2</v>
      </c>
      <c r="BF567">
        <v>3.9391804111062523E-2</v>
      </c>
      <c r="BG567">
        <v>3.8530000000000002</v>
      </c>
      <c r="BH567">
        <v>3.8530000000000002</v>
      </c>
      <c r="BI567">
        <v>68.400000000000006</v>
      </c>
      <c r="BJ567">
        <v>0</v>
      </c>
      <c r="BK567">
        <v>0</v>
      </c>
      <c r="BM567">
        <v>0</v>
      </c>
      <c r="BP567">
        <v>0</v>
      </c>
      <c r="BQ567">
        <v>0</v>
      </c>
      <c r="BS567">
        <v>0</v>
      </c>
      <c r="BT567">
        <v>0</v>
      </c>
      <c r="BU567">
        <v>0</v>
      </c>
      <c r="BV567">
        <v>506.92950000000008</v>
      </c>
      <c r="BW567">
        <v>3.9453217853764669E-2</v>
      </c>
      <c r="BX567">
        <v>10</v>
      </c>
      <c r="BY567">
        <v>1.9726608926882331E-2</v>
      </c>
      <c r="BZ567">
        <v>1.9695902055531261E-2</v>
      </c>
      <c r="CC567">
        <v>0.2433493705793833</v>
      </c>
      <c r="CF567">
        <v>0.2437287641098079</v>
      </c>
    </row>
    <row r="568" spans="1:84" x14ac:dyDescent="0.3">
      <c r="A568" s="1">
        <v>595</v>
      </c>
      <c r="B568" t="s">
        <v>1090</v>
      </c>
      <c r="C568" t="s">
        <v>1091</v>
      </c>
      <c r="E568" t="s">
        <v>404</v>
      </c>
      <c r="F568">
        <v>3.33</v>
      </c>
      <c r="G568" t="s">
        <v>1092</v>
      </c>
      <c r="H568">
        <v>-1</v>
      </c>
      <c r="I568">
        <v>-1</v>
      </c>
      <c r="J568">
        <v>2</v>
      </c>
      <c r="K568">
        <v>3.81</v>
      </c>
      <c r="L568">
        <v>3.81</v>
      </c>
      <c r="M568">
        <v>35.1</v>
      </c>
      <c r="N568" t="s">
        <v>529</v>
      </c>
      <c r="O568">
        <v>17.55</v>
      </c>
      <c r="Q568" t="s">
        <v>87</v>
      </c>
      <c r="R568">
        <v>1373</v>
      </c>
      <c r="S568">
        <v>12</v>
      </c>
      <c r="T568" t="b">
        <v>0</v>
      </c>
      <c r="U568" t="s">
        <v>88</v>
      </c>
      <c r="V568" t="s">
        <v>89</v>
      </c>
      <c r="W568">
        <v>0</v>
      </c>
      <c r="X568">
        <v>5.73</v>
      </c>
      <c r="Y568">
        <v>0.5</v>
      </c>
      <c r="Z568">
        <v>1</v>
      </c>
      <c r="AC568" t="s">
        <v>90</v>
      </c>
      <c r="AD568">
        <v>125</v>
      </c>
      <c r="AE568">
        <v>220</v>
      </c>
      <c r="AF568" t="s">
        <v>91</v>
      </c>
      <c r="AG568">
        <v>288</v>
      </c>
      <c r="AH568">
        <v>3712</v>
      </c>
      <c r="AI568" t="s">
        <v>136</v>
      </c>
      <c r="AL568" t="b">
        <v>1</v>
      </c>
      <c r="AM568" t="b">
        <v>0</v>
      </c>
      <c r="AN568" t="b">
        <v>0</v>
      </c>
      <c r="AO568" t="b">
        <v>0</v>
      </c>
      <c r="AP568" t="s">
        <v>1093</v>
      </c>
      <c r="AQ568">
        <v>-1</v>
      </c>
      <c r="AS568">
        <v>8.2193260939060906</v>
      </c>
      <c r="AT568">
        <v>1.655172413793103</v>
      </c>
      <c r="AU568">
        <v>1.7931034482758621</v>
      </c>
      <c r="AV568">
        <v>0.27586206896551718</v>
      </c>
      <c r="AW568">
        <v>0</v>
      </c>
      <c r="AX568">
        <v>0.44444444444444448</v>
      </c>
      <c r="AY568">
        <v>0.48148148148148151</v>
      </c>
      <c r="AZ568">
        <v>7.407407407407407E-2</v>
      </c>
      <c r="BA568">
        <v>0</v>
      </c>
      <c r="BB568">
        <v>6.5948452115003446</v>
      </c>
      <c r="BC568">
        <v>24</v>
      </c>
      <c r="BD568">
        <v>442.10225086560899</v>
      </c>
      <c r="BE568">
        <v>2</v>
      </c>
      <c r="BF568">
        <v>0.10857216832988061</v>
      </c>
      <c r="BG568">
        <v>3.8530000000000002</v>
      </c>
      <c r="BH568">
        <v>3.8530000000000002</v>
      </c>
      <c r="BI568">
        <v>29.780000999999999</v>
      </c>
      <c r="BJ568">
        <v>0</v>
      </c>
      <c r="BK568">
        <v>0</v>
      </c>
      <c r="BM568">
        <v>0</v>
      </c>
      <c r="BP568">
        <v>0</v>
      </c>
      <c r="BQ568">
        <v>0</v>
      </c>
      <c r="BS568">
        <v>0</v>
      </c>
      <c r="BT568">
        <v>0</v>
      </c>
      <c r="BU568">
        <v>0</v>
      </c>
      <c r="BV568">
        <v>509.51510999999999</v>
      </c>
      <c r="BW568">
        <v>9.4207215954792783E-2</v>
      </c>
      <c r="BX568">
        <v>12</v>
      </c>
      <c r="BY568">
        <v>4.7103607977396392E-2</v>
      </c>
      <c r="BZ568">
        <v>5.4286084164940303E-2</v>
      </c>
      <c r="CC568">
        <v>0.5404137898632555</v>
      </c>
      <c r="CF568">
        <v>0.46891279219836968</v>
      </c>
    </row>
    <row r="569" spans="1:84" x14ac:dyDescent="0.3">
      <c r="A569" s="1">
        <v>596</v>
      </c>
      <c r="B569" t="s">
        <v>1094</v>
      </c>
      <c r="C569" t="s">
        <v>1095</v>
      </c>
      <c r="E569" t="s">
        <v>404</v>
      </c>
      <c r="F569">
        <v>3.41</v>
      </c>
      <c r="G569" t="s">
        <v>1096</v>
      </c>
      <c r="H569">
        <v>-1</v>
      </c>
      <c r="I569">
        <v>-1</v>
      </c>
      <c r="J569">
        <v>2</v>
      </c>
      <c r="K569">
        <v>3.83</v>
      </c>
      <c r="L569">
        <v>3.83</v>
      </c>
      <c r="M569">
        <v>39.5</v>
      </c>
      <c r="N569" t="s">
        <v>529</v>
      </c>
      <c r="O569">
        <v>19.75</v>
      </c>
      <c r="Q569" t="s">
        <v>87</v>
      </c>
      <c r="R569">
        <v>1373</v>
      </c>
      <c r="S569">
        <v>12</v>
      </c>
      <c r="T569" t="b">
        <v>0</v>
      </c>
      <c r="U569" t="s">
        <v>88</v>
      </c>
      <c r="V569" t="s">
        <v>89</v>
      </c>
      <c r="W569">
        <v>0</v>
      </c>
      <c r="Y569">
        <v>0.5</v>
      </c>
      <c r="Z569">
        <v>1</v>
      </c>
      <c r="AC569" t="s">
        <v>90</v>
      </c>
      <c r="AD569">
        <v>125</v>
      </c>
      <c r="AE569">
        <v>220</v>
      </c>
      <c r="AF569" t="s">
        <v>91</v>
      </c>
      <c r="AG569">
        <v>288</v>
      </c>
      <c r="AH569">
        <v>3140</v>
      </c>
      <c r="AI569" t="s">
        <v>136</v>
      </c>
      <c r="AL569" t="b">
        <v>1</v>
      </c>
      <c r="AM569" t="b">
        <v>0</v>
      </c>
      <c r="AN569" t="b">
        <v>0</v>
      </c>
      <c r="AO569" t="b">
        <v>0</v>
      </c>
      <c r="AP569" t="s">
        <v>1097</v>
      </c>
      <c r="AQ569">
        <v>-1</v>
      </c>
      <c r="AS569">
        <v>8.0519780789022999</v>
      </c>
      <c r="AT569">
        <v>1.6</v>
      </c>
      <c r="AU569">
        <v>1.6</v>
      </c>
      <c r="AV569">
        <v>0.22857142857142859</v>
      </c>
      <c r="AW569">
        <v>0</v>
      </c>
      <c r="AX569">
        <v>0.46666666666666667</v>
      </c>
      <c r="AY569">
        <v>0.46666666666666667</v>
      </c>
      <c r="AZ569">
        <v>6.6666666666666666E-2</v>
      </c>
      <c r="BA569">
        <v>0</v>
      </c>
      <c r="BB569">
        <v>6.6422337521118289</v>
      </c>
      <c r="BC569">
        <v>24</v>
      </c>
      <c r="BD569">
        <v>599.76260360000003</v>
      </c>
      <c r="BE569">
        <v>2</v>
      </c>
      <c r="BF569">
        <v>8.0031665382079509E-2</v>
      </c>
      <c r="BG569">
        <v>3.8530000000000002</v>
      </c>
      <c r="BH569">
        <v>3.8530000000000002</v>
      </c>
      <c r="BI569">
        <v>40.4</v>
      </c>
      <c r="BJ569">
        <v>0</v>
      </c>
      <c r="BK569">
        <v>0</v>
      </c>
      <c r="BM569">
        <v>0</v>
      </c>
      <c r="BP569">
        <v>0</v>
      </c>
      <c r="BQ569">
        <v>0</v>
      </c>
      <c r="BS569">
        <v>0</v>
      </c>
      <c r="BT569">
        <v>0</v>
      </c>
      <c r="BU569">
        <v>0</v>
      </c>
      <c r="BV569">
        <v>579.42155000000002</v>
      </c>
      <c r="BW569">
        <v>8.2841240544125422E-2</v>
      </c>
      <c r="BX569">
        <v>12</v>
      </c>
      <c r="BY569">
        <v>4.1420620272062711E-2</v>
      </c>
      <c r="BZ569">
        <v>4.0015832691039747E-2</v>
      </c>
      <c r="CC569">
        <v>0.3991092623735728</v>
      </c>
      <c r="CF569">
        <v>0.41312030994023191</v>
      </c>
    </row>
    <row r="570" spans="1:84" x14ac:dyDescent="0.3">
      <c r="A570" s="1">
        <v>597</v>
      </c>
      <c r="B570" t="s">
        <v>1098</v>
      </c>
      <c r="C570" t="s">
        <v>1099</v>
      </c>
      <c r="E570" t="s">
        <v>404</v>
      </c>
      <c r="F570">
        <v>3.4</v>
      </c>
      <c r="G570" t="s">
        <v>1100</v>
      </c>
      <c r="H570">
        <v>-1</v>
      </c>
      <c r="I570">
        <v>-1</v>
      </c>
      <c r="J570">
        <v>2</v>
      </c>
      <c r="K570">
        <v>3.82</v>
      </c>
      <c r="L570">
        <v>3.82</v>
      </c>
      <c r="M570">
        <v>48.5</v>
      </c>
      <c r="N570" t="s">
        <v>529</v>
      </c>
      <c r="O570">
        <v>24.25</v>
      </c>
      <c r="Q570" t="s">
        <v>87</v>
      </c>
      <c r="R570">
        <v>1373</v>
      </c>
      <c r="S570">
        <v>12</v>
      </c>
      <c r="T570" t="b">
        <v>0</v>
      </c>
      <c r="U570" t="s">
        <v>88</v>
      </c>
      <c r="V570" t="s">
        <v>89</v>
      </c>
      <c r="W570">
        <v>0</v>
      </c>
      <c r="X570">
        <v>4.1900000000000004</v>
      </c>
      <c r="Y570">
        <v>0.5</v>
      </c>
      <c r="Z570">
        <v>1</v>
      </c>
      <c r="AC570" t="s">
        <v>90</v>
      </c>
      <c r="AD570">
        <v>125</v>
      </c>
      <c r="AE570">
        <v>220</v>
      </c>
      <c r="AF570" t="s">
        <v>91</v>
      </c>
      <c r="AG570">
        <v>288</v>
      </c>
      <c r="AH570">
        <v>4560</v>
      </c>
      <c r="AI570" t="s">
        <v>136</v>
      </c>
      <c r="AL570" t="b">
        <v>1</v>
      </c>
      <c r="AM570" t="b">
        <v>0</v>
      </c>
      <c r="AN570" t="b">
        <v>0</v>
      </c>
      <c r="AO570" t="b">
        <v>0</v>
      </c>
      <c r="AP570" t="s">
        <v>1101</v>
      </c>
      <c r="AQ570">
        <v>-1</v>
      </c>
      <c r="AS570">
        <v>8.4250779025084324</v>
      </c>
      <c r="AT570">
        <v>1.531914893617021</v>
      </c>
      <c r="AU570">
        <v>1.361702127659574</v>
      </c>
      <c r="AV570">
        <v>0.1702127659574468</v>
      </c>
      <c r="AW570">
        <v>0</v>
      </c>
      <c r="AX570">
        <v>0.5</v>
      </c>
      <c r="AY570">
        <v>0.44444444444444442</v>
      </c>
      <c r="AZ570">
        <v>5.5555555555555552E-2</v>
      </c>
      <c r="BA570">
        <v>0</v>
      </c>
      <c r="BB570">
        <v>6.7007132277600423</v>
      </c>
      <c r="BC570">
        <v>24</v>
      </c>
      <c r="BD570">
        <v>733.37308460000008</v>
      </c>
      <c r="BE570">
        <v>2</v>
      </c>
      <c r="BF570">
        <v>6.5450997599919278E-2</v>
      </c>
      <c r="BG570">
        <v>3.8530000000000002</v>
      </c>
      <c r="BH570">
        <v>3.8530000000000002</v>
      </c>
      <c r="BI570">
        <v>49.4</v>
      </c>
      <c r="BJ570">
        <v>0</v>
      </c>
      <c r="BK570">
        <v>0</v>
      </c>
      <c r="BM570">
        <v>0</v>
      </c>
      <c r="BP570">
        <v>0</v>
      </c>
      <c r="BQ570">
        <v>0</v>
      </c>
      <c r="BS570">
        <v>0</v>
      </c>
      <c r="BT570">
        <v>0</v>
      </c>
      <c r="BU570">
        <v>0</v>
      </c>
      <c r="BV570">
        <v>707.73140000000001</v>
      </c>
      <c r="BW570">
        <v>6.7822340509407941E-2</v>
      </c>
      <c r="BX570">
        <v>12</v>
      </c>
      <c r="BY570">
        <v>3.3911170254703971E-2</v>
      </c>
      <c r="BZ570">
        <v>3.2725498799959639E-2</v>
      </c>
      <c r="CC570">
        <v>0.32763150191485713</v>
      </c>
      <c r="CF570">
        <v>0.33950185786787129</v>
      </c>
    </row>
    <row r="571" spans="1:84" x14ac:dyDescent="0.3">
      <c r="A571" s="1">
        <v>598</v>
      </c>
      <c r="B571" t="s">
        <v>1102</v>
      </c>
      <c r="C571" t="s">
        <v>1103</v>
      </c>
      <c r="E571" t="s">
        <v>404</v>
      </c>
      <c r="F571">
        <v>3.4</v>
      </c>
      <c r="G571" t="s">
        <v>1104</v>
      </c>
      <c r="H571">
        <v>-1</v>
      </c>
      <c r="I571">
        <v>-1</v>
      </c>
      <c r="J571">
        <v>1</v>
      </c>
      <c r="K571">
        <v>3.82</v>
      </c>
      <c r="L571">
        <v>3.82</v>
      </c>
      <c r="M571">
        <v>29.2</v>
      </c>
      <c r="N571" t="s">
        <v>529</v>
      </c>
      <c r="O571">
        <v>29.2</v>
      </c>
      <c r="Q571" t="s">
        <v>87</v>
      </c>
      <c r="R571">
        <v>1373</v>
      </c>
      <c r="S571">
        <v>12</v>
      </c>
      <c r="T571" t="b">
        <v>0</v>
      </c>
      <c r="U571" t="s">
        <v>88</v>
      </c>
      <c r="V571" t="s">
        <v>89</v>
      </c>
      <c r="W571">
        <v>0</v>
      </c>
      <c r="Y571">
        <v>0.5</v>
      </c>
      <c r="Z571">
        <v>1</v>
      </c>
      <c r="AC571" t="s">
        <v>90</v>
      </c>
      <c r="AD571">
        <v>125</v>
      </c>
      <c r="AE571">
        <v>220</v>
      </c>
      <c r="AF571" t="s">
        <v>91</v>
      </c>
      <c r="AG571">
        <v>288</v>
      </c>
      <c r="AH571">
        <v>2204</v>
      </c>
      <c r="AI571" t="s">
        <v>136</v>
      </c>
      <c r="AL571" t="b">
        <v>1</v>
      </c>
      <c r="AM571" t="b">
        <v>0</v>
      </c>
      <c r="AN571" t="b">
        <v>0</v>
      </c>
      <c r="AO571" t="b">
        <v>0</v>
      </c>
      <c r="AP571" t="s">
        <v>1105</v>
      </c>
      <c r="AQ571">
        <v>-1</v>
      </c>
      <c r="AS571">
        <v>7.6980291702728048</v>
      </c>
      <c r="AT571">
        <v>1.491525423728814</v>
      </c>
      <c r="AU571">
        <v>1.220338983050848</v>
      </c>
      <c r="AV571">
        <v>0.13559322033898311</v>
      </c>
      <c r="AW571">
        <v>0</v>
      </c>
      <c r="AX571">
        <v>0.52380952380952384</v>
      </c>
      <c r="AY571">
        <v>0.4285714285714286</v>
      </c>
      <c r="AZ571">
        <v>4.7619047619047623E-2</v>
      </c>
      <c r="BA571">
        <v>0</v>
      </c>
      <c r="BB571">
        <v>6.7354044421276269</v>
      </c>
      <c r="BC571">
        <v>24</v>
      </c>
      <c r="BD571">
        <v>872.92180919999998</v>
      </c>
      <c r="BE571">
        <v>2</v>
      </c>
      <c r="BF571">
        <v>5.4987742881564841E-2</v>
      </c>
      <c r="BG571">
        <v>3.8530000000000002</v>
      </c>
      <c r="BH571">
        <v>3.8530000000000002</v>
      </c>
      <c r="BI571">
        <v>58.8</v>
      </c>
      <c r="BJ571">
        <v>0</v>
      </c>
      <c r="BK571">
        <v>0</v>
      </c>
      <c r="BM571">
        <v>0</v>
      </c>
      <c r="BP571">
        <v>0</v>
      </c>
      <c r="BQ571">
        <v>0</v>
      </c>
      <c r="BS571">
        <v>0</v>
      </c>
      <c r="BT571">
        <v>0</v>
      </c>
      <c r="BU571">
        <v>0</v>
      </c>
      <c r="BV571">
        <v>426.09807999999998</v>
      </c>
      <c r="BW571">
        <v>5.6325060183326808E-2</v>
      </c>
      <c r="BX571">
        <v>12</v>
      </c>
      <c r="BY571">
        <v>2.8162530091663401E-2</v>
      </c>
      <c r="BZ571">
        <v>2.7493871440782421E-2</v>
      </c>
      <c r="CC571">
        <v>0.27629214607645491</v>
      </c>
      <c r="CF571">
        <v>0.28301164842236531</v>
      </c>
    </row>
    <row r="572" spans="1:84" x14ac:dyDescent="0.3">
      <c r="A572" s="1">
        <v>599</v>
      </c>
      <c r="B572" t="s">
        <v>1106</v>
      </c>
      <c r="C572" t="s">
        <v>1107</v>
      </c>
      <c r="E572" t="s">
        <v>404</v>
      </c>
      <c r="F572">
        <v>3.47</v>
      </c>
      <c r="G572" t="s">
        <v>405</v>
      </c>
      <c r="H572">
        <v>-1</v>
      </c>
      <c r="I572">
        <v>-1</v>
      </c>
      <c r="J572">
        <v>2</v>
      </c>
      <c r="K572">
        <v>3.78</v>
      </c>
      <c r="L572">
        <v>3.78</v>
      </c>
      <c r="M572">
        <v>27.2</v>
      </c>
      <c r="N572" t="s">
        <v>529</v>
      </c>
      <c r="O572">
        <v>13.6</v>
      </c>
      <c r="Q572" t="s">
        <v>87</v>
      </c>
      <c r="R572">
        <v>1373</v>
      </c>
      <c r="S572">
        <v>12</v>
      </c>
      <c r="T572" t="b">
        <v>0</v>
      </c>
      <c r="U572" t="s">
        <v>88</v>
      </c>
      <c r="V572" t="s">
        <v>89</v>
      </c>
      <c r="W572">
        <v>0</v>
      </c>
      <c r="X572">
        <v>3.08</v>
      </c>
      <c r="Y572">
        <v>0.5</v>
      </c>
      <c r="Z572">
        <v>1</v>
      </c>
      <c r="AC572" t="s">
        <v>90</v>
      </c>
      <c r="AD572">
        <v>125</v>
      </c>
      <c r="AE572">
        <v>220</v>
      </c>
      <c r="AF572" t="s">
        <v>91</v>
      </c>
      <c r="AG572">
        <v>288</v>
      </c>
      <c r="AH572">
        <v>80.399999999999991</v>
      </c>
      <c r="AI572" t="s">
        <v>972</v>
      </c>
      <c r="AL572" t="b">
        <v>1</v>
      </c>
      <c r="AM572" t="b">
        <v>0</v>
      </c>
      <c r="AN572" t="b">
        <v>0</v>
      </c>
      <c r="AO572" t="b">
        <v>0</v>
      </c>
      <c r="AP572" t="s">
        <v>1108</v>
      </c>
      <c r="AQ572">
        <v>-1</v>
      </c>
      <c r="AS572">
        <v>4.3870141761849206</v>
      </c>
      <c r="AT572">
        <v>1.882352941176471</v>
      </c>
      <c r="AU572">
        <v>2.3529411764705879</v>
      </c>
      <c r="AV572">
        <v>0.35294117647058831</v>
      </c>
      <c r="AW572">
        <v>0.47058823529411759</v>
      </c>
      <c r="AX572">
        <v>0.37209302325581389</v>
      </c>
      <c r="AY572">
        <v>0.46511627906976749</v>
      </c>
      <c r="AZ572">
        <v>6.9767441860465129E-2</v>
      </c>
      <c r="BA572">
        <v>9.3023255813953487E-2</v>
      </c>
      <c r="BB572">
        <v>6.2192035579236471</v>
      </c>
      <c r="BC572">
        <v>20</v>
      </c>
      <c r="BD572">
        <v>229.90248606119221</v>
      </c>
      <c r="BE572">
        <v>1</v>
      </c>
      <c r="BF572">
        <v>8.6993404650164072E-2</v>
      </c>
      <c r="BG572">
        <v>15.28115725</v>
      </c>
      <c r="BH572">
        <v>15.28115725</v>
      </c>
      <c r="BI572">
        <v>15.28115725</v>
      </c>
      <c r="BJ572">
        <v>0</v>
      </c>
      <c r="BK572">
        <v>0</v>
      </c>
      <c r="BM572">
        <v>0</v>
      </c>
      <c r="BP572">
        <v>0</v>
      </c>
      <c r="BQ572">
        <v>0</v>
      </c>
      <c r="BS572">
        <v>0</v>
      </c>
      <c r="BT572">
        <v>0</v>
      </c>
      <c r="BU572">
        <v>0</v>
      </c>
      <c r="BV572">
        <v>388.64447999999999</v>
      </c>
      <c r="BW572">
        <v>0.1029218271670808</v>
      </c>
      <c r="BX572">
        <v>10</v>
      </c>
      <c r="BY572">
        <v>5.1460913583540407E-2</v>
      </c>
      <c r="BZ572">
        <v>4.3496702325082043E-2</v>
      </c>
      <c r="CC572">
        <v>0.43867496702406639</v>
      </c>
      <c r="CF572">
        <v>0.51899600113525035</v>
      </c>
    </row>
    <row r="573" spans="1:84" x14ac:dyDescent="0.3">
      <c r="A573" s="1">
        <v>600</v>
      </c>
      <c r="B573" t="s">
        <v>1109</v>
      </c>
      <c r="C573" t="s">
        <v>1110</v>
      </c>
      <c r="E573" t="s">
        <v>404</v>
      </c>
      <c r="F573">
        <v>3.4</v>
      </c>
      <c r="G573" t="s">
        <v>1072</v>
      </c>
      <c r="H573">
        <v>-1</v>
      </c>
      <c r="I573">
        <v>-1</v>
      </c>
      <c r="J573">
        <v>2</v>
      </c>
      <c r="K573">
        <v>3.81</v>
      </c>
      <c r="L573">
        <v>3.81</v>
      </c>
      <c r="M573">
        <v>35.4</v>
      </c>
      <c r="N573" t="s">
        <v>529</v>
      </c>
      <c r="O573">
        <v>17.7</v>
      </c>
      <c r="Q573" t="s">
        <v>87</v>
      </c>
      <c r="R573">
        <v>1373</v>
      </c>
      <c r="S573">
        <v>12</v>
      </c>
      <c r="T573" t="b">
        <v>0</v>
      </c>
      <c r="U573" t="s">
        <v>88</v>
      </c>
      <c r="V573" t="s">
        <v>89</v>
      </c>
      <c r="W573">
        <v>0</v>
      </c>
      <c r="X573">
        <v>3.72</v>
      </c>
      <c r="Y573">
        <v>0.5</v>
      </c>
      <c r="Z573">
        <v>1</v>
      </c>
      <c r="AC573" t="s">
        <v>90</v>
      </c>
      <c r="AD573">
        <v>125</v>
      </c>
      <c r="AE573">
        <v>220</v>
      </c>
      <c r="AF573" t="s">
        <v>91</v>
      </c>
      <c r="AG573">
        <v>288</v>
      </c>
      <c r="AH573">
        <v>5200</v>
      </c>
      <c r="AI573" t="s">
        <v>972</v>
      </c>
      <c r="AL573" t="b">
        <v>1</v>
      </c>
      <c r="AM573" t="b">
        <v>0</v>
      </c>
      <c r="AN573" t="b">
        <v>0</v>
      </c>
      <c r="AO573" t="b">
        <v>0</v>
      </c>
      <c r="AP573" t="s">
        <v>1111</v>
      </c>
      <c r="AQ573">
        <v>-1</v>
      </c>
      <c r="AS573">
        <v>8.5564139045695189</v>
      </c>
      <c r="AT573">
        <v>1.612903225806452</v>
      </c>
      <c r="AU573">
        <v>1.612903225806452</v>
      </c>
      <c r="AV573">
        <v>0.19354838709677419</v>
      </c>
      <c r="AW573">
        <v>0.25806451612903231</v>
      </c>
      <c r="AX573">
        <v>0.43859649122807021</v>
      </c>
      <c r="AY573">
        <v>0.43859649122807021</v>
      </c>
      <c r="AZ573">
        <v>5.2631578947368432E-2</v>
      </c>
      <c r="BA573">
        <v>7.0175438596491224E-2</v>
      </c>
      <c r="BB573">
        <v>6.5960048401358709</v>
      </c>
      <c r="BC573">
        <v>20</v>
      </c>
      <c r="BD573">
        <v>442.10225086560899</v>
      </c>
      <c r="BE573">
        <v>2</v>
      </c>
      <c r="BF573">
        <v>9.0476806941567164E-2</v>
      </c>
      <c r="BG573">
        <v>3.8530000000000002</v>
      </c>
      <c r="BH573">
        <v>3.8530000000000002</v>
      </c>
      <c r="BI573">
        <v>29.780000999999999</v>
      </c>
      <c r="BJ573">
        <v>0</v>
      </c>
      <c r="BK573">
        <v>0</v>
      </c>
      <c r="BM573">
        <v>0</v>
      </c>
      <c r="BP573">
        <v>0</v>
      </c>
      <c r="BQ573">
        <v>0</v>
      </c>
      <c r="BS573">
        <v>0</v>
      </c>
      <c r="BT573">
        <v>0</v>
      </c>
      <c r="BU573">
        <v>0</v>
      </c>
      <c r="BV573">
        <v>513.86993999999993</v>
      </c>
      <c r="BW573">
        <v>7.7840708098239814E-2</v>
      </c>
      <c r="BX573">
        <v>10</v>
      </c>
      <c r="BY573">
        <v>3.8920354049119907E-2</v>
      </c>
      <c r="BZ573">
        <v>4.5238403470783582E-2</v>
      </c>
      <c r="CC573">
        <v>0.54443134767909995</v>
      </c>
      <c r="CF573">
        <v>0.4683954158725982</v>
      </c>
    </row>
    <row r="574" spans="1:84" x14ac:dyDescent="0.3">
      <c r="A574" s="1">
        <v>601</v>
      </c>
      <c r="B574" t="s">
        <v>1112</v>
      </c>
      <c r="C574" t="s">
        <v>1113</v>
      </c>
      <c r="E574" t="s">
        <v>404</v>
      </c>
      <c r="F574">
        <v>3.32</v>
      </c>
      <c r="G574" t="s">
        <v>1076</v>
      </c>
      <c r="H574">
        <v>-1</v>
      </c>
      <c r="I574">
        <v>-1</v>
      </c>
      <c r="J574">
        <v>1</v>
      </c>
      <c r="K574">
        <v>3.8</v>
      </c>
      <c r="L574">
        <v>3.8</v>
      </c>
      <c r="M574">
        <v>19.899999999999999</v>
      </c>
      <c r="N574" t="s">
        <v>529</v>
      </c>
      <c r="O574">
        <v>19.899999999999999</v>
      </c>
      <c r="Q574" t="s">
        <v>87</v>
      </c>
      <c r="R574">
        <v>1373</v>
      </c>
      <c r="S574">
        <v>12</v>
      </c>
      <c r="T574" t="b">
        <v>0</v>
      </c>
      <c r="U574" t="s">
        <v>88</v>
      </c>
      <c r="V574" t="s">
        <v>89</v>
      </c>
      <c r="W574">
        <v>0</v>
      </c>
      <c r="Y574">
        <v>0.5</v>
      </c>
      <c r="Z574">
        <v>1</v>
      </c>
      <c r="AC574" t="s">
        <v>90</v>
      </c>
      <c r="AD574">
        <v>125</v>
      </c>
      <c r="AE574">
        <v>220</v>
      </c>
      <c r="AF574" t="s">
        <v>91</v>
      </c>
      <c r="AG574">
        <v>288</v>
      </c>
      <c r="AH574">
        <v>4240</v>
      </c>
      <c r="AI574" t="s">
        <v>972</v>
      </c>
      <c r="AL574" t="b">
        <v>1</v>
      </c>
      <c r="AM574" t="b">
        <v>0</v>
      </c>
      <c r="AN574" t="b">
        <v>0</v>
      </c>
      <c r="AO574" t="b">
        <v>0</v>
      </c>
      <c r="AP574" t="s">
        <v>1114</v>
      </c>
      <c r="AQ574">
        <v>-1</v>
      </c>
      <c r="AS574">
        <v>8.3523185482260036</v>
      </c>
      <c r="AT574">
        <v>1.567567567567568</v>
      </c>
      <c r="AU574">
        <v>1.459459459459459</v>
      </c>
      <c r="AV574">
        <v>0.1621621621621622</v>
      </c>
      <c r="AW574">
        <v>0.2162162162162162</v>
      </c>
      <c r="AX574">
        <v>0.46031746031746029</v>
      </c>
      <c r="AY574">
        <v>0.4285714285714286</v>
      </c>
      <c r="AZ574">
        <v>4.7619047619047623E-2</v>
      </c>
      <c r="BA574">
        <v>6.3492063492063502E-2</v>
      </c>
      <c r="BB574">
        <v>6.6406437901247566</v>
      </c>
      <c r="BC574">
        <v>20</v>
      </c>
      <c r="BD574">
        <v>599.76260360000003</v>
      </c>
      <c r="BE574">
        <v>2</v>
      </c>
      <c r="BF574">
        <v>6.6693054485066267E-2</v>
      </c>
      <c r="BG574">
        <v>3.8530000000000002</v>
      </c>
      <c r="BH574">
        <v>3.8530000000000002</v>
      </c>
      <c r="BI574">
        <v>40.4</v>
      </c>
      <c r="BJ574">
        <v>0</v>
      </c>
      <c r="BK574">
        <v>0</v>
      </c>
      <c r="BM574">
        <v>0</v>
      </c>
      <c r="BP574">
        <v>0</v>
      </c>
      <c r="BQ574">
        <v>0</v>
      </c>
      <c r="BS574">
        <v>0</v>
      </c>
      <c r="BT574">
        <v>0</v>
      </c>
      <c r="BU574">
        <v>0</v>
      </c>
      <c r="BV574">
        <v>287.35599999999999</v>
      </c>
      <c r="BW574">
        <v>6.9600077952087308E-2</v>
      </c>
      <c r="BX574">
        <v>10</v>
      </c>
      <c r="BY574">
        <v>3.4800038976043647E-2</v>
      </c>
      <c r="BZ574">
        <v>3.3346527242533133E-2</v>
      </c>
      <c r="CC574">
        <v>0.40207071969469671</v>
      </c>
      <c r="CF574">
        <v>0.41959621806299002</v>
      </c>
    </row>
    <row r="575" spans="1:84" x14ac:dyDescent="0.3">
      <c r="A575" s="1">
        <v>602</v>
      </c>
      <c r="B575" t="s">
        <v>1115</v>
      </c>
      <c r="C575" t="s">
        <v>1116</v>
      </c>
      <c r="E575" t="s">
        <v>404</v>
      </c>
      <c r="F575">
        <v>3.33</v>
      </c>
      <c r="G575" t="s">
        <v>1080</v>
      </c>
      <c r="H575">
        <v>-1</v>
      </c>
      <c r="I575">
        <v>-1</v>
      </c>
      <c r="J575">
        <v>1</v>
      </c>
      <c r="K575">
        <v>3.78</v>
      </c>
      <c r="L575">
        <v>3.78</v>
      </c>
      <c r="M575">
        <v>24.4</v>
      </c>
      <c r="N575" t="s">
        <v>529</v>
      </c>
      <c r="O575">
        <v>24.4</v>
      </c>
      <c r="Q575" t="s">
        <v>87</v>
      </c>
      <c r="R575">
        <v>1373</v>
      </c>
      <c r="S575">
        <v>12</v>
      </c>
      <c r="T575" t="b">
        <v>0</v>
      </c>
      <c r="U575" t="s">
        <v>88</v>
      </c>
      <c r="V575" t="s">
        <v>89</v>
      </c>
      <c r="W575">
        <v>0</v>
      </c>
      <c r="X575">
        <v>3.89</v>
      </c>
      <c r="Y575">
        <v>0.5</v>
      </c>
      <c r="Z575">
        <v>1</v>
      </c>
      <c r="AC575" t="s">
        <v>90</v>
      </c>
      <c r="AD575">
        <v>125</v>
      </c>
      <c r="AE575">
        <v>220</v>
      </c>
      <c r="AF575" t="s">
        <v>91</v>
      </c>
      <c r="AG575">
        <v>288</v>
      </c>
      <c r="AH575">
        <v>5880</v>
      </c>
      <c r="AI575" t="s">
        <v>972</v>
      </c>
      <c r="AL575" t="b">
        <v>1</v>
      </c>
      <c r="AM575" t="b">
        <v>0</v>
      </c>
      <c r="AN575" t="b">
        <v>0</v>
      </c>
      <c r="AO575" t="b">
        <v>0</v>
      </c>
      <c r="AP575" t="s">
        <v>1117</v>
      </c>
      <c r="AQ575">
        <v>-1</v>
      </c>
      <c r="AS575">
        <v>8.6793120408926718</v>
      </c>
      <c r="AT575">
        <v>1.510204081632653</v>
      </c>
      <c r="AU575">
        <v>1.2653061224489801</v>
      </c>
      <c r="AV575">
        <v>0.1224489795918367</v>
      </c>
      <c r="AW575">
        <v>0.16326530612244899</v>
      </c>
      <c r="AX575">
        <v>0.49333333333333329</v>
      </c>
      <c r="AY575">
        <v>0.41333333333333339</v>
      </c>
      <c r="AZ575">
        <v>0.04</v>
      </c>
      <c r="BA575">
        <v>5.333333333333333E-2</v>
      </c>
      <c r="BB575">
        <v>6.6971257268453872</v>
      </c>
      <c r="BC575">
        <v>20</v>
      </c>
      <c r="BD575">
        <v>733.37308460000008</v>
      </c>
      <c r="BE575">
        <v>2</v>
      </c>
      <c r="BF575">
        <v>5.4542497999932729E-2</v>
      </c>
      <c r="BG575">
        <v>3.8530000000000002</v>
      </c>
      <c r="BH575">
        <v>3.8530000000000002</v>
      </c>
      <c r="BI575">
        <v>49.4</v>
      </c>
      <c r="BJ575">
        <v>0</v>
      </c>
      <c r="BK575">
        <v>0</v>
      </c>
      <c r="BM575">
        <v>0</v>
      </c>
      <c r="BP575">
        <v>0</v>
      </c>
      <c r="BQ575">
        <v>0</v>
      </c>
      <c r="BS575">
        <v>0</v>
      </c>
      <c r="BT575">
        <v>0</v>
      </c>
      <c r="BU575">
        <v>0</v>
      </c>
      <c r="BV575">
        <v>348.63695999999999</v>
      </c>
      <c r="BW575">
        <v>5.7366264322635217E-2</v>
      </c>
      <c r="BX575">
        <v>10</v>
      </c>
      <c r="BY575">
        <v>2.8683132161317609E-2</v>
      </c>
      <c r="BZ575">
        <v>2.7271248999966361E-2</v>
      </c>
      <c r="CC575">
        <v>0.33005342247707181</v>
      </c>
      <c r="CF575">
        <v>0.34714090055855978</v>
      </c>
    </row>
    <row r="576" spans="1:84" x14ac:dyDescent="0.3">
      <c r="A576" s="1">
        <v>603</v>
      </c>
      <c r="B576" t="s">
        <v>1118</v>
      </c>
      <c r="C576" t="s">
        <v>1119</v>
      </c>
      <c r="E576" t="s">
        <v>404</v>
      </c>
      <c r="F576">
        <v>3.35</v>
      </c>
      <c r="G576" t="s">
        <v>1084</v>
      </c>
      <c r="H576">
        <v>-1</v>
      </c>
      <c r="I576">
        <v>-1</v>
      </c>
      <c r="J576">
        <v>1</v>
      </c>
      <c r="K576">
        <v>3.8</v>
      </c>
      <c r="L576">
        <v>3.8</v>
      </c>
      <c r="M576">
        <v>29.2</v>
      </c>
      <c r="N576" t="s">
        <v>529</v>
      </c>
      <c r="O576">
        <v>29.2</v>
      </c>
      <c r="Q576" t="s">
        <v>87</v>
      </c>
      <c r="R576">
        <v>1373</v>
      </c>
      <c r="S576">
        <v>12</v>
      </c>
      <c r="T576" t="b">
        <v>0</v>
      </c>
      <c r="U576" t="s">
        <v>88</v>
      </c>
      <c r="V576" t="s">
        <v>89</v>
      </c>
      <c r="W576">
        <v>0</v>
      </c>
      <c r="Y576">
        <v>0.5</v>
      </c>
      <c r="Z576">
        <v>1</v>
      </c>
      <c r="AC576" t="s">
        <v>90</v>
      </c>
      <c r="AD576">
        <v>125</v>
      </c>
      <c r="AE576">
        <v>220</v>
      </c>
      <c r="AF576" t="s">
        <v>91</v>
      </c>
      <c r="AG576">
        <v>288</v>
      </c>
      <c r="AH576">
        <v>1680</v>
      </c>
      <c r="AI576" t="s">
        <v>972</v>
      </c>
      <c r="AL576" t="b">
        <v>1</v>
      </c>
      <c r="AM576" t="b">
        <v>0</v>
      </c>
      <c r="AN576" t="b">
        <v>0</v>
      </c>
      <c r="AO576" t="b">
        <v>0</v>
      </c>
      <c r="AP576" t="s">
        <v>1120</v>
      </c>
      <c r="AQ576">
        <v>-1</v>
      </c>
      <c r="AS576">
        <v>7.4265490723973047</v>
      </c>
      <c r="AT576">
        <v>1.4754098360655741</v>
      </c>
      <c r="AU576">
        <v>1.1475409836065571</v>
      </c>
      <c r="AV576">
        <v>9.8360655737704916E-2</v>
      </c>
      <c r="AW576">
        <v>0.13114754098360659</v>
      </c>
      <c r="AX576">
        <v>0.51724137931034486</v>
      </c>
      <c r="AY576">
        <v>0.4022988505747126</v>
      </c>
      <c r="AZ576">
        <v>3.4482758620689648E-2</v>
      </c>
      <c r="BA576">
        <v>4.5977011494252873E-2</v>
      </c>
      <c r="BB576">
        <v>6.731385262233311</v>
      </c>
      <c r="BC576">
        <v>20</v>
      </c>
      <c r="BD576">
        <v>872.92180919999998</v>
      </c>
      <c r="BE576">
        <v>2</v>
      </c>
      <c r="BF576">
        <v>4.5823119067970701E-2</v>
      </c>
      <c r="BG576">
        <v>3.8530000000000002</v>
      </c>
      <c r="BH576">
        <v>3.8530000000000002</v>
      </c>
      <c r="BI576">
        <v>58.8</v>
      </c>
      <c r="BJ576">
        <v>0</v>
      </c>
      <c r="BK576">
        <v>0</v>
      </c>
      <c r="BM576">
        <v>0</v>
      </c>
      <c r="BP576">
        <v>0</v>
      </c>
      <c r="BQ576">
        <v>0</v>
      </c>
      <c r="BS576">
        <v>0</v>
      </c>
      <c r="BT576">
        <v>0</v>
      </c>
      <c r="BU576">
        <v>0</v>
      </c>
      <c r="BV576">
        <v>421.64800000000002</v>
      </c>
      <c r="BW576">
        <v>4.7432929837210189E-2</v>
      </c>
      <c r="BX576">
        <v>10</v>
      </c>
      <c r="BY576">
        <v>2.3716464918605091E-2</v>
      </c>
      <c r="BZ576">
        <v>2.291155953398535E-2</v>
      </c>
      <c r="CC576">
        <v>0.27832688886171691</v>
      </c>
      <c r="CF576">
        <v>0.28810478334318818</v>
      </c>
    </row>
    <row r="577" spans="1:84" x14ac:dyDescent="0.3">
      <c r="A577" s="1">
        <v>604</v>
      </c>
      <c r="B577" t="s">
        <v>1121</v>
      </c>
      <c r="C577" t="s">
        <v>1122</v>
      </c>
      <c r="E577" t="s">
        <v>404</v>
      </c>
      <c r="F577">
        <v>3.36</v>
      </c>
      <c r="G577" t="s">
        <v>1088</v>
      </c>
      <c r="H577">
        <v>-1</v>
      </c>
      <c r="I577">
        <v>-1</v>
      </c>
      <c r="J577">
        <v>1</v>
      </c>
      <c r="K577">
        <v>3.8</v>
      </c>
      <c r="L577">
        <v>3.8</v>
      </c>
      <c r="M577">
        <v>33.4</v>
      </c>
      <c r="N577" t="s">
        <v>529</v>
      </c>
      <c r="O577">
        <v>33.4</v>
      </c>
      <c r="Q577" t="s">
        <v>87</v>
      </c>
      <c r="R577">
        <v>1373</v>
      </c>
      <c r="S577">
        <v>12</v>
      </c>
      <c r="T577" t="b">
        <v>0</v>
      </c>
      <c r="U577" t="s">
        <v>88</v>
      </c>
      <c r="V577" t="s">
        <v>89</v>
      </c>
      <c r="W577">
        <v>0</v>
      </c>
      <c r="X577">
        <v>4.3899999999999997</v>
      </c>
      <c r="Y577">
        <v>0.5</v>
      </c>
      <c r="Z577">
        <v>1</v>
      </c>
      <c r="AC577" t="s">
        <v>90</v>
      </c>
      <c r="AD577">
        <v>125</v>
      </c>
      <c r="AE577">
        <v>220</v>
      </c>
      <c r="AF577" t="s">
        <v>91</v>
      </c>
      <c r="AG577">
        <v>288</v>
      </c>
      <c r="AH577">
        <v>2184</v>
      </c>
      <c r="AI577" t="s">
        <v>972</v>
      </c>
      <c r="AL577" t="b">
        <v>1</v>
      </c>
      <c r="AM577" t="b">
        <v>0</v>
      </c>
      <c r="AN577" t="b">
        <v>0</v>
      </c>
      <c r="AO577" t="b">
        <v>0</v>
      </c>
      <c r="AP577" t="s">
        <v>1123</v>
      </c>
      <c r="AQ577">
        <v>-1</v>
      </c>
      <c r="AS577">
        <v>7.6889133368647959</v>
      </c>
      <c r="AT577">
        <v>1.452054794520548</v>
      </c>
      <c r="AU577">
        <v>1.068493150684932</v>
      </c>
      <c r="AV577">
        <v>8.2191780821917804E-2</v>
      </c>
      <c r="AW577">
        <v>0.1095890410958904</v>
      </c>
      <c r="AX577">
        <v>0.53535353535353536</v>
      </c>
      <c r="AY577">
        <v>0.39393939393939392</v>
      </c>
      <c r="AZ577">
        <v>3.03030303030303E-2</v>
      </c>
      <c r="BA577">
        <v>4.0404040404040401E-2</v>
      </c>
      <c r="BB577">
        <v>6.7543813887265749</v>
      </c>
      <c r="BC577">
        <v>20</v>
      </c>
      <c r="BD577">
        <v>1015.4396556</v>
      </c>
      <c r="BE577">
        <v>2</v>
      </c>
      <c r="BF577">
        <v>3.9391804111062523E-2</v>
      </c>
      <c r="BG577">
        <v>3.8530000000000002</v>
      </c>
      <c r="BH577">
        <v>3.8530000000000002</v>
      </c>
      <c r="BI577">
        <v>68.400000000000006</v>
      </c>
      <c r="BJ577">
        <v>0</v>
      </c>
      <c r="BK577">
        <v>0</v>
      </c>
      <c r="BM577">
        <v>0</v>
      </c>
      <c r="BP577">
        <v>0</v>
      </c>
      <c r="BQ577">
        <v>0</v>
      </c>
      <c r="BS577">
        <v>0</v>
      </c>
      <c r="BT577">
        <v>0</v>
      </c>
      <c r="BU577">
        <v>0</v>
      </c>
      <c r="BV577">
        <v>482.29599999999988</v>
      </c>
      <c r="BW577">
        <v>4.1468309917561008E-2</v>
      </c>
      <c r="BX577">
        <v>10</v>
      </c>
      <c r="BY577">
        <v>2.0734154958780501E-2</v>
      </c>
      <c r="BZ577">
        <v>1.9695902055531261E-2</v>
      </c>
      <c r="CC577">
        <v>0.24015501549372151</v>
      </c>
      <c r="CF577">
        <v>0.25281458505104482</v>
      </c>
    </row>
    <row r="578" spans="1:84" x14ac:dyDescent="0.3">
      <c r="A578" s="1">
        <v>605</v>
      </c>
      <c r="B578" t="s">
        <v>1124</v>
      </c>
      <c r="C578" t="s">
        <v>1125</v>
      </c>
      <c r="E578" t="s">
        <v>404</v>
      </c>
      <c r="F578">
        <v>3.33</v>
      </c>
      <c r="G578" t="s">
        <v>1092</v>
      </c>
      <c r="H578">
        <v>-1</v>
      </c>
      <c r="I578">
        <v>-1</v>
      </c>
      <c r="J578">
        <v>2</v>
      </c>
      <c r="K578">
        <v>3.76</v>
      </c>
      <c r="L578">
        <v>3.76</v>
      </c>
      <c r="M578">
        <v>34.1</v>
      </c>
      <c r="N578" t="s">
        <v>529</v>
      </c>
      <c r="O578">
        <v>17.05</v>
      </c>
      <c r="Q578" t="s">
        <v>87</v>
      </c>
      <c r="R578">
        <v>1373</v>
      </c>
      <c r="S578">
        <v>12</v>
      </c>
      <c r="T578" t="b">
        <v>0</v>
      </c>
      <c r="U578" t="s">
        <v>88</v>
      </c>
      <c r="V578" t="s">
        <v>89</v>
      </c>
      <c r="W578">
        <v>0</v>
      </c>
      <c r="X578">
        <v>4.51</v>
      </c>
      <c r="Y578">
        <v>0.5</v>
      </c>
      <c r="Z578">
        <v>1</v>
      </c>
      <c r="AC578" t="s">
        <v>90</v>
      </c>
      <c r="AD578">
        <v>125</v>
      </c>
      <c r="AE578">
        <v>220</v>
      </c>
      <c r="AF578" t="s">
        <v>91</v>
      </c>
      <c r="AG578">
        <v>288</v>
      </c>
      <c r="AH578">
        <v>4600</v>
      </c>
      <c r="AI578" t="s">
        <v>972</v>
      </c>
      <c r="AL578" t="b">
        <v>1</v>
      </c>
      <c r="AM578" t="b">
        <v>0</v>
      </c>
      <c r="AN578" t="b">
        <v>0</v>
      </c>
      <c r="AO578" t="b">
        <v>0</v>
      </c>
      <c r="AP578" t="s">
        <v>1126</v>
      </c>
      <c r="AQ578">
        <v>-1</v>
      </c>
      <c r="AS578">
        <v>8.4338115824771869</v>
      </c>
      <c r="AT578">
        <v>1.655172413793103</v>
      </c>
      <c r="AU578">
        <v>1.7931034482758621</v>
      </c>
      <c r="AV578">
        <v>0.2068965517241379</v>
      </c>
      <c r="AW578">
        <v>0.27586206896551718</v>
      </c>
      <c r="AX578">
        <v>0.4210526315789474</v>
      </c>
      <c r="AY578">
        <v>0.45614035087719301</v>
      </c>
      <c r="AZ578">
        <v>5.2631578947368432E-2</v>
      </c>
      <c r="BA578">
        <v>7.0175438596491224E-2</v>
      </c>
      <c r="BB578">
        <v>6.5771916632244816</v>
      </c>
      <c r="BC578">
        <v>24</v>
      </c>
      <c r="BD578">
        <v>442.10225086560899</v>
      </c>
      <c r="BE578">
        <v>2</v>
      </c>
      <c r="BF578">
        <v>0.10857216832988061</v>
      </c>
      <c r="BG578">
        <v>3.8530000000000002</v>
      </c>
      <c r="BH578">
        <v>3.8530000000000002</v>
      </c>
      <c r="BI578">
        <v>29.780000999999999</v>
      </c>
      <c r="BJ578">
        <v>0</v>
      </c>
      <c r="BK578">
        <v>0</v>
      </c>
      <c r="BM578">
        <v>0</v>
      </c>
      <c r="BP578">
        <v>0</v>
      </c>
      <c r="BQ578">
        <v>0</v>
      </c>
      <c r="BS578">
        <v>0</v>
      </c>
      <c r="BT578">
        <v>0</v>
      </c>
      <c r="BU578">
        <v>0</v>
      </c>
      <c r="BV578">
        <v>482.09215999999998</v>
      </c>
      <c r="BW578">
        <v>9.9566024886196036E-2</v>
      </c>
      <c r="BX578">
        <v>12</v>
      </c>
      <c r="BY578">
        <v>4.9783012443098018E-2</v>
      </c>
      <c r="BZ578">
        <v>5.4286084164940303E-2</v>
      </c>
      <c r="CC578">
        <v>0.53307685633329149</v>
      </c>
      <c r="CF578">
        <v>0.48885772809354761</v>
      </c>
    </row>
    <row r="579" spans="1:84" x14ac:dyDescent="0.3">
      <c r="A579" s="1">
        <v>606</v>
      </c>
      <c r="B579" t="s">
        <v>1127</v>
      </c>
      <c r="C579" t="s">
        <v>1128</v>
      </c>
      <c r="E579" t="s">
        <v>404</v>
      </c>
      <c r="F579">
        <v>3.33</v>
      </c>
      <c r="G579" t="s">
        <v>1096</v>
      </c>
      <c r="H579">
        <v>-1</v>
      </c>
      <c r="I579">
        <v>-1</v>
      </c>
      <c r="J579">
        <v>2</v>
      </c>
      <c r="K579">
        <v>3.77</v>
      </c>
      <c r="L579">
        <v>3.77</v>
      </c>
      <c r="M579">
        <v>40.9</v>
      </c>
      <c r="N579" t="s">
        <v>529</v>
      </c>
      <c r="O579">
        <v>20.45</v>
      </c>
      <c r="Q579" t="s">
        <v>87</v>
      </c>
      <c r="R579">
        <v>1373</v>
      </c>
      <c r="S579">
        <v>12</v>
      </c>
      <c r="T579" t="b">
        <v>0</v>
      </c>
      <c r="U579" t="s">
        <v>88</v>
      </c>
      <c r="V579" t="s">
        <v>89</v>
      </c>
      <c r="W579">
        <v>0</v>
      </c>
      <c r="Y579">
        <v>0.5</v>
      </c>
      <c r="Z579">
        <v>1</v>
      </c>
      <c r="AC579" t="s">
        <v>90</v>
      </c>
      <c r="AD579">
        <v>125</v>
      </c>
      <c r="AE579">
        <v>220</v>
      </c>
      <c r="AF579" t="s">
        <v>91</v>
      </c>
      <c r="AG579">
        <v>288</v>
      </c>
      <c r="AH579">
        <v>3032</v>
      </c>
      <c r="AI579" t="s">
        <v>972</v>
      </c>
      <c r="AL579" t="b">
        <v>1</v>
      </c>
      <c r="AM579" t="b">
        <v>0</v>
      </c>
      <c r="AN579" t="b">
        <v>0</v>
      </c>
      <c r="AO579" t="b">
        <v>0</v>
      </c>
      <c r="AP579" t="s">
        <v>1129</v>
      </c>
      <c r="AQ579">
        <v>-1</v>
      </c>
      <c r="AS579">
        <v>8.0169777467622616</v>
      </c>
      <c r="AT579">
        <v>1.6</v>
      </c>
      <c r="AU579">
        <v>1.6</v>
      </c>
      <c r="AV579">
        <v>0.1714285714285714</v>
      </c>
      <c r="AW579">
        <v>0.22857142857142859</v>
      </c>
      <c r="AX579">
        <v>0.44444444444444448</v>
      </c>
      <c r="AY579">
        <v>0.44444444444444448</v>
      </c>
      <c r="AZ579">
        <v>4.7619047619047623E-2</v>
      </c>
      <c r="BA579">
        <v>6.3492063492063489E-2</v>
      </c>
      <c r="BB579">
        <v>6.6276065263975434</v>
      </c>
      <c r="BC579">
        <v>24</v>
      </c>
      <c r="BD579">
        <v>599.76260360000003</v>
      </c>
      <c r="BE579">
        <v>2</v>
      </c>
      <c r="BF579">
        <v>8.0031665382079509E-2</v>
      </c>
      <c r="BG579">
        <v>3.8530000000000002</v>
      </c>
      <c r="BH579">
        <v>3.8530000000000002</v>
      </c>
      <c r="BI579">
        <v>40.4</v>
      </c>
      <c r="BJ579">
        <v>0</v>
      </c>
      <c r="BK579">
        <v>0</v>
      </c>
      <c r="BM579">
        <v>0</v>
      </c>
      <c r="BP579">
        <v>0</v>
      </c>
      <c r="BQ579">
        <v>0</v>
      </c>
      <c r="BS579">
        <v>0</v>
      </c>
      <c r="BT579">
        <v>0</v>
      </c>
      <c r="BU579">
        <v>0</v>
      </c>
      <c r="BV579">
        <v>581.30760999999995</v>
      </c>
      <c r="BW579">
        <v>8.2572461076158982E-2</v>
      </c>
      <c r="BX579">
        <v>12</v>
      </c>
      <c r="BY579">
        <v>4.1286230538079491E-2</v>
      </c>
      <c r="BZ579">
        <v>4.0015832691039747E-2</v>
      </c>
      <c r="CC579">
        <v>0.39370099782260098</v>
      </c>
      <c r="CF579">
        <v>0.40619997301256922</v>
      </c>
    </row>
    <row r="580" spans="1:84" x14ac:dyDescent="0.3">
      <c r="A580" s="1">
        <v>607</v>
      </c>
      <c r="B580" t="s">
        <v>1130</v>
      </c>
      <c r="C580" t="s">
        <v>1131</v>
      </c>
      <c r="E580" t="s">
        <v>404</v>
      </c>
      <c r="F580">
        <v>3.33</v>
      </c>
      <c r="G580" t="s">
        <v>1100</v>
      </c>
      <c r="H580">
        <v>-1</v>
      </c>
      <c r="I580">
        <v>-1</v>
      </c>
      <c r="J580">
        <v>2</v>
      </c>
      <c r="K580">
        <v>3.78</v>
      </c>
      <c r="L580">
        <v>3.78</v>
      </c>
      <c r="M580">
        <v>47.3</v>
      </c>
      <c r="N580" t="s">
        <v>529</v>
      </c>
      <c r="O580">
        <v>23.65</v>
      </c>
      <c r="Q580" t="s">
        <v>87</v>
      </c>
      <c r="R580">
        <v>1373</v>
      </c>
      <c r="S580">
        <v>12</v>
      </c>
      <c r="T580" t="b">
        <v>0</v>
      </c>
      <c r="U580" t="s">
        <v>88</v>
      </c>
      <c r="V580" t="s">
        <v>89</v>
      </c>
      <c r="W580">
        <v>0</v>
      </c>
      <c r="X580">
        <v>3.87</v>
      </c>
      <c r="Y580">
        <v>0.5</v>
      </c>
      <c r="Z580">
        <v>1</v>
      </c>
      <c r="AC580" t="s">
        <v>90</v>
      </c>
      <c r="AD580">
        <v>125</v>
      </c>
      <c r="AE580">
        <v>220</v>
      </c>
      <c r="AF580" t="s">
        <v>91</v>
      </c>
      <c r="AG580">
        <v>288</v>
      </c>
      <c r="AH580">
        <v>3340</v>
      </c>
      <c r="AI580" t="s">
        <v>972</v>
      </c>
      <c r="AL580" t="b">
        <v>1</v>
      </c>
      <c r="AM580" t="b">
        <v>0</v>
      </c>
      <c r="AN580" t="b">
        <v>0</v>
      </c>
      <c r="AO580" t="b">
        <v>0</v>
      </c>
      <c r="AP580" t="s">
        <v>1132</v>
      </c>
      <c r="AQ580">
        <v>-1</v>
      </c>
      <c r="AS580">
        <v>8.1137260859707467</v>
      </c>
      <c r="AT580">
        <v>1.531914893617021</v>
      </c>
      <c r="AU580">
        <v>1.361702127659574</v>
      </c>
      <c r="AV580">
        <v>0.1276595744680851</v>
      </c>
      <c r="AW580">
        <v>0.1702127659574468</v>
      </c>
      <c r="AX580">
        <v>0.48</v>
      </c>
      <c r="AY580">
        <v>0.42666666666666658</v>
      </c>
      <c r="AZ580">
        <v>0.04</v>
      </c>
      <c r="BA580">
        <v>5.333333333333333E-2</v>
      </c>
      <c r="BB580">
        <v>6.6898206128664253</v>
      </c>
      <c r="BC580">
        <v>24</v>
      </c>
      <c r="BD580">
        <v>733.37308460000008</v>
      </c>
      <c r="BE580">
        <v>2</v>
      </c>
      <c r="BF580">
        <v>6.5450997599919278E-2</v>
      </c>
      <c r="BG580">
        <v>3.8530000000000002</v>
      </c>
      <c r="BH580">
        <v>3.8530000000000002</v>
      </c>
      <c r="BI580">
        <v>49.4</v>
      </c>
      <c r="BJ580">
        <v>0</v>
      </c>
      <c r="BK580">
        <v>0</v>
      </c>
      <c r="BM580">
        <v>0</v>
      </c>
      <c r="BP580">
        <v>0</v>
      </c>
      <c r="BQ580">
        <v>0</v>
      </c>
      <c r="BS580">
        <v>0</v>
      </c>
      <c r="BT580">
        <v>0</v>
      </c>
      <c r="BU580">
        <v>0</v>
      </c>
      <c r="BV580">
        <v>675.84131999999988</v>
      </c>
      <c r="BW580">
        <v>7.1022588556734004E-2</v>
      </c>
      <c r="BX580">
        <v>12</v>
      </c>
      <c r="BY580">
        <v>3.5511294278367002E-2</v>
      </c>
      <c r="BZ580">
        <v>3.2725498799959639E-2</v>
      </c>
      <c r="CC580">
        <v>0.32320854871932547</v>
      </c>
      <c r="CF580">
        <v>0.35072204573609261</v>
      </c>
    </row>
    <row r="581" spans="1:84" x14ac:dyDescent="0.3">
      <c r="A581" s="1">
        <v>608</v>
      </c>
      <c r="B581" t="s">
        <v>1133</v>
      </c>
      <c r="C581" t="s">
        <v>1134</v>
      </c>
      <c r="E581" t="s">
        <v>404</v>
      </c>
      <c r="F581">
        <v>3.35</v>
      </c>
      <c r="G581" t="s">
        <v>1104</v>
      </c>
      <c r="H581">
        <v>-1</v>
      </c>
      <c r="I581">
        <v>-1</v>
      </c>
      <c r="J581">
        <v>1</v>
      </c>
      <c r="K581">
        <v>3.81</v>
      </c>
      <c r="L581">
        <v>3.81</v>
      </c>
      <c r="M581">
        <v>28.3</v>
      </c>
      <c r="N581" t="s">
        <v>529</v>
      </c>
      <c r="O581">
        <v>28.3</v>
      </c>
      <c r="Q581" t="s">
        <v>87</v>
      </c>
      <c r="R581">
        <v>1373</v>
      </c>
      <c r="S581">
        <v>12</v>
      </c>
      <c r="T581" t="b">
        <v>0</v>
      </c>
      <c r="U581" t="s">
        <v>88</v>
      </c>
      <c r="V581" t="s">
        <v>89</v>
      </c>
      <c r="W581">
        <v>0</v>
      </c>
      <c r="Y581">
        <v>0.5</v>
      </c>
      <c r="Z581">
        <v>1</v>
      </c>
      <c r="AC581" t="s">
        <v>90</v>
      </c>
      <c r="AD581">
        <v>125</v>
      </c>
      <c r="AE581">
        <v>220</v>
      </c>
      <c r="AF581" t="s">
        <v>91</v>
      </c>
      <c r="AG581">
        <v>288</v>
      </c>
      <c r="AH581">
        <v>3916</v>
      </c>
      <c r="AI581" t="s">
        <v>972</v>
      </c>
      <c r="AL581" t="b">
        <v>1</v>
      </c>
      <c r="AM581" t="b">
        <v>0</v>
      </c>
      <c r="AN581" t="b">
        <v>0</v>
      </c>
      <c r="AO581" t="b">
        <v>0</v>
      </c>
      <c r="AP581" t="s">
        <v>1135</v>
      </c>
      <c r="AQ581">
        <v>-1</v>
      </c>
      <c r="AS581">
        <v>8.2728260036504011</v>
      </c>
      <c r="AT581">
        <v>1.491525423728814</v>
      </c>
      <c r="AU581">
        <v>1.220338983050848</v>
      </c>
      <c r="AV581">
        <v>0.10169491525423729</v>
      </c>
      <c r="AW581">
        <v>0.13559322033898311</v>
      </c>
      <c r="AX581">
        <v>0.50574712643678155</v>
      </c>
      <c r="AY581">
        <v>0.41379310344827591</v>
      </c>
      <c r="AZ581">
        <v>3.4482758620689648E-2</v>
      </c>
      <c r="BA581">
        <v>4.5977011494252873E-2</v>
      </c>
      <c r="BB581">
        <v>6.7267272743310169</v>
      </c>
      <c r="BC581">
        <v>24</v>
      </c>
      <c r="BD581">
        <v>872.92180919999998</v>
      </c>
      <c r="BE581">
        <v>2</v>
      </c>
      <c r="BF581">
        <v>5.4987742881564841E-2</v>
      </c>
      <c r="BG581">
        <v>3.8530000000000002</v>
      </c>
      <c r="BH581">
        <v>3.8530000000000002</v>
      </c>
      <c r="BI581">
        <v>58.8</v>
      </c>
      <c r="BJ581">
        <v>0</v>
      </c>
      <c r="BK581">
        <v>0</v>
      </c>
      <c r="BM581">
        <v>0</v>
      </c>
      <c r="BP581">
        <v>0</v>
      </c>
      <c r="BQ581">
        <v>0</v>
      </c>
      <c r="BS581">
        <v>0</v>
      </c>
      <c r="BT581">
        <v>0</v>
      </c>
      <c r="BU581">
        <v>0</v>
      </c>
      <c r="BV581">
        <v>410.80563000000001</v>
      </c>
      <c r="BW581">
        <v>5.8421789399526969E-2</v>
      </c>
      <c r="BX581">
        <v>12</v>
      </c>
      <c r="BY581">
        <v>2.9210894699763481E-2</v>
      </c>
      <c r="BZ581">
        <v>2.7493871440782421E-2</v>
      </c>
      <c r="CC581">
        <v>0.27257626362986881</v>
      </c>
      <c r="CF581">
        <v>0.28959895850594991</v>
      </c>
    </row>
    <row r="582" spans="1:84" x14ac:dyDescent="0.3">
      <c r="A582" s="1">
        <v>629</v>
      </c>
      <c r="B582" t="s">
        <v>1106</v>
      </c>
      <c r="C582" t="s">
        <v>1107</v>
      </c>
      <c r="E582" t="s">
        <v>404</v>
      </c>
      <c r="F582">
        <v>3.46</v>
      </c>
      <c r="G582" t="s">
        <v>405</v>
      </c>
      <c r="H582">
        <v>-1</v>
      </c>
      <c r="I582">
        <v>-1</v>
      </c>
      <c r="J582">
        <v>2</v>
      </c>
      <c r="K582">
        <v>3.7829999999999999</v>
      </c>
      <c r="L582">
        <v>3.7829999999999999</v>
      </c>
      <c r="M582">
        <v>27.18</v>
      </c>
      <c r="N582" t="s">
        <v>1047</v>
      </c>
      <c r="O582">
        <v>13.59</v>
      </c>
      <c r="Q582" t="s">
        <v>87</v>
      </c>
      <c r="R582">
        <v>1273</v>
      </c>
      <c r="S582">
        <v>10</v>
      </c>
      <c r="T582" t="b">
        <v>0</v>
      </c>
      <c r="U582" t="s">
        <v>88</v>
      </c>
      <c r="V582" t="s">
        <v>89</v>
      </c>
      <c r="W582">
        <v>0</v>
      </c>
      <c r="X582">
        <v>21</v>
      </c>
      <c r="Y582">
        <v>0.5</v>
      </c>
      <c r="Z582">
        <v>1</v>
      </c>
      <c r="AC582" t="s">
        <v>90</v>
      </c>
      <c r="AD582">
        <v>125</v>
      </c>
      <c r="AE582">
        <v>220</v>
      </c>
      <c r="AF582" t="s">
        <v>91</v>
      </c>
      <c r="AG582">
        <v>288</v>
      </c>
      <c r="AH582">
        <v>44</v>
      </c>
      <c r="AI582" t="s">
        <v>972</v>
      </c>
      <c r="AL582" t="b">
        <v>1</v>
      </c>
      <c r="AM582" t="b">
        <v>0</v>
      </c>
      <c r="AN582" t="b">
        <v>0</v>
      </c>
      <c r="AO582" t="b">
        <v>0</v>
      </c>
      <c r="AP582" t="s">
        <v>1156</v>
      </c>
      <c r="AQ582">
        <v>-1</v>
      </c>
      <c r="AS582">
        <v>3.784189633918261</v>
      </c>
      <c r="AT582">
        <v>1.882352941176471</v>
      </c>
      <c r="AU582">
        <v>2.3529411764705879</v>
      </c>
      <c r="AV582">
        <v>0.35294117647058831</v>
      </c>
      <c r="AW582">
        <v>0.47058823529411759</v>
      </c>
      <c r="AX582">
        <v>0.37209302325581389</v>
      </c>
      <c r="AY582">
        <v>0.46511627906976749</v>
      </c>
      <c r="AZ582">
        <v>6.9767441860465129E-2</v>
      </c>
      <c r="BA582">
        <v>9.3023255813953487E-2</v>
      </c>
      <c r="BB582">
        <v>6.2192035579236471</v>
      </c>
      <c r="BC582">
        <v>20</v>
      </c>
      <c r="BD582">
        <v>229.90248606119221</v>
      </c>
      <c r="BE582">
        <v>1</v>
      </c>
      <c r="BF582">
        <v>8.6993404650164072E-2</v>
      </c>
      <c r="BG582">
        <v>15.28115725</v>
      </c>
      <c r="BH582">
        <v>15.28115725</v>
      </c>
      <c r="BI582">
        <v>15.28115725</v>
      </c>
      <c r="BJ582">
        <v>0</v>
      </c>
      <c r="BK582">
        <v>0</v>
      </c>
      <c r="BM582">
        <v>0</v>
      </c>
      <c r="BP582">
        <v>0</v>
      </c>
      <c r="BQ582">
        <v>0</v>
      </c>
      <c r="BS582">
        <v>0</v>
      </c>
      <c r="BT582">
        <v>0</v>
      </c>
      <c r="BU582">
        <v>0</v>
      </c>
      <c r="BV582">
        <v>388.97539902</v>
      </c>
      <c r="BW582">
        <v>0.102834266899083</v>
      </c>
      <c r="BX582">
        <v>10</v>
      </c>
      <c r="BY582">
        <v>5.1417133449541519E-2</v>
      </c>
      <c r="BZ582">
        <v>4.3496702325082043E-2</v>
      </c>
      <c r="CC582">
        <v>0.43867496702406639</v>
      </c>
      <c r="CF582">
        <v>0.51855446768991598</v>
      </c>
    </row>
    <row r="583" spans="1:84" x14ac:dyDescent="0.3">
      <c r="A583" s="1">
        <v>638</v>
      </c>
      <c r="B583" t="s">
        <v>1115</v>
      </c>
      <c r="C583" t="s">
        <v>1116</v>
      </c>
      <c r="E583" t="s">
        <v>404</v>
      </c>
      <c r="F583">
        <v>3.58</v>
      </c>
      <c r="G583" t="s">
        <v>1080</v>
      </c>
      <c r="H583">
        <v>-1</v>
      </c>
      <c r="I583">
        <v>-1</v>
      </c>
      <c r="J583">
        <v>1</v>
      </c>
      <c r="K583">
        <v>3.802</v>
      </c>
      <c r="L583">
        <v>3.802</v>
      </c>
      <c r="M583">
        <v>24.7</v>
      </c>
      <c r="N583" t="s">
        <v>101</v>
      </c>
      <c r="O583">
        <v>24.7</v>
      </c>
      <c r="Q583" t="s">
        <v>87</v>
      </c>
      <c r="R583">
        <v>1273</v>
      </c>
      <c r="S583">
        <v>10</v>
      </c>
      <c r="T583" t="b">
        <v>0</v>
      </c>
      <c r="U583" t="s">
        <v>125</v>
      </c>
      <c r="V583" t="s">
        <v>126</v>
      </c>
      <c r="W583">
        <v>0</v>
      </c>
      <c r="Y583">
        <v>0.5</v>
      </c>
      <c r="Z583">
        <v>1</v>
      </c>
      <c r="AC583" t="s">
        <v>90</v>
      </c>
      <c r="AD583">
        <v>125</v>
      </c>
      <c r="AE583">
        <v>220</v>
      </c>
      <c r="AF583" t="s">
        <v>91</v>
      </c>
      <c r="AG583">
        <v>288</v>
      </c>
      <c r="AH583">
        <v>6000</v>
      </c>
      <c r="AI583" t="s">
        <v>972</v>
      </c>
      <c r="AL583" t="b">
        <v>1</v>
      </c>
      <c r="AM583" t="b">
        <v>0</v>
      </c>
      <c r="AN583" t="b">
        <v>0</v>
      </c>
      <c r="AO583" t="b">
        <v>0</v>
      </c>
      <c r="AP583" t="s">
        <v>1165</v>
      </c>
      <c r="AS583">
        <v>8.6995147482101913</v>
      </c>
      <c r="AT583">
        <v>1.510204081632653</v>
      </c>
      <c r="AU583">
        <v>1.2653061224489801</v>
      </c>
      <c r="AV583">
        <v>0.1224489795918367</v>
      </c>
      <c r="AW583">
        <v>0.16326530612244899</v>
      </c>
      <c r="AX583">
        <v>0.49333333333333329</v>
      </c>
      <c r="AY583">
        <v>0.41333333333333339</v>
      </c>
      <c r="AZ583">
        <v>0.04</v>
      </c>
      <c r="BA583">
        <v>5.333333333333333E-2</v>
      </c>
      <c r="BB583">
        <v>6.6971257268453872</v>
      </c>
      <c r="BC583">
        <v>20</v>
      </c>
      <c r="BD583">
        <v>733.37308460000008</v>
      </c>
      <c r="BE583">
        <v>2</v>
      </c>
      <c r="BF583">
        <v>5.4542497999932729E-2</v>
      </c>
      <c r="BG583">
        <v>3.8530000000000002</v>
      </c>
      <c r="BH583">
        <v>3.8530000000000002</v>
      </c>
      <c r="BI583">
        <v>49.4</v>
      </c>
      <c r="BJ583">
        <v>0</v>
      </c>
      <c r="BK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S583">
        <v>0</v>
      </c>
      <c r="BT583">
        <v>0</v>
      </c>
      <c r="BU583">
        <v>0</v>
      </c>
      <c r="BV583">
        <v>357.04353880000002</v>
      </c>
      <c r="BW583">
        <v>5.6015577448113731E-2</v>
      </c>
      <c r="BX583">
        <v>10</v>
      </c>
      <c r="BY583">
        <v>2.8007788724056869E-2</v>
      </c>
      <c r="BZ583">
        <v>2.7271248999966361E-2</v>
      </c>
      <c r="CC583">
        <v>0.33005342247707181</v>
      </c>
      <c r="CF583">
        <v>0.33896747906196412</v>
      </c>
    </row>
    <row r="584" spans="1:84" x14ac:dyDescent="0.3">
      <c r="A584" s="1">
        <v>669</v>
      </c>
      <c r="B584" t="s">
        <v>140</v>
      </c>
      <c r="C584" t="s">
        <v>141</v>
      </c>
      <c r="E584" t="s">
        <v>106</v>
      </c>
      <c r="F584">
        <v>3.45</v>
      </c>
      <c r="G584" t="s">
        <v>142</v>
      </c>
      <c r="H584">
        <v>1522043</v>
      </c>
      <c r="I584">
        <v>-1</v>
      </c>
      <c r="J584">
        <v>1</v>
      </c>
      <c r="K584">
        <v>3.8531</v>
      </c>
      <c r="L584">
        <v>3.8531</v>
      </c>
      <c r="M584">
        <v>16.2151</v>
      </c>
      <c r="N584" t="s">
        <v>1175</v>
      </c>
      <c r="O584">
        <v>16.2151</v>
      </c>
      <c r="Q584" t="s">
        <v>87</v>
      </c>
      <c r="R584">
        <v>1373</v>
      </c>
      <c r="S584">
        <v>24</v>
      </c>
      <c r="T584" t="b">
        <v>0</v>
      </c>
      <c r="U584" t="s">
        <v>88</v>
      </c>
      <c r="V584" t="s">
        <v>89</v>
      </c>
      <c r="W584">
        <v>0</v>
      </c>
      <c r="Y584">
        <v>0.5</v>
      </c>
      <c r="Z584">
        <v>1</v>
      </c>
      <c r="AC584" t="s">
        <v>90</v>
      </c>
      <c r="AD584">
        <v>125</v>
      </c>
      <c r="AE584">
        <v>220</v>
      </c>
      <c r="AF584" t="s">
        <v>91</v>
      </c>
      <c r="AG584">
        <v>288</v>
      </c>
      <c r="AH584">
        <v>3896.3136115165939</v>
      </c>
      <c r="AI584" t="s">
        <v>144</v>
      </c>
      <c r="AJ584" t="s">
        <v>144</v>
      </c>
      <c r="AL584" t="b">
        <v>1</v>
      </c>
      <c r="AM584" t="b">
        <v>1</v>
      </c>
      <c r="AN584" t="b">
        <v>0</v>
      </c>
      <c r="AO584" t="b">
        <v>0</v>
      </c>
      <c r="AP584" t="s">
        <v>1176</v>
      </c>
      <c r="AQ584" t="s">
        <v>1177</v>
      </c>
      <c r="AS584">
        <v>8.2677861572919618</v>
      </c>
      <c r="AT584">
        <v>1.75</v>
      </c>
      <c r="AU584">
        <v>2.5</v>
      </c>
      <c r="AV584">
        <v>0.75</v>
      </c>
      <c r="AW584">
        <v>0</v>
      </c>
      <c r="AX584">
        <v>0.35</v>
      </c>
      <c r="AY584">
        <v>0.5</v>
      </c>
      <c r="AZ584">
        <v>0.15</v>
      </c>
      <c r="BA584">
        <v>0</v>
      </c>
      <c r="BB584">
        <v>6.2640154224906874</v>
      </c>
      <c r="BC584">
        <v>20</v>
      </c>
      <c r="BD584">
        <v>242.1279024923125</v>
      </c>
      <c r="BE584">
        <v>1</v>
      </c>
      <c r="BF584">
        <v>8.2600971611006269E-2</v>
      </c>
      <c r="BG584">
        <v>3.950634</v>
      </c>
      <c r="BH584">
        <v>3.950634</v>
      </c>
      <c r="BI584">
        <v>15.513552000000001</v>
      </c>
      <c r="BJ584">
        <v>227.970829547178</v>
      </c>
      <c r="BK584">
        <v>1</v>
      </c>
      <c r="BL584">
        <v>8.7730522539775438E-2</v>
      </c>
      <c r="BM584">
        <v>3.8658999999999999</v>
      </c>
      <c r="BN584">
        <v>3.8658999999999999</v>
      </c>
      <c r="BO584">
        <v>15.2538</v>
      </c>
      <c r="BP584">
        <v>0</v>
      </c>
      <c r="BQ584">
        <v>0</v>
      </c>
      <c r="BS584">
        <v>0</v>
      </c>
      <c r="BT584">
        <v>0</v>
      </c>
      <c r="BU584">
        <v>0</v>
      </c>
      <c r="BV584">
        <v>240.73553001411099</v>
      </c>
      <c r="BW584">
        <v>8.3078721279022161E-2</v>
      </c>
      <c r="BX584">
        <v>10</v>
      </c>
      <c r="BY584">
        <v>4.153936063951108E-2</v>
      </c>
      <c r="BZ584">
        <v>4.1300485805503127E-2</v>
      </c>
      <c r="CA584">
        <v>4.3865261269887719E-2</v>
      </c>
      <c r="CC584">
        <v>0.42195359024583579</v>
      </c>
      <c r="CD584">
        <v>0.44815706447294301</v>
      </c>
      <c r="CF584">
        <v>0.42439409649807952</v>
      </c>
    </row>
    <row r="585" spans="1:84" x14ac:dyDescent="0.3">
      <c r="A585" s="1">
        <v>671</v>
      </c>
      <c r="B585" t="s">
        <v>249</v>
      </c>
      <c r="C585" t="s">
        <v>250</v>
      </c>
      <c r="E585" t="s">
        <v>130</v>
      </c>
      <c r="F585">
        <v>3</v>
      </c>
      <c r="G585">
        <v>-1</v>
      </c>
      <c r="H585">
        <v>-1</v>
      </c>
      <c r="I585" t="s">
        <v>251</v>
      </c>
      <c r="Q585" t="s">
        <v>248</v>
      </c>
      <c r="T585" t="b">
        <v>0</v>
      </c>
      <c r="U585" t="s">
        <v>88</v>
      </c>
      <c r="V585" t="s">
        <v>89</v>
      </c>
      <c r="W585">
        <v>0</v>
      </c>
      <c r="Y585">
        <v>0.5</v>
      </c>
      <c r="Z585">
        <v>1</v>
      </c>
      <c r="AC585" t="s">
        <v>90</v>
      </c>
      <c r="AD585">
        <v>125</v>
      </c>
      <c r="AE585">
        <v>220</v>
      </c>
      <c r="AF585" t="s">
        <v>91</v>
      </c>
      <c r="AG585">
        <v>288</v>
      </c>
      <c r="AH585">
        <v>95.454545454545453</v>
      </c>
      <c r="AL585" t="b">
        <v>0</v>
      </c>
      <c r="AM585" t="b">
        <v>0</v>
      </c>
      <c r="AN585" t="b">
        <v>1</v>
      </c>
      <c r="AO585" t="b">
        <v>0</v>
      </c>
      <c r="AP585">
        <v>-1</v>
      </c>
      <c r="AQ585">
        <v>-1</v>
      </c>
      <c r="AR585" t="s">
        <v>251</v>
      </c>
      <c r="AS585">
        <v>4.5586501703531983</v>
      </c>
      <c r="AT585">
        <v>1.714285714285714</v>
      </c>
      <c r="AU585">
        <v>2.8571428571428572</v>
      </c>
      <c r="AV585">
        <v>1.142857142857143</v>
      </c>
      <c r="AW585">
        <v>0</v>
      </c>
      <c r="AX585">
        <v>0.3</v>
      </c>
      <c r="AY585">
        <v>0.5</v>
      </c>
      <c r="AZ585">
        <v>0.2</v>
      </c>
      <c r="BA585">
        <v>0</v>
      </c>
      <c r="BB585">
        <v>6.4820252782142864</v>
      </c>
      <c r="BC585">
        <v>10</v>
      </c>
      <c r="BD585">
        <v>0</v>
      </c>
      <c r="BE585">
        <v>0</v>
      </c>
      <c r="BG585">
        <v>0</v>
      </c>
      <c r="BJ585">
        <v>0</v>
      </c>
      <c r="BK585">
        <v>0</v>
      </c>
      <c r="BM585">
        <v>0</v>
      </c>
      <c r="BP585">
        <v>1351.782831723561</v>
      </c>
      <c r="BQ585">
        <v>14</v>
      </c>
      <c r="BR585">
        <v>0.10356693154735221</v>
      </c>
      <c r="BS585">
        <v>19.329999999999998</v>
      </c>
      <c r="BT585">
        <v>3.823</v>
      </c>
      <c r="BU585">
        <v>20.322500000000002</v>
      </c>
      <c r="BX585">
        <v>5</v>
      </c>
      <c r="CB585">
        <v>5.1783465773676103E-2</v>
      </c>
      <c r="CE585">
        <v>0.47507575040644112</v>
      </c>
    </row>
    <row r="586" spans="1:84" x14ac:dyDescent="0.3">
      <c r="A586" s="1">
        <v>680</v>
      </c>
      <c r="B586" t="s">
        <v>372</v>
      </c>
      <c r="C586" t="s">
        <v>944</v>
      </c>
      <c r="E586" t="s">
        <v>372</v>
      </c>
      <c r="F586">
        <v>3.45</v>
      </c>
      <c r="G586" t="s">
        <v>373</v>
      </c>
      <c r="H586">
        <v>-1</v>
      </c>
      <c r="I586" t="s">
        <v>901</v>
      </c>
      <c r="J586">
        <v>2</v>
      </c>
      <c r="K586">
        <v>3.7</v>
      </c>
      <c r="L586">
        <v>3.7</v>
      </c>
      <c r="M586">
        <v>12.2</v>
      </c>
      <c r="O586">
        <v>12.2</v>
      </c>
      <c r="Q586" t="s">
        <v>87</v>
      </c>
      <c r="R586">
        <v>1098</v>
      </c>
      <c r="S586">
        <v>12</v>
      </c>
      <c r="T586" t="b">
        <v>0</v>
      </c>
      <c r="U586" t="s">
        <v>88</v>
      </c>
      <c r="V586" t="s">
        <v>89</v>
      </c>
      <c r="W586">
        <v>0</v>
      </c>
      <c r="X586">
        <v>9.6999999999999993</v>
      </c>
      <c r="Y586">
        <v>0.5</v>
      </c>
      <c r="Z586">
        <v>1</v>
      </c>
      <c r="AC586" t="s">
        <v>90</v>
      </c>
      <c r="AD586">
        <v>125</v>
      </c>
      <c r="AE586">
        <v>220</v>
      </c>
      <c r="AF586" t="s">
        <v>91</v>
      </c>
      <c r="AG586">
        <v>288</v>
      </c>
      <c r="AH586">
        <v>29.2</v>
      </c>
      <c r="AI586" t="s">
        <v>136</v>
      </c>
      <c r="AL586" t="b">
        <v>1</v>
      </c>
      <c r="AM586" t="b">
        <v>0</v>
      </c>
      <c r="AN586" t="b">
        <v>0</v>
      </c>
      <c r="AO586" t="b">
        <v>0</v>
      </c>
      <c r="AP586" t="s">
        <v>1181</v>
      </c>
      <c r="AR586" t="s">
        <v>901</v>
      </c>
      <c r="AS586">
        <v>3.3741687092742358</v>
      </c>
      <c r="AT586">
        <v>1.857142857142857</v>
      </c>
      <c r="AU586">
        <v>2.285714285714286</v>
      </c>
      <c r="AV586">
        <v>0.42857142857142849</v>
      </c>
      <c r="AW586">
        <v>0</v>
      </c>
      <c r="AX586">
        <v>0.40625000000000011</v>
      </c>
      <c r="AY586">
        <v>0.5</v>
      </c>
      <c r="AZ586">
        <v>9.375E-2</v>
      </c>
      <c r="BA586">
        <v>0</v>
      </c>
      <c r="BB586">
        <v>6.2648152075501429</v>
      </c>
      <c r="BC586">
        <v>8</v>
      </c>
      <c r="BD586">
        <v>203.79933701026059</v>
      </c>
      <c r="BE586">
        <v>2</v>
      </c>
      <c r="BF586">
        <v>7.8508596910668346E-2</v>
      </c>
      <c r="BG586">
        <v>3.8703880000000002</v>
      </c>
      <c r="BH586">
        <v>3.8703880000000002</v>
      </c>
      <c r="BI586">
        <v>13.604850000000001</v>
      </c>
      <c r="BJ586">
        <v>0</v>
      </c>
      <c r="BK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S586">
        <v>0</v>
      </c>
      <c r="BT586">
        <v>0</v>
      </c>
      <c r="BU586">
        <v>0</v>
      </c>
      <c r="BV586">
        <v>167.018</v>
      </c>
      <c r="BW586">
        <v>9.579805769438024E-2</v>
      </c>
      <c r="BX586">
        <v>4</v>
      </c>
      <c r="BY586">
        <v>4.789902884719012E-2</v>
      </c>
      <c r="BZ586">
        <v>3.9254298455334173E-2</v>
      </c>
      <c r="CC586">
        <v>0.41209139981608062</v>
      </c>
      <c r="CF586">
        <v>0.50284372983838532</v>
      </c>
    </row>
    <row r="587" spans="1:84" x14ac:dyDescent="0.3">
      <c r="A587" s="1">
        <v>681</v>
      </c>
      <c r="B587" t="s">
        <v>970</v>
      </c>
      <c r="C587" t="s">
        <v>971</v>
      </c>
      <c r="E587" t="s">
        <v>372</v>
      </c>
      <c r="F587">
        <v>3.48</v>
      </c>
      <c r="G587" t="s">
        <v>373</v>
      </c>
      <c r="H587">
        <v>-1</v>
      </c>
      <c r="I587" t="s">
        <v>754</v>
      </c>
      <c r="J587">
        <v>2</v>
      </c>
      <c r="K587">
        <v>3.7</v>
      </c>
      <c r="L587">
        <v>3.7</v>
      </c>
      <c r="M587">
        <v>12.1</v>
      </c>
      <c r="O587">
        <v>12.1</v>
      </c>
      <c r="Q587" t="s">
        <v>87</v>
      </c>
      <c r="R587">
        <v>1098</v>
      </c>
      <c r="S587">
        <v>12</v>
      </c>
      <c r="T587" t="b">
        <v>0</v>
      </c>
      <c r="U587" t="s">
        <v>88</v>
      </c>
      <c r="V587" t="s">
        <v>89</v>
      </c>
      <c r="W587">
        <v>0</v>
      </c>
      <c r="X587">
        <v>8.6</v>
      </c>
      <c r="Y587">
        <v>0.5</v>
      </c>
      <c r="Z587">
        <v>1</v>
      </c>
      <c r="AC587" t="s">
        <v>90</v>
      </c>
      <c r="AD587">
        <v>125</v>
      </c>
      <c r="AE587">
        <v>220</v>
      </c>
      <c r="AF587" t="s">
        <v>91</v>
      </c>
      <c r="AG587">
        <v>288</v>
      </c>
      <c r="AH587">
        <v>29.2</v>
      </c>
      <c r="AI587" t="s">
        <v>972</v>
      </c>
      <c r="AL587" t="b">
        <v>1</v>
      </c>
      <c r="AM587" t="b">
        <v>0</v>
      </c>
      <c r="AN587" t="b">
        <v>0</v>
      </c>
      <c r="AO587" t="b">
        <v>0</v>
      </c>
      <c r="AP587" t="s">
        <v>1182</v>
      </c>
      <c r="AR587" t="s">
        <v>754</v>
      </c>
      <c r="AS587">
        <v>3.3741687092742358</v>
      </c>
      <c r="AT587">
        <v>1.857142857142857</v>
      </c>
      <c r="AU587">
        <v>2.285714285714286</v>
      </c>
      <c r="AV587">
        <v>0.2857142857142857</v>
      </c>
      <c r="AW587">
        <v>0.5714285714285714</v>
      </c>
      <c r="AX587">
        <v>0.37142857142857139</v>
      </c>
      <c r="AY587">
        <v>0.45714285714285707</v>
      </c>
      <c r="AZ587">
        <v>5.7142857142857141E-2</v>
      </c>
      <c r="BA587">
        <v>0.1142857142857143</v>
      </c>
      <c r="BB587">
        <v>6.2282471432644284</v>
      </c>
      <c r="BC587">
        <v>8</v>
      </c>
      <c r="BD587">
        <v>203.79933701026059</v>
      </c>
      <c r="BE587">
        <v>2</v>
      </c>
      <c r="BF587">
        <v>7.8508596910668346E-2</v>
      </c>
      <c r="BG587">
        <v>3.8703880000000002</v>
      </c>
      <c r="BH587">
        <v>3.8703880000000002</v>
      </c>
      <c r="BI587">
        <v>13.604850000000001</v>
      </c>
      <c r="BJ587">
        <v>0</v>
      </c>
      <c r="BK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S587">
        <v>0</v>
      </c>
      <c r="BT587">
        <v>0</v>
      </c>
      <c r="BU587">
        <v>0</v>
      </c>
      <c r="BV587">
        <v>165.649</v>
      </c>
      <c r="BW587">
        <v>9.658977717945777E-2</v>
      </c>
      <c r="BX587">
        <v>4</v>
      </c>
      <c r="BY587">
        <v>4.8294888589728878E-2</v>
      </c>
      <c r="BZ587">
        <v>3.9254298455334173E-2</v>
      </c>
      <c r="CC587">
        <v>0.40413338857906378</v>
      </c>
      <c r="CF587">
        <v>0.49720865599021552</v>
      </c>
    </row>
    <row r="588" spans="1:84" x14ac:dyDescent="0.3">
      <c r="A588" s="1">
        <v>682</v>
      </c>
      <c r="B588" t="s">
        <v>1054</v>
      </c>
      <c r="C588" t="s">
        <v>1055</v>
      </c>
      <c r="E588" t="s">
        <v>404</v>
      </c>
      <c r="F588">
        <v>3.45</v>
      </c>
      <c r="G588" t="s">
        <v>405</v>
      </c>
      <c r="H588">
        <v>-1</v>
      </c>
      <c r="I588" t="s">
        <v>1056</v>
      </c>
      <c r="J588">
        <v>1</v>
      </c>
      <c r="K588">
        <v>3.8</v>
      </c>
      <c r="L588">
        <v>3.8</v>
      </c>
      <c r="M588">
        <v>13.6</v>
      </c>
      <c r="O588">
        <v>13.6</v>
      </c>
      <c r="Q588" t="s">
        <v>87</v>
      </c>
      <c r="R588">
        <v>1373</v>
      </c>
      <c r="S588">
        <v>12</v>
      </c>
      <c r="T588" t="b">
        <v>0</v>
      </c>
      <c r="U588" t="s">
        <v>88</v>
      </c>
      <c r="V588" t="s">
        <v>89</v>
      </c>
      <c r="W588">
        <v>0</v>
      </c>
      <c r="X588">
        <v>3.2</v>
      </c>
      <c r="Y588">
        <v>0.5</v>
      </c>
      <c r="Z588">
        <v>1</v>
      </c>
      <c r="AC588" t="s">
        <v>90</v>
      </c>
      <c r="AD588">
        <v>125</v>
      </c>
      <c r="AE588">
        <v>220</v>
      </c>
      <c r="AF588" t="s">
        <v>91</v>
      </c>
      <c r="AG588">
        <v>288</v>
      </c>
      <c r="AH588">
        <v>50.8</v>
      </c>
      <c r="AI588" t="s">
        <v>136</v>
      </c>
      <c r="AL588" t="b">
        <v>1</v>
      </c>
      <c r="AM588" t="b">
        <v>0</v>
      </c>
      <c r="AN588" t="b">
        <v>0</v>
      </c>
      <c r="AO588" t="b">
        <v>0</v>
      </c>
      <c r="AP588" t="s">
        <v>1183</v>
      </c>
      <c r="AR588" t="s">
        <v>1056</v>
      </c>
      <c r="AS588">
        <v>3.9278963545844361</v>
      </c>
      <c r="AT588">
        <v>1.882352941176471</v>
      </c>
      <c r="AU588">
        <v>2.3529411764705879</v>
      </c>
      <c r="AV588">
        <v>0.47058823529411759</v>
      </c>
      <c r="AW588">
        <v>0</v>
      </c>
      <c r="AX588">
        <v>0.4</v>
      </c>
      <c r="AY588">
        <v>0.5</v>
      </c>
      <c r="AZ588">
        <v>9.9999999999999992E-2</v>
      </c>
      <c r="BA588">
        <v>0</v>
      </c>
      <c r="BB588">
        <v>6.249318434394235</v>
      </c>
      <c r="BC588">
        <v>20</v>
      </c>
      <c r="BD588">
        <v>229.90248606119221</v>
      </c>
      <c r="BE588">
        <v>1</v>
      </c>
      <c r="BF588">
        <v>8.6993404650164072E-2</v>
      </c>
      <c r="BG588">
        <v>15.28115725</v>
      </c>
      <c r="BH588">
        <v>15.28115725</v>
      </c>
      <c r="BI588">
        <v>15.28115725</v>
      </c>
      <c r="BJ588">
        <v>0</v>
      </c>
      <c r="BK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S588">
        <v>0</v>
      </c>
      <c r="BT588">
        <v>0</v>
      </c>
      <c r="BU588">
        <v>0</v>
      </c>
      <c r="BV588">
        <v>196.38399999999999</v>
      </c>
      <c r="BW588">
        <v>0.1018412905328336</v>
      </c>
      <c r="BX588">
        <v>10</v>
      </c>
      <c r="BY588">
        <v>5.092064526641682E-2</v>
      </c>
      <c r="BZ588">
        <v>4.3496702325082043E-2</v>
      </c>
      <c r="CC588">
        <v>0.44572942494581569</v>
      </c>
      <c r="CF588">
        <v>0.52180576271828982</v>
      </c>
    </row>
    <row r="589" spans="1:84" x14ac:dyDescent="0.3">
      <c r="A589" s="1">
        <v>683</v>
      </c>
      <c r="B589" t="s">
        <v>1106</v>
      </c>
      <c r="C589" t="s">
        <v>1107</v>
      </c>
      <c r="E589" t="s">
        <v>404</v>
      </c>
      <c r="F589">
        <v>3.47</v>
      </c>
      <c r="G589" t="s">
        <v>405</v>
      </c>
      <c r="H589">
        <v>-1</v>
      </c>
      <c r="I589">
        <v>-1</v>
      </c>
      <c r="J589">
        <v>1</v>
      </c>
      <c r="K589">
        <v>3.8</v>
      </c>
      <c r="L589">
        <v>3.8</v>
      </c>
      <c r="M589">
        <v>13.6</v>
      </c>
      <c r="O589">
        <v>13.6</v>
      </c>
      <c r="Q589" t="s">
        <v>87</v>
      </c>
      <c r="R589">
        <v>1373</v>
      </c>
      <c r="S589">
        <v>12</v>
      </c>
      <c r="T589" t="b">
        <v>0</v>
      </c>
      <c r="U589" t="s">
        <v>88</v>
      </c>
      <c r="V589" t="s">
        <v>89</v>
      </c>
      <c r="W589">
        <v>0</v>
      </c>
      <c r="X589">
        <v>3.1</v>
      </c>
      <c r="Y589">
        <v>0.5</v>
      </c>
      <c r="Z589">
        <v>1</v>
      </c>
      <c r="AC589" t="s">
        <v>90</v>
      </c>
      <c r="AD589">
        <v>125</v>
      </c>
      <c r="AE589">
        <v>220</v>
      </c>
      <c r="AF589" t="s">
        <v>91</v>
      </c>
      <c r="AG589">
        <v>288</v>
      </c>
      <c r="AH589">
        <v>80</v>
      </c>
      <c r="AI589" t="s">
        <v>972</v>
      </c>
      <c r="AL589" t="b">
        <v>1</v>
      </c>
      <c r="AM589" t="b">
        <v>0</v>
      </c>
      <c r="AN589" t="b">
        <v>0</v>
      </c>
      <c r="AO589" t="b">
        <v>0</v>
      </c>
      <c r="AP589" t="s">
        <v>1184</v>
      </c>
      <c r="AQ589">
        <v>-1</v>
      </c>
      <c r="AS589">
        <v>4.3820266346738812</v>
      </c>
      <c r="AT589">
        <v>1.882352941176471</v>
      </c>
      <c r="AU589">
        <v>2.3529411764705879</v>
      </c>
      <c r="AV589">
        <v>0.35294117647058831</v>
      </c>
      <c r="AW589">
        <v>0.47058823529411759</v>
      </c>
      <c r="AX589">
        <v>0.37209302325581389</v>
      </c>
      <c r="AY589">
        <v>0.46511627906976749</v>
      </c>
      <c r="AZ589">
        <v>6.9767441860465129E-2</v>
      </c>
      <c r="BA589">
        <v>9.3023255813953487E-2</v>
      </c>
      <c r="BB589">
        <v>6.2192035579236471</v>
      </c>
      <c r="BC589">
        <v>20</v>
      </c>
      <c r="BD589">
        <v>229.90248606119221</v>
      </c>
      <c r="BE589">
        <v>1</v>
      </c>
      <c r="BF589">
        <v>8.6993404650164072E-2</v>
      </c>
      <c r="BG589">
        <v>15.28115725</v>
      </c>
      <c r="BH589">
        <v>15.28115725</v>
      </c>
      <c r="BI589">
        <v>15.28115725</v>
      </c>
      <c r="BJ589">
        <v>0</v>
      </c>
      <c r="BK589">
        <v>0</v>
      </c>
      <c r="BM589">
        <v>0</v>
      </c>
      <c r="BP589">
        <v>0</v>
      </c>
      <c r="BQ589">
        <v>0</v>
      </c>
      <c r="BS589">
        <v>0</v>
      </c>
      <c r="BT589">
        <v>0</v>
      </c>
      <c r="BU589">
        <v>0</v>
      </c>
      <c r="BV589">
        <v>196.38399999999999</v>
      </c>
      <c r="BW589">
        <v>0.1018412905328336</v>
      </c>
      <c r="BX589">
        <v>10</v>
      </c>
      <c r="BY589">
        <v>5.092064526641682E-2</v>
      </c>
      <c r="BZ589">
        <v>4.3496702325082043E-2</v>
      </c>
      <c r="CC589">
        <v>0.43867496702406639</v>
      </c>
      <c r="CF589">
        <v>0.51354726195435674</v>
      </c>
    </row>
    <row r="590" spans="1:84" x14ac:dyDescent="0.3">
      <c r="A590" s="1">
        <v>684</v>
      </c>
      <c r="B590" t="s">
        <v>372</v>
      </c>
      <c r="C590" t="s">
        <v>944</v>
      </c>
      <c r="E590" t="s">
        <v>372</v>
      </c>
      <c r="F590">
        <v>3.4</v>
      </c>
      <c r="G590" t="s">
        <v>373</v>
      </c>
      <c r="H590">
        <v>-1</v>
      </c>
      <c r="I590" t="s">
        <v>901</v>
      </c>
      <c r="J590">
        <v>2</v>
      </c>
      <c r="K590">
        <v>3.7</v>
      </c>
      <c r="L590">
        <v>3.7</v>
      </c>
      <c r="M590">
        <v>14</v>
      </c>
      <c r="O590">
        <v>14</v>
      </c>
      <c r="Q590" t="s">
        <v>87</v>
      </c>
      <c r="R590">
        <v>1098</v>
      </c>
      <c r="S590">
        <v>12</v>
      </c>
      <c r="T590" t="b">
        <v>0</v>
      </c>
      <c r="U590" t="s">
        <v>88</v>
      </c>
      <c r="V590" t="s">
        <v>89</v>
      </c>
      <c r="W590">
        <v>0</v>
      </c>
      <c r="X590">
        <v>54</v>
      </c>
      <c r="Y590">
        <v>0.5</v>
      </c>
      <c r="Z590">
        <v>1</v>
      </c>
      <c r="AC590" t="s">
        <v>90</v>
      </c>
      <c r="AD590">
        <v>125</v>
      </c>
      <c r="AE590">
        <v>220</v>
      </c>
      <c r="AF590" t="s">
        <v>91</v>
      </c>
      <c r="AG590">
        <v>288</v>
      </c>
      <c r="AH590">
        <v>108.4</v>
      </c>
      <c r="AI590" t="s">
        <v>136</v>
      </c>
      <c r="AL590" t="b">
        <v>1</v>
      </c>
      <c r="AM590" t="b">
        <v>0</v>
      </c>
      <c r="AN590" t="b">
        <v>0</v>
      </c>
      <c r="AO590" t="b">
        <v>0</v>
      </c>
      <c r="AP590" t="s">
        <v>1185</v>
      </c>
      <c r="AR590" t="s">
        <v>901</v>
      </c>
      <c r="AS590">
        <v>4.6858280890055459</v>
      </c>
      <c r="AT590">
        <v>1.857142857142857</v>
      </c>
      <c r="AU590">
        <v>2.285714285714286</v>
      </c>
      <c r="AV590">
        <v>0.42857142857142849</v>
      </c>
      <c r="AW590">
        <v>0</v>
      </c>
      <c r="AX590">
        <v>0.40625000000000011</v>
      </c>
      <c r="AY590">
        <v>0.5</v>
      </c>
      <c r="AZ590">
        <v>9.375E-2</v>
      </c>
      <c r="BA590">
        <v>0</v>
      </c>
      <c r="BB590">
        <v>6.2648152075501429</v>
      </c>
      <c r="BC590">
        <v>8</v>
      </c>
      <c r="BD590">
        <v>203.79933701026059</v>
      </c>
      <c r="BE590">
        <v>2</v>
      </c>
      <c r="BF590">
        <v>7.8508596910668346E-2</v>
      </c>
      <c r="BG590">
        <v>3.8703880000000002</v>
      </c>
      <c r="BH590">
        <v>3.8703880000000002</v>
      </c>
      <c r="BI590">
        <v>13.604850000000001</v>
      </c>
      <c r="BJ590">
        <v>0</v>
      </c>
      <c r="BK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S590">
        <v>0</v>
      </c>
      <c r="BT590">
        <v>0</v>
      </c>
      <c r="BU590">
        <v>0</v>
      </c>
      <c r="BV590">
        <v>191.66</v>
      </c>
      <c r="BW590">
        <v>8.3481164562245636E-2</v>
      </c>
      <c r="BX590">
        <v>4</v>
      </c>
      <c r="BY590">
        <v>4.1740582281122818E-2</v>
      </c>
      <c r="BZ590">
        <v>3.9254298455334173E-2</v>
      </c>
      <c r="CC590">
        <v>0.41209139981608062</v>
      </c>
      <c r="CF590">
        <v>0.43819239314487862</v>
      </c>
    </row>
    <row r="591" spans="1:84" x14ac:dyDescent="0.3">
      <c r="A591" s="1">
        <v>685</v>
      </c>
      <c r="B591" t="s">
        <v>970</v>
      </c>
      <c r="C591" t="s">
        <v>971</v>
      </c>
      <c r="E591" t="s">
        <v>372</v>
      </c>
      <c r="F591">
        <v>3.22</v>
      </c>
      <c r="G591" t="s">
        <v>373</v>
      </c>
      <c r="H591">
        <v>-1</v>
      </c>
      <c r="I591" t="s">
        <v>754</v>
      </c>
      <c r="J591">
        <v>2</v>
      </c>
      <c r="K591">
        <v>3.7</v>
      </c>
      <c r="L591">
        <v>3.7</v>
      </c>
      <c r="M591">
        <v>16</v>
      </c>
      <c r="O591">
        <v>16</v>
      </c>
      <c r="Q591" t="s">
        <v>87</v>
      </c>
      <c r="R591">
        <v>1098</v>
      </c>
      <c r="S591">
        <v>12</v>
      </c>
      <c r="T591" t="b">
        <v>0</v>
      </c>
      <c r="U591" t="s">
        <v>88</v>
      </c>
      <c r="V591" t="s">
        <v>89</v>
      </c>
      <c r="W591">
        <v>0</v>
      </c>
      <c r="X591">
        <v>64</v>
      </c>
      <c r="Y591">
        <v>0.5</v>
      </c>
      <c r="Z591">
        <v>1</v>
      </c>
      <c r="AC591" t="s">
        <v>90</v>
      </c>
      <c r="AD591">
        <v>125</v>
      </c>
      <c r="AE591">
        <v>220</v>
      </c>
      <c r="AF591" t="s">
        <v>91</v>
      </c>
      <c r="AG591">
        <v>288</v>
      </c>
      <c r="AH591">
        <v>37.599999999999987</v>
      </c>
      <c r="AI591" t="s">
        <v>972</v>
      </c>
      <c r="AL591" t="b">
        <v>1</v>
      </c>
      <c r="AM591" t="b">
        <v>0</v>
      </c>
      <c r="AN591" t="b">
        <v>0</v>
      </c>
      <c r="AO591" t="b">
        <v>0</v>
      </c>
      <c r="AP591" t="s">
        <v>1186</v>
      </c>
      <c r="AR591" t="s">
        <v>754</v>
      </c>
      <c r="AS591">
        <v>3.6270040503958478</v>
      </c>
      <c r="AT591">
        <v>1.857142857142857</v>
      </c>
      <c r="AU591">
        <v>2.285714285714286</v>
      </c>
      <c r="AV591">
        <v>0.2857142857142857</v>
      </c>
      <c r="AW591">
        <v>0.5714285714285714</v>
      </c>
      <c r="AX591">
        <v>0.37142857142857139</v>
      </c>
      <c r="AY591">
        <v>0.45714285714285707</v>
      </c>
      <c r="AZ591">
        <v>5.7142857142857141E-2</v>
      </c>
      <c r="BA591">
        <v>0.1142857142857143</v>
      </c>
      <c r="BB591">
        <v>6.2282471432644284</v>
      </c>
      <c r="BC591">
        <v>8</v>
      </c>
      <c r="BD591">
        <v>203.79933701026059</v>
      </c>
      <c r="BE591">
        <v>2</v>
      </c>
      <c r="BF591">
        <v>7.8508596910668346E-2</v>
      </c>
      <c r="BG591">
        <v>3.8703880000000002</v>
      </c>
      <c r="BH591">
        <v>3.8703880000000002</v>
      </c>
      <c r="BI591">
        <v>13.604850000000001</v>
      </c>
      <c r="BJ591">
        <v>0</v>
      </c>
      <c r="BK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S591">
        <v>0</v>
      </c>
      <c r="BT591">
        <v>0</v>
      </c>
      <c r="BU591">
        <v>0</v>
      </c>
      <c r="BV591">
        <v>219.04</v>
      </c>
      <c r="BW591">
        <v>7.3046018991964931E-2</v>
      </c>
      <c r="BX591">
        <v>4</v>
      </c>
      <c r="BY591">
        <v>3.6523009495982472E-2</v>
      </c>
      <c r="BZ591">
        <v>3.9254298455334173E-2</v>
      </c>
      <c r="CC591">
        <v>0.40413338857906378</v>
      </c>
      <c r="CF591">
        <v>0.37601404609260042</v>
      </c>
    </row>
    <row r="592" spans="1:84" x14ac:dyDescent="0.3">
      <c r="A592" s="1">
        <v>686</v>
      </c>
      <c r="B592" t="s">
        <v>1054</v>
      </c>
      <c r="C592" t="s">
        <v>1055</v>
      </c>
      <c r="E592" t="s">
        <v>404</v>
      </c>
      <c r="F592">
        <v>3.26</v>
      </c>
      <c r="G592" t="s">
        <v>405</v>
      </c>
      <c r="H592">
        <v>-1</v>
      </c>
      <c r="I592" t="s">
        <v>1056</v>
      </c>
      <c r="J592">
        <v>2</v>
      </c>
      <c r="K592">
        <v>3.8</v>
      </c>
      <c r="L592">
        <v>3.8</v>
      </c>
      <c r="M592">
        <v>24</v>
      </c>
      <c r="O592">
        <v>12</v>
      </c>
      <c r="Q592" t="s">
        <v>87</v>
      </c>
      <c r="R592">
        <v>1373</v>
      </c>
      <c r="S592">
        <v>12</v>
      </c>
      <c r="T592" t="b">
        <v>0</v>
      </c>
      <c r="U592" t="s">
        <v>88</v>
      </c>
      <c r="V592" t="s">
        <v>89</v>
      </c>
      <c r="W592">
        <v>0</v>
      </c>
      <c r="X592">
        <v>21</v>
      </c>
      <c r="Y592">
        <v>0.5</v>
      </c>
      <c r="Z592">
        <v>1</v>
      </c>
      <c r="AC592" t="s">
        <v>90</v>
      </c>
      <c r="AD592">
        <v>125</v>
      </c>
      <c r="AE592">
        <v>220</v>
      </c>
      <c r="AF592" t="s">
        <v>91</v>
      </c>
      <c r="AG592">
        <v>288</v>
      </c>
      <c r="AH592">
        <v>784</v>
      </c>
      <c r="AI592" t="s">
        <v>136</v>
      </c>
      <c r="AL592" t="b">
        <v>1</v>
      </c>
      <c r="AM592" t="b">
        <v>0</v>
      </c>
      <c r="AN592" t="b">
        <v>0</v>
      </c>
      <c r="AO592" t="b">
        <v>0</v>
      </c>
      <c r="AP592" t="s">
        <v>1187</v>
      </c>
      <c r="AR592" t="s">
        <v>1056</v>
      </c>
      <c r="AS592">
        <v>6.6644090203504076</v>
      </c>
      <c r="AT592">
        <v>1.882352941176471</v>
      </c>
      <c r="AU592">
        <v>2.3529411764705879</v>
      </c>
      <c r="AV592">
        <v>0.47058823529411759</v>
      </c>
      <c r="AW592">
        <v>0</v>
      </c>
      <c r="AX592">
        <v>0.4</v>
      </c>
      <c r="AY592">
        <v>0.5</v>
      </c>
      <c r="AZ592">
        <v>9.9999999999999992E-2</v>
      </c>
      <c r="BA592">
        <v>0</v>
      </c>
      <c r="BB592">
        <v>6.249318434394235</v>
      </c>
      <c r="BC592">
        <v>20</v>
      </c>
      <c r="BD592">
        <v>229.90248606119221</v>
      </c>
      <c r="BE592">
        <v>1</v>
      </c>
      <c r="BF592">
        <v>8.6993404650164072E-2</v>
      </c>
      <c r="BG592">
        <v>15.28115725</v>
      </c>
      <c r="BH592">
        <v>15.28115725</v>
      </c>
      <c r="BI592">
        <v>15.28115725</v>
      </c>
      <c r="BJ592">
        <v>0</v>
      </c>
      <c r="BK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S592">
        <v>0</v>
      </c>
      <c r="BT592">
        <v>0</v>
      </c>
      <c r="BU592">
        <v>0</v>
      </c>
      <c r="BV592">
        <v>346.56</v>
      </c>
      <c r="BW592">
        <v>0.11542012927054481</v>
      </c>
      <c r="BX592">
        <v>10</v>
      </c>
      <c r="BY592">
        <v>5.7710064635272389E-2</v>
      </c>
      <c r="BZ592">
        <v>4.3496702325082043E-2</v>
      </c>
      <c r="CC592">
        <v>0.44572942494581569</v>
      </c>
      <c r="CF592">
        <v>0.59137986441406176</v>
      </c>
    </row>
    <row r="593" spans="1:84" x14ac:dyDescent="0.3">
      <c r="A593" s="1">
        <v>687</v>
      </c>
      <c r="B593" t="s">
        <v>1106</v>
      </c>
      <c r="C593" t="s">
        <v>1107</v>
      </c>
      <c r="E593" t="s">
        <v>404</v>
      </c>
      <c r="F593">
        <v>3.26</v>
      </c>
      <c r="G593" t="s">
        <v>405</v>
      </c>
      <c r="H593">
        <v>-1</v>
      </c>
      <c r="I593">
        <v>-1</v>
      </c>
      <c r="J593">
        <v>2</v>
      </c>
      <c r="K593">
        <v>3.8</v>
      </c>
      <c r="L593">
        <v>3.8</v>
      </c>
      <c r="M593">
        <v>19.5</v>
      </c>
      <c r="O593">
        <v>9.75</v>
      </c>
      <c r="Q593" t="s">
        <v>87</v>
      </c>
      <c r="R593">
        <v>1373</v>
      </c>
      <c r="S593">
        <v>12</v>
      </c>
      <c r="T593" t="b">
        <v>0</v>
      </c>
      <c r="U593" t="s">
        <v>88</v>
      </c>
      <c r="V593" t="s">
        <v>89</v>
      </c>
      <c r="W593">
        <v>0</v>
      </c>
      <c r="X593">
        <v>15</v>
      </c>
      <c r="Y593">
        <v>0.5</v>
      </c>
      <c r="Z593">
        <v>1</v>
      </c>
      <c r="AC593" t="s">
        <v>90</v>
      </c>
      <c r="AD593">
        <v>125</v>
      </c>
      <c r="AE593">
        <v>220</v>
      </c>
      <c r="AF593" t="s">
        <v>91</v>
      </c>
      <c r="AG593">
        <v>288</v>
      </c>
      <c r="AH593">
        <v>389.2</v>
      </c>
      <c r="AI593" t="s">
        <v>972</v>
      </c>
      <c r="AL593" t="b">
        <v>1</v>
      </c>
      <c r="AM593" t="b">
        <v>0</v>
      </c>
      <c r="AN593" t="b">
        <v>0</v>
      </c>
      <c r="AO593" t="b">
        <v>0</v>
      </c>
      <c r="AP593" t="s">
        <v>1188</v>
      </c>
      <c r="AQ593">
        <v>-1</v>
      </c>
      <c r="AS593">
        <v>5.9640933503118498</v>
      </c>
      <c r="AT593">
        <v>1.882352941176471</v>
      </c>
      <c r="AU593">
        <v>2.3529411764705879</v>
      </c>
      <c r="AV593">
        <v>0.35294117647058831</v>
      </c>
      <c r="AW593">
        <v>0.47058823529411759</v>
      </c>
      <c r="AX593">
        <v>0.37209302325581389</v>
      </c>
      <c r="AY593">
        <v>0.46511627906976749</v>
      </c>
      <c r="AZ593">
        <v>6.9767441860465129E-2</v>
      </c>
      <c r="BA593">
        <v>9.3023255813953487E-2</v>
      </c>
      <c r="BB593">
        <v>6.2192035579236471</v>
      </c>
      <c r="BC593">
        <v>20</v>
      </c>
      <c r="BD593">
        <v>229.90248606119221</v>
      </c>
      <c r="BE593">
        <v>1</v>
      </c>
      <c r="BF593">
        <v>8.6993404650164072E-2</v>
      </c>
      <c r="BG593">
        <v>15.28115725</v>
      </c>
      <c r="BH593">
        <v>15.28115725</v>
      </c>
      <c r="BI593">
        <v>15.28115725</v>
      </c>
      <c r="BJ593">
        <v>0</v>
      </c>
      <c r="BK593">
        <v>0</v>
      </c>
      <c r="BM593">
        <v>0</v>
      </c>
      <c r="BP593">
        <v>0</v>
      </c>
      <c r="BQ593">
        <v>0</v>
      </c>
      <c r="BS593">
        <v>0</v>
      </c>
      <c r="BT593">
        <v>0</v>
      </c>
      <c r="BU593">
        <v>0</v>
      </c>
      <c r="BV593">
        <v>281.58</v>
      </c>
      <c r="BW593">
        <v>0.1420555437175936</v>
      </c>
      <c r="BX593">
        <v>10</v>
      </c>
      <c r="BY593">
        <v>7.1027771858796787E-2</v>
      </c>
      <c r="BZ593">
        <v>4.3496702325082043E-2</v>
      </c>
      <c r="CC593">
        <v>0.43867496702406639</v>
      </c>
      <c r="CF593">
        <v>0.71633259103376934</v>
      </c>
    </row>
    <row r="594" spans="1:84" x14ac:dyDescent="0.3">
      <c r="A594" s="1">
        <v>696</v>
      </c>
      <c r="B594" t="s">
        <v>402</v>
      </c>
      <c r="C594" t="s">
        <v>403</v>
      </c>
      <c r="E594" t="s">
        <v>404</v>
      </c>
      <c r="F594">
        <v>3.63</v>
      </c>
      <c r="G594" t="s">
        <v>405</v>
      </c>
      <c r="H594">
        <v>-1</v>
      </c>
      <c r="I594" t="s">
        <v>754</v>
      </c>
      <c r="Q594" t="s">
        <v>87</v>
      </c>
      <c r="R594">
        <v>1373</v>
      </c>
      <c r="S594">
        <v>15</v>
      </c>
      <c r="T594" t="b">
        <v>0</v>
      </c>
      <c r="U594" t="s">
        <v>88</v>
      </c>
      <c r="V594" t="s">
        <v>89</v>
      </c>
      <c r="W594">
        <v>0</v>
      </c>
      <c r="X594">
        <v>1.8</v>
      </c>
      <c r="Y594">
        <v>0.5</v>
      </c>
      <c r="Z594">
        <v>1</v>
      </c>
      <c r="AC594" t="s">
        <v>90</v>
      </c>
      <c r="AD594">
        <v>125</v>
      </c>
      <c r="AE594">
        <v>220</v>
      </c>
      <c r="AF594" t="s">
        <v>91</v>
      </c>
      <c r="AG594">
        <v>288</v>
      </c>
      <c r="AH594">
        <v>216</v>
      </c>
      <c r="AL594" t="b">
        <v>1</v>
      </c>
      <c r="AM594" t="b">
        <v>0</v>
      </c>
      <c r="AN594" t="b">
        <v>0</v>
      </c>
      <c r="AO594" t="b">
        <v>0</v>
      </c>
      <c r="AP594" t="s">
        <v>405</v>
      </c>
      <c r="AR594" t="s">
        <v>754</v>
      </c>
      <c r="AS594">
        <v>5.3752784076841653</v>
      </c>
      <c r="AT594">
        <v>1.882352941176471</v>
      </c>
      <c r="AU594">
        <v>2.3529411764705879</v>
      </c>
      <c r="AV594">
        <v>0.47058823529411759</v>
      </c>
      <c r="AW594">
        <v>0</v>
      </c>
      <c r="AX594">
        <v>0.4</v>
      </c>
      <c r="AY594">
        <v>0.5</v>
      </c>
      <c r="AZ594">
        <v>9.9999999999999992E-2</v>
      </c>
      <c r="BA594">
        <v>0</v>
      </c>
      <c r="BB594">
        <v>5.6898768502941177</v>
      </c>
      <c r="BC594">
        <v>20</v>
      </c>
      <c r="BD594">
        <v>229.90248606119221</v>
      </c>
      <c r="BE594">
        <v>1</v>
      </c>
      <c r="BF594">
        <v>8.6993404650164072E-2</v>
      </c>
      <c r="BG594">
        <v>15.28115725</v>
      </c>
      <c r="BH594">
        <v>15.28115725</v>
      </c>
      <c r="BI594">
        <v>15.28115725</v>
      </c>
      <c r="BJ594">
        <v>0</v>
      </c>
      <c r="BK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S594">
        <v>0</v>
      </c>
      <c r="BT594">
        <v>0</v>
      </c>
      <c r="BU594">
        <v>0</v>
      </c>
      <c r="BX594">
        <v>10</v>
      </c>
      <c r="BZ594">
        <v>4.3496702325082043E-2</v>
      </c>
      <c r="CC594">
        <v>0.57369840599679478</v>
      </c>
    </row>
    <row r="595" spans="1:84" x14ac:dyDescent="0.3">
      <c r="A595" s="1">
        <v>698</v>
      </c>
      <c r="B595" t="s">
        <v>402</v>
      </c>
      <c r="C595" t="s">
        <v>403</v>
      </c>
      <c r="E595" t="s">
        <v>404</v>
      </c>
      <c r="F595">
        <v>3.56</v>
      </c>
      <c r="G595" t="s">
        <v>405</v>
      </c>
      <c r="H595">
        <v>-1</v>
      </c>
      <c r="I595" t="s">
        <v>754</v>
      </c>
      <c r="Q595" t="s">
        <v>821</v>
      </c>
      <c r="T595" t="b">
        <v>0</v>
      </c>
      <c r="U595" t="s">
        <v>88</v>
      </c>
      <c r="V595" t="s">
        <v>89</v>
      </c>
      <c r="W595">
        <v>0</v>
      </c>
      <c r="X595">
        <v>20</v>
      </c>
      <c r="Y595">
        <v>0.5</v>
      </c>
      <c r="Z595">
        <v>1</v>
      </c>
      <c r="AC595" t="s">
        <v>90</v>
      </c>
      <c r="AD595">
        <v>125</v>
      </c>
      <c r="AE595">
        <v>220</v>
      </c>
      <c r="AF595" t="s">
        <v>91</v>
      </c>
      <c r="AG595">
        <v>288</v>
      </c>
      <c r="AH595">
        <v>564</v>
      </c>
      <c r="AL595" t="b">
        <v>1</v>
      </c>
      <c r="AM595" t="b">
        <v>0</v>
      </c>
      <c r="AN595" t="b">
        <v>0</v>
      </c>
      <c r="AO595" t="b">
        <v>0</v>
      </c>
      <c r="AP595" t="s">
        <v>405</v>
      </c>
      <c r="AR595" t="s">
        <v>754</v>
      </c>
      <c r="AS595">
        <v>6.3350542514980592</v>
      </c>
      <c r="AT595">
        <v>1.882352941176471</v>
      </c>
      <c r="AU595">
        <v>2.3529411764705879</v>
      </c>
      <c r="AV595">
        <v>0.47058823529411759</v>
      </c>
      <c r="AW595">
        <v>0</v>
      </c>
      <c r="AX595">
        <v>0.4</v>
      </c>
      <c r="AY595">
        <v>0.5</v>
      </c>
      <c r="AZ595">
        <v>9.9999999999999992E-2</v>
      </c>
      <c r="BA595">
        <v>0</v>
      </c>
      <c r="BB595">
        <v>5.6898768502941177</v>
      </c>
      <c r="BC595">
        <v>20</v>
      </c>
      <c r="BD595">
        <v>229.90248606119221</v>
      </c>
      <c r="BE595">
        <v>1</v>
      </c>
      <c r="BF595">
        <v>8.6993404650164072E-2</v>
      </c>
      <c r="BG595">
        <v>15.28115725</v>
      </c>
      <c r="BH595">
        <v>15.28115725</v>
      </c>
      <c r="BI595">
        <v>15.28115725</v>
      </c>
      <c r="BJ595">
        <v>0</v>
      </c>
      <c r="BK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S595">
        <v>0</v>
      </c>
      <c r="BT595">
        <v>0</v>
      </c>
      <c r="BU595">
        <v>0</v>
      </c>
      <c r="BX595">
        <v>10</v>
      </c>
      <c r="BZ595">
        <v>4.3496702325082043E-2</v>
      </c>
      <c r="CC595">
        <v>0.57369840599679478</v>
      </c>
    </row>
    <row r="596" spans="1:84" x14ac:dyDescent="0.3">
      <c r="A596" s="1">
        <v>700</v>
      </c>
      <c r="B596" t="s">
        <v>1086</v>
      </c>
      <c r="C596" t="s">
        <v>1087</v>
      </c>
      <c r="E596" t="s">
        <v>404</v>
      </c>
      <c r="F596">
        <v>3.4</v>
      </c>
      <c r="G596" t="s">
        <v>1088</v>
      </c>
      <c r="H596">
        <v>-1</v>
      </c>
      <c r="I596">
        <v>-1</v>
      </c>
      <c r="J596">
        <v>2</v>
      </c>
      <c r="K596">
        <v>3.835</v>
      </c>
      <c r="L596">
        <v>3.835</v>
      </c>
      <c r="M596">
        <v>34.43</v>
      </c>
      <c r="N596" t="s">
        <v>101</v>
      </c>
      <c r="O596">
        <v>17.215</v>
      </c>
      <c r="Q596" t="s">
        <v>87</v>
      </c>
      <c r="R596">
        <v>1273</v>
      </c>
      <c r="S596">
        <v>10</v>
      </c>
      <c r="T596" t="b">
        <v>0</v>
      </c>
      <c r="U596" t="s">
        <v>88</v>
      </c>
      <c r="V596" t="s">
        <v>89</v>
      </c>
      <c r="W596">
        <v>0</v>
      </c>
      <c r="Y596">
        <v>0.5</v>
      </c>
      <c r="Z596">
        <v>0</v>
      </c>
      <c r="AC596" t="s">
        <v>90</v>
      </c>
      <c r="AD596">
        <v>125</v>
      </c>
      <c r="AE596">
        <v>220</v>
      </c>
      <c r="AF596" t="s">
        <v>91</v>
      </c>
      <c r="AG596">
        <v>288</v>
      </c>
      <c r="AH596">
        <v>3.28</v>
      </c>
      <c r="AI596" t="s">
        <v>136</v>
      </c>
      <c r="AL596" t="b">
        <v>1</v>
      </c>
      <c r="AM596" t="b">
        <v>0</v>
      </c>
      <c r="AN596" t="b">
        <v>0</v>
      </c>
      <c r="AO596" t="b">
        <v>0</v>
      </c>
      <c r="AP596" t="s">
        <v>1197</v>
      </c>
      <c r="AS596">
        <v>1.1878434223960519</v>
      </c>
      <c r="AT596">
        <v>1.452054794520548</v>
      </c>
      <c r="AU596">
        <v>1.068493150684932</v>
      </c>
      <c r="AV596">
        <v>0.1095890410958904</v>
      </c>
      <c r="AW596">
        <v>0</v>
      </c>
      <c r="AX596">
        <v>0.55208333333333337</v>
      </c>
      <c r="AY596">
        <v>0.40625000000000011</v>
      </c>
      <c r="AZ596">
        <v>4.1666666666666657E-2</v>
      </c>
      <c r="BA596">
        <v>0</v>
      </c>
      <c r="BB596">
        <v>6.7613944421512322</v>
      </c>
      <c r="BC596">
        <v>20</v>
      </c>
      <c r="BD596">
        <v>1015.4396556</v>
      </c>
      <c r="BE596">
        <v>2</v>
      </c>
      <c r="BF596">
        <v>3.9391804111062523E-2</v>
      </c>
      <c r="BG596">
        <v>3.8530000000000002</v>
      </c>
      <c r="BH596">
        <v>3.8530000000000002</v>
      </c>
      <c r="BI596">
        <v>68.400000000000006</v>
      </c>
      <c r="BJ596">
        <v>0</v>
      </c>
      <c r="BK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S596">
        <v>0</v>
      </c>
      <c r="BT596">
        <v>0</v>
      </c>
      <c r="BU596">
        <v>0</v>
      </c>
      <c r="BV596">
        <v>506.36975675000002</v>
      </c>
      <c r="BW596">
        <v>7.8993659212053646E-2</v>
      </c>
      <c r="BX596">
        <v>10</v>
      </c>
      <c r="BY596">
        <v>3.9496829606026823E-2</v>
      </c>
      <c r="BZ596">
        <v>1.9695902055531261E-2</v>
      </c>
      <c r="CC596">
        <v>0.2433493705793833</v>
      </c>
      <c r="CF596">
        <v>0.48799636581298611</v>
      </c>
    </row>
    <row r="597" spans="1:84" x14ac:dyDescent="0.3">
      <c r="A597" s="1">
        <v>701</v>
      </c>
      <c r="B597" t="s">
        <v>1086</v>
      </c>
      <c r="C597" t="s">
        <v>1087</v>
      </c>
      <c r="E597" t="s">
        <v>404</v>
      </c>
      <c r="F597">
        <v>3.4</v>
      </c>
      <c r="G597" t="s">
        <v>1088</v>
      </c>
      <c r="H597">
        <v>-1</v>
      </c>
      <c r="I597">
        <v>-1</v>
      </c>
      <c r="J597">
        <v>2</v>
      </c>
      <c r="K597">
        <v>3.835</v>
      </c>
      <c r="L597">
        <v>3.835</v>
      </c>
      <c r="M597">
        <v>34.43</v>
      </c>
      <c r="N597" t="s">
        <v>101</v>
      </c>
      <c r="O597">
        <v>17.215</v>
      </c>
      <c r="Q597" t="s">
        <v>87</v>
      </c>
      <c r="R597">
        <v>1273</v>
      </c>
      <c r="S597">
        <v>10</v>
      </c>
      <c r="T597" t="b">
        <v>0</v>
      </c>
      <c r="U597" t="s">
        <v>88</v>
      </c>
      <c r="V597" t="s">
        <v>89</v>
      </c>
      <c r="W597">
        <v>0</v>
      </c>
      <c r="Y597">
        <v>0.5</v>
      </c>
      <c r="Z597">
        <v>0.1</v>
      </c>
      <c r="AC597" t="s">
        <v>90</v>
      </c>
      <c r="AD597">
        <v>125</v>
      </c>
      <c r="AE597">
        <v>220</v>
      </c>
      <c r="AF597" t="s">
        <v>91</v>
      </c>
      <c r="AG597">
        <v>288</v>
      </c>
      <c r="AH597">
        <v>8.1599999999999984</v>
      </c>
      <c r="AI597" t="s">
        <v>136</v>
      </c>
      <c r="AL597" t="b">
        <v>1</v>
      </c>
      <c r="AM597" t="b">
        <v>0</v>
      </c>
      <c r="AN597" t="b">
        <v>0</v>
      </c>
      <c r="AO597" t="b">
        <v>0</v>
      </c>
      <c r="AP597" t="s">
        <v>1198</v>
      </c>
      <c r="AS597">
        <v>2.099244168976016</v>
      </c>
      <c r="AT597">
        <v>1.452054794520548</v>
      </c>
      <c r="AU597">
        <v>1.068493150684932</v>
      </c>
      <c r="AV597">
        <v>0.1095890410958904</v>
      </c>
      <c r="AW597">
        <v>0</v>
      </c>
      <c r="AX597">
        <v>0.55208333333333337</v>
      </c>
      <c r="AY597">
        <v>0.40625000000000011</v>
      </c>
      <c r="AZ597">
        <v>4.1666666666666657E-2</v>
      </c>
      <c r="BA597">
        <v>0</v>
      </c>
      <c r="BB597">
        <v>6.7613944421512322</v>
      </c>
      <c r="BC597">
        <v>20</v>
      </c>
      <c r="BD597">
        <v>1015.4396556</v>
      </c>
      <c r="BE597">
        <v>2</v>
      </c>
      <c r="BF597">
        <v>3.9391804111062523E-2</v>
      </c>
      <c r="BG597">
        <v>3.8530000000000002</v>
      </c>
      <c r="BH597">
        <v>3.8530000000000002</v>
      </c>
      <c r="BI597">
        <v>68.400000000000006</v>
      </c>
      <c r="BJ597">
        <v>0</v>
      </c>
      <c r="BK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S597">
        <v>0</v>
      </c>
      <c r="BT597">
        <v>0</v>
      </c>
      <c r="BU597">
        <v>0</v>
      </c>
      <c r="BV597">
        <v>506.36975675000002</v>
      </c>
      <c r="BW597">
        <v>7.8993659212053646E-2</v>
      </c>
      <c r="BX597">
        <v>10</v>
      </c>
      <c r="BY597">
        <v>3.9496829606026823E-2</v>
      </c>
      <c r="BZ597">
        <v>1.9695902055531261E-2</v>
      </c>
      <c r="CC597">
        <v>0.2433493705793833</v>
      </c>
      <c r="CF597">
        <v>0.48799636581298611</v>
      </c>
    </row>
    <row r="598" spans="1:84" x14ac:dyDescent="0.3">
      <c r="A598" s="1">
        <v>702</v>
      </c>
      <c r="B598" t="s">
        <v>1086</v>
      </c>
      <c r="C598" t="s">
        <v>1087</v>
      </c>
      <c r="E598" t="s">
        <v>404</v>
      </c>
      <c r="F598">
        <v>3.4</v>
      </c>
      <c r="G598" t="s">
        <v>1088</v>
      </c>
      <c r="H598">
        <v>-1</v>
      </c>
      <c r="I598">
        <v>-1</v>
      </c>
      <c r="J598">
        <v>2</v>
      </c>
      <c r="K598">
        <v>3.835</v>
      </c>
      <c r="L598">
        <v>3.835</v>
      </c>
      <c r="M598">
        <v>34.43</v>
      </c>
      <c r="N598" t="s">
        <v>101</v>
      </c>
      <c r="O598">
        <v>17.215</v>
      </c>
      <c r="Q598" t="s">
        <v>87</v>
      </c>
      <c r="R598">
        <v>1273</v>
      </c>
      <c r="S598">
        <v>10</v>
      </c>
      <c r="T598" t="b">
        <v>0</v>
      </c>
      <c r="U598" t="s">
        <v>88</v>
      </c>
      <c r="V598" t="s">
        <v>89</v>
      </c>
      <c r="W598">
        <v>0</v>
      </c>
      <c r="Y598">
        <v>0.5</v>
      </c>
      <c r="Z598">
        <v>0.2</v>
      </c>
      <c r="AC598" t="s">
        <v>90</v>
      </c>
      <c r="AD598">
        <v>125</v>
      </c>
      <c r="AE598">
        <v>220</v>
      </c>
      <c r="AF598" t="s">
        <v>91</v>
      </c>
      <c r="AG598">
        <v>288</v>
      </c>
      <c r="AH598">
        <v>8.2799999999999994</v>
      </c>
      <c r="AI598" t="s">
        <v>136</v>
      </c>
      <c r="AL598" t="b">
        <v>1</v>
      </c>
      <c r="AM598" t="b">
        <v>0</v>
      </c>
      <c r="AN598" t="b">
        <v>0</v>
      </c>
      <c r="AO598" t="b">
        <v>0</v>
      </c>
      <c r="AP598" t="s">
        <v>1199</v>
      </c>
      <c r="AS598">
        <v>2.1138429683971678</v>
      </c>
      <c r="AT598">
        <v>1.452054794520548</v>
      </c>
      <c r="AU598">
        <v>1.068493150684932</v>
      </c>
      <c r="AV598">
        <v>0.1095890410958904</v>
      </c>
      <c r="AW598">
        <v>0</v>
      </c>
      <c r="AX598">
        <v>0.55208333333333337</v>
      </c>
      <c r="AY598">
        <v>0.40625000000000011</v>
      </c>
      <c r="AZ598">
        <v>4.1666666666666657E-2</v>
      </c>
      <c r="BA598">
        <v>0</v>
      </c>
      <c r="BB598">
        <v>6.7613944421512322</v>
      </c>
      <c r="BC598">
        <v>20</v>
      </c>
      <c r="BD598">
        <v>1015.4396556</v>
      </c>
      <c r="BE598">
        <v>2</v>
      </c>
      <c r="BF598">
        <v>3.9391804111062523E-2</v>
      </c>
      <c r="BG598">
        <v>3.8530000000000002</v>
      </c>
      <c r="BH598">
        <v>3.8530000000000002</v>
      </c>
      <c r="BI598">
        <v>68.400000000000006</v>
      </c>
      <c r="BJ598">
        <v>0</v>
      </c>
      <c r="BK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S598">
        <v>0</v>
      </c>
      <c r="BT598">
        <v>0</v>
      </c>
      <c r="BU598">
        <v>0</v>
      </c>
      <c r="BV598">
        <v>506.36975675000002</v>
      </c>
      <c r="BW598">
        <v>7.8993659212053646E-2</v>
      </c>
      <c r="BX598">
        <v>10</v>
      </c>
      <c r="BY598">
        <v>3.9496829606026823E-2</v>
      </c>
      <c r="BZ598">
        <v>1.9695902055531261E-2</v>
      </c>
      <c r="CC598">
        <v>0.2433493705793833</v>
      </c>
      <c r="CF598">
        <v>0.48799636581298611</v>
      </c>
    </row>
    <row r="599" spans="1:84" x14ac:dyDescent="0.3">
      <c r="A599" s="1">
        <v>703</v>
      </c>
      <c r="B599" t="s">
        <v>1086</v>
      </c>
      <c r="C599" t="s">
        <v>1087</v>
      </c>
      <c r="E599" t="s">
        <v>404</v>
      </c>
      <c r="F599">
        <v>3.4</v>
      </c>
      <c r="G599" t="s">
        <v>1088</v>
      </c>
      <c r="H599">
        <v>-1</v>
      </c>
      <c r="I599">
        <v>-1</v>
      </c>
      <c r="J599">
        <v>2</v>
      </c>
      <c r="K599">
        <v>3.835</v>
      </c>
      <c r="L599">
        <v>3.835</v>
      </c>
      <c r="M599">
        <v>34.43</v>
      </c>
      <c r="N599" t="s">
        <v>101</v>
      </c>
      <c r="O599">
        <v>17.215</v>
      </c>
      <c r="Q599" t="s">
        <v>87</v>
      </c>
      <c r="R599">
        <v>1273</v>
      </c>
      <c r="S599">
        <v>10</v>
      </c>
      <c r="T599" t="b">
        <v>0</v>
      </c>
      <c r="U599" t="s">
        <v>88</v>
      </c>
      <c r="V599" t="s">
        <v>89</v>
      </c>
      <c r="W599">
        <v>0</v>
      </c>
      <c r="Y599">
        <v>0.5</v>
      </c>
      <c r="Z599">
        <v>0.5</v>
      </c>
      <c r="AC599" t="s">
        <v>90</v>
      </c>
      <c r="AD599">
        <v>125</v>
      </c>
      <c r="AE599">
        <v>220</v>
      </c>
      <c r="AF599" t="s">
        <v>91</v>
      </c>
      <c r="AG599">
        <v>288</v>
      </c>
      <c r="AH599">
        <v>19.12</v>
      </c>
      <c r="AI599" t="s">
        <v>136</v>
      </c>
      <c r="AL599" t="b">
        <v>1</v>
      </c>
      <c r="AM599" t="b">
        <v>0</v>
      </c>
      <c r="AN599" t="b">
        <v>0</v>
      </c>
      <c r="AO599" t="b">
        <v>0</v>
      </c>
      <c r="AP599" t="s">
        <v>1200</v>
      </c>
      <c r="AS599">
        <v>2.950734907623255</v>
      </c>
      <c r="AT599">
        <v>1.452054794520548</v>
      </c>
      <c r="AU599">
        <v>1.068493150684932</v>
      </c>
      <c r="AV599">
        <v>0.1095890410958904</v>
      </c>
      <c r="AW599">
        <v>0</v>
      </c>
      <c r="AX599">
        <v>0.55208333333333337</v>
      </c>
      <c r="AY599">
        <v>0.40625000000000011</v>
      </c>
      <c r="AZ599">
        <v>4.1666666666666657E-2</v>
      </c>
      <c r="BA599">
        <v>0</v>
      </c>
      <c r="BB599">
        <v>6.7613944421512322</v>
      </c>
      <c r="BC599">
        <v>20</v>
      </c>
      <c r="BD599">
        <v>1015.4396556</v>
      </c>
      <c r="BE599">
        <v>2</v>
      </c>
      <c r="BF599">
        <v>3.9391804111062523E-2</v>
      </c>
      <c r="BG599">
        <v>3.8530000000000002</v>
      </c>
      <c r="BH599">
        <v>3.8530000000000002</v>
      </c>
      <c r="BI599">
        <v>68.400000000000006</v>
      </c>
      <c r="BJ599">
        <v>0</v>
      </c>
      <c r="BK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S599">
        <v>0</v>
      </c>
      <c r="BT599">
        <v>0</v>
      </c>
      <c r="BU599">
        <v>0</v>
      </c>
      <c r="BV599">
        <v>506.36975675000002</v>
      </c>
      <c r="BW599">
        <v>7.8993659212053646E-2</v>
      </c>
      <c r="BX599">
        <v>10</v>
      </c>
      <c r="BY599">
        <v>3.9496829606026823E-2</v>
      </c>
      <c r="BZ599">
        <v>1.9695902055531261E-2</v>
      </c>
      <c r="CC599">
        <v>0.2433493705793833</v>
      </c>
      <c r="CF599">
        <v>0.48799636581298611</v>
      </c>
    </row>
    <row r="600" spans="1:84" x14ac:dyDescent="0.3">
      <c r="A600" s="1">
        <v>704</v>
      </c>
      <c r="B600" t="s">
        <v>1086</v>
      </c>
      <c r="C600" t="s">
        <v>1087</v>
      </c>
      <c r="E600" t="s">
        <v>404</v>
      </c>
      <c r="F600">
        <v>3.4</v>
      </c>
      <c r="G600" t="s">
        <v>1088</v>
      </c>
      <c r="H600">
        <v>-1</v>
      </c>
      <c r="I600">
        <v>-1</v>
      </c>
      <c r="J600">
        <v>2</v>
      </c>
      <c r="K600">
        <v>3.835</v>
      </c>
      <c r="L600">
        <v>3.835</v>
      </c>
      <c r="M600">
        <v>34.43</v>
      </c>
      <c r="N600" t="s">
        <v>101</v>
      </c>
      <c r="O600">
        <v>17.215</v>
      </c>
      <c r="Q600" t="s">
        <v>87</v>
      </c>
      <c r="R600">
        <v>1273</v>
      </c>
      <c r="S600">
        <v>10</v>
      </c>
      <c r="T600" t="b">
        <v>0</v>
      </c>
      <c r="U600" t="s">
        <v>88</v>
      </c>
      <c r="V600" t="s">
        <v>89</v>
      </c>
      <c r="W600">
        <v>0</v>
      </c>
      <c r="Y600">
        <v>0.5</v>
      </c>
      <c r="Z600">
        <v>1</v>
      </c>
      <c r="AC600" t="s">
        <v>90</v>
      </c>
      <c r="AD600">
        <v>125</v>
      </c>
      <c r="AE600">
        <v>220</v>
      </c>
      <c r="AF600" t="s">
        <v>91</v>
      </c>
      <c r="AG600">
        <v>288</v>
      </c>
      <c r="AH600">
        <v>31.08</v>
      </c>
      <c r="AI600" t="s">
        <v>136</v>
      </c>
      <c r="AL600" t="b">
        <v>1</v>
      </c>
      <c r="AM600" t="b">
        <v>0</v>
      </c>
      <c r="AN600" t="b">
        <v>0</v>
      </c>
      <c r="AO600" t="b">
        <v>0</v>
      </c>
      <c r="AP600" t="s">
        <v>1201</v>
      </c>
      <c r="AS600">
        <v>3.4365645254994468</v>
      </c>
      <c r="AT600">
        <v>1.452054794520548</v>
      </c>
      <c r="AU600">
        <v>1.068493150684932</v>
      </c>
      <c r="AV600">
        <v>0.1095890410958904</v>
      </c>
      <c r="AW600">
        <v>0</v>
      </c>
      <c r="AX600">
        <v>0.55208333333333337</v>
      </c>
      <c r="AY600">
        <v>0.40625000000000011</v>
      </c>
      <c r="AZ600">
        <v>4.1666666666666657E-2</v>
      </c>
      <c r="BA600">
        <v>0</v>
      </c>
      <c r="BB600">
        <v>6.7613944421512322</v>
      </c>
      <c r="BC600">
        <v>20</v>
      </c>
      <c r="BD600">
        <v>1015.4396556</v>
      </c>
      <c r="BE600">
        <v>2</v>
      </c>
      <c r="BF600">
        <v>3.9391804111062523E-2</v>
      </c>
      <c r="BG600">
        <v>3.8530000000000002</v>
      </c>
      <c r="BH600">
        <v>3.8530000000000002</v>
      </c>
      <c r="BI600">
        <v>68.400000000000006</v>
      </c>
      <c r="BJ600">
        <v>0</v>
      </c>
      <c r="BK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S600">
        <v>0</v>
      </c>
      <c r="BT600">
        <v>0</v>
      </c>
      <c r="BU600">
        <v>0</v>
      </c>
      <c r="BV600">
        <v>506.36975675000002</v>
      </c>
      <c r="BW600">
        <v>7.8993659212053646E-2</v>
      </c>
      <c r="BX600">
        <v>10</v>
      </c>
      <c r="BY600">
        <v>3.9496829606026823E-2</v>
      </c>
      <c r="BZ600">
        <v>1.9695902055531261E-2</v>
      </c>
      <c r="CC600">
        <v>0.2433493705793833</v>
      </c>
      <c r="CF600">
        <v>0.48799636581298611</v>
      </c>
    </row>
    <row r="601" spans="1:84" x14ac:dyDescent="0.3">
      <c r="A601" s="1">
        <v>705</v>
      </c>
      <c r="B601" t="s">
        <v>1086</v>
      </c>
      <c r="C601" t="s">
        <v>1087</v>
      </c>
      <c r="E601" t="s">
        <v>404</v>
      </c>
      <c r="F601">
        <v>3.4</v>
      </c>
      <c r="G601" t="s">
        <v>1088</v>
      </c>
      <c r="H601">
        <v>-1</v>
      </c>
      <c r="I601">
        <v>-1</v>
      </c>
      <c r="J601">
        <v>2</v>
      </c>
      <c r="K601">
        <v>3.835</v>
      </c>
      <c r="L601">
        <v>3.835</v>
      </c>
      <c r="M601">
        <v>34.43</v>
      </c>
      <c r="N601" t="s">
        <v>101</v>
      </c>
      <c r="O601">
        <v>17.215</v>
      </c>
      <c r="Q601" t="s">
        <v>87</v>
      </c>
      <c r="R601">
        <v>1273</v>
      </c>
      <c r="S601">
        <v>10</v>
      </c>
      <c r="T601" t="b">
        <v>0</v>
      </c>
      <c r="U601" t="s">
        <v>88</v>
      </c>
      <c r="V601" t="s">
        <v>89</v>
      </c>
      <c r="W601">
        <v>0</v>
      </c>
      <c r="Y601">
        <v>0.5</v>
      </c>
      <c r="Z601">
        <v>2</v>
      </c>
      <c r="AC601" t="s">
        <v>90</v>
      </c>
      <c r="AD601">
        <v>125</v>
      </c>
      <c r="AE601">
        <v>220</v>
      </c>
      <c r="AF601" t="s">
        <v>91</v>
      </c>
      <c r="AG601">
        <v>288</v>
      </c>
      <c r="AH601">
        <v>56.719999999999992</v>
      </c>
      <c r="AI601" t="s">
        <v>136</v>
      </c>
      <c r="AL601" t="b">
        <v>1</v>
      </c>
      <c r="AM601" t="b">
        <v>0</v>
      </c>
      <c r="AN601" t="b">
        <v>0</v>
      </c>
      <c r="AO601" t="b">
        <v>0</v>
      </c>
      <c r="AP601" t="s">
        <v>1202</v>
      </c>
      <c r="AS601">
        <v>4.0381268822238718</v>
      </c>
      <c r="AT601">
        <v>1.452054794520548</v>
      </c>
      <c r="AU601">
        <v>1.068493150684932</v>
      </c>
      <c r="AV601">
        <v>0.1095890410958904</v>
      </c>
      <c r="AW601">
        <v>0</v>
      </c>
      <c r="AX601">
        <v>0.55208333333333337</v>
      </c>
      <c r="AY601">
        <v>0.40625000000000011</v>
      </c>
      <c r="AZ601">
        <v>4.1666666666666657E-2</v>
      </c>
      <c r="BA601">
        <v>0</v>
      </c>
      <c r="BB601">
        <v>6.7613944421512322</v>
      </c>
      <c r="BC601">
        <v>20</v>
      </c>
      <c r="BD601">
        <v>1015.4396556</v>
      </c>
      <c r="BE601">
        <v>2</v>
      </c>
      <c r="BF601">
        <v>3.9391804111062523E-2</v>
      </c>
      <c r="BG601">
        <v>3.8530000000000002</v>
      </c>
      <c r="BH601">
        <v>3.8530000000000002</v>
      </c>
      <c r="BI601">
        <v>68.400000000000006</v>
      </c>
      <c r="BJ601">
        <v>0</v>
      </c>
      <c r="BK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S601">
        <v>0</v>
      </c>
      <c r="BT601">
        <v>0</v>
      </c>
      <c r="BU601">
        <v>0</v>
      </c>
      <c r="BV601">
        <v>506.36975675000002</v>
      </c>
      <c r="BW601">
        <v>7.8993659212053646E-2</v>
      </c>
      <c r="BX601">
        <v>10</v>
      </c>
      <c r="BY601">
        <v>3.9496829606026823E-2</v>
      </c>
      <c r="BZ601">
        <v>1.9695902055531261E-2</v>
      </c>
      <c r="CC601">
        <v>0.2433493705793833</v>
      </c>
      <c r="CF601">
        <v>0.48799636581298611</v>
      </c>
    </row>
    <row r="602" spans="1:84" x14ac:dyDescent="0.3">
      <c r="A602" s="1">
        <v>706</v>
      </c>
      <c r="B602" t="s">
        <v>1086</v>
      </c>
      <c r="C602" t="s">
        <v>1087</v>
      </c>
      <c r="E602" t="s">
        <v>404</v>
      </c>
      <c r="F602">
        <v>3.4</v>
      </c>
      <c r="G602" t="s">
        <v>1088</v>
      </c>
      <c r="H602">
        <v>-1</v>
      </c>
      <c r="I602">
        <v>-1</v>
      </c>
      <c r="J602">
        <v>2</v>
      </c>
      <c r="K602">
        <v>3.835</v>
      </c>
      <c r="L602">
        <v>3.835</v>
      </c>
      <c r="M602">
        <v>34.43</v>
      </c>
      <c r="N602" t="s">
        <v>101</v>
      </c>
      <c r="O602">
        <v>17.215</v>
      </c>
      <c r="Q602" t="s">
        <v>87</v>
      </c>
      <c r="R602">
        <v>1273</v>
      </c>
      <c r="S602">
        <v>10</v>
      </c>
      <c r="T602" t="b">
        <v>0</v>
      </c>
      <c r="U602" t="s">
        <v>88</v>
      </c>
      <c r="V602" t="s">
        <v>89</v>
      </c>
      <c r="W602">
        <v>0</v>
      </c>
      <c r="Y602">
        <v>0.5</v>
      </c>
      <c r="Z602">
        <v>5</v>
      </c>
      <c r="AC602" t="s">
        <v>90</v>
      </c>
      <c r="AD602">
        <v>125</v>
      </c>
      <c r="AE602">
        <v>220</v>
      </c>
      <c r="AF602" t="s">
        <v>91</v>
      </c>
      <c r="AG602">
        <v>288</v>
      </c>
      <c r="AH602">
        <v>89.28</v>
      </c>
      <c r="AI602" t="s">
        <v>136</v>
      </c>
      <c r="AL602" t="b">
        <v>1</v>
      </c>
      <c r="AM602" t="b">
        <v>0</v>
      </c>
      <c r="AN602" t="b">
        <v>0</v>
      </c>
      <c r="AO602" t="b">
        <v>0</v>
      </c>
      <c r="AP602" t="s">
        <v>1203</v>
      </c>
      <c r="AS602">
        <v>4.4917774986330006</v>
      </c>
      <c r="AT602">
        <v>1.452054794520548</v>
      </c>
      <c r="AU602">
        <v>1.068493150684932</v>
      </c>
      <c r="AV602">
        <v>0.1095890410958904</v>
      </c>
      <c r="AW602">
        <v>0</v>
      </c>
      <c r="AX602">
        <v>0.55208333333333337</v>
      </c>
      <c r="AY602">
        <v>0.40625000000000011</v>
      </c>
      <c r="AZ602">
        <v>4.1666666666666657E-2</v>
      </c>
      <c r="BA602">
        <v>0</v>
      </c>
      <c r="BB602">
        <v>6.7613944421512322</v>
      </c>
      <c r="BC602">
        <v>20</v>
      </c>
      <c r="BD602">
        <v>1015.4396556</v>
      </c>
      <c r="BE602">
        <v>2</v>
      </c>
      <c r="BF602">
        <v>3.9391804111062523E-2</v>
      </c>
      <c r="BG602">
        <v>3.8530000000000002</v>
      </c>
      <c r="BH602">
        <v>3.8530000000000002</v>
      </c>
      <c r="BI602">
        <v>68.400000000000006</v>
      </c>
      <c r="BJ602">
        <v>0</v>
      </c>
      <c r="BK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S602">
        <v>0</v>
      </c>
      <c r="BT602">
        <v>0</v>
      </c>
      <c r="BU602">
        <v>0</v>
      </c>
      <c r="BV602">
        <v>506.36975675000002</v>
      </c>
      <c r="BW602">
        <v>7.8993659212053646E-2</v>
      </c>
      <c r="BX602">
        <v>10</v>
      </c>
      <c r="BY602">
        <v>3.9496829606026823E-2</v>
      </c>
      <c r="BZ602">
        <v>1.9695902055531261E-2</v>
      </c>
      <c r="CC602">
        <v>0.2433493705793833</v>
      </c>
      <c r="CF602">
        <v>0.48799636581298611</v>
      </c>
    </row>
    <row r="603" spans="1:84" x14ac:dyDescent="0.3">
      <c r="A603" s="1">
        <v>707</v>
      </c>
      <c r="B603" t="s">
        <v>1086</v>
      </c>
      <c r="C603" t="s">
        <v>1087</v>
      </c>
      <c r="E603" t="s">
        <v>404</v>
      </c>
      <c r="F603">
        <v>3.4</v>
      </c>
      <c r="G603" t="s">
        <v>1088</v>
      </c>
      <c r="H603">
        <v>-1</v>
      </c>
      <c r="I603">
        <v>-1</v>
      </c>
      <c r="J603">
        <v>2</v>
      </c>
      <c r="K603">
        <v>3.835</v>
      </c>
      <c r="L603">
        <v>3.835</v>
      </c>
      <c r="M603">
        <v>34.43</v>
      </c>
      <c r="N603" t="s">
        <v>101</v>
      </c>
      <c r="O603">
        <v>17.215</v>
      </c>
      <c r="Q603" t="s">
        <v>87</v>
      </c>
      <c r="R603">
        <v>1273</v>
      </c>
      <c r="S603">
        <v>10</v>
      </c>
      <c r="T603" t="b">
        <v>0</v>
      </c>
      <c r="U603" t="s">
        <v>88</v>
      </c>
      <c r="V603" t="s">
        <v>89</v>
      </c>
      <c r="W603">
        <v>0</v>
      </c>
      <c r="Y603">
        <v>0.5</v>
      </c>
      <c r="Z603">
        <v>10</v>
      </c>
      <c r="AC603" t="s">
        <v>90</v>
      </c>
      <c r="AD603">
        <v>125</v>
      </c>
      <c r="AE603">
        <v>220</v>
      </c>
      <c r="AF603" t="s">
        <v>91</v>
      </c>
      <c r="AG603">
        <v>288</v>
      </c>
      <c r="AH603">
        <v>103.52</v>
      </c>
      <c r="AI603" t="s">
        <v>136</v>
      </c>
      <c r="AL603" t="b">
        <v>1</v>
      </c>
      <c r="AM603" t="b">
        <v>0</v>
      </c>
      <c r="AN603" t="b">
        <v>0</v>
      </c>
      <c r="AO603" t="b">
        <v>0</v>
      </c>
      <c r="AP603" t="s">
        <v>1204</v>
      </c>
      <c r="AS603">
        <v>4.6397648307525907</v>
      </c>
      <c r="AT603">
        <v>1.452054794520548</v>
      </c>
      <c r="AU603">
        <v>1.068493150684932</v>
      </c>
      <c r="AV603">
        <v>0.1095890410958904</v>
      </c>
      <c r="AW603">
        <v>0</v>
      </c>
      <c r="AX603">
        <v>0.55208333333333337</v>
      </c>
      <c r="AY603">
        <v>0.40625000000000011</v>
      </c>
      <c r="AZ603">
        <v>4.1666666666666657E-2</v>
      </c>
      <c r="BA603">
        <v>0</v>
      </c>
      <c r="BB603">
        <v>6.7613944421512322</v>
      </c>
      <c r="BC603">
        <v>20</v>
      </c>
      <c r="BD603">
        <v>1015.4396556</v>
      </c>
      <c r="BE603">
        <v>2</v>
      </c>
      <c r="BF603">
        <v>3.9391804111062523E-2</v>
      </c>
      <c r="BG603">
        <v>3.8530000000000002</v>
      </c>
      <c r="BH603">
        <v>3.8530000000000002</v>
      </c>
      <c r="BI603">
        <v>68.400000000000006</v>
      </c>
      <c r="BJ603">
        <v>0</v>
      </c>
      <c r="BK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S603">
        <v>0</v>
      </c>
      <c r="BT603">
        <v>0</v>
      </c>
      <c r="BU603">
        <v>0</v>
      </c>
      <c r="BV603">
        <v>506.36975675000002</v>
      </c>
      <c r="BW603">
        <v>7.8993659212053646E-2</v>
      </c>
      <c r="BX603">
        <v>10</v>
      </c>
      <c r="BY603">
        <v>3.9496829606026823E-2</v>
      </c>
      <c r="BZ603">
        <v>1.9695902055531261E-2</v>
      </c>
      <c r="CC603">
        <v>0.2433493705793833</v>
      </c>
      <c r="CF603">
        <v>0.48799636581298611</v>
      </c>
    </row>
    <row r="604" spans="1:84" x14ac:dyDescent="0.3">
      <c r="A604" s="1">
        <v>708</v>
      </c>
      <c r="B604" t="s">
        <v>1086</v>
      </c>
      <c r="C604" t="s">
        <v>1087</v>
      </c>
      <c r="E604" t="s">
        <v>404</v>
      </c>
      <c r="F604">
        <v>3.4</v>
      </c>
      <c r="G604" t="s">
        <v>1088</v>
      </c>
      <c r="H604">
        <v>-1</v>
      </c>
      <c r="I604">
        <v>-1</v>
      </c>
      <c r="J604">
        <v>2</v>
      </c>
      <c r="K604">
        <v>3.835</v>
      </c>
      <c r="L604">
        <v>3.835</v>
      </c>
      <c r="M604">
        <v>34.43</v>
      </c>
      <c r="N604" t="s">
        <v>101</v>
      </c>
      <c r="O604">
        <v>17.215</v>
      </c>
      <c r="Q604" t="s">
        <v>87</v>
      </c>
      <c r="R604">
        <v>1273</v>
      </c>
      <c r="S604">
        <v>10</v>
      </c>
      <c r="T604" t="b">
        <v>0</v>
      </c>
      <c r="U604" t="s">
        <v>88</v>
      </c>
      <c r="V604" t="s">
        <v>89</v>
      </c>
      <c r="W604">
        <v>0</v>
      </c>
      <c r="Y604">
        <v>0.5</v>
      </c>
      <c r="Z604">
        <v>25</v>
      </c>
      <c r="AC604" t="s">
        <v>90</v>
      </c>
      <c r="AD604">
        <v>125</v>
      </c>
      <c r="AE604">
        <v>220</v>
      </c>
      <c r="AF604" t="s">
        <v>91</v>
      </c>
      <c r="AG604">
        <v>288</v>
      </c>
      <c r="AH604">
        <v>113.12</v>
      </c>
      <c r="AI604" t="s">
        <v>136</v>
      </c>
      <c r="AL604" t="b">
        <v>1</v>
      </c>
      <c r="AM604" t="b">
        <v>0</v>
      </c>
      <c r="AN604" t="b">
        <v>0</v>
      </c>
      <c r="AO604" t="b">
        <v>0</v>
      </c>
      <c r="AP604" t="s">
        <v>1205</v>
      </c>
      <c r="AS604">
        <v>4.7284492021482629</v>
      </c>
      <c r="AT604">
        <v>1.452054794520548</v>
      </c>
      <c r="AU604">
        <v>1.068493150684932</v>
      </c>
      <c r="AV604">
        <v>0.1095890410958904</v>
      </c>
      <c r="AW604">
        <v>0</v>
      </c>
      <c r="AX604">
        <v>0.55208333333333337</v>
      </c>
      <c r="AY604">
        <v>0.40625000000000011</v>
      </c>
      <c r="AZ604">
        <v>4.1666666666666657E-2</v>
      </c>
      <c r="BA604">
        <v>0</v>
      </c>
      <c r="BB604">
        <v>6.7613944421512322</v>
      </c>
      <c r="BC604">
        <v>20</v>
      </c>
      <c r="BD604">
        <v>1015.4396556</v>
      </c>
      <c r="BE604">
        <v>2</v>
      </c>
      <c r="BF604">
        <v>3.9391804111062523E-2</v>
      </c>
      <c r="BG604">
        <v>3.8530000000000002</v>
      </c>
      <c r="BH604">
        <v>3.8530000000000002</v>
      </c>
      <c r="BI604">
        <v>68.400000000000006</v>
      </c>
      <c r="BJ604">
        <v>0</v>
      </c>
      <c r="BK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S604">
        <v>0</v>
      </c>
      <c r="BT604">
        <v>0</v>
      </c>
      <c r="BU604">
        <v>0</v>
      </c>
      <c r="BV604">
        <v>506.36975675000002</v>
      </c>
      <c r="BW604">
        <v>7.8993659212053646E-2</v>
      </c>
      <c r="BX604">
        <v>10</v>
      </c>
      <c r="BY604">
        <v>3.9496829606026823E-2</v>
      </c>
      <c r="BZ604">
        <v>1.9695902055531261E-2</v>
      </c>
      <c r="CC604">
        <v>0.2433493705793833</v>
      </c>
      <c r="CF604">
        <v>0.48799636581298611</v>
      </c>
    </row>
    <row r="605" spans="1:84" x14ac:dyDescent="0.3">
      <c r="A605" s="1">
        <v>709</v>
      </c>
      <c r="B605" t="s">
        <v>1086</v>
      </c>
      <c r="C605" t="s">
        <v>1087</v>
      </c>
      <c r="E605" t="s">
        <v>404</v>
      </c>
      <c r="F605">
        <v>3.4</v>
      </c>
      <c r="G605" t="s">
        <v>1088</v>
      </c>
      <c r="H605">
        <v>-1</v>
      </c>
      <c r="I605">
        <v>-1</v>
      </c>
      <c r="J605">
        <v>2</v>
      </c>
      <c r="K605">
        <v>3.835</v>
      </c>
      <c r="L605">
        <v>3.835</v>
      </c>
      <c r="M605">
        <v>34.43</v>
      </c>
      <c r="N605" t="s">
        <v>101</v>
      </c>
      <c r="O605">
        <v>17.215</v>
      </c>
      <c r="Q605" t="s">
        <v>87</v>
      </c>
      <c r="R605">
        <v>1273</v>
      </c>
      <c r="S605">
        <v>10</v>
      </c>
      <c r="T605" t="b">
        <v>0</v>
      </c>
      <c r="U605" t="s">
        <v>88</v>
      </c>
      <c r="V605" t="s">
        <v>89</v>
      </c>
      <c r="W605">
        <v>0</v>
      </c>
      <c r="Y605">
        <v>0.5</v>
      </c>
      <c r="Z605">
        <v>50</v>
      </c>
      <c r="AC605" t="s">
        <v>90</v>
      </c>
      <c r="AD605">
        <v>125</v>
      </c>
      <c r="AE605">
        <v>220</v>
      </c>
      <c r="AF605" t="s">
        <v>91</v>
      </c>
      <c r="AG605">
        <v>288</v>
      </c>
      <c r="AH605">
        <v>112.28</v>
      </c>
      <c r="AI605" t="s">
        <v>136</v>
      </c>
      <c r="AL605" t="b">
        <v>1</v>
      </c>
      <c r="AM605" t="b">
        <v>0</v>
      </c>
      <c r="AN605" t="b">
        <v>0</v>
      </c>
      <c r="AO605" t="b">
        <v>0</v>
      </c>
      <c r="AP605" t="s">
        <v>1206</v>
      </c>
      <c r="AS605">
        <v>4.7209957514936818</v>
      </c>
      <c r="AT605">
        <v>1.452054794520548</v>
      </c>
      <c r="AU605">
        <v>1.068493150684932</v>
      </c>
      <c r="AV605">
        <v>0.1095890410958904</v>
      </c>
      <c r="AW605">
        <v>0</v>
      </c>
      <c r="AX605">
        <v>0.55208333333333337</v>
      </c>
      <c r="AY605">
        <v>0.40625000000000011</v>
      </c>
      <c r="AZ605">
        <v>4.1666666666666657E-2</v>
      </c>
      <c r="BA605">
        <v>0</v>
      </c>
      <c r="BB605">
        <v>6.7613944421512322</v>
      </c>
      <c r="BC605">
        <v>20</v>
      </c>
      <c r="BD605">
        <v>1015.4396556</v>
      </c>
      <c r="BE605">
        <v>2</v>
      </c>
      <c r="BF605">
        <v>3.9391804111062523E-2</v>
      </c>
      <c r="BG605">
        <v>3.8530000000000002</v>
      </c>
      <c r="BH605">
        <v>3.8530000000000002</v>
      </c>
      <c r="BI605">
        <v>68.400000000000006</v>
      </c>
      <c r="BJ605">
        <v>0</v>
      </c>
      <c r="BK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S605">
        <v>0</v>
      </c>
      <c r="BT605">
        <v>0</v>
      </c>
      <c r="BU605">
        <v>0</v>
      </c>
      <c r="BV605">
        <v>506.36975675000002</v>
      </c>
      <c r="BW605">
        <v>7.8993659212053646E-2</v>
      </c>
      <c r="BX605">
        <v>10</v>
      </c>
      <c r="BY605">
        <v>3.9496829606026823E-2</v>
      </c>
      <c r="BZ605">
        <v>1.9695902055531261E-2</v>
      </c>
      <c r="CC605">
        <v>0.2433493705793833</v>
      </c>
      <c r="CF605">
        <v>0.48799636581298611</v>
      </c>
    </row>
    <row r="606" spans="1:84" x14ac:dyDescent="0.3">
      <c r="A606" s="1">
        <v>710</v>
      </c>
      <c r="B606" t="s">
        <v>1086</v>
      </c>
      <c r="C606" t="s">
        <v>1087</v>
      </c>
      <c r="E606" t="s">
        <v>404</v>
      </c>
      <c r="F606">
        <v>3.4</v>
      </c>
      <c r="G606" t="s">
        <v>1088</v>
      </c>
      <c r="H606">
        <v>-1</v>
      </c>
      <c r="I606">
        <v>-1</v>
      </c>
      <c r="J606">
        <v>2</v>
      </c>
      <c r="K606">
        <v>3.835</v>
      </c>
      <c r="L606">
        <v>3.835</v>
      </c>
      <c r="M606">
        <v>34.43</v>
      </c>
      <c r="N606" t="s">
        <v>101</v>
      </c>
      <c r="O606">
        <v>17.215</v>
      </c>
      <c r="Q606" t="s">
        <v>87</v>
      </c>
      <c r="R606">
        <v>1273</v>
      </c>
      <c r="S606">
        <v>10</v>
      </c>
      <c r="T606" t="b">
        <v>0</v>
      </c>
      <c r="U606" t="s">
        <v>88</v>
      </c>
      <c r="V606" t="s">
        <v>89</v>
      </c>
      <c r="W606">
        <v>0</v>
      </c>
      <c r="Y606">
        <v>0.5</v>
      </c>
      <c r="Z606">
        <v>90</v>
      </c>
      <c r="AC606" t="s">
        <v>90</v>
      </c>
      <c r="AD606">
        <v>125</v>
      </c>
      <c r="AE606">
        <v>220</v>
      </c>
      <c r="AF606" t="s">
        <v>91</v>
      </c>
      <c r="AG606">
        <v>288</v>
      </c>
      <c r="AH606">
        <v>123.52</v>
      </c>
      <c r="AI606" t="s">
        <v>136</v>
      </c>
      <c r="AL606" t="b">
        <v>1</v>
      </c>
      <c r="AM606" t="b">
        <v>0</v>
      </c>
      <c r="AN606" t="b">
        <v>0</v>
      </c>
      <c r="AO606" t="b">
        <v>0</v>
      </c>
      <c r="AP606" t="s">
        <v>1207</v>
      </c>
      <c r="AS606">
        <v>4.8164030862764662</v>
      </c>
      <c r="AT606">
        <v>1.452054794520548</v>
      </c>
      <c r="AU606">
        <v>1.068493150684932</v>
      </c>
      <c r="AV606">
        <v>0.1095890410958904</v>
      </c>
      <c r="AW606">
        <v>0</v>
      </c>
      <c r="AX606">
        <v>0.55208333333333337</v>
      </c>
      <c r="AY606">
        <v>0.40625000000000011</v>
      </c>
      <c r="AZ606">
        <v>4.1666666666666657E-2</v>
      </c>
      <c r="BA606">
        <v>0</v>
      </c>
      <c r="BB606">
        <v>6.7613944421512322</v>
      </c>
      <c r="BC606">
        <v>20</v>
      </c>
      <c r="BD606">
        <v>1015.4396556</v>
      </c>
      <c r="BE606">
        <v>2</v>
      </c>
      <c r="BF606">
        <v>3.9391804111062523E-2</v>
      </c>
      <c r="BG606">
        <v>3.8530000000000002</v>
      </c>
      <c r="BH606">
        <v>3.8530000000000002</v>
      </c>
      <c r="BI606">
        <v>68.400000000000006</v>
      </c>
      <c r="BJ606">
        <v>0</v>
      </c>
      <c r="BK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S606">
        <v>0</v>
      </c>
      <c r="BT606">
        <v>0</v>
      </c>
      <c r="BU606">
        <v>0</v>
      </c>
      <c r="BV606">
        <v>506.36975675000002</v>
      </c>
      <c r="BW606">
        <v>7.8993659212053646E-2</v>
      </c>
      <c r="BX606">
        <v>10</v>
      </c>
      <c r="BY606">
        <v>3.9496829606026823E-2</v>
      </c>
      <c r="BZ606">
        <v>1.9695902055531261E-2</v>
      </c>
      <c r="CC606">
        <v>0.2433493705793833</v>
      </c>
      <c r="CF606">
        <v>0.48799636581298611</v>
      </c>
    </row>
    <row r="607" spans="1:84" x14ac:dyDescent="0.3">
      <c r="A607" s="1">
        <v>734</v>
      </c>
      <c r="B607" t="s">
        <v>106</v>
      </c>
      <c r="C607" t="s">
        <v>107</v>
      </c>
      <c r="E607" t="s">
        <v>106</v>
      </c>
      <c r="F607">
        <v>3.49</v>
      </c>
      <c r="G607" t="s">
        <v>108</v>
      </c>
      <c r="H607" t="s">
        <v>109</v>
      </c>
      <c r="I607">
        <v>-1</v>
      </c>
      <c r="Q607" t="s">
        <v>87</v>
      </c>
      <c r="R607">
        <v>1373</v>
      </c>
      <c r="S607">
        <v>24</v>
      </c>
      <c r="T607" t="b">
        <v>0</v>
      </c>
      <c r="U607" t="s">
        <v>88</v>
      </c>
      <c r="V607" t="s">
        <v>89</v>
      </c>
      <c r="W607">
        <v>0</v>
      </c>
      <c r="X607">
        <v>3.78</v>
      </c>
      <c r="Y607">
        <v>0.5</v>
      </c>
      <c r="Z607">
        <v>30</v>
      </c>
      <c r="AC607" t="s">
        <v>90</v>
      </c>
      <c r="AD607">
        <v>125</v>
      </c>
      <c r="AE607">
        <v>220</v>
      </c>
      <c r="AF607" t="s">
        <v>91</v>
      </c>
      <c r="AG607">
        <v>288</v>
      </c>
      <c r="AH607">
        <v>36</v>
      </c>
      <c r="AL607" t="b">
        <v>1</v>
      </c>
      <c r="AM607" t="b">
        <v>1</v>
      </c>
      <c r="AN607" t="b">
        <v>0</v>
      </c>
      <c r="AO607" t="b">
        <v>0</v>
      </c>
      <c r="AP607" t="s">
        <v>108</v>
      </c>
      <c r="AQ607" t="s">
        <v>109</v>
      </c>
      <c r="AS607">
        <v>3.5835189384561099</v>
      </c>
      <c r="AT607">
        <v>1.75</v>
      </c>
      <c r="AU607">
        <v>2.5</v>
      </c>
      <c r="AV607">
        <v>0.75</v>
      </c>
      <c r="AW607">
        <v>0</v>
      </c>
      <c r="AX607">
        <v>0.35</v>
      </c>
      <c r="AY607">
        <v>0.5</v>
      </c>
      <c r="AZ607">
        <v>0.15</v>
      </c>
      <c r="BA607">
        <v>0</v>
      </c>
      <c r="BB607">
        <v>5.9668120809374994</v>
      </c>
      <c r="BC607">
        <v>20</v>
      </c>
      <c r="BD607">
        <v>924.74694800021894</v>
      </c>
      <c r="BE607">
        <v>4</v>
      </c>
      <c r="BF607">
        <v>8.6510153045653584E-2</v>
      </c>
      <c r="BG607">
        <v>7.8084429999999996</v>
      </c>
      <c r="BH607">
        <v>7.8548809999999998</v>
      </c>
      <c r="BI607">
        <v>15.19056011</v>
      </c>
      <c r="BJ607">
        <v>883.22940750240002</v>
      </c>
      <c r="BK607">
        <v>4</v>
      </c>
      <c r="BL607">
        <v>9.0576694254581439E-2</v>
      </c>
      <c r="BM607">
        <v>3.8801999999999999</v>
      </c>
      <c r="BN607">
        <v>29.507999999999999</v>
      </c>
      <c r="BO607">
        <v>7.7140000000000004</v>
      </c>
      <c r="BP607">
        <v>0</v>
      </c>
      <c r="BQ607">
        <v>0</v>
      </c>
      <c r="BS607">
        <v>0</v>
      </c>
      <c r="BT607">
        <v>0</v>
      </c>
      <c r="BU607">
        <v>0</v>
      </c>
      <c r="BX607">
        <v>10</v>
      </c>
      <c r="BZ607">
        <v>4.3255076522826792E-2</v>
      </c>
      <c r="CA607">
        <v>4.5288347127290719E-2</v>
      </c>
      <c r="CC607">
        <v>0.50555206026575006</v>
      </c>
      <c r="CD607">
        <v>0.52931630311992839</v>
      </c>
    </row>
    <row r="608" spans="1:84" x14ac:dyDescent="0.3">
      <c r="A608" s="1">
        <v>735</v>
      </c>
      <c r="B608" t="s">
        <v>140</v>
      </c>
      <c r="C608" t="s">
        <v>141</v>
      </c>
      <c r="E608" t="s">
        <v>106</v>
      </c>
      <c r="F608">
        <v>3.49</v>
      </c>
      <c r="G608" t="s">
        <v>142</v>
      </c>
      <c r="H608">
        <v>1522043</v>
      </c>
      <c r="I608">
        <v>-1</v>
      </c>
      <c r="J608">
        <v>1</v>
      </c>
      <c r="K608">
        <v>3.82</v>
      </c>
      <c r="L608">
        <v>3.82</v>
      </c>
      <c r="M608">
        <v>15.99</v>
      </c>
      <c r="O608">
        <v>15.99</v>
      </c>
      <c r="Q608" t="s">
        <v>87</v>
      </c>
      <c r="R608">
        <v>1373</v>
      </c>
      <c r="S608">
        <v>24</v>
      </c>
      <c r="T608" t="b">
        <v>0</v>
      </c>
      <c r="U608" t="s">
        <v>88</v>
      </c>
      <c r="V608" t="s">
        <v>89</v>
      </c>
      <c r="W608">
        <v>0</v>
      </c>
      <c r="X608">
        <v>5.56</v>
      </c>
      <c r="Y608">
        <v>0.5</v>
      </c>
      <c r="Z608">
        <v>30</v>
      </c>
      <c r="AC608" t="s">
        <v>90</v>
      </c>
      <c r="AD608">
        <v>125</v>
      </c>
      <c r="AE608">
        <v>220</v>
      </c>
      <c r="AF608" t="s">
        <v>91</v>
      </c>
      <c r="AG608">
        <v>288</v>
      </c>
      <c r="AH608">
        <v>480</v>
      </c>
      <c r="AI608" t="s">
        <v>144</v>
      </c>
      <c r="AJ608" t="s">
        <v>144</v>
      </c>
      <c r="AL608" t="b">
        <v>1</v>
      </c>
      <c r="AM608" t="b">
        <v>1</v>
      </c>
      <c r="AN608" t="b">
        <v>0</v>
      </c>
      <c r="AO608" t="b">
        <v>0</v>
      </c>
      <c r="AP608" t="s">
        <v>1229</v>
      </c>
      <c r="AQ608" t="s">
        <v>1230</v>
      </c>
      <c r="AS608">
        <v>6.1737861039019366</v>
      </c>
      <c r="AT608">
        <v>1.75</v>
      </c>
      <c r="AU608">
        <v>2.5</v>
      </c>
      <c r="AV608">
        <v>0.75</v>
      </c>
      <c r="AW608">
        <v>0</v>
      </c>
      <c r="AX608">
        <v>0.35</v>
      </c>
      <c r="AY608">
        <v>0.5</v>
      </c>
      <c r="AZ608">
        <v>0.15</v>
      </c>
      <c r="BA608">
        <v>0</v>
      </c>
      <c r="BB608">
        <v>6.2640154224906874</v>
      </c>
      <c r="BC608">
        <v>20</v>
      </c>
      <c r="BD608">
        <v>242.1279024923125</v>
      </c>
      <c r="BE608">
        <v>1</v>
      </c>
      <c r="BF608">
        <v>8.2600971611006269E-2</v>
      </c>
      <c r="BG608">
        <v>3.950634</v>
      </c>
      <c r="BH608">
        <v>3.950634</v>
      </c>
      <c r="BI608">
        <v>15.513552000000001</v>
      </c>
      <c r="BJ608">
        <v>227.970829547178</v>
      </c>
      <c r="BK608">
        <v>1</v>
      </c>
      <c r="BL608">
        <v>8.7730522539775438E-2</v>
      </c>
      <c r="BM608">
        <v>3.8658999999999999</v>
      </c>
      <c r="BN608">
        <v>3.8658999999999999</v>
      </c>
      <c r="BO608">
        <v>15.2538</v>
      </c>
      <c r="BP608">
        <v>0</v>
      </c>
      <c r="BQ608">
        <v>0</v>
      </c>
      <c r="BS608">
        <v>0</v>
      </c>
      <c r="BT608">
        <v>0</v>
      </c>
      <c r="BU608">
        <v>0</v>
      </c>
      <c r="BV608">
        <v>233.33247600000001</v>
      </c>
      <c r="BW608">
        <v>8.5714600654218404E-2</v>
      </c>
      <c r="BX608">
        <v>10</v>
      </c>
      <c r="BY608">
        <v>4.2857300327109202E-2</v>
      </c>
      <c r="BZ608">
        <v>4.1300485805503127E-2</v>
      </c>
      <c r="CA608">
        <v>4.3865261269887719E-2</v>
      </c>
      <c r="CC608">
        <v>0.42195359024583579</v>
      </c>
      <c r="CD608">
        <v>0.44815706447294301</v>
      </c>
      <c r="CF608">
        <v>0.43785905634209682</v>
      </c>
    </row>
    <row r="609" spans="1:84" x14ac:dyDescent="0.3">
      <c r="A609" s="1">
        <v>794</v>
      </c>
      <c r="B609" t="s">
        <v>372</v>
      </c>
      <c r="C609" t="s">
        <v>944</v>
      </c>
      <c r="E609" t="s">
        <v>372</v>
      </c>
      <c r="F609">
        <v>3.433333333333334</v>
      </c>
      <c r="G609" t="s">
        <v>373</v>
      </c>
      <c r="H609">
        <v>-1</v>
      </c>
      <c r="I609" t="s">
        <v>1328</v>
      </c>
      <c r="J609">
        <v>2</v>
      </c>
      <c r="K609">
        <v>3.72</v>
      </c>
      <c r="L609">
        <v>3.72</v>
      </c>
      <c r="M609">
        <v>12.29</v>
      </c>
      <c r="O609">
        <v>12.29</v>
      </c>
      <c r="Q609" t="s">
        <v>87</v>
      </c>
      <c r="R609">
        <v>1173</v>
      </c>
      <c r="S609">
        <v>3</v>
      </c>
      <c r="T609" t="b">
        <v>0</v>
      </c>
      <c r="U609" t="s">
        <v>88</v>
      </c>
      <c r="V609" t="s">
        <v>89</v>
      </c>
      <c r="W609">
        <v>0</v>
      </c>
      <c r="Y609">
        <v>0.5</v>
      </c>
      <c r="Z609">
        <v>0.1</v>
      </c>
      <c r="AC609" t="s">
        <v>90</v>
      </c>
      <c r="AD609">
        <v>125</v>
      </c>
      <c r="AE609">
        <v>220</v>
      </c>
      <c r="AF609" t="s">
        <v>91</v>
      </c>
      <c r="AG609">
        <v>288</v>
      </c>
      <c r="AH609">
        <v>12</v>
      </c>
      <c r="AI609" t="s">
        <v>136</v>
      </c>
      <c r="AL609" t="b">
        <v>1</v>
      </c>
      <c r="AM609" t="b">
        <v>0</v>
      </c>
      <c r="AN609" t="b">
        <v>0</v>
      </c>
      <c r="AO609" t="b">
        <v>0</v>
      </c>
      <c r="AP609" t="s">
        <v>1329</v>
      </c>
      <c r="AR609" t="s">
        <v>1328</v>
      </c>
      <c r="AS609">
        <v>2.4849066497879999</v>
      </c>
      <c r="AT609">
        <v>1.857142857142857</v>
      </c>
      <c r="AU609">
        <v>2.285714285714286</v>
      </c>
      <c r="AV609">
        <v>0.42857142857142849</v>
      </c>
      <c r="AW609">
        <v>0</v>
      </c>
      <c r="AX609">
        <v>0.40625000000000011</v>
      </c>
      <c r="AY609">
        <v>0.5</v>
      </c>
      <c r="AZ609">
        <v>9.375E-2</v>
      </c>
      <c r="BA609">
        <v>0</v>
      </c>
      <c r="BB609">
        <v>6.2648152075501429</v>
      </c>
      <c r="BC609">
        <v>8</v>
      </c>
      <c r="BD609">
        <v>203.79933701026059</v>
      </c>
      <c r="BE609">
        <v>2</v>
      </c>
      <c r="BF609">
        <v>7.8508596910668346E-2</v>
      </c>
      <c r="BG609">
        <v>3.8703880000000002</v>
      </c>
      <c r="BH609">
        <v>3.8703880000000002</v>
      </c>
      <c r="BI609">
        <v>13.604850000000001</v>
      </c>
      <c r="BJ609">
        <v>0</v>
      </c>
      <c r="BK609">
        <v>0</v>
      </c>
      <c r="BM609">
        <v>0</v>
      </c>
      <c r="BN609">
        <v>0</v>
      </c>
      <c r="BO609">
        <v>0</v>
      </c>
      <c r="BP609">
        <v>100.1137560412496</v>
      </c>
      <c r="BQ609">
        <v>2</v>
      </c>
      <c r="BR609">
        <v>0.15981819714573051</v>
      </c>
      <c r="BS609">
        <v>4.16</v>
      </c>
      <c r="BT609">
        <v>4.16</v>
      </c>
      <c r="BU609">
        <v>6.68</v>
      </c>
      <c r="BV609">
        <v>170.073936</v>
      </c>
      <c r="BW609">
        <v>9.407673142814782E-2</v>
      </c>
      <c r="BX609">
        <v>4</v>
      </c>
      <c r="BY609">
        <v>4.703836571407391E-2</v>
      </c>
      <c r="BZ609">
        <v>3.9254298455334173E-2</v>
      </c>
      <c r="CB609">
        <v>7.9909098572865239E-2</v>
      </c>
      <c r="CC609">
        <v>0.41209139981608062</v>
      </c>
      <c r="CE609">
        <v>0.83888525804129965</v>
      </c>
      <c r="CF609">
        <v>0.49380849320819759</v>
      </c>
    </row>
    <row r="610" spans="1:84" x14ac:dyDescent="0.3">
      <c r="A610" s="1">
        <v>795</v>
      </c>
      <c r="B610" t="s">
        <v>970</v>
      </c>
      <c r="C610" t="s">
        <v>971</v>
      </c>
      <c r="E610" t="s">
        <v>372</v>
      </c>
      <c r="F610">
        <v>3.39</v>
      </c>
      <c r="G610" t="s">
        <v>373</v>
      </c>
      <c r="H610">
        <v>-1</v>
      </c>
      <c r="I610" t="s">
        <v>754</v>
      </c>
      <c r="J610">
        <v>2</v>
      </c>
      <c r="K610">
        <v>3.69</v>
      </c>
      <c r="L610">
        <v>3.69</v>
      </c>
      <c r="M610">
        <v>12.06</v>
      </c>
      <c r="O610">
        <v>12.06</v>
      </c>
      <c r="Q610" t="s">
        <v>87</v>
      </c>
      <c r="R610">
        <v>1173</v>
      </c>
      <c r="S610">
        <v>3</v>
      </c>
      <c r="T610" t="b">
        <v>0</v>
      </c>
      <c r="U610" t="s">
        <v>88</v>
      </c>
      <c r="V610" t="s">
        <v>89</v>
      </c>
      <c r="W610">
        <v>0</v>
      </c>
      <c r="Y610">
        <v>0.5</v>
      </c>
      <c r="Z610">
        <v>0.1</v>
      </c>
      <c r="AC610" t="s">
        <v>90</v>
      </c>
      <c r="AD610">
        <v>125</v>
      </c>
      <c r="AE610">
        <v>220</v>
      </c>
      <c r="AF610" t="s">
        <v>91</v>
      </c>
      <c r="AG610">
        <v>288</v>
      </c>
      <c r="AH610">
        <v>4.5</v>
      </c>
      <c r="AI610" t="s">
        <v>972</v>
      </c>
      <c r="AL610" t="b">
        <v>1</v>
      </c>
      <c r="AM610" t="b">
        <v>0</v>
      </c>
      <c r="AN610" t="b">
        <v>0</v>
      </c>
      <c r="AO610" t="b">
        <v>0</v>
      </c>
      <c r="AP610" t="s">
        <v>1330</v>
      </c>
      <c r="AR610" t="s">
        <v>754</v>
      </c>
      <c r="AS610">
        <v>1.5040773967762739</v>
      </c>
      <c r="AT610">
        <v>1.857142857142857</v>
      </c>
      <c r="AU610">
        <v>2.285714285714286</v>
      </c>
      <c r="AV610">
        <v>0.2857142857142857</v>
      </c>
      <c r="AW610">
        <v>0.5714285714285714</v>
      </c>
      <c r="AX610">
        <v>0.37142857142857139</v>
      </c>
      <c r="AY610">
        <v>0.45714285714285707</v>
      </c>
      <c r="AZ610">
        <v>5.7142857142857141E-2</v>
      </c>
      <c r="BA610">
        <v>0.1142857142857143</v>
      </c>
      <c r="BB610">
        <v>6.2282471432644284</v>
      </c>
      <c r="BC610">
        <v>8</v>
      </c>
      <c r="BD610">
        <v>203.79933701026059</v>
      </c>
      <c r="BE610">
        <v>2</v>
      </c>
      <c r="BF610">
        <v>7.8508596910668346E-2</v>
      </c>
      <c r="BG610">
        <v>3.8703880000000002</v>
      </c>
      <c r="BH610">
        <v>3.8703880000000002</v>
      </c>
      <c r="BI610">
        <v>13.604850000000001</v>
      </c>
      <c r="BJ610">
        <v>0</v>
      </c>
      <c r="BK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S610">
        <v>0</v>
      </c>
      <c r="BT610">
        <v>0</v>
      </c>
      <c r="BU610">
        <v>0</v>
      </c>
      <c r="BV610">
        <v>164.21016599999999</v>
      </c>
      <c r="BW610">
        <v>9.7436111233210748E-2</v>
      </c>
      <c r="BX610">
        <v>4</v>
      </c>
      <c r="BY610">
        <v>4.8718055616605367E-2</v>
      </c>
      <c r="BZ610">
        <v>3.9254298455334173E-2</v>
      </c>
      <c r="CC610">
        <v>0.40413338857906378</v>
      </c>
      <c r="CF610">
        <v>0.50156527249429372</v>
      </c>
    </row>
    <row r="611" spans="1:84" x14ac:dyDescent="0.3">
      <c r="A611" s="1">
        <v>796</v>
      </c>
      <c r="B611" t="s">
        <v>690</v>
      </c>
      <c r="C611" t="s">
        <v>691</v>
      </c>
      <c r="E611" t="s">
        <v>690</v>
      </c>
      <c r="F611">
        <v>3.78</v>
      </c>
      <c r="G611" t="s">
        <v>692</v>
      </c>
      <c r="H611" t="s">
        <v>693</v>
      </c>
      <c r="I611">
        <v>-1</v>
      </c>
      <c r="J611">
        <v>2</v>
      </c>
      <c r="K611">
        <v>3.75</v>
      </c>
      <c r="L611">
        <v>3.75</v>
      </c>
      <c r="M611">
        <v>21.74</v>
      </c>
      <c r="O611">
        <v>0</v>
      </c>
      <c r="Q611" t="s">
        <v>87</v>
      </c>
      <c r="R611">
        <v>1173</v>
      </c>
      <c r="S611">
        <v>3</v>
      </c>
      <c r="T611" t="b">
        <v>0</v>
      </c>
      <c r="U611" t="s">
        <v>88</v>
      </c>
      <c r="V611" t="s">
        <v>89</v>
      </c>
      <c r="W611">
        <v>0</v>
      </c>
      <c r="Y611">
        <v>0.5</v>
      </c>
      <c r="Z611">
        <v>0.1</v>
      </c>
      <c r="AC611" t="s">
        <v>90</v>
      </c>
      <c r="AD611">
        <v>125</v>
      </c>
      <c r="AE611">
        <v>220</v>
      </c>
      <c r="AF611" t="s">
        <v>91</v>
      </c>
      <c r="AG611">
        <v>288</v>
      </c>
      <c r="AH611">
        <v>32</v>
      </c>
      <c r="AL611" t="b">
        <v>1</v>
      </c>
      <c r="AM611" t="b">
        <v>0</v>
      </c>
      <c r="AN611" t="b">
        <v>0</v>
      </c>
      <c r="AO611" t="b">
        <v>0</v>
      </c>
      <c r="AP611" t="s">
        <v>692</v>
      </c>
      <c r="AQ611" t="s">
        <v>693</v>
      </c>
      <c r="AS611">
        <v>3.465735902799727</v>
      </c>
      <c r="AT611">
        <v>2</v>
      </c>
      <c r="AU611">
        <v>2.545454545454545</v>
      </c>
      <c r="AV611">
        <v>0.54545454545454541</v>
      </c>
      <c r="AW611">
        <v>0</v>
      </c>
      <c r="AX611">
        <v>0.39285714285714279</v>
      </c>
      <c r="AY611">
        <v>0.5</v>
      </c>
      <c r="AZ611">
        <v>0.1071428571428571</v>
      </c>
      <c r="BA611">
        <v>0</v>
      </c>
      <c r="BB611">
        <v>5.9831999205909083</v>
      </c>
      <c r="BC611">
        <v>14</v>
      </c>
      <c r="BD611">
        <v>288.33429290182369</v>
      </c>
      <c r="BE611">
        <v>2</v>
      </c>
      <c r="BF611">
        <v>9.7109503410799117E-2</v>
      </c>
      <c r="BG611">
        <v>7.41544296</v>
      </c>
      <c r="BH611">
        <v>7.4154429599999991</v>
      </c>
      <c r="BI611">
        <v>7.41544296</v>
      </c>
      <c r="BJ611">
        <v>556.51188553357167</v>
      </c>
      <c r="BK611">
        <v>4</v>
      </c>
      <c r="BL611">
        <v>0.10062678166578309</v>
      </c>
      <c r="BM611">
        <v>7.8</v>
      </c>
      <c r="BN611">
        <v>13.010999999999999</v>
      </c>
      <c r="BO611">
        <v>5.5460000000000003</v>
      </c>
      <c r="BP611">
        <v>0</v>
      </c>
      <c r="BQ611">
        <v>0</v>
      </c>
      <c r="BS611">
        <v>0</v>
      </c>
      <c r="BT611">
        <v>0</v>
      </c>
      <c r="BU611">
        <v>0</v>
      </c>
      <c r="BV611">
        <v>305.71875</v>
      </c>
      <c r="BW611">
        <v>9.1587447613206585E-2</v>
      </c>
      <c r="BX611">
        <v>7</v>
      </c>
      <c r="BY611">
        <v>4.5793723806603293E-2</v>
      </c>
      <c r="BZ611">
        <v>4.8554751705399558E-2</v>
      </c>
      <c r="CA611">
        <v>5.0313390832891547E-2</v>
      </c>
      <c r="CC611">
        <v>0.52442413903612495</v>
      </c>
      <c r="CD611">
        <v>0.54341863036636617</v>
      </c>
      <c r="CF611">
        <v>0.49460317141041799</v>
      </c>
    </row>
    <row r="612" spans="1:84" x14ac:dyDescent="0.3">
      <c r="A612" s="1">
        <v>797</v>
      </c>
      <c r="B612" t="s">
        <v>735</v>
      </c>
      <c r="C612" t="s">
        <v>736</v>
      </c>
      <c r="E612" t="s">
        <v>690</v>
      </c>
      <c r="F612">
        <v>3.65</v>
      </c>
      <c r="G612" t="s">
        <v>737</v>
      </c>
      <c r="H612" t="s">
        <v>738</v>
      </c>
      <c r="I612">
        <v>-1</v>
      </c>
      <c r="J612">
        <v>2</v>
      </c>
      <c r="K612">
        <v>3.69</v>
      </c>
      <c r="L612">
        <v>3.69</v>
      </c>
      <c r="M612">
        <v>21.18</v>
      </c>
      <c r="O612">
        <v>0</v>
      </c>
      <c r="Q612" t="s">
        <v>87</v>
      </c>
      <c r="R612">
        <v>1173</v>
      </c>
      <c r="S612">
        <v>3</v>
      </c>
      <c r="T612" t="b">
        <v>0</v>
      </c>
      <c r="U612" t="s">
        <v>88</v>
      </c>
      <c r="V612" t="s">
        <v>89</v>
      </c>
      <c r="W612">
        <v>0</v>
      </c>
      <c r="Y612">
        <v>0.5</v>
      </c>
      <c r="Z612">
        <v>0.1</v>
      </c>
      <c r="AC612" t="s">
        <v>90</v>
      </c>
      <c r="AD612">
        <v>125</v>
      </c>
      <c r="AE612">
        <v>220</v>
      </c>
      <c r="AF612" t="s">
        <v>91</v>
      </c>
      <c r="AG612">
        <v>288</v>
      </c>
      <c r="AH612">
        <v>15</v>
      </c>
      <c r="AL612" t="b">
        <v>1</v>
      </c>
      <c r="AM612" t="b">
        <v>0</v>
      </c>
      <c r="AN612" t="b">
        <v>0</v>
      </c>
      <c r="AO612" t="b">
        <v>0</v>
      </c>
      <c r="AP612" t="s">
        <v>737</v>
      </c>
      <c r="AQ612" t="s">
        <v>738</v>
      </c>
      <c r="AS612">
        <v>2.7080502011022101</v>
      </c>
      <c r="AT612">
        <v>2</v>
      </c>
      <c r="AU612">
        <v>2.545454545454545</v>
      </c>
      <c r="AV612">
        <v>0.36363636363636359</v>
      </c>
      <c r="AW612">
        <v>0.72727272727272729</v>
      </c>
      <c r="AX612">
        <v>0.35483870967741932</v>
      </c>
      <c r="AY612">
        <v>0.45161290322580638</v>
      </c>
      <c r="AZ612">
        <v>6.4516129032258063E-2</v>
      </c>
      <c r="BA612">
        <v>0.1290322580645161</v>
      </c>
      <c r="BB612">
        <v>5.9366587478636346</v>
      </c>
      <c r="BC612">
        <v>14</v>
      </c>
      <c r="BD612">
        <v>273.44070809730869</v>
      </c>
      <c r="BE612">
        <v>2</v>
      </c>
      <c r="BF612">
        <v>0.1023987986091511</v>
      </c>
      <c r="BG612">
        <v>7.2854997800000012</v>
      </c>
      <c r="BH612">
        <v>7.2855000099999998</v>
      </c>
      <c r="BI612">
        <v>7.28550129</v>
      </c>
      <c r="BJ612">
        <v>1077.884035254056</v>
      </c>
      <c r="BK612">
        <v>8</v>
      </c>
      <c r="BL612">
        <v>0.1039072816155049</v>
      </c>
      <c r="BM612">
        <v>7.6769999999999996</v>
      </c>
      <c r="BN612">
        <v>5.4560000000000004</v>
      </c>
      <c r="BO612">
        <v>26.012989999999999</v>
      </c>
      <c r="BP612">
        <v>0</v>
      </c>
      <c r="BQ612">
        <v>0</v>
      </c>
      <c r="BS612">
        <v>0</v>
      </c>
      <c r="BT612">
        <v>0</v>
      </c>
      <c r="BU612">
        <v>0</v>
      </c>
      <c r="BV612">
        <v>288.38899800000002</v>
      </c>
      <c r="BW612">
        <v>9.709108251071355E-2</v>
      </c>
      <c r="BX612">
        <v>7</v>
      </c>
      <c r="BY612">
        <v>4.8545541255356782E-2</v>
      </c>
      <c r="BZ612">
        <v>5.1199399304575573E-2</v>
      </c>
      <c r="CA612">
        <v>5.1953640807752437E-2</v>
      </c>
      <c r="CC612">
        <v>0.54112567770605691</v>
      </c>
      <c r="CD612">
        <v>0.54909724475770683</v>
      </c>
      <c r="CF612">
        <v>0.51307709207956786</v>
      </c>
    </row>
    <row r="613" spans="1:84" x14ac:dyDescent="0.3">
      <c r="A613" s="1">
        <v>798</v>
      </c>
      <c r="B613" t="s">
        <v>1331</v>
      </c>
      <c r="C613" t="s">
        <v>1332</v>
      </c>
      <c r="E613" t="s">
        <v>404</v>
      </c>
      <c r="F613">
        <v>3.54</v>
      </c>
      <c r="G613" t="s">
        <v>405</v>
      </c>
      <c r="H613">
        <v>-1</v>
      </c>
      <c r="I613">
        <v>-1</v>
      </c>
      <c r="J613">
        <v>2</v>
      </c>
      <c r="K613">
        <v>3.78</v>
      </c>
      <c r="L613">
        <v>3.78</v>
      </c>
      <c r="M613">
        <v>27.2</v>
      </c>
      <c r="N613" t="s">
        <v>529</v>
      </c>
      <c r="O613">
        <v>13.6</v>
      </c>
      <c r="Q613" t="s">
        <v>87</v>
      </c>
      <c r="R613">
        <v>1273</v>
      </c>
      <c r="S613">
        <v>10</v>
      </c>
      <c r="T613" t="b">
        <v>0</v>
      </c>
      <c r="U613" t="s">
        <v>88</v>
      </c>
      <c r="V613" t="s">
        <v>89</v>
      </c>
      <c r="W613">
        <v>0</v>
      </c>
      <c r="Y613">
        <v>0.5</v>
      </c>
      <c r="Z613">
        <v>0.1</v>
      </c>
      <c r="AC613" t="s">
        <v>90</v>
      </c>
      <c r="AD613">
        <v>125</v>
      </c>
      <c r="AE613">
        <v>220</v>
      </c>
      <c r="AF613" t="s">
        <v>91</v>
      </c>
      <c r="AG613">
        <v>288</v>
      </c>
      <c r="AH613">
        <v>347.99999999999989</v>
      </c>
      <c r="AI613" t="s">
        <v>1333</v>
      </c>
      <c r="AL613" t="b">
        <v>1</v>
      </c>
      <c r="AM613" t="b">
        <v>0</v>
      </c>
      <c r="AN613" t="b">
        <v>0</v>
      </c>
      <c r="AO613" t="b">
        <v>0</v>
      </c>
      <c r="AP613" t="s">
        <v>1334</v>
      </c>
      <c r="AS613">
        <v>5.8522024797744736</v>
      </c>
      <c r="AT613">
        <v>1.882352941176471</v>
      </c>
      <c r="AU613">
        <v>2.3529411764705879</v>
      </c>
      <c r="AV613">
        <v>0.35294117647058831</v>
      </c>
      <c r="AW613">
        <v>0.47058823529411759</v>
      </c>
      <c r="AX613">
        <v>0.37209302325581389</v>
      </c>
      <c r="AY613">
        <v>0.46511627906976749</v>
      </c>
      <c r="AZ613">
        <v>6.9767441860465129E-2</v>
      </c>
      <c r="BA613">
        <v>9.3023255813953487E-2</v>
      </c>
      <c r="BB613">
        <v>5.9342157496971177</v>
      </c>
      <c r="BC613">
        <v>20</v>
      </c>
      <c r="BD613">
        <v>229.90248606119221</v>
      </c>
      <c r="BE613">
        <v>1</v>
      </c>
      <c r="BF613">
        <v>8.6993404650164072E-2</v>
      </c>
      <c r="BG613">
        <v>15.28115725</v>
      </c>
      <c r="BH613">
        <v>15.28115725</v>
      </c>
      <c r="BI613">
        <v>15.28115725</v>
      </c>
      <c r="BJ613">
        <v>0</v>
      </c>
      <c r="BK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S613">
        <v>0</v>
      </c>
      <c r="BT613">
        <v>0</v>
      </c>
      <c r="BU613">
        <v>0</v>
      </c>
      <c r="BV613">
        <v>388.64447999999999</v>
      </c>
      <c r="BW613">
        <v>0.1029218271670808</v>
      </c>
      <c r="BX613">
        <v>10</v>
      </c>
      <c r="BY613">
        <v>5.1460913583540407E-2</v>
      </c>
      <c r="BZ613">
        <v>4.3496702325082043E-2</v>
      </c>
      <c r="CC613">
        <v>0.52201783597926332</v>
      </c>
      <c r="CF613">
        <v>0.61759888245378569</v>
      </c>
    </row>
    <row r="614" spans="1:84" x14ac:dyDescent="0.3">
      <c r="A614" s="1">
        <v>799</v>
      </c>
      <c r="B614" t="s">
        <v>1335</v>
      </c>
      <c r="C614" t="s">
        <v>1336</v>
      </c>
      <c r="E614" t="s">
        <v>404</v>
      </c>
      <c r="F614">
        <v>3.4775</v>
      </c>
      <c r="G614" t="s">
        <v>405</v>
      </c>
      <c r="H614">
        <v>-1</v>
      </c>
      <c r="I614">
        <v>-1</v>
      </c>
      <c r="J614">
        <v>2</v>
      </c>
      <c r="K614">
        <v>3.78</v>
      </c>
      <c r="L614">
        <v>3.78</v>
      </c>
      <c r="M614">
        <v>27.2</v>
      </c>
      <c r="N614" t="s">
        <v>529</v>
      </c>
      <c r="O614">
        <v>13.6</v>
      </c>
      <c r="Q614" t="s">
        <v>87</v>
      </c>
      <c r="R614">
        <v>1273</v>
      </c>
      <c r="S614">
        <v>10</v>
      </c>
      <c r="T614" t="b">
        <v>0</v>
      </c>
      <c r="U614" t="s">
        <v>88</v>
      </c>
      <c r="V614" t="s">
        <v>89</v>
      </c>
      <c r="W614">
        <v>0</v>
      </c>
      <c r="Y614">
        <v>0.5</v>
      </c>
      <c r="Z614">
        <v>0.1</v>
      </c>
      <c r="AC614" t="s">
        <v>90</v>
      </c>
      <c r="AD614">
        <v>125</v>
      </c>
      <c r="AE614">
        <v>220</v>
      </c>
      <c r="AF614" t="s">
        <v>91</v>
      </c>
      <c r="AG614">
        <v>288</v>
      </c>
      <c r="AH614">
        <v>55.999999999999993</v>
      </c>
      <c r="AI614" t="s">
        <v>1337</v>
      </c>
      <c r="AL614" t="b">
        <v>1</v>
      </c>
      <c r="AM614" t="b">
        <v>0</v>
      </c>
      <c r="AN614" t="b">
        <v>0</v>
      </c>
      <c r="AO614" t="b">
        <v>0</v>
      </c>
      <c r="AP614" t="s">
        <v>1338</v>
      </c>
      <c r="AS614">
        <v>4.0253516907351488</v>
      </c>
      <c r="AT614">
        <v>1.882352941176471</v>
      </c>
      <c r="AU614">
        <v>2.3529411764705879</v>
      </c>
      <c r="AV614">
        <v>0.35294117647058831</v>
      </c>
      <c r="AW614">
        <v>0.47058823529411759</v>
      </c>
      <c r="AX614">
        <v>0.37209302325581389</v>
      </c>
      <c r="AY614">
        <v>0.46511627906976749</v>
      </c>
      <c r="AZ614">
        <v>6.9767441860465129E-2</v>
      </c>
      <c r="BA614">
        <v>9.3023255813953487E-2</v>
      </c>
      <c r="BB614">
        <v>6.0767096538103829</v>
      </c>
      <c r="BC614">
        <v>20</v>
      </c>
      <c r="BD614">
        <v>229.90248606119221</v>
      </c>
      <c r="BE614">
        <v>1</v>
      </c>
      <c r="BF614">
        <v>8.6993404650164072E-2</v>
      </c>
      <c r="BG614">
        <v>15.28115725</v>
      </c>
      <c r="BH614">
        <v>15.28115725</v>
      </c>
      <c r="BI614">
        <v>15.28115725</v>
      </c>
      <c r="BJ614">
        <v>0</v>
      </c>
      <c r="BK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S614">
        <v>0</v>
      </c>
      <c r="BT614">
        <v>0</v>
      </c>
      <c r="BU614">
        <v>0</v>
      </c>
      <c r="BV614">
        <v>388.64447999999999</v>
      </c>
      <c r="BW614">
        <v>0.1029218271670808</v>
      </c>
      <c r="BX614">
        <v>10</v>
      </c>
      <c r="BY614">
        <v>5.1460913583540407E-2</v>
      </c>
      <c r="BZ614">
        <v>4.3496702325082043E-2</v>
      </c>
      <c r="CC614">
        <v>0.48034640150166491</v>
      </c>
      <c r="CF614">
        <v>0.56829744179451802</v>
      </c>
    </row>
    <row r="615" spans="1:84" x14ac:dyDescent="0.3">
      <c r="A615" s="1">
        <v>800</v>
      </c>
      <c r="B615" t="s">
        <v>1106</v>
      </c>
      <c r="C615" t="s">
        <v>1107</v>
      </c>
      <c r="E615" t="s">
        <v>404</v>
      </c>
      <c r="F615">
        <v>3.4149999999999991</v>
      </c>
      <c r="G615" t="s">
        <v>405</v>
      </c>
      <c r="H615">
        <v>-1</v>
      </c>
      <c r="I615">
        <v>-1</v>
      </c>
      <c r="J615">
        <v>2</v>
      </c>
      <c r="K615">
        <v>3.78</v>
      </c>
      <c r="L615">
        <v>3.78</v>
      </c>
      <c r="M615">
        <v>27.2</v>
      </c>
      <c r="N615" t="s">
        <v>529</v>
      </c>
      <c r="O615">
        <v>13.6</v>
      </c>
      <c r="Q615" t="s">
        <v>87</v>
      </c>
      <c r="R615">
        <v>1273</v>
      </c>
      <c r="S615">
        <v>10</v>
      </c>
      <c r="T615" t="b">
        <v>0</v>
      </c>
      <c r="U615" t="s">
        <v>88</v>
      </c>
      <c r="V615" t="s">
        <v>89</v>
      </c>
      <c r="W615">
        <v>0</v>
      </c>
      <c r="Y615">
        <v>0.5</v>
      </c>
      <c r="Z615">
        <v>0.1</v>
      </c>
      <c r="AC615" t="s">
        <v>90</v>
      </c>
      <c r="AD615">
        <v>125</v>
      </c>
      <c r="AE615">
        <v>220</v>
      </c>
      <c r="AF615" t="s">
        <v>91</v>
      </c>
      <c r="AG615">
        <v>288</v>
      </c>
      <c r="AH615">
        <v>40</v>
      </c>
      <c r="AI615" t="s">
        <v>972</v>
      </c>
      <c r="AL615" t="b">
        <v>1</v>
      </c>
      <c r="AM615" t="b">
        <v>0</v>
      </c>
      <c r="AN615" t="b">
        <v>0</v>
      </c>
      <c r="AO615" t="b">
        <v>0</v>
      </c>
      <c r="AP615" t="s">
        <v>1339</v>
      </c>
      <c r="AQ615">
        <v>-1</v>
      </c>
      <c r="AS615">
        <v>3.6888794541139358</v>
      </c>
      <c r="AT615">
        <v>1.882352941176471</v>
      </c>
      <c r="AU615">
        <v>2.3529411764705879</v>
      </c>
      <c r="AV615">
        <v>0.35294117647058831</v>
      </c>
      <c r="AW615">
        <v>0.47058823529411759</v>
      </c>
      <c r="AX615">
        <v>0.37209302325581389</v>
      </c>
      <c r="AY615">
        <v>0.46511627906976749</v>
      </c>
      <c r="AZ615">
        <v>6.9767441860465129E-2</v>
      </c>
      <c r="BA615">
        <v>9.3023255813953487E-2</v>
      </c>
      <c r="BB615">
        <v>6.2192035579236471</v>
      </c>
      <c r="BC615">
        <v>20</v>
      </c>
      <c r="BD615">
        <v>229.90248606119221</v>
      </c>
      <c r="BE615">
        <v>1</v>
      </c>
      <c r="BF615">
        <v>8.6993404650164072E-2</v>
      </c>
      <c r="BG615">
        <v>15.28115725</v>
      </c>
      <c r="BH615">
        <v>15.28115725</v>
      </c>
      <c r="BI615">
        <v>15.28115725</v>
      </c>
      <c r="BJ615">
        <v>0</v>
      </c>
      <c r="BK615">
        <v>0</v>
      </c>
      <c r="BM615">
        <v>0</v>
      </c>
      <c r="BP615">
        <v>0</v>
      </c>
      <c r="BQ615">
        <v>0</v>
      </c>
      <c r="BS615">
        <v>0</v>
      </c>
      <c r="BT615">
        <v>0</v>
      </c>
      <c r="BU615">
        <v>0</v>
      </c>
      <c r="BV615">
        <v>388.64447999999999</v>
      </c>
      <c r="BW615">
        <v>0.1029218271670808</v>
      </c>
      <c r="BX615">
        <v>10</v>
      </c>
      <c r="BY615">
        <v>5.1460913583540407E-2</v>
      </c>
      <c r="BZ615">
        <v>4.3496702325082043E-2</v>
      </c>
      <c r="CC615">
        <v>0.43867496702406639</v>
      </c>
      <c r="CF615">
        <v>0.51899600113525035</v>
      </c>
    </row>
    <row r="616" spans="1:84" x14ac:dyDescent="0.3">
      <c r="A616" s="1">
        <v>801</v>
      </c>
      <c r="B616" t="s">
        <v>128</v>
      </c>
      <c r="C616" t="s">
        <v>129</v>
      </c>
      <c r="E616" t="s">
        <v>130</v>
      </c>
      <c r="F616">
        <v>3.2</v>
      </c>
      <c r="G616" t="s">
        <v>131</v>
      </c>
      <c r="H616" t="s">
        <v>132</v>
      </c>
      <c r="I616">
        <v>-1</v>
      </c>
      <c r="O616">
        <v>0</v>
      </c>
      <c r="Q616" t="s">
        <v>248</v>
      </c>
      <c r="T616" t="b">
        <v>0</v>
      </c>
      <c r="U616" t="s">
        <v>88</v>
      </c>
      <c r="V616" t="s">
        <v>89</v>
      </c>
      <c r="W616">
        <v>0</v>
      </c>
      <c r="Y616">
        <v>0.5</v>
      </c>
      <c r="Z616">
        <v>0.1</v>
      </c>
      <c r="AC616" t="s">
        <v>90</v>
      </c>
      <c r="AD616">
        <v>125</v>
      </c>
      <c r="AE616">
        <v>220</v>
      </c>
      <c r="AF616" t="s">
        <v>91</v>
      </c>
      <c r="AG616">
        <v>288</v>
      </c>
      <c r="AH616">
        <v>140</v>
      </c>
      <c r="AL616" t="b">
        <v>1</v>
      </c>
      <c r="AM616" t="b">
        <v>0</v>
      </c>
      <c r="AN616" t="b">
        <v>0</v>
      </c>
      <c r="AO616" t="b">
        <v>0</v>
      </c>
      <c r="AP616" t="s">
        <v>131</v>
      </c>
      <c r="AQ616" t="s">
        <v>132</v>
      </c>
      <c r="AS616">
        <v>4.9416424226093039</v>
      </c>
      <c r="AT616">
        <v>2</v>
      </c>
      <c r="AU616">
        <v>2.666666666666667</v>
      </c>
      <c r="AV616">
        <v>0.66666666666666663</v>
      </c>
      <c r="AW616">
        <v>0</v>
      </c>
      <c r="AX616">
        <v>0.375</v>
      </c>
      <c r="AY616">
        <v>0.5</v>
      </c>
      <c r="AZ616">
        <v>0.125</v>
      </c>
      <c r="BA616">
        <v>0</v>
      </c>
      <c r="BB616">
        <v>6.1770001596666662</v>
      </c>
      <c r="BC616">
        <v>4</v>
      </c>
      <c r="BD616">
        <v>1182.741260108548</v>
      </c>
      <c r="BE616">
        <v>30</v>
      </c>
      <c r="BF616">
        <v>0.1014592151701775</v>
      </c>
      <c r="BG616">
        <v>10.59112378</v>
      </c>
      <c r="BH616">
        <v>10.784736629999999</v>
      </c>
      <c r="BI616">
        <v>10.486176179999999</v>
      </c>
      <c r="BJ616">
        <v>130.36387300000001</v>
      </c>
      <c r="BK616">
        <v>4</v>
      </c>
      <c r="BL616">
        <v>0.1227333894874388</v>
      </c>
      <c r="BM616">
        <v>3.73</v>
      </c>
      <c r="BN616">
        <v>3.73</v>
      </c>
      <c r="BO616">
        <v>9.3699999999999992</v>
      </c>
      <c r="BP616">
        <v>0</v>
      </c>
      <c r="BQ616">
        <v>0</v>
      </c>
      <c r="BS616">
        <v>0</v>
      </c>
      <c r="BT616">
        <v>0</v>
      </c>
      <c r="BU616">
        <v>0</v>
      </c>
      <c r="BX616">
        <v>2</v>
      </c>
      <c r="BZ616">
        <v>5.0729607585088737E-2</v>
      </c>
      <c r="CA616">
        <v>6.1366694743719377E-2</v>
      </c>
      <c r="CC616">
        <v>0.46900407026869612</v>
      </c>
      <c r="CD616">
        <v>0.56734579634715776</v>
      </c>
    </row>
    <row r="617" spans="1:84" x14ac:dyDescent="0.3">
      <c r="A617" s="1">
        <v>802</v>
      </c>
      <c r="B617" t="s">
        <v>1340</v>
      </c>
      <c r="C617" t="s">
        <v>1341</v>
      </c>
      <c r="E617" t="s">
        <v>130</v>
      </c>
      <c r="F617">
        <v>5.0999999999999996</v>
      </c>
      <c r="G617" t="s">
        <v>1342</v>
      </c>
      <c r="H617">
        <v>-1</v>
      </c>
      <c r="I617" t="s">
        <v>1343</v>
      </c>
      <c r="O617">
        <v>0</v>
      </c>
      <c r="Q617" t="s">
        <v>821</v>
      </c>
      <c r="R617">
        <v>513</v>
      </c>
      <c r="S617">
        <v>4</v>
      </c>
      <c r="T617" t="b">
        <v>0</v>
      </c>
      <c r="U617" t="s">
        <v>88</v>
      </c>
      <c r="V617" t="s">
        <v>89</v>
      </c>
      <c r="W617">
        <v>0</v>
      </c>
      <c r="X617">
        <v>87</v>
      </c>
      <c r="Y617">
        <v>0.5</v>
      </c>
      <c r="Z617">
        <v>0.1</v>
      </c>
      <c r="AC617" t="s">
        <v>90</v>
      </c>
      <c r="AD617">
        <v>125</v>
      </c>
      <c r="AE617">
        <v>220</v>
      </c>
      <c r="AF617" t="s">
        <v>91</v>
      </c>
      <c r="AG617">
        <v>288</v>
      </c>
      <c r="AH617">
        <v>343.99999999999989</v>
      </c>
      <c r="AL617" t="b">
        <v>0</v>
      </c>
      <c r="AM617" t="b">
        <v>0</v>
      </c>
      <c r="AN617" t="b">
        <v>1</v>
      </c>
      <c r="AO617" t="b">
        <v>0</v>
      </c>
      <c r="AP617" t="s">
        <v>1342</v>
      </c>
      <c r="AR617" t="s">
        <v>1343</v>
      </c>
      <c r="AS617">
        <v>5.8406416573733981</v>
      </c>
      <c r="AT617">
        <v>2</v>
      </c>
      <c r="AU617">
        <v>2.666666666666667</v>
      </c>
      <c r="AV617">
        <v>0.66666666666666663</v>
      </c>
      <c r="AW617">
        <v>0</v>
      </c>
      <c r="AX617">
        <v>0.375</v>
      </c>
      <c r="AY617">
        <v>0.5</v>
      </c>
      <c r="AZ617">
        <v>0.125</v>
      </c>
      <c r="BA617">
        <v>0</v>
      </c>
      <c r="BB617">
        <v>6.2042918263333329</v>
      </c>
      <c r="BC617">
        <v>4</v>
      </c>
      <c r="BD617">
        <v>0</v>
      </c>
      <c r="BE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M617">
        <v>0</v>
      </c>
      <c r="BN617">
        <v>0</v>
      </c>
      <c r="BO617">
        <v>0</v>
      </c>
      <c r="BP617">
        <v>253.865612</v>
      </c>
      <c r="BQ617">
        <v>8</v>
      </c>
      <c r="BR617">
        <v>0.12605094383559129</v>
      </c>
      <c r="BS617">
        <v>4.9400000000000004</v>
      </c>
      <c r="BT617">
        <v>9.94</v>
      </c>
      <c r="BU617">
        <v>5.17</v>
      </c>
      <c r="BX617">
        <v>2</v>
      </c>
      <c r="CB617">
        <v>6.3025471917795631E-2</v>
      </c>
      <c r="CE617">
        <v>0.61205976749226443</v>
      </c>
    </row>
    <row r="618" spans="1:84" x14ac:dyDescent="0.3">
      <c r="A618" s="1">
        <v>803</v>
      </c>
      <c r="B618" t="s">
        <v>1340</v>
      </c>
      <c r="C618" t="s">
        <v>1341</v>
      </c>
      <c r="E618" t="s">
        <v>130</v>
      </c>
      <c r="F618">
        <v>5.0999999999999996</v>
      </c>
      <c r="G618" t="s">
        <v>1342</v>
      </c>
      <c r="H618">
        <v>-1</v>
      </c>
      <c r="I618" t="s">
        <v>1343</v>
      </c>
      <c r="O618">
        <v>0</v>
      </c>
      <c r="Q618" t="s">
        <v>821</v>
      </c>
      <c r="R618">
        <v>513</v>
      </c>
      <c r="S618">
        <v>4</v>
      </c>
      <c r="T618" t="b">
        <v>0</v>
      </c>
      <c r="U618" t="s">
        <v>88</v>
      </c>
      <c r="V618" t="s">
        <v>89</v>
      </c>
      <c r="W618">
        <v>0</v>
      </c>
      <c r="X618">
        <v>140</v>
      </c>
      <c r="Y618">
        <v>0.5</v>
      </c>
      <c r="Z618">
        <v>0.1</v>
      </c>
      <c r="AC618" t="s">
        <v>90</v>
      </c>
      <c r="AD618">
        <v>125</v>
      </c>
      <c r="AE618">
        <v>220</v>
      </c>
      <c r="AF618" t="s">
        <v>91</v>
      </c>
      <c r="AG618">
        <v>288</v>
      </c>
      <c r="AH618">
        <v>652</v>
      </c>
      <c r="AL618" t="b">
        <v>0</v>
      </c>
      <c r="AM618" t="b">
        <v>0</v>
      </c>
      <c r="AN618" t="b">
        <v>1</v>
      </c>
      <c r="AO618" t="b">
        <v>0</v>
      </c>
      <c r="AP618" t="s">
        <v>1342</v>
      </c>
      <c r="AR618" t="s">
        <v>1343</v>
      </c>
      <c r="AS618">
        <v>6.4800445619266531</v>
      </c>
      <c r="AT618">
        <v>2</v>
      </c>
      <c r="AU618">
        <v>2.666666666666667</v>
      </c>
      <c r="AV618">
        <v>0.66666666666666663</v>
      </c>
      <c r="AW618">
        <v>0</v>
      </c>
      <c r="AX618">
        <v>0.375</v>
      </c>
      <c r="AY618">
        <v>0.5</v>
      </c>
      <c r="AZ618">
        <v>0.125</v>
      </c>
      <c r="BA618">
        <v>0</v>
      </c>
      <c r="BB618">
        <v>6.2042918263333329</v>
      </c>
      <c r="BC618">
        <v>4</v>
      </c>
      <c r="BD618">
        <v>0</v>
      </c>
      <c r="BE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M618">
        <v>0</v>
      </c>
      <c r="BN618">
        <v>0</v>
      </c>
      <c r="BO618">
        <v>0</v>
      </c>
      <c r="BP618">
        <v>253.865612</v>
      </c>
      <c r="BQ618">
        <v>8</v>
      </c>
      <c r="BR618">
        <v>0.12605094383559129</v>
      </c>
      <c r="BS618">
        <v>4.9400000000000004</v>
      </c>
      <c r="BT618">
        <v>9.94</v>
      </c>
      <c r="BU618">
        <v>5.17</v>
      </c>
      <c r="BX618">
        <v>2</v>
      </c>
      <c r="CB618">
        <v>6.3025471917795631E-2</v>
      </c>
      <c r="CE618">
        <v>0.61205976749226443</v>
      </c>
    </row>
    <row r="619" spans="1:84" x14ac:dyDescent="0.3">
      <c r="A619" s="1">
        <v>804</v>
      </c>
      <c r="B619" t="s">
        <v>1340</v>
      </c>
      <c r="C619" t="s">
        <v>1341</v>
      </c>
      <c r="E619" t="s">
        <v>130</v>
      </c>
      <c r="F619">
        <v>5.0999999999999996</v>
      </c>
      <c r="G619" t="s">
        <v>1342</v>
      </c>
      <c r="H619">
        <v>-1</v>
      </c>
      <c r="I619" t="s">
        <v>1343</v>
      </c>
      <c r="O619">
        <v>0</v>
      </c>
      <c r="Q619" t="s">
        <v>821</v>
      </c>
      <c r="R619">
        <v>513</v>
      </c>
      <c r="S619">
        <v>4</v>
      </c>
      <c r="T619" t="b">
        <v>0</v>
      </c>
      <c r="U619" t="s">
        <v>88</v>
      </c>
      <c r="V619" t="s">
        <v>89</v>
      </c>
      <c r="W619">
        <v>0</v>
      </c>
      <c r="X619">
        <v>121</v>
      </c>
      <c r="Y619">
        <v>0.5</v>
      </c>
      <c r="Z619">
        <v>0.1</v>
      </c>
      <c r="AC619" t="s">
        <v>90</v>
      </c>
      <c r="AD619">
        <v>125</v>
      </c>
      <c r="AE619">
        <v>220</v>
      </c>
      <c r="AF619" t="s">
        <v>91</v>
      </c>
      <c r="AG619">
        <v>288</v>
      </c>
      <c r="AH619">
        <v>496</v>
      </c>
      <c r="AL619" t="b">
        <v>0</v>
      </c>
      <c r="AM619" t="b">
        <v>0</v>
      </c>
      <c r="AN619" t="b">
        <v>1</v>
      </c>
      <c r="AO619" t="b">
        <v>0</v>
      </c>
      <c r="AP619" t="s">
        <v>1342</v>
      </c>
      <c r="AR619" t="s">
        <v>1343</v>
      </c>
      <c r="AS619">
        <v>6.2065759267249279</v>
      </c>
      <c r="AT619">
        <v>2</v>
      </c>
      <c r="AU619">
        <v>2.666666666666667</v>
      </c>
      <c r="AV619">
        <v>0.66666666666666663</v>
      </c>
      <c r="AW619">
        <v>0</v>
      </c>
      <c r="AX619">
        <v>0.375</v>
      </c>
      <c r="AY619">
        <v>0.5</v>
      </c>
      <c r="AZ619">
        <v>0.125</v>
      </c>
      <c r="BA619">
        <v>0</v>
      </c>
      <c r="BB619">
        <v>6.2042918263333329</v>
      </c>
      <c r="BC619">
        <v>4</v>
      </c>
      <c r="BD619">
        <v>0</v>
      </c>
      <c r="BE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M619">
        <v>0</v>
      </c>
      <c r="BN619">
        <v>0</v>
      </c>
      <c r="BO619">
        <v>0</v>
      </c>
      <c r="BP619">
        <v>253.865612</v>
      </c>
      <c r="BQ619">
        <v>8</v>
      </c>
      <c r="BR619">
        <v>0.12605094383559129</v>
      </c>
      <c r="BS619">
        <v>4.9400000000000004</v>
      </c>
      <c r="BT619">
        <v>9.94</v>
      </c>
      <c r="BU619">
        <v>5.17</v>
      </c>
      <c r="BX619">
        <v>2</v>
      </c>
      <c r="CB619">
        <v>6.3025471917795631E-2</v>
      </c>
      <c r="CE619">
        <v>0.61205976749226443</v>
      </c>
    </row>
    <row r="620" spans="1:84" x14ac:dyDescent="0.3">
      <c r="A620" s="1">
        <v>805</v>
      </c>
      <c r="B620" t="s">
        <v>1340</v>
      </c>
      <c r="C620" t="s">
        <v>1341</v>
      </c>
      <c r="E620" t="s">
        <v>130</v>
      </c>
      <c r="F620">
        <v>5.0999999999999996</v>
      </c>
      <c r="G620" t="s">
        <v>1342</v>
      </c>
      <c r="H620">
        <v>-1</v>
      </c>
      <c r="I620" t="s">
        <v>1343</v>
      </c>
      <c r="O620">
        <v>0</v>
      </c>
      <c r="Q620" t="s">
        <v>821</v>
      </c>
      <c r="R620">
        <v>513</v>
      </c>
      <c r="S620">
        <v>4</v>
      </c>
      <c r="T620" t="b">
        <v>0</v>
      </c>
      <c r="U620" t="s">
        <v>88</v>
      </c>
      <c r="V620" t="s">
        <v>89</v>
      </c>
      <c r="W620">
        <v>0</v>
      </c>
      <c r="X620">
        <v>17</v>
      </c>
      <c r="Y620">
        <v>0.5</v>
      </c>
      <c r="Z620">
        <v>0.1</v>
      </c>
      <c r="AC620" t="s">
        <v>90</v>
      </c>
      <c r="AD620">
        <v>125</v>
      </c>
      <c r="AE620">
        <v>220</v>
      </c>
      <c r="AF620" t="s">
        <v>91</v>
      </c>
      <c r="AG620">
        <v>288</v>
      </c>
      <c r="AH620">
        <v>32</v>
      </c>
      <c r="AL620" t="b">
        <v>0</v>
      </c>
      <c r="AM620" t="b">
        <v>0</v>
      </c>
      <c r="AN620" t="b">
        <v>1</v>
      </c>
      <c r="AO620" t="b">
        <v>0</v>
      </c>
      <c r="AP620" t="s">
        <v>1342</v>
      </c>
      <c r="AR620" t="s">
        <v>1343</v>
      </c>
      <c r="AS620">
        <v>3.465735902799727</v>
      </c>
      <c r="AT620">
        <v>2</v>
      </c>
      <c r="AU620">
        <v>2.666666666666667</v>
      </c>
      <c r="AV620">
        <v>0.66666666666666663</v>
      </c>
      <c r="AW620">
        <v>0</v>
      </c>
      <c r="AX620">
        <v>0.375</v>
      </c>
      <c r="AY620">
        <v>0.5</v>
      </c>
      <c r="AZ620">
        <v>0.125</v>
      </c>
      <c r="BA620">
        <v>0</v>
      </c>
      <c r="BB620">
        <v>6.2042918263333329</v>
      </c>
      <c r="BC620">
        <v>4</v>
      </c>
      <c r="BD620">
        <v>0</v>
      </c>
      <c r="BE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M620">
        <v>0</v>
      </c>
      <c r="BN620">
        <v>0</v>
      </c>
      <c r="BO620">
        <v>0</v>
      </c>
      <c r="BP620">
        <v>253.865612</v>
      </c>
      <c r="BQ620">
        <v>8</v>
      </c>
      <c r="BR620">
        <v>0.12605094383559129</v>
      </c>
      <c r="BS620">
        <v>4.9400000000000004</v>
      </c>
      <c r="BT620">
        <v>9.94</v>
      </c>
      <c r="BU620">
        <v>5.17</v>
      </c>
      <c r="BX620">
        <v>2</v>
      </c>
      <c r="CB620">
        <v>6.3025471917795631E-2</v>
      </c>
      <c r="CE620">
        <v>0.61205976749226443</v>
      </c>
    </row>
    <row r="621" spans="1:84" x14ac:dyDescent="0.3">
      <c r="A621" s="1">
        <v>806</v>
      </c>
      <c r="B621" t="s">
        <v>1344</v>
      </c>
      <c r="C621" t="s">
        <v>1345</v>
      </c>
      <c r="E621" t="s">
        <v>94</v>
      </c>
      <c r="F621">
        <v>3.43</v>
      </c>
      <c r="G621">
        <v>-1</v>
      </c>
      <c r="H621">
        <v>-1</v>
      </c>
      <c r="I621" t="s">
        <v>522</v>
      </c>
      <c r="J621">
        <v>1</v>
      </c>
      <c r="K621">
        <v>3.8620000000000001</v>
      </c>
      <c r="L621">
        <v>3.8620000000000001</v>
      </c>
      <c r="M621">
        <v>10.039999999999999</v>
      </c>
      <c r="O621">
        <v>10.039999999999999</v>
      </c>
      <c r="Q621" t="s">
        <v>87</v>
      </c>
      <c r="R621">
        <v>1373</v>
      </c>
      <c r="S621">
        <v>10</v>
      </c>
      <c r="T621" t="b">
        <v>0</v>
      </c>
      <c r="U621" t="s">
        <v>88</v>
      </c>
      <c r="V621" t="s">
        <v>89</v>
      </c>
      <c r="W621">
        <v>0</v>
      </c>
      <c r="Y621">
        <v>1</v>
      </c>
      <c r="Z621">
        <v>0.1</v>
      </c>
      <c r="AC621" t="s">
        <v>90</v>
      </c>
      <c r="AD621">
        <v>125</v>
      </c>
      <c r="AE621">
        <v>220</v>
      </c>
      <c r="AF621" t="s">
        <v>91</v>
      </c>
      <c r="AG621">
        <v>288</v>
      </c>
      <c r="AH621">
        <v>5.1020408163265314</v>
      </c>
      <c r="AK621" t="s">
        <v>1346</v>
      </c>
      <c r="AL621" t="b">
        <v>0</v>
      </c>
      <c r="AM621" t="b">
        <v>0</v>
      </c>
      <c r="AN621" t="b">
        <v>1</v>
      </c>
      <c r="AO621" t="b">
        <v>0</v>
      </c>
      <c r="AR621" t="s">
        <v>1347</v>
      </c>
      <c r="AS621">
        <v>1.62964061975162</v>
      </c>
      <c r="AT621">
        <v>1.7272727272727271</v>
      </c>
      <c r="AU621">
        <v>2.545454545454545</v>
      </c>
      <c r="AV621">
        <v>0.72727272727272729</v>
      </c>
      <c r="AW621">
        <v>0.36363636363636359</v>
      </c>
      <c r="AX621">
        <v>0.32203389830508478</v>
      </c>
      <c r="AY621">
        <v>0.47457627118644069</v>
      </c>
      <c r="AZ621">
        <v>0.13559322033898311</v>
      </c>
      <c r="BA621">
        <v>6.7796610169491525E-2</v>
      </c>
      <c r="BB621">
        <v>6.4037187701228184</v>
      </c>
      <c r="BC621">
        <v>14</v>
      </c>
      <c r="BD621">
        <v>0</v>
      </c>
      <c r="BE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M621">
        <v>0</v>
      </c>
      <c r="BN621">
        <v>0</v>
      </c>
      <c r="BO621">
        <v>0</v>
      </c>
      <c r="BP621">
        <v>171.98132883066</v>
      </c>
      <c r="BQ621">
        <v>1</v>
      </c>
      <c r="BR621">
        <v>8.1404185531005993E-2</v>
      </c>
      <c r="BS621">
        <v>3.8898000000000001</v>
      </c>
      <c r="BT621">
        <v>3.8898000000000001</v>
      </c>
      <c r="BU621">
        <v>11.3665</v>
      </c>
      <c r="BV621">
        <v>149.74704176</v>
      </c>
      <c r="BW621">
        <v>9.3490995451101067E-2</v>
      </c>
      <c r="BX621">
        <v>7</v>
      </c>
      <c r="BY621">
        <v>4.6745497725550533E-2</v>
      </c>
      <c r="CB621">
        <v>4.0702092765502997E-2</v>
      </c>
      <c r="CE621">
        <v>0.39866004333541338</v>
      </c>
      <c r="CF621">
        <v>0.45785267741313762</v>
      </c>
    </row>
    <row r="622" spans="1:84" x14ac:dyDescent="0.3">
      <c r="A622" s="1">
        <v>807</v>
      </c>
      <c r="B622" t="s">
        <v>1348</v>
      </c>
      <c r="C622" t="s">
        <v>1349</v>
      </c>
      <c r="E622" t="s">
        <v>94</v>
      </c>
      <c r="F622">
        <v>3.58</v>
      </c>
      <c r="G622">
        <v>-1</v>
      </c>
      <c r="H622">
        <v>-1</v>
      </c>
      <c r="I622" t="s">
        <v>522</v>
      </c>
      <c r="J622">
        <v>1</v>
      </c>
      <c r="K622">
        <v>3.8620000000000001</v>
      </c>
      <c r="L622">
        <v>3.8620000000000001</v>
      </c>
      <c r="M622">
        <v>10.220000000000001</v>
      </c>
      <c r="O622">
        <v>10.220000000000001</v>
      </c>
      <c r="Q622" t="s">
        <v>87</v>
      </c>
      <c r="R622">
        <v>1373</v>
      </c>
      <c r="S622">
        <v>10</v>
      </c>
      <c r="T622" t="b">
        <v>0</v>
      </c>
      <c r="U622" t="s">
        <v>88</v>
      </c>
      <c r="V622" t="s">
        <v>89</v>
      </c>
      <c r="W622">
        <v>0</v>
      </c>
      <c r="Y622">
        <v>1</v>
      </c>
      <c r="Z622">
        <v>0.1</v>
      </c>
      <c r="AC622" t="s">
        <v>90</v>
      </c>
      <c r="AD622">
        <v>125</v>
      </c>
      <c r="AE622">
        <v>220</v>
      </c>
      <c r="AF622" t="s">
        <v>91</v>
      </c>
      <c r="AG622">
        <v>288</v>
      </c>
      <c r="AH622">
        <v>162.62755102040819</v>
      </c>
      <c r="AK622" t="s">
        <v>1350</v>
      </c>
      <c r="AL622" t="b">
        <v>0</v>
      </c>
      <c r="AM622" t="b">
        <v>0</v>
      </c>
      <c r="AN622" t="b">
        <v>1</v>
      </c>
      <c r="AO622" t="b">
        <v>0</v>
      </c>
      <c r="AR622" t="s">
        <v>1351</v>
      </c>
      <c r="AS622">
        <v>5.0914626232302096</v>
      </c>
      <c r="AT622">
        <v>1.7272727272727271</v>
      </c>
      <c r="AU622">
        <v>2.545454545454545</v>
      </c>
      <c r="AV622">
        <v>0.72727272727272729</v>
      </c>
      <c r="AW622">
        <v>0.36363636363636359</v>
      </c>
      <c r="AX622">
        <v>0.32203389830508478</v>
      </c>
      <c r="AY622">
        <v>0.47457627118644069</v>
      </c>
      <c r="AZ622">
        <v>0.13559322033898311</v>
      </c>
      <c r="BA622">
        <v>6.7796610169491525E-2</v>
      </c>
      <c r="BB622">
        <v>6.024497607681818</v>
      </c>
      <c r="BC622">
        <v>14</v>
      </c>
      <c r="BD622">
        <v>0</v>
      </c>
      <c r="BE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M622">
        <v>0</v>
      </c>
      <c r="BN622">
        <v>0</v>
      </c>
      <c r="BO622">
        <v>0</v>
      </c>
      <c r="BP622">
        <v>171.98132883066</v>
      </c>
      <c r="BQ622">
        <v>1</v>
      </c>
      <c r="BR622">
        <v>8.1404185531005993E-2</v>
      </c>
      <c r="BS622">
        <v>3.8898000000000001</v>
      </c>
      <c r="BT622">
        <v>3.8898000000000001</v>
      </c>
      <c r="BU622">
        <v>11.3665</v>
      </c>
      <c r="BV622">
        <v>152.43174968</v>
      </c>
      <c r="BW622">
        <v>9.1844383006756819E-2</v>
      </c>
      <c r="BX622">
        <v>7</v>
      </c>
      <c r="BY622">
        <v>4.5922191503378409E-2</v>
      </c>
      <c r="CB622">
        <v>4.0702092765502997E-2</v>
      </c>
      <c r="CE622">
        <v>0.41641542742117282</v>
      </c>
      <c r="CF622">
        <v>0.4698212721681892</v>
      </c>
    </row>
    <row r="623" spans="1:84" x14ac:dyDescent="0.3">
      <c r="A623" s="1">
        <v>808</v>
      </c>
      <c r="B623" t="s">
        <v>1352</v>
      </c>
      <c r="C623" t="s">
        <v>1353</v>
      </c>
      <c r="E623" t="s">
        <v>94</v>
      </c>
      <c r="F623">
        <v>3.57</v>
      </c>
      <c r="G623">
        <v>-1</v>
      </c>
      <c r="H623">
        <v>-1</v>
      </c>
      <c r="I623" t="s">
        <v>522</v>
      </c>
      <c r="J623">
        <v>1</v>
      </c>
      <c r="K623">
        <v>3.8620000000000001</v>
      </c>
      <c r="L623">
        <v>3.8620000000000001</v>
      </c>
      <c r="M623">
        <v>10.42</v>
      </c>
      <c r="O623">
        <v>10.42</v>
      </c>
      <c r="Q623" t="s">
        <v>87</v>
      </c>
      <c r="R623">
        <v>1373</v>
      </c>
      <c r="S623">
        <v>10</v>
      </c>
      <c r="T623" t="b">
        <v>0</v>
      </c>
      <c r="U623" t="s">
        <v>88</v>
      </c>
      <c r="V623" t="s">
        <v>89</v>
      </c>
      <c r="W623">
        <v>0</v>
      </c>
      <c r="Y623">
        <v>1</v>
      </c>
      <c r="Z623">
        <v>0.1</v>
      </c>
      <c r="AC623" t="s">
        <v>90</v>
      </c>
      <c r="AD623">
        <v>125</v>
      </c>
      <c r="AE623">
        <v>220</v>
      </c>
      <c r="AF623" t="s">
        <v>91</v>
      </c>
      <c r="AG623">
        <v>288</v>
      </c>
      <c r="AH623">
        <v>29.336734693877549</v>
      </c>
      <c r="AK623" t="s">
        <v>1354</v>
      </c>
      <c r="AL623" t="b">
        <v>0</v>
      </c>
      <c r="AM623" t="b">
        <v>0</v>
      </c>
      <c r="AN623" t="b">
        <v>1</v>
      </c>
      <c r="AO623" t="b">
        <v>0</v>
      </c>
      <c r="AR623" t="s">
        <v>1355</v>
      </c>
      <c r="AS623">
        <v>3.3788404745608789</v>
      </c>
      <c r="AT623">
        <v>1.7272727272727271</v>
      </c>
      <c r="AU623">
        <v>2.545454545454545</v>
      </c>
      <c r="AV623">
        <v>0.72727272727272729</v>
      </c>
      <c r="AW623">
        <v>0.36363636363636359</v>
      </c>
      <c r="AX623">
        <v>0.32203389830508478</v>
      </c>
      <c r="AY623">
        <v>0.47457627118644069</v>
      </c>
      <c r="AZ623">
        <v>0.13559322033898311</v>
      </c>
      <c r="BA623">
        <v>6.7796610169491525E-2</v>
      </c>
      <c r="BB623">
        <v>6.0098266528636346</v>
      </c>
      <c r="BC623">
        <v>14</v>
      </c>
      <c r="BD623">
        <v>0</v>
      </c>
      <c r="BE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M623">
        <v>0</v>
      </c>
      <c r="BN623">
        <v>0</v>
      </c>
      <c r="BO623">
        <v>0</v>
      </c>
      <c r="BP623">
        <v>171.98132883066</v>
      </c>
      <c r="BQ623">
        <v>1</v>
      </c>
      <c r="BR623">
        <v>8.1404185531005993E-2</v>
      </c>
      <c r="BS623">
        <v>3.8898000000000001</v>
      </c>
      <c r="BT623">
        <v>3.8898000000000001</v>
      </c>
      <c r="BU623">
        <v>11.3665</v>
      </c>
      <c r="BV623">
        <v>155.41475847999999</v>
      </c>
      <c r="BW623">
        <v>9.0081534964400647E-2</v>
      </c>
      <c r="BX623">
        <v>7</v>
      </c>
      <c r="BY623">
        <v>4.5040767482200317E-2</v>
      </c>
      <c r="CB623">
        <v>4.0702092765502997E-2</v>
      </c>
      <c r="CE623">
        <v>0.43667714908534311</v>
      </c>
      <c r="CF623">
        <v>0.48322512677807272</v>
      </c>
    </row>
    <row r="624" spans="1:84" x14ac:dyDescent="0.3">
      <c r="A624" s="1">
        <v>809</v>
      </c>
      <c r="B624" t="s">
        <v>1356</v>
      </c>
      <c r="C624" t="s">
        <v>1357</v>
      </c>
      <c r="E624" t="s">
        <v>94</v>
      </c>
      <c r="F624">
        <v>3.55</v>
      </c>
      <c r="G624">
        <v>-1</v>
      </c>
      <c r="H624">
        <v>-1</v>
      </c>
      <c r="I624" t="s">
        <v>522</v>
      </c>
      <c r="J624">
        <v>1</v>
      </c>
      <c r="K624">
        <v>3.8620000000000001</v>
      </c>
      <c r="L624">
        <v>3.8620000000000001</v>
      </c>
      <c r="M624">
        <v>10.93</v>
      </c>
      <c r="O624">
        <v>10.93</v>
      </c>
      <c r="Q624" t="s">
        <v>87</v>
      </c>
      <c r="R624">
        <v>1373</v>
      </c>
      <c r="S624">
        <v>10</v>
      </c>
      <c r="T624" t="b">
        <v>0</v>
      </c>
      <c r="U624" t="s">
        <v>88</v>
      </c>
      <c r="V624" t="s">
        <v>89</v>
      </c>
      <c r="W624">
        <v>0</v>
      </c>
      <c r="Y624">
        <v>1</v>
      </c>
      <c r="Z624">
        <v>0.1</v>
      </c>
      <c r="AC624" t="s">
        <v>90</v>
      </c>
      <c r="AD624">
        <v>125</v>
      </c>
      <c r="AE624">
        <v>220</v>
      </c>
      <c r="AF624" t="s">
        <v>91</v>
      </c>
      <c r="AG624">
        <v>288</v>
      </c>
      <c r="AH624">
        <v>245.53571428571431</v>
      </c>
      <c r="AK624" t="s">
        <v>1358</v>
      </c>
      <c r="AL624" t="b">
        <v>0</v>
      </c>
      <c r="AM624" t="b">
        <v>0</v>
      </c>
      <c r="AN624" t="b">
        <v>1</v>
      </c>
      <c r="AO624" t="b">
        <v>0</v>
      </c>
      <c r="AR624" t="s">
        <v>1359</v>
      </c>
      <c r="AS624">
        <v>5.5034424123595684</v>
      </c>
      <c r="AT624">
        <v>1.7272727272727271</v>
      </c>
      <c r="AU624">
        <v>2.545454545454545</v>
      </c>
      <c r="AV624">
        <v>0.72727272727272729</v>
      </c>
      <c r="AW624">
        <v>0.36363636363636359</v>
      </c>
      <c r="AX624">
        <v>0.32203389830508478</v>
      </c>
      <c r="AY624">
        <v>0.47457627118644069</v>
      </c>
      <c r="AZ624">
        <v>0.13559322033898311</v>
      </c>
      <c r="BA624">
        <v>6.7796610169491525E-2</v>
      </c>
      <c r="BB624">
        <v>5.9632830664999998</v>
      </c>
      <c r="BC624">
        <v>14</v>
      </c>
      <c r="BD624">
        <v>0</v>
      </c>
      <c r="BE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M624">
        <v>0</v>
      </c>
      <c r="BN624">
        <v>0</v>
      </c>
      <c r="BO624">
        <v>0</v>
      </c>
      <c r="BP624">
        <v>171.98132883066</v>
      </c>
      <c r="BQ624">
        <v>1</v>
      </c>
      <c r="BR624">
        <v>8.1404185531005993E-2</v>
      </c>
      <c r="BS624">
        <v>3.8898000000000001</v>
      </c>
      <c r="BT624">
        <v>3.8898000000000001</v>
      </c>
      <c r="BU624">
        <v>11.3665</v>
      </c>
      <c r="BV624">
        <v>163.02143092</v>
      </c>
      <c r="BW624">
        <v>8.5878279444561265E-2</v>
      </c>
      <c r="BX624">
        <v>7</v>
      </c>
      <c r="BY624">
        <v>4.2939139722280632E-2</v>
      </c>
      <c r="CB624">
        <v>4.0702092765502997E-2</v>
      </c>
      <c r="CE624">
        <v>0.51007174656244436</v>
      </c>
      <c r="CF624">
        <v>0.53810604089123304</v>
      </c>
    </row>
    <row r="625" spans="1:84" x14ac:dyDescent="0.3">
      <c r="A625" s="1">
        <v>810</v>
      </c>
      <c r="B625" t="s">
        <v>1360</v>
      </c>
      <c r="C625" t="s">
        <v>1361</v>
      </c>
      <c r="E625" t="s">
        <v>94</v>
      </c>
      <c r="F625">
        <v>3.62</v>
      </c>
      <c r="G625">
        <v>-1</v>
      </c>
      <c r="H625">
        <v>-1</v>
      </c>
      <c r="I625" t="s">
        <v>522</v>
      </c>
      <c r="J625">
        <v>1</v>
      </c>
      <c r="K625">
        <v>3.8620000000000001</v>
      </c>
      <c r="L625">
        <v>3.8620000000000001</v>
      </c>
      <c r="M625">
        <v>11.09</v>
      </c>
      <c r="O625">
        <v>11.09</v>
      </c>
      <c r="Q625" t="s">
        <v>87</v>
      </c>
      <c r="R625">
        <v>1373</v>
      </c>
      <c r="S625">
        <v>10</v>
      </c>
      <c r="T625" t="b">
        <v>0</v>
      </c>
      <c r="U625" t="s">
        <v>88</v>
      </c>
      <c r="V625" t="s">
        <v>89</v>
      </c>
      <c r="W625">
        <v>0</v>
      </c>
      <c r="Y625">
        <v>1</v>
      </c>
      <c r="Z625">
        <v>0.1</v>
      </c>
      <c r="AC625" t="s">
        <v>90</v>
      </c>
      <c r="AD625">
        <v>125</v>
      </c>
      <c r="AE625">
        <v>220</v>
      </c>
      <c r="AF625" t="s">
        <v>91</v>
      </c>
      <c r="AG625">
        <v>288</v>
      </c>
      <c r="AH625">
        <v>71.428571428571431</v>
      </c>
      <c r="AK625" t="s">
        <v>1362</v>
      </c>
      <c r="AL625" t="b">
        <v>0</v>
      </c>
      <c r="AM625" t="b">
        <v>0</v>
      </c>
      <c r="AN625" t="b">
        <v>1</v>
      </c>
      <c r="AO625" t="b">
        <v>0</v>
      </c>
      <c r="AR625" t="s">
        <v>1363</v>
      </c>
      <c r="AS625">
        <v>4.2686979493668789</v>
      </c>
      <c r="AT625">
        <v>1.7272727272727271</v>
      </c>
      <c r="AU625">
        <v>2.545454545454545</v>
      </c>
      <c r="AV625">
        <v>0.72727272727272729</v>
      </c>
      <c r="AW625">
        <v>0.36363636363636359</v>
      </c>
      <c r="AX625">
        <v>0.32203389830508478</v>
      </c>
      <c r="AY625">
        <v>0.47457627118644069</v>
      </c>
      <c r="AZ625">
        <v>0.13559322033898311</v>
      </c>
      <c r="BA625">
        <v>6.7796610169491525E-2</v>
      </c>
      <c r="BB625">
        <v>5.9497585099286363</v>
      </c>
      <c r="BC625">
        <v>14</v>
      </c>
      <c r="BD625">
        <v>0</v>
      </c>
      <c r="BE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M625">
        <v>0</v>
      </c>
      <c r="BN625">
        <v>0</v>
      </c>
      <c r="BO625">
        <v>0</v>
      </c>
      <c r="BP625">
        <v>171.98132883066</v>
      </c>
      <c r="BQ625">
        <v>1</v>
      </c>
      <c r="BR625">
        <v>8.1404185531005993E-2</v>
      </c>
      <c r="BS625">
        <v>3.8898000000000001</v>
      </c>
      <c r="BT625">
        <v>3.8898000000000001</v>
      </c>
      <c r="BU625">
        <v>11.3665</v>
      </c>
      <c r="BV625">
        <v>165.40783795999999</v>
      </c>
      <c r="BW625">
        <v>8.4639278118039188E-2</v>
      </c>
      <c r="BX625">
        <v>7</v>
      </c>
      <c r="BY625">
        <v>4.2319639059019587E-2</v>
      </c>
      <c r="CB625">
        <v>4.0702092765502997E-2</v>
      </c>
      <c r="CE625">
        <v>0.54308506712305693</v>
      </c>
      <c r="CF625">
        <v>0.564667869817017</v>
      </c>
    </row>
    <row r="626" spans="1:84" x14ac:dyDescent="0.3">
      <c r="A626" s="1">
        <v>811</v>
      </c>
      <c r="B626" t="s">
        <v>128</v>
      </c>
      <c r="C626" t="s">
        <v>129</v>
      </c>
      <c r="E626" t="s">
        <v>130</v>
      </c>
      <c r="F626">
        <v>3.2</v>
      </c>
      <c r="G626" t="s">
        <v>131</v>
      </c>
      <c r="H626" t="s">
        <v>132</v>
      </c>
      <c r="I626">
        <v>-1</v>
      </c>
      <c r="O626">
        <v>0</v>
      </c>
      <c r="Q626" t="s">
        <v>87</v>
      </c>
      <c r="T626" t="b">
        <v>0</v>
      </c>
      <c r="U626" t="s">
        <v>88</v>
      </c>
      <c r="V626" t="s">
        <v>89</v>
      </c>
      <c r="W626">
        <v>0</v>
      </c>
      <c r="X626">
        <v>50</v>
      </c>
      <c r="Y626">
        <v>1</v>
      </c>
      <c r="Z626">
        <v>0.1</v>
      </c>
      <c r="AC626" t="s">
        <v>90</v>
      </c>
      <c r="AD626">
        <v>125</v>
      </c>
      <c r="AE626">
        <v>220</v>
      </c>
      <c r="AF626" t="s">
        <v>91</v>
      </c>
      <c r="AG626">
        <v>288</v>
      </c>
      <c r="AH626">
        <v>38.18181818181818</v>
      </c>
      <c r="AL626" t="b">
        <v>1</v>
      </c>
      <c r="AM626" t="b">
        <v>0</v>
      </c>
      <c r="AN626" t="b">
        <v>0</v>
      </c>
      <c r="AO626" t="b">
        <v>0</v>
      </c>
      <c r="AP626" t="s">
        <v>131</v>
      </c>
      <c r="AQ626" t="s">
        <v>132</v>
      </c>
      <c r="AS626">
        <v>3.6423594384790432</v>
      </c>
      <c r="AT626">
        <v>2</v>
      </c>
      <c r="AU626">
        <v>2.666666666666667</v>
      </c>
      <c r="AV626">
        <v>0.66666666666666663</v>
      </c>
      <c r="AW626">
        <v>0</v>
      </c>
      <c r="AX626">
        <v>0.375</v>
      </c>
      <c r="AY626">
        <v>0.5</v>
      </c>
      <c r="AZ626">
        <v>0.125</v>
      </c>
      <c r="BA626">
        <v>0</v>
      </c>
      <c r="BB626">
        <v>6.1770001596666662</v>
      </c>
      <c r="BC626">
        <v>4</v>
      </c>
      <c r="BD626">
        <v>1182.741260108548</v>
      </c>
      <c r="BE626">
        <v>30</v>
      </c>
      <c r="BF626">
        <v>0.1014592151701775</v>
      </c>
      <c r="BG626">
        <v>10.59112378</v>
      </c>
      <c r="BH626">
        <v>10.784736629999999</v>
      </c>
      <c r="BI626">
        <v>10.486176179999999</v>
      </c>
      <c r="BJ626">
        <v>130.36387300000001</v>
      </c>
      <c r="BK626">
        <v>4</v>
      </c>
      <c r="BL626">
        <v>0.1227333894874388</v>
      </c>
      <c r="BM626">
        <v>3.73</v>
      </c>
      <c r="BN626">
        <v>3.73</v>
      </c>
      <c r="BO626">
        <v>9.3699999999999992</v>
      </c>
      <c r="BP626">
        <v>0</v>
      </c>
      <c r="BQ626">
        <v>0</v>
      </c>
      <c r="BS626">
        <v>0</v>
      </c>
      <c r="BT626">
        <v>0</v>
      </c>
      <c r="BU626">
        <v>0</v>
      </c>
      <c r="BX626">
        <v>2</v>
      </c>
      <c r="BZ626">
        <v>5.0729607585088737E-2</v>
      </c>
      <c r="CA626">
        <v>6.1366694743719377E-2</v>
      </c>
      <c r="CC626">
        <v>0.46900407026869612</v>
      </c>
      <c r="CD626">
        <v>0.56734579634715776</v>
      </c>
    </row>
  </sheetData>
  <sortState xmlns:xlrd2="http://schemas.microsoft.com/office/spreadsheetml/2017/richdata2" ref="A2:CF626">
    <sortCondition descending="1" ref="W1:W62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1C4D-67D5-43DB-AA89-EE72788D7C23}">
  <dimension ref="A1:CH221"/>
  <sheetViews>
    <sheetView topLeftCell="U1" workbookViewId="0">
      <selection activeCell="AI1" sqref="AI1:AJ1"/>
    </sheetView>
  </sheetViews>
  <sheetFormatPr defaultRowHeight="14.4" x14ac:dyDescent="0.3"/>
  <cols>
    <col min="2" max="2" width="29.33203125" customWidth="1"/>
    <col min="3" max="3" width="12.5546875" customWidth="1"/>
    <col min="34" max="36" width="14.5546875" style="3" customWidth="1"/>
  </cols>
  <sheetData>
    <row r="1" spans="1:8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1369</v>
      </c>
      <c r="AJ1" s="2" t="s">
        <v>1370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</row>
    <row r="2" spans="1:86" x14ac:dyDescent="0.3">
      <c r="A2" s="1">
        <v>451</v>
      </c>
      <c r="B2" t="s">
        <v>106</v>
      </c>
      <c r="C2" t="s">
        <v>107</v>
      </c>
      <c r="E2" t="s">
        <v>106</v>
      </c>
      <c r="F2">
        <v>3.35</v>
      </c>
      <c r="G2" t="s">
        <v>108</v>
      </c>
      <c r="H2" t="s">
        <v>109</v>
      </c>
      <c r="I2">
        <v>-1</v>
      </c>
      <c r="Q2" t="s">
        <v>87</v>
      </c>
      <c r="R2">
        <v>1523</v>
      </c>
      <c r="S2">
        <v>120</v>
      </c>
      <c r="T2" t="b">
        <v>0</v>
      </c>
      <c r="U2" t="s">
        <v>125</v>
      </c>
      <c r="V2" t="s">
        <v>126</v>
      </c>
      <c r="W2">
        <v>3</v>
      </c>
      <c r="X2">
        <v>208</v>
      </c>
      <c r="Y2">
        <v>2</v>
      </c>
      <c r="Z2">
        <v>0</v>
      </c>
      <c r="AC2" t="s">
        <v>90</v>
      </c>
      <c r="AD2">
        <v>175</v>
      </c>
      <c r="AF2" t="s">
        <v>91</v>
      </c>
      <c r="AH2" s="3">
        <v>22.8</v>
      </c>
      <c r="AI2" s="3" t="e">
        <f>AH2/(AD2*Y2*Z2)</f>
        <v>#DIV/0!</v>
      </c>
      <c r="AJ2" s="3" t="e">
        <f>LN(AI2)</f>
        <v>#DIV/0!</v>
      </c>
      <c r="AK2" t="s">
        <v>972</v>
      </c>
      <c r="AN2" t="b">
        <v>1</v>
      </c>
      <c r="AO2" t="b">
        <v>0</v>
      </c>
      <c r="AP2" t="b">
        <v>0</v>
      </c>
      <c r="AQ2" t="b">
        <v>0</v>
      </c>
      <c r="AR2" t="s">
        <v>1170</v>
      </c>
      <c r="AU2">
        <v>10.6919449129004</v>
      </c>
      <c r="AV2">
        <v>1.510204081632653</v>
      </c>
      <c r="AW2">
        <v>1.2653061224489801</v>
      </c>
      <c r="AX2">
        <v>0.1224489795918367</v>
      </c>
      <c r="AY2">
        <v>0.16326530612244899</v>
      </c>
      <c r="AZ2">
        <v>0.49333333333333329</v>
      </c>
      <c r="BA2">
        <v>0.41333333333333339</v>
      </c>
      <c r="BB2">
        <v>0.04</v>
      </c>
      <c r="BC2">
        <v>5.333333333333333E-2</v>
      </c>
      <c r="BD2">
        <v>6.6971257268453872</v>
      </c>
      <c r="BE2">
        <v>20</v>
      </c>
      <c r="BF2">
        <v>733.37308460000008</v>
      </c>
      <c r="BG2">
        <v>2</v>
      </c>
      <c r="BH2">
        <v>5.4542497999932729E-2</v>
      </c>
      <c r="BI2">
        <v>3.8530000000000002</v>
      </c>
      <c r="BJ2">
        <v>3.8530000000000002</v>
      </c>
      <c r="BK2">
        <v>49.4</v>
      </c>
      <c r="BL2">
        <v>0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U2">
        <v>0</v>
      </c>
      <c r="BV2">
        <v>0</v>
      </c>
      <c r="BW2">
        <v>0</v>
      </c>
      <c r="BX2">
        <v>357.04353880000002</v>
      </c>
      <c r="BY2">
        <v>5.6015577448113731E-2</v>
      </c>
      <c r="BZ2">
        <v>10</v>
      </c>
      <c r="CA2">
        <v>2.8007788724056869E-2</v>
      </c>
      <c r="CB2">
        <v>2.7271248999966361E-2</v>
      </c>
      <c r="CE2">
        <v>0.33005342247707181</v>
      </c>
      <c r="CH2">
        <v>0.33896747906196412</v>
      </c>
    </row>
    <row r="3" spans="1:86" x14ac:dyDescent="0.3">
      <c r="A3" s="1">
        <v>452</v>
      </c>
      <c r="B3" t="s">
        <v>106</v>
      </c>
      <c r="C3" t="s">
        <v>107</v>
      </c>
      <c r="E3" t="s">
        <v>106</v>
      </c>
      <c r="F3">
        <v>3.35</v>
      </c>
      <c r="G3" t="s">
        <v>108</v>
      </c>
      <c r="H3" t="s">
        <v>109</v>
      </c>
      <c r="I3">
        <v>-1</v>
      </c>
      <c r="Q3" t="s">
        <v>87</v>
      </c>
      <c r="R3">
        <v>1523</v>
      </c>
      <c r="S3">
        <v>120</v>
      </c>
      <c r="T3" t="b">
        <v>0</v>
      </c>
      <c r="U3" t="s">
        <v>125</v>
      </c>
      <c r="V3" t="s">
        <v>126</v>
      </c>
      <c r="W3">
        <v>3</v>
      </c>
      <c r="X3">
        <v>208</v>
      </c>
      <c r="Y3">
        <v>2</v>
      </c>
      <c r="Z3">
        <v>0</v>
      </c>
      <c r="AC3" t="s">
        <v>90</v>
      </c>
      <c r="AD3">
        <v>175</v>
      </c>
      <c r="AF3" t="s">
        <v>91</v>
      </c>
      <c r="AH3" s="3">
        <v>784</v>
      </c>
      <c r="AI3" s="3" t="e">
        <f>AH3/(AD3*Y3*Z3)</f>
        <v>#DIV/0!</v>
      </c>
      <c r="AJ3" s="3" t="e">
        <f t="shared" ref="AJ3:AJ66" si="0">LN(AI3)</f>
        <v>#DIV/0!</v>
      </c>
      <c r="AK3" t="s">
        <v>153</v>
      </c>
      <c r="AL3" t="s">
        <v>153</v>
      </c>
      <c r="AN3" t="b">
        <v>1</v>
      </c>
      <c r="AO3" t="b">
        <v>1</v>
      </c>
      <c r="AP3" t="b">
        <v>0</v>
      </c>
      <c r="AQ3" t="b">
        <v>0</v>
      </c>
      <c r="AR3" t="s">
        <v>624</v>
      </c>
      <c r="AS3" t="s">
        <v>625</v>
      </c>
      <c r="AU3">
        <v>8.8225748409674196</v>
      </c>
      <c r="AV3">
        <v>1.75</v>
      </c>
      <c r="AW3">
        <v>2.5</v>
      </c>
      <c r="AX3">
        <v>0.75</v>
      </c>
      <c r="AY3">
        <v>0</v>
      </c>
      <c r="AZ3">
        <v>0.35</v>
      </c>
      <c r="BA3">
        <v>0.5</v>
      </c>
      <c r="BB3">
        <v>0.15</v>
      </c>
      <c r="BC3">
        <v>0</v>
      </c>
      <c r="BD3">
        <v>6.2395921087406876</v>
      </c>
      <c r="BE3">
        <v>20</v>
      </c>
      <c r="BF3">
        <v>242.1279024923125</v>
      </c>
      <c r="BG3">
        <v>1</v>
      </c>
      <c r="BH3">
        <v>8.2600971611006269E-2</v>
      </c>
      <c r="BI3">
        <v>3.950634</v>
      </c>
      <c r="BJ3">
        <v>3.950634</v>
      </c>
      <c r="BK3">
        <v>15.513552000000001</v>
      </c>
      <c r="BL3">
        <v>227.970829547178</v>
      </c>
      <c r="BM3">
        <v>1</v>
      </c>
      <c r="BN3">
        <v>8.7730522539775438E-2</v>
      </c>
      <c r="BO3">
        <v>3.8658999999999999</v>
      </c>
      <c r="BP3">
        <v>3.8658999999999999</v>
      </c>
      <c r="BQ3">
        <v>15.2538</v>
      </c>
      <c r="BR3">
        <v>0</v>
      </c>
      <c r="BS3">
        <v>0</v>
      </c>
      <c r="BU3">
        <v>0</v>
      </c>
      <c r="BV3">
        <v>0</v>
      </c>
      <c r="BW3">
        <v>0</v>
      </c>
      <c r="BX3">
        <v>1987.1808000000001</v>
      </c>
      <c r="BY3">
        <v>8.0516075839702161E-2</v>
      </c>
      <c r="BZ3">
        <v>10</v>
      </c>
      <c r="CA3">
        <v>4.0258037919851081E-2</v>
      </c>
      <c r="CB3">
        <v>4.1300485805503127E-2</v>
      </c>
      <c r="CC3">
        <v>4.3865261269887719E-2</v>
      </c>
      <c r="CE3">
        <v>0.45027090848362911</v>
      </c>
      <c r="CF3">
        <v>0.47823289866077828</v>
      </c>
      <c r="CH3">
        <v>0.43890581319807093</v>
      </c>
    </row>
    <row r="4" spans="1:86" x14ac:dyDescent="0.3">
      <c r="A4" s="1">
        <v>376</v>
      </c>
      <c r="B4" t="s">
        <v>690</v>
      </c>
      <c r="C4" t="s">
        <v>691</v>
      </c>
      <c r="E4" t="s">
        <v>690</v>
      </c>
      <c r="F4">
        <v>3.82</v>
      </c>
      <c r="G4" t="s">
        <v>692</v>
      </c>
      <c r="H4" t="s">
        <v>693</v>
      </c>
      <c r="I4">
        <v>-1</v>
      </c>
      <c r="O4">
        <v>0</v>
      </c>
      <c r="Q4" t="s">
        <v>467</v>
      </c>
      <c r="R4">
        <v>1523</v>
      </c>
      <c r="S4">
        <v>2</v>
      </c>
      <c r="T4" t="b">
        <v>0</v>
      </c>
      <c r="U4" t="s">
        <v>125</v>
      </c>
      <c r="V4" t="s">
        <v>126</v>
      </c>
      <c r="W4">
        <v>1</v>
      </c>
      <c r="Y4">
        <v>2</v>
      </c>
      <c r="Z4">
        <v>0</v>
      </c>
      <c r="AC4" t="s">
        <v>90</v>
      </c>
      <c r="AD4">
        <v>450</v>
      </c>
      <c r="AE4">
        <v>200</v>
      </c>
      <c r="AF4" t="s">
        <v>91</v>
      </c>
      <c r="AH4" s="3">
        <v>120</v>
      </c>
      <c r="AI4" s="3" t="e">
        <f>AH4/(AD4*Y4*Z4)</f>
        <v>#DIV/0!</v>
      </c>
      <c r="AJ4" s="3" t="e">
        <f t="shared" si="0"/>
        <v>#DIV/0!</v>
      </c>
      <c r="AK4" t="s">
        <v>606</v>
      </c>
      <c r="AL4" t="s">
        <v>606</v>
      </c>
      <c r="AN4" t="b">
        <v>1</v>
      </c>
      <c r="AO4" t="b">
        <v>1</v>
      </c>
      <c r="AP4" t="b">
        <v>0</v>
      </c>
      <c r="AQ4" t="b">
        <v>0</v>
      </c>
      <c r="AR4" t="s">
        <v>626</v>
      </c>
      <c r="AS4" t="s">
        <v>627</v>
      </c>
      <c r="AU4">
        <v>9.136232399822461</v>
      </c>
      <c r="AV4">
        <v>1.8125</v>
      </c>
      <c r="AW4">
        <v>2.5</v>
      </c>
      <c r="AX4">
        <v>0.6875</v>
      </c>
      <c r="AY4">
        <v>0.875</v>
      </c>
      <c r="AZ4">
        <v>0.30851063829787229</v>
      </c>
      <c r="BA4">
        <v>0.42553191489361702</v>
      </c>
      <c r="BB4">
        <v>0.1170212765957447</v>
      </c>
      <c r="BC4">
        <v>0.14893617021276601</v>
      </c>
      <c r="BD4">
        <v>6.2459100221781876</v>
      </c>
      <c r="BE4">
        <v>20</v>
      </c>
      <c r="BF4">
        <v>242.1279024923125</v>
      </c>
      <c r="BG4">
        <v>1</v>
      </c>
      <c r="BH4">
        <v>8.2600971611006269E-2</v>
      </c>
      <c r="BI4">
        <v>3.950634</v>
      </c>
      <c r="BJ4">
        <v>3.950634</v>
      </c>
      <c r="BK4">
        <v>15.513552000000001</v>
      </c>
      <c r="BL4">
        <v>227.970829547178</v>
      </c>
      <c r="BM4">
        <v>1</v>
      </c>
      <c r="BN4">
        <v>8.7730522539775438E-2</v>
      </c>
      <c r="BO4">
        <v>3.8658999999999999</v>
      </c>
      <c r="BP4">
        <v>3.8658999999999999</v>
      </c>
      <c r="BQ4">
        <v>15.2538</v>
      </c>
      <c r="BR4">
        <v>0</v>
      </c>
      <c r="BS4">
        <v>0</v>
      </c>
      <c r="BU4">
        <v>0</v>
      </c>
      <c r="BV4">
        <v>0</v>
      </c>
      <c r="BW4">
        <v>0</v>
      </c>
      <c r="BX4">
        <v>1991.998208</v>
      </c>
      <c r="BY4">
        <v>8.0321357397526341E-2</v>
      </c>
      <c r="BZ4">
        <v>10</v>
      </c>
      <c r="CA4">
        <v>4.0160678698763171E-2</v>
      </c>
      <c r="CB4">
        <v>4.1300485805503127E-2</v>
      </c>
      <c r="CC4">
        <v>4.3865261269887719E-2</v>
      </c>
      <c r="CE4">
        <v>0.45027090848362911</v>
      </c>
      <c r="CF4">
        <v>0.47823289866077828</v>
      </c>
      <c r="CH4">
        <v>0.4378443722955363</v>
      </c>
    </row>
    <row r="5" spans="1:86" x14ac:dyDescent="0.3">
      <c r="A5" s="1">
        <v>565</v>
      </c>
      <c r="B5" t="s">
        <v>151</v>
      </c>
      <c r="C5" t="s">
        <v>152</v>
      </c>
      <c r="E5" t="s">
        <v>106</v>
      </c>
      <c r="F5">
        <v>3.26</v>
      </c>
      <c r="G5" t="s">
        <v>142</v>
      </c>
      <c r="H5">
        <v>1522043</v>
      </c>
      <c r="I5">
        <v>-1</v>
      </c>
      <c r="J5">
        <v>1</v>
      </c>
      <c r="K5">
        <v>3.89</v>
      </c>
      <c r="L5">
        <v>3.89</v>
      </c>
      <c r="M5">
        <v>16.399999999999999</v>
      </c>
      <c r="O5">
        <v>16.399999999999999</v>
      </c>
      <c r="Q5" t="s">
        <v>87</v>
      </c>
      <c r="R5">
        <v>1573</v>
      </c>
      <c r="S5">
        <v>10</v>
      </c>
      <c r="T5" t="b">
        <v>0</v>
      </c>
      <c r="U5" t="s">
        <v>125</v>
      </c>
      <c r="V5" t="s">
        <v>126</v>
      </c>
      <c r="W5">
        <v>1</v>
      </c>
      <c r="X5">
        <v>3.1</v>
      </c>
      <c r="Y5">
        <v>0.5</v>
      </c>
      <c r="Z5">
        <v>0</v>
      </c>
      <c r="AC5" t="s">
        <v>90</v>
      </c>
      <c r="AD5">
        <v>125</v>
      </c>
      <c r="AE5">
        <v>220</v>
      </c>
      <c r="AF5" t="s">
        <v>91</v>
      </c>
      <c r="AG5">
        <v>288</v>
      </c>
      <c r="AH5" s="3">
        <v>72</v>
      </c>
      <c r="AI5" s="3" t="e">
        <f>AH5/(AD5*Y5*Z5)</f>
        <v>#DIV/0!</v>
      </c>
      <c r="AJ5" s="3" t="e">
        <f t="shared" si="0"/>
        <v>#DIV/0!</v>
      </c>
      <c r="AK5" t="s">
        <v>611</v>
      </c>
      <c r="AL5" t="s">
        <v>611</v>
      </c>
      <c r="AN5" t="b">
        <v>1</v>
      </c>
      <c r="AO5" t="b">
        <v>1</v>
      </c>
      <c r="AP5" t="b">
        <v>0</v>
      </c>
      <c r="AQ5" t="b">
        <v>0</v>
      </c>
      <c r="AR5" t="s">
        <v>628</v>
      </c>
      <c r="AS5" t="s">
        <v>629</v>
      </c>
      <c r="AU5">
        <v>7.9258287051662348</v>
      </c>
      <c r="AV5">
        <v>1.84375</v>
      </c>
      <c r="AW5">
        <v>2.5</v>
      </c>
      <c r="AX5">
        <v>0.65625</v>
      </c>
      <c r="AY5">
        <v>1.3125</v>
      </c>
      <c r="AZ5">
        <v>0.29207920792079212</v>
      </c>
      <c r="BA5">
        <v>0.39603960396039611</v>
      </c>
      <c r="BB5">
        <v>0.103960396039604</v>
      </c>
      <c r="BC5">
        <v>0.20792079207920791</v>
      </c>
      <c r="BD5">
        <v>6.2490689788969371</v>
      </c>
      <c r="BE5">
        <v>20</v>
      </c>
      <c r="BF5">
        <v>242.1279024923125</v>
      </c>
      <c r="BG5">
        <v>1</v>
      </c>
      <c r="BH5">
        <v>8.2600971611006269E-2</v>
      </c>
      <c r="BI5">
        <v>3.950634</v>
      </c>
      <c r="BJ5">
        <v>3.950634</v>
      </c>
      <c r="BK5">
        <v>15.513552000000001</v>
      </c>
      <c r="BL5">
        <v>227.970829547178</v>
      </c>
      <c r="BM5">
        <v>1</v>
      </c>
      <c r="BN5">
        <v>8.7730522539775438E-2</v>
      </c>
      <c r="BO5">
        <v>3.8658999999999999</v>
      </c>
      <c r="BP5">
        <v>3.8658999999999999</v>
      </c>
      <c r="BQ5">
        <v>15.2538</v>
      </c>
      <c r="BR5">
        <v>0</v>
      </c>
      <c r="BS5">
        <v>0</v>
      </c>
      <c r="BU5">
        <v>0</v>
      </c>
      <c r="BV5">
        <v>0</v>
      </c>
      <c r="BW5">
        <v>0</v>
      </c>
      <c r="BX5">
        <v>2001.633024</v>
      </c>
      <c r="BY5">
        <v>7.9934732331834277E-2</v>
      </c>
      <c r="BZ5">
        <v>10</v>
      </c>
      <c r="CA5">
        <v>3.9967366165917138E-2</v>
      </c>
      <c r="CB5">
        <v>4.1300485805503127E-2</v>
      </c>
      <c r="CC5">
        <v>4.3865261269887719E-2</v>
      </c>
      <c r="CE5">
        <v>0.45027090848362911</v>
      </c>
      <c r="CF5">
        <v>0.47823289866077828</v>
      </c>
      <c r="CH5">
        <v>0.43573681815692961</v>
      </c>
    </row>
    <row r="6" spans="1:86" x14ac:dyDescent="0.3">
      <c r="A6" s="1">
        <v>566</v>
      </c>
      <c r="B6" t="s">
        <v>140</v>
      </c>
      <c r="C6" t="s">
        <v>141</v>
      </c>
      <c r="E6" t="s">
        <v>106</v>
      </c>
      <c r="F6">
        <v>3.5</v>
      </c>
      <c r="G6" t="s">
        <v>142</v>
      </c>
      <c r="H6">
        <v>1522043</v>
      </c>
      <c r="I6">
        <v>-1</v>
      </c>
      <c r="J6">
        <v>1</v>
      </c>
      <c r="K6">
        <v>3.82</v>
      </c>
      <c r="L6">
        <v>3.82</v>
      </c>
      <c r="M6">
        <v>16</v>
      </c>
      <c r="O6">
        <v>16</v>
      </c>
      <c r="Q6" t="s">
        <v>87</v>
      </c>
      <c r="R6">
        <v>1373</v>
      </c>
      <c r="S6">
        <v>24</v>
      </c>
      <c r="T6" t="b">
        <v>0</v>
      </c>
      <c r="U6" t="s">
        <v>125</v>
      </c>
      <c r="V6" t="s">
        <v>126</v>
      </c>
      <c r="W6">
        <v>1</v>
      </c>
      <c r="X6">
        <v>7.6</v>
      </c>
      <c r="Y6">
        <v>0.5</v>
      </c>
      <c r="Z6">
        <v>0</v>
      </c>
      <c r="AC6" t="s">
        <v>90</v>
      </c>
      <c r="AD6">
        <v>125</v>
      </c>
      <c r="AE6">
        <v>220</v>
      </c>
      <c r="AF6" t="s">
        <v>91</v>
      </c>
      <c r="AG6">
        <v>288</v>
      </c>
      <c r="AH6" s="3">
        <v>440</v>
      </c>
      <c r="AI6" s="3" t="e">
        <f>AH6/(AD6*Y6*Z6)</f>
        <v>#DIV/0!</v>
      </c>
      <c r="AJ6" s="3" t="e">
        <f t="shared" si="0"/>
        <v>#DIV/0!</v>
      </c>
      <c r="AK6" t="s">
        <v>616</v>
      </c>
      <c r="AL6" t="s">
        <v>616</v>
      </c>
      <c r="AN6" t="b">
        <v>1</v>
      </c>
      <c r="AO6" t="b">
        <v>1</v>
      </c>
      <c r="AP6" t="b">
        <v>0</v>
      </c>
      <c r="AQ6" t="b">
        <v>0</v>
      </c>
      <c r="AR6" t="s">
        <v>630</v>
      </c>
      <c r="AS6" t="s">
        <v>631</v>
      </c>
      <c r="AU6">
        <v>7.2952018815876229</v>
      </c>
      <c r="AV6">
        <v>1.875</v>
      </c>
      <c r="AW6">
        <v>2.5</v>
      </c>
      <c r="AX6">
        <v>0.625</v>
      </c>
      <c r="AY6">
        <v>1.75</v>
      </c>
      <c r="AZ6">
        <v>0.27777777777777779</v>
      </c>
      <c r="BA6">
        <v>0.37037037037037029</v>
      </c>
      <c r="BB6">
        <v>9.2592592592592587E-2</v>
      </c>
      <c r="BC6">
        <v>0.25925925925925919</v>
      </c>
      <c r="BD6">
        <v>6.2522279356156876</v>
      </c>
      <c r="BE6">
        <v>20</v>
      </c>
      <c r="BF6">
        <v>242.1279024923125</v>
      </c>
      <c r="BG6">
        <v>1</v>
      </c>
      <c r="BH6">
        <v>8.2600971611006269E-2</v>
      </c>
      <c r="BI6">
        <v>3.950634</v>
      </c>
      <c r="BJ6">
        <v>3.950634</v>
      </c>
      <c r="BK6">
        <v>15.513552000000001</v>
      </c>
      <c r="BL6">
        <v>227.970829547178</v>
      </c>
      <c r="BM6">
        <v>1</v>
      </c>
      <c r="BN6">
        <v>8.7730522539775438E-2</v>
      </c>
      <c r="BO6">
        <v>3.8658999999999999</v>
      </c>
      <c r="BP6">
        <v>3.8658999999999999</v>
      </c>
      <c r="BQ6">
        <v>15.2538</v>
      </c>
      <c r="BR6">
        <v>0</v>
      </c>
      <c r="BS6">
        <v>0</v>
      </c>
      <c r="BU6">
        <v>0</v>
      </c>
      <c r="BV6">
        <v>0</v>
      </c>
      <c r="BW6">
        <v>0</v>
      </c>
      <c r="BX6">
        <v>1987.1808000000001</v>
      </c>
      <c r="BY6">
        <v>8.0516075839702161E-2</v>
      </c>
      <c r="BZ6">
        <v>10</v>
      </c>
      <c r="CA6">
        <v>4.0258037919851081E-2</v>
      </c>
      <c r="CB6">
        <v>4.1300485805503127E-2</v>
      </c>
      <c r="CC6">
        <v>4.3865261269887719E-2</v>
      </c>
      <c r="CE6">
        <v>0.45027090848362911</v>
      </c>
      <c r="CF6">
        <v>0.47823289866077828</v>
      </c>
      <c r="CH6">
        <v>0.43890581319807093</v>
      </c>
    </row>
    <row r="7" spans="1:86" x14ac:dyDescent="0.3">
      <c r="A7" s="1">
        <v>567</v>
      </c>
      <c r="B7" t="s">
        <v>151</v>
      </c>
      <c r="C7" t="s">
        <v>152</v>
      </c>
      <c r="E7" t="s">
        <v>106</v>
      </c>
      <c r="F7">
        <v>3.26</v>
      </c>
      <c r="G7" t="s">
        <v>142</v>
      </c>
      <c r="H7">
        <v>1522043</v>
      </c>
      <c r="I7">
        <v>-1</v>
      </c>
      <c r="J7">
        <v>1</v>
      </c>
      <c r="K7">
        <v>3.89</v>
      </c>
      <c r="L7">
        <v>3.89</v>
      </c>
      <c r="M7">
        <v>16.399999999999999</v>
      </c>
      <c r="O7">
        <v>16.399999999999999</v>
      </c>
      <c r="Q7" t="s">
        <v>87</v>
      </c>
      <c r="R7">
        <v>1573</v>
      </c>
      <c r="S7">
        <v>10</v>
      </c>
      <c r="T7" t="b">
        <v>0</v>
      </c>
      <c r="U7" t="s">
        <v>125</v>
      </c>
      <c r="V7" t="s">
        <v>126</v>
      </c>
      <c r="W7">
        <v>1</v>
      </c>
      <c r="X7">
        <v>103</v>
      </c>
      <c r="Y7">
        <v>0.5</v>
      </c>
      <c r="Z7">
        <v>0</v>
      </c>
      <c r="AC7" t="s">
        <v>90</v>
      </c>
      <c r="AD7">
        <v>125</v>
      </c>
      <c r="AE7">
        <v>220</v>
      </c>
      <c r="AF7" t="s">
        <v>91</v>
      </c>
      <c r="AG7">
        <v>288</v>
      </c>
      <c r="AH7" s="3">
        <v>2000</v>
      </c>
      <c r="AI7" s="3" t="e">
        <f>AH7/(AD7*Y7*Z7)</f>
        <v>#DIV/0!</v>
      </c>
      <c r="AJ7" s="3" t="e">
        <f t="shared" si="0"/>
        <v>#DIV/0!</v>
      </c>
      <c r="AK7" t="s">
        <v>621</v>
      </c>
      <c r="AL7" t="s">
        <v>621</v>
      </c>
      <c r="AN7" t="b">
        <v>1</v>
      </c>
      <c r="AO7" t="b">
        <v>1</v>
      </c>
      <c r="AP7" t="b">
        <v>0</v>
      </c>
      <c r="AQ7" t="b">
        <v>0</v>
      </c>
      <c r="AR7" t="s">
        <v>632</v>
      </c>
      <c r="AS7" t="s">
        <v>633</v>
      </c>
      <c r="AU7">
        <v>5.9959188974573623</v>
      </c>
      <c r="AV7">
        <v>1.9375</v>
      </c>
      <c r="AW7">
        <v>2.5</v>
      </c>
      <c r="AX7">
        <v>0.5625</v>
      </c>
      <c r="AY7">
        <v>2.625</v>
      </c>
      <c r="AZ7">
        <v>0.25409836065573771</v>
      </c>
      <c r="BA7">
        <v>0.32786885245901642</v>
      </c>
      <c r="BB7">
        <v>7.3770491803278687E-2</v>
      </c>
      <c r="BC7">
        <v>0.34426229508196721</v>
      </c>
      <c r="BD7">
        <v>6.2585458490531876</v>
      </c>
      <c r="BE7">
        <v>20</v>
      </c>
      <c r="BF7">
        <v>242.1279024923125</v>
      </c>
      <c r="BG7">
        <v>1</v>
      </c>
      <c r="BH7">
        <v>8.2600971611006269E-2</v>
      </c>
      <c r="BI7">
        <v>3.950634</v>
      </c>
      <c r="BJ7">
        <v>3.950634</v>
      </c>
      <c r="BK7">
        <v>15.513552000000001</v>
      </c>
      <c r="BL7">
        <v>227.970829547178</v>
      </c>
      <c r="BM7">
        <v>1</v>
      </c>
      <c r="BN7">
        <v>8.7730522539775438E-2</v>
      </c>
      <c r="BO7">
        <v>3.8658999999999999</v>
      </c>
      <c r="BP7">
        <v>3.8658999999999999</v>
      </c>
      <c r="BQ7">
        <v>15.2538</v>
      </c>
      <c r="BR7">
        <v>0</v>
      </c>
      <c r="BS7">
        <v>0</v>
      </c>
      <c r="BU7">
        <v>0</v>
      </c>
      <c r="BV7">
        <v>0</v>
      </c>
      <c r="BW7">
        <v>0</v>
      </c>
      <c r="BX7">
        <v>1757.149568</v>
      </c>
      <c r="BY7">
        <v>9.1056562807065505E-2</v>
      </c>
      <c r="BZ7">
        <v>10</v>
      </c>
      <c r="CA7">
        <v>4.5528281403532753E-2</v>
      </c>
      <c r="CB7">
        <v>4.1300485805503127E-2</v>
      </c>
      <c r="CC7">
        <v>4.3865261269887719E-2</v>
      </c>
      <c r="CE7">
        <v>0.45027090848362911</v>
      </c>
      <c r="CF7">
        <v>0.47823289866077828</v>
      </c>
      <c r="CH7">
        <v>0.49636366811296567</v>
      </c>
    </row>
    <row r="8" spans="1:86" x14ac:dyDescent="0.3">
      <c r="A8" s="1">
        <v>568</v>
      </c>
      <c r="B8" t="s">
        <v>140</v>
      </c>
      <c r="C8" t="s">
        <v>141</v>
      </c>
      <c r="E8" t="s">
        <v>106</v>
      </c>
      <c r="F8">
        <v>3.38</v>
      </c>
      <c r="G8" t="s">
        <v>142</v>
      </c>
      <c r="H8">
        <v>1522043</v>
      </c>
      <c r="I8">
        <v>-1</v>
      </c>
      <c r="J8">
        <v>1</v>
      </c>
      <c r="K8">
        <v>3.82</v>
      </c>
      <c r="L8">
        <v>3.82</v>
      </c>
      <c r="M8">
        <v>16</v>
      </c>
      <c r="O8">
        <v>16</v>
      </c>
      <c r="Q8" t="s">
        <v>87</v>
      </c>
      <c r="R8">
        <v>1373</v>
      </c>
      <c r="S8">
        <v>24</v>
      </c>
      <c r="T8" t="b">
        <v>0</v>
      </c>
      <c r="U8" t="s">
        <v>125</v>
      </c>
      <c r="V8" t="s">
        <v>126</v>
      </c>
      <c r="W8">
        <v>1</v>
      </c>
      <c r="X8">
        <v>76.3</v>
      </c>
      <c r="Y8">
        <v>0.5</v>
      </c>
      <c r="Z8">
        <v>0</v>
      </c>
      <c r="AC8" t="s">
        <v>90</v>
      </c>
      <c r="AD8">
        <v>125</v>
      </c>
      <c r="AE8">
        <v>220</v>
      </c>
      <c r="AF8" t="s">
        <v>91</v>
      </c>
      <c r="AG8">
        <v>288</v>
      </c>
      <c r="AH8" s="3">
        <v>4000</v>
      </c>
      <c r="AI8" s="3" t="e">
        <f>AH8/(AD8*Y8*Z8)</f>
        <v>#DIV/0!</v>
      </c>
      <c r="AJ8" s="3" t="e">
        <f t="shared" si="0"/>
        <v>#DIV/0!</v>
      </c>
      <c r="AN8" t="b">
        <v>1</v>
      </c>
      <c r="AO8" t="b">
        <v>0</v>
      </c>
      <c r="AP8" t="b">
        <v>0</v>
      </c>
      <c r="AQ8" t="b">
        <v>0</v>
      </c>
      <c r="AR8" t="s">
        <v>131</v>
      </c>
      <c r="AS8" t="s">
        <v>132</v>
      </c>
      <c r="AU8">
        <v>4.0763260567194228</v>
      </c>
      <c r="AV8">
        <v>2</v>
      </c>
      <c r="AW8">
        <v>2.666666666666667</v>
      </c>
      <c r="AX8">
        <v>0.66666666666666663</v>
      </c>
      <c r="AY8">
        <v>0</v>
      </c>
      <c r="AZ8">
        <v>0.375</v>
      </c>
      <c r="BA8">
        <v>0.5</v>
      </c>
      <c r="BB8">
        <v>0.125</v>
      </c>
      <c r="BC8">
        <v>0</v>
      </c>
      <c r="BD8">
        <v>6.1770001596666662</v>
      </c>
      <c r="BE8">
        <v>4</v>
      </c>
      <c r="BF8">
        <v>1182.741260108548</v>
      </c>
      <c r="BG8">
        <v>30</v>
      </c>
      <c r="BH8">
        <v>0.1014592151701775</v>
      </c>
      <c r="BI8">
        <v>10.59112378</v>
      </c>
      <c r="BJ8">
        <v>10.784736629999999</v>
      </c>
      <c r="BK8">
        <v>10.486176179999999</v>
      </c>
      <c r="BL8">
        <v>130.36387300000001</v>
      </c>
      <c r="BM8">
        <v>4</v>
      </c>
      <c r="BN8">
        <v>0.1227333894874388</v>
      </c>
      <c r="BO8">
        <v>3.73</v>
      </c>
      <c r="BP8">
        <v>3.73</v>
      </c>
      <c r="BQ8">
        <v>9.3699999999999992</v>
      </c>
      <c r="BR8">
        <v>0</v>
      </c>
      <c r="BS8">
        <v>0</v>
      </c>
      <c r="BU8">
        <v>0</v>
      </c>
      <c r="BV8">
        <v>0</v>
      </c>
      <c r="BW8">
        <v>0</v>
      </c>
      <c r="BZ8">
        <v>2</v>
      </c>
      <c r="CB8">
        <v>5.0729607585088737E-2</v>
      </c>
      <c r="CC8">
        <v>6.1366694743719377E-2</v>
      </c>
      <c r="CE8">
        <v>0.46900407026869612</v>
      </c>
      <c r="CF8">
        <v>0.56734579634715776</v>
      </c>
    </row>
    <row r="9" spans="1:86" x14ac:dyDescent="0.3">
      <c r="A9" s="1">
        <v>571</v>
      </c>
      <c r="B9" t="s">
        <v>106</v>
      </c>
      <c r="C9" t="s">
        <v>107</v>
      </c>
      <c r="E9" t="s">
        <v>106</v>
      </c>
      <c r="F9">
        <v>3.54</v>
      </c>
      <c r="G9" t="s">
        <v>108</v>
      </c>
      <c r="H9" t="s">
        <v>109</v>
      </c>
      <c r="I9">
        <v>-1</v>
      </c>
      <c r="J9">
        <v>2</v>
      </c>
      <c r="K9">
        <v>3.86</v>
      </c>
      <c r="L9">
        <v>3.86</v>
      </c>
      <c r="M9">
        <v>29.4</v>
      </c>
      <c r="O9">
        <v>14.7</v>
      </c>
      <c r="Q9" t="s">
        <v>87</v>
      </c>
      <c r="R9">
        <v>1373</v>
      </c>
      <c r="S9">
        <v>24</v>
      </c>
      <c r="T9" t="b">
        <v>0</v>
      </c>
      <c r="U9" t="s">
        <v>125</v>
      </c>
      <c r="V9" t="s">
        <v>126</v>
      </c>
      <c r="W9">
        <v>1</v>
      </c>
      <c r="X9">
        <v>3.8</v>
      </c>
      <c r="Y9">
        <v>0.5</v>
      </c>
      <c r="Z9">
        <v>0</v>
      </c>
      <c r="AC9" t="s">
        <v>90</v>
      </c>
      <c r="AD9">
        <v>125</v>
      </c>
      <c r="AE9">
        <v>220</v>
      </c>
      <c r="AF9" t="s">
        <v>91</v>
      </c>
      <c r="AG9">
        <v>288</v>
      </c>
      <c r="AH9" s="3">
        <v>312</v>
      </c>
      <c r="AI9" s="3" t="e">
        <f>AH9/(AD9*Y9*Z9)</f>
        <v>#DIV/0!</v>
      </c>
      <c r="AJ9" s="3" t="e">
        <f t="shared" si="0"/>
        <v>#DIV/0!</v>
      </c>
      <c r="AN9" t="b">
        <v>1</v>
      </c>
      <c r="AO9" t="b">
        <v>1</v>
      </c>
      <c r="AP9" t="b">
        <v>0</v>
      </c>
      <c r="AQ9" t="b">
        <v>0</v>
      </c>
      <c r="AR9" t="s">
        <v>108</v>
      </c>
      <c r="AS9" t="s">
        <v>109</v>
      </c>
      <c r="AU9">
        <v>3.1267605359603952</v>
      </c>
      <c r="AV9">
        <v>1.75</v>
      </c>
      <c r="AW9">
        <v>2.5</v>
      </c>
      <c r="AX9">
        <v>0.75</v>
      </c>
      <c r="AY9">
        <v>0</v>
      </c>
      <c r="AZ9">
        <v>0.35</v>
      </c>
      <c r="BA9">
        <v>0.5</v>
      </c>
      <c r="BB9">
        <v>0.15</v>
      </c>
      <c r="BC9">
        <v>0</v>
      </c>
      <c r="BD9">
        <v>5.9668120809374994</v>
      </c>
      <c r="BE9">
        <v>20</v>
      </c>
      <c r="BF9">
        <v>924.74694800021894</v>
      </c>
      <c r="BG9">
        <v>4</v>
      </c>
      <c r="BH9">
        <v>8.6510153045653584E-2</v>
      </c>
      <c r="BI9">
        <v>7.8084429999999996</v>
      </c>
      <c r="BJ9">
        <v>7.8548809999999998</v>
      </c>
      <c r="BK9">
        <v>15.19056011</v>
      </c>
      <c r="BL9">
        <v>883.22940750240002</v>
      </c>
      <c r="BM9">
        <v>4</v>
      </c>
      <c r="BN9">
        <v>9.0576694254581439E-2</v>
      </c>
      <c r="BO9">
        <v>3.8801999999999999</v>
      </c>
      <c r="BP9">
        <v>29.507999999999999</v>
      </c>
      <c r="BQ9">
        <v>7.7140000000000004</v>
      </c>
      <c r="BR9">
        <v>0</v>
      </c>
      <c r="BS9">
        <v>0</v>
      </c>
      <c r="BU9">
        <v>0</v>
      </c>
      <c r="BV9">
        <v>0</v>
      </c>
      <c r="BW9">
        <v>0</v>
      </c>
      <c r="BZ9">
        <v>10</v>
      </c>
      <c r="CB9">
        <v>4.3255076522826792E-2</v>
      </c>
      <c r="CC9">
        <v>4.5288347127290719E-2</v>
      </c>
      <c r="CE9">
        <v>0.50555206026575006</v>
      </c>
      <c r="CF9">
        <v>0.52931630311992839</v>
      </c>
    </row>
    <row r="10" spans="1:86" x14ac:dyDescent="0.3">
      <c r="A10" s="1">
        <v>572</v>
      </c>
      <c r="B10" t="s">
        <v>140</v>
      </c>
      <c r="C10" t="s">
        <v>141</v>
      </c>
      <c r="E10" t="s">
        <v>106</v>
      </c>
      <c r="F10">
        <v>3.5</v>
      </c>
      <c r="G10" t="s">
        <v>142</v>
      </c>
      <c r="H10">
        <v>1522043</v>
      </c>
      <c r="I10">
        <v>-1</v>
      </c>
      <c r="J10">
        <v>1</v>
      </c>
      <c r="K10">
        <v>3.82</v>
      </c>
      <c r="L10">
        <v>3.82</v>
      </c>
      <c r="M10">
        <v>16</v>
      </c>
      <c r="O10">
        <v>16</v>
      </c>
      <c r="Q10" t="s">
        <v>87</v>
      </c>
      <c r="R10">
        <v>1373</v>
      </c>
      <c r="S10">
        <v>24</v>
      </c>
      <c r="T10" t="b">
        <v>0</v>
      </c>
      <c r="U10" t="s">
        <v>125</v>
      </c>
      <c r="V10" t="s">
        <v>126</v>
      </c>
      <c r="W10">
        <v>1</v>
      </c>
      <c r="X10">
        <v>5.6</v>
      </c>
      <c r="Y10">
        <v>0.5</v>
      </c>
      <c r="Z10">
        <v>0</v>
      </c>
      <c r="AC10" t="s">
        <v>90</v>
      </c>
      <c r="AD10">
        <v>125</v>
      </c>
      <c r="AE10">
        <v>220</v>
      </c>
      <c r="AF10" t="s">
        <v>91</v>
      </c>
      <c r="AG10">
        <v>288</v>
      </c>
      <c r="AH10" s="3">
        <v>23440</v>
      </c>
      <c r="AI10" s="3" t="e">
        <f>AH10/(AD10*Y10*Z10)</f>
        <v>#DIV/0!</v>
      </c>
      <c r="AJ10" s="3" t="e">
        <f t="shared" si="0"/>
        <v>#DIV/0!</v>
      </c>
      <c r="AN10" t="b">
        <v>1</v>
      </c>
      <c r="AO10" t="b">
        <v>1</v>
      </c>
      <c r="AP10" t="b">
        <v>0</v>
      </c>
      <c r="AQ10" t="b">
        <v>0</v>
      </c>
      <c r="AR10" t="s">
        <v>108</v>
      </c>
      <c r="AS10" t="s">
        <v>109</v>
      </c>
      <c r="AU10">
        <v>6.6644090203504076</v>
      </c>
      <c r="AV10">
        <v>1.75</v>
      </c>
      <c r="AW10">
        <v>2.5</v>
      </c>
      <c r="AX10">
        <v>0.75</v>
      </c>
      <c r="AY10">
        <v>0</v>
      </c>
      <c r="AZ10">
        <v>0.35</v>
      </c>
      <c r="BA10">
        <v>0.5</v>
      </c>
      <c r="BB10">
        <v>0.15</v>
      </c>
      <c r="BC10">
        <v>0</v>
      </c>
      <c r="BD10">
        <v>5.9668120809374994</v>
      </c>
      <c r="BE10">
        <v>20</v>
      </c>
      <c r="BF10">
        <v>924.74694800021894</v>
      </c>
      <c r="BG10">
        <v>4</v>
      </c>
      <c r="BH10">
        <v>8.6510153045653584E-2</v>
      </c>
      <c r="BI10">
        <v>7.8084429999999996</v>
      </c>
      <c r="BJ10">
        <v>7.8548809999999998</v>
      </c>
      <c r="BK10">
        <v>15.19056011</v>
      </c>
      <c r="BL10">
        <v>883.22940750240002</v>
      </c>
      <c r="BM10">
        <v>4</v>
      </c>
      <c r="BN10">
        <v>9.0576694254581439E-2</v>
      </c>
      <c r="BO10">
        <v>3.8801999999999999</v>
      </c>
      <c r="BP10">
        <v>29.507999999999999</v>
      </c>
      <c r="BQ10">
        <v>7.7140000000000004</v>
      </c>
      <c r="BR10">
        <v>0</v>
      </c>
      <c r="BS10">
        <v>0</v>
      </c>
      <c r="BU10">
        <v>0</v>
      </c>
      <c r="BV10">
        <v>0</v>
      </c>
      <c r="BW10">
        <v>0</v>
      </c>
      <c r="BZ10">
        <v>10</v>
      </c>
      <c r="CB10">
        <v>4.3255076522826792E-2</v>
      </c>
      <c r="CC10">
        <v>4.5288347127290719E-2</v>
      </c>
      <c r="CE10">
        <v>0.50555206026575006</v>
      </c>
      <c r="CF10">
        <v>0.52931630311992839</v>
      </c>
    </row>
    <row r="11" spans="1:86" x14ac:dyDescent="0.3">
      <c r="A11" s="1">
        <v>50</v>
      </c>
      <c r="B11" t="s">
        <v>128</v>
      </c>
      <c r="C11" t="s">
        <v>129</v>
      </c>
      <c r="E11" t="s">
        <v>130</v>
      </c>
      <c r="F11">
        <v>3</v>
      </c>
      <c r="G11" t="s">
        <v>131</v>
      </c>
      <c r="H11" t="s">
        <v>132</v>
      </c>
      <c r="I11">
        <v>-1</v>
      </c>
      <c r="O11">
        <v>0</v>
      </c>
      <c r="Q11" t="s">
        <v>87</v>
      </c>
      <c r="T11" t="b">
        <v>0</v>
      </c>
      <c r="U11" t="s">
        <v>125</v>
      </c>
      <c r="V11" t="s">
        <v>126</v>
      </c>
      <c r="W11">
        <v>0.1</v>
      </c>
      <c r="X11">
        <v>42.7</v>
      </c>
      <c r="Y11">
        <v>1</v>
      </c>
      <c r="Z11">
        <v>0</v>
      </c>
      <c r="AC11" t="s">
        <v>90</v>
      </c>
      <c r="AD11">
        <v>400</v>
      </c>
      <c r="AE11">
        <v>254</v>
      </c>
      <c r="AF11" t="s">
        <v>91</v>
      </c>
      <c r="AH11" s="3">
        <v>0.3</v>
      </c>
      <c r="AI11" s="3" t="e">
        <f>AH11/(AD11*Y11*Z11)</f>
        <v>#DIV/0!</v>
      </c>
      <c r="AJ11" s="3" t="e">
        <f t="shared" si="0"/>
        <v>#DIV/0!</v>
      </c>
      <c r="AK11" t="s">
        <v>972</v>
      </c>
      <c r="AN11" t="b">
        <v>1</v>
      </c>
      <c r="AO11" t="b">
        <v>0</v>
      </c>
      <c r="AP11" t="b">
        <v>0</v>
      </c>
      <c r="AQ11" t="b">
        <v>0</v>
      </c>
      <c r="AR11" t="s">
        <v>1169</v>
      </c>
      <c r="AU11">
        <v>11.127262984158239</v>
      </c>
      <c r="AV11">
        <v>1.510204081632653</v>
      </c>
      <c r="AW11">
        <v>1.2653061224489801</v>
      </c>
      <c r="AX11">
        <v>0.1224489795918367</v>
      </c>
      <c r="AY11">
        <v>0.16326530612244899</v>
      </c>
      <c r="AZ11">
        <v>0.49333333333333329</v>
      </c>
      <c r="BA11">
        <v>0.41333333333333339</v>
      </c>
      <c r="BB11">
        <v>0.04</v>
      </c>
      <c r="BC11">
        <v>5.333333333333333E-2</v>
      </c>
      <c r="BD11">
        <v>6.6971257268453872</v>
      </c>
      <c r="BE11">
        <v>20</v>
      </c>
      <c r="BF11">
        <v>733.37308460000008</v>
      </c>
      <c r="BG11">
        <v>2</v>
      </c>
      <c r="BH11">
        <v>5.4542497999932729E-2</v>
      </c>
      <c r="BI11">
        <v>3.8530000000000002</v>
      </c>
      <c r="BJ11">
        <v>3.8530000000000002</v>
      </c>
      <c r="BK11">
        <v>49.4</v>
      </c>
      <c r="BL11">
        <v>0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357.04353880000002</v>
      </c>
      <c r="BY11">
        <v>5.6015577448113731E-2</v>
      </c>
      <c r="BZ11">
        <v>10</v>
      </c>
      <c r="CA11">
        <v>2.8007788724056869E-2</v>
      </c>
      <c r="CB11">
        <v>2.7271248999966361E-2</v>
      </c>
      <c r="CE11">
        <v>0.33005342247707181</v>
      </c>
      <c r="CH11">
        <v>0.33896747906196412</v>
      </c>
    </row>
    <row r="12" spans="1:86" x14ac:dyDescent="0.3">
      <c r="A12" s="1">
        <v>353</v>
      </c>
      <c r="B12" t="s">
        <v>802</v>
      </c>
      <c r="C12" t="s">
        <v>803</v>
      </c>
      <c r="F12">
        <v>4.05</v>
      </c>
      <c r="G12" t="s">
        <v>804</v>
      </c>
      <c r="H12" t="s">
        <v>805</v>
      </c>
      <c r="I12">
        <v>-1</v>
      </c>
      <c r="Q12" t="s">
        <v>87</v>
      </c>
      <c r="R12">
        <v>1173</v>
      </c>
      <c r="T12" t="b">
        <v>0</v>
      </c>
      <c r="U12" t="s">
        <v>125</v>
      </c>
      <c r="V12" t="s">
        <v>126</v>
      </c>
      <c r="W12">
        <v>0.1</v>
      </c>
      <c r="Y12">
        <v>10</v>
      </c>
      <c r="Z12">
        <v>20</v>
      </c>
      <c r="AC12" t="s">
        <v>806</v>
      </c>
      <c r="AF12" t="s">
        <v>91</v>
      </c>
      <c r="AH12" s="3">
        <v>3050</v>
      </c>
      <c r="AI12" s="3" t="e">
        <f>AH12/(AD12*Y12*Z12)</f>
        <v>#DIV/0!</v>
      </c>
      <c r="AJ12" s="3" t="e">
        <f t="shared" si="0"/>
        <v>#DIV/0!</v>
      </c>
      <c r="AN12" t="b">
        <v>1</v>
      </c>
      <c r="AO12" t="b">
        <v>0</v>
      </c>
      <c r="AP12" t="b">
        <v>0</v>
      </c>
      <c r="AQ12" t="b">
        <v>0</v>
      </c>
      <c r="AR12" t="s">
        <v>139</v>
      </c>
      <c r="AS12">
        <v>-1</v>
      </c>
      <c r="AU12">
        <v>8.9519859146189216</v>
      </c>
      <c r="AV12">
        <v>1.7272727272727271</v>
      </c>
      <c r="AW12">
        <v>2.545454545454545</v>
      </c>
      <c r="AX12">
        <v>0.81818181818181823</v>
      </c>
      <c r="AY12">
        <v>0</v>
      </c>
      <c r="AZ12">
        <v>0.3392857142857143</v>
      </c>
      <c r="BA12">
        <v>0.5</v>
      </c>
      <c r="BB12">
        <v>0.1607142857142857</v>
      </c>
      <c r="BC12">
        <v>0</v>
      </c>
      <c r="BD12">
        <v>6.4269893564864544</v>
      </c>
      <c r="BE12">
        <v>14</v>
      </c>
      <c r="BF12">
        <v>165.66723991337099</v>
      </c>
      <c r="BG12">
        <v>1</v>
      </c>
      <c r="BH12">
        <v>8.4506749839743392E-2</v>
      </c>
      <c r="BI12">
        <v>3.9263319999999999</v>
      </c>
      <c r="BJ12">
        <v>3.9263319999999999</v>
      </c>
      <c r="BK12">
        <v>10.74639</v>
      </c>
      <c r="BL12">
        <v>0</v>
      </c>
      <c r="BM12">
        <v>0</v>
      </c>
      <c r="BO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159.28983610680001</v>
      </c>
      <c r="BY12">
        <v>8.789010235790147E-2</v>
      </c>
      <c r="BZ12">
        <v>7</v>
      </c>
      <c r="CA12">
        <v>4.3945051178950742E-2</v>
      </c>
      <c r="CB12">
        <v>4.2253374919871703E-2</v>
      </c>
      <c r="CE12">
        <v>0.41874907041247761</v>
      </c>
      <c r="CH12">
        <v>0.4355143077993508</v>
      </c>
    </row>
    <row r="13" spans="1:86" x14ac:dyDescent="0.3">
      <c r="A13" s="1">
        <v>616</v>
      </c>
      <c r="B13" t="s">
        <v>1094</v>
      </c>
      <c r="C13" t="s">
        <v>1095</v>
      </c>
      <c r="E13" t="s">
        <v>404</v>
      </c>
      <c r="F13">
        <v>3.41</v>
      </c>
      <c r="G13" t="s">
        <v>1096</v>
      </c>
      <c r="H13">
        <v>-1</v>
      </c>
      <c r="I13">
        <v>-1</v>
      </c>
      <c r="J13">
        <v>2</v>
      </c>
      <c r="K13">
        <v>3.83</v>
      </c>
      <c r="L13">
        <v>3.83</v>
      </c>
      <c r="M13">
        <v>39.5</v>
      </c>
      <c r="N13" t="s">
        <v>529</v>
      </c>
      <c r="O13">
        <v>19.75</v>
      </c>
      <c r="Q13" t="s">
        <v>87</v>
      </c>
      <c r="R13">
        <v>1373</v>
      </c>
      <c r="S13">
        <v>12</v>
      </c>
      <c r="T13" t="b">
        <v>0</v>
      </c>
      <c r="U13" t="s">
        <v>125</v>
      </c>
      <c r="V13" t="s">
        <v>126</v>
      </c>
      <c r="W13">
        <v>1</v>
      </c>
      <c r="Y13">
        <v>0.5</v>
      </c>
      <c r="Z13">
        <v>1</v>
      </c>
      <c r="AC13" t="s">
        <v>90</v>
      </c>
      <c r="AD13">
        <v>125</v>
      </c>
      <c r="AE13">
        <v>220</v>
      </c>
      <c r="AF13" t="s">
        <v>91</v>
      </c>
      <c r="AG13">
        <v>288</v>
      </c>
      <c r="AH13" s="3">
        <v>119880</v>
      </c>
      <c r="AI13" s="3">
        <f>AH13/(AD13*Y13*Z13)</f>
        <v>1918.08</v>
      </c>
      <c r="AJ13" s="3">
        <f t="shared" si="0"/>
        <v>7.5590799646882436</v>
      </c>
      <c r="AN13" t="b">
        <v>1</v>
      </c>
      <c r="AO13" t="b">
        <v>0</v>
      </c>
      <c r="AP13" t="b">
        <v>0</v>
      </c>
      <c r="AQ13" t="b">
        <v>0</v>
      </c>
      <c r="AR13" t="s">
        <v>131</v>
      </c>
      <c r="AS13" t="s">
        <v>132</v>
      </c>
      <c r="AU13">
        <v>10.313409381361231</v>
      </c>
      <c r="AV13">
        <v>2</v>
      </c>
      <c r="AW13">
        <v>2.666666666666667</v>
      </c>
      <c r="AX13">
        <v>0.66666666666666663</v>
      </c>
      <c r="AY13">
        <v>0</v>
      </c>
      <c r="AZ13">
        <v>0.375</v>
      </c>
      <c r="BA13">
        <v>0.5</v>
      </c>
      <c r="BB13">
        <v>0.125</v>
      </c>
      <c r="BC13">
        <v>0</v>
      </c>
      <c r="BD13">
        <v>6.1770001596666662</v>
      </c>
      <c r="BE13">
        <v>4</v>
      </c>
      <c r="BF13">
        <v>1182.741260108548</v>
      </c>
      <c r="BG13">
        <v>30</v>
      </c>
      <c r="BH13">
        <v>0.1014592151701775</v>
      </c>
      <c r="BI13">
        <v>10.59112378</v>
      </c>
      <c r="BJ13">
        <v>10.784736629999999</v>
      </c>
      <c r="BK13">
        <v>10.486176179999999</v>
      </c>
      <c r="BL13">
        <v>130.36387300000001</v>
      </c>
      <c r="BM13">
        <v>4</v>
      </c>
      <c r="BN13">
        <v>0.1227333894874388</v>
      </c>
      <c r="BO13">
        <v>3.73</v>
      </c>
      <c r="BP13">
        <v>3.73</v>
      </c>
      <c r="BQ13">
        <v>9.3699999999999992</v>
      </c>
      <c r="BR13">
        <v>0</v>
      </c>
      <c r="BS13">
        <v>0</v>
      </c>
      <c r="BU13">
        <v>0</v>
      </c>
      <c r="BV13">
        <v>0</v>
      </c>
      <c r="BW13">
        <v>0</v>
      </c>
      <c r="BZ13">
        <v>2</v>
      </c>
      <c r="CB13">
        <v>5.0729607585088737E-2</v>
      </c>
      <c r="CC13">
        <v>6.1366694743719377E-2</v>
      </c>
      <c r="CE13">
        <v>0.46900407026869612</v>
      </c>
      <c r="CF13">
        <v>0.56734579634715776</v>
      </c>
    </row>
    <row r="14" spans="1:86" x14ac:dyDescent="0.3">
      <c r="A14" s="1">
        <v>618</v>
      </c>
      <c r="B14" t="s">
        <v>1102</v>
      </c>
      <c r="C14" t="s">
        <v>1103</v>
      </c>
      <c r="E14" t="s">
        <v>404</v>
      </c>
      <c r="F14">
        <v>3.4</v>
      </c>
      <c r="G14" t="s">
        <v>1104</v>
      </c>
      <c r="H14">
        <v>-1</v>
      </c>
      <c r="I14">
        <v>-1</v>
      </c>
      <c r="J14">
        <v>1</v>
      </c>
      <c r="K14">
        <v>3.82</v>
      </c>
      <c r="L14">
        <v>3.82</v>
      </c>
      <c r="M14">
        <v>29.2</v>
      </c>
      <c r="N14" t="s">
        <v>529</v>
      </c>
      <c r="O14">
        <v>29.2</v>
      </c>
      <c r="Q14" t="s">
        <v>87</v>
      </c>
      <c r="R14">
        <v>1373</v>
      </c>
      <c r="S14">
        <v>12</v>
      </c>
      <c r="T14" t="b">
        <v>0</v>
      </c>
      <c r="U14" t="s">
        <v>125</v>
      </c>
      <c r="V14" t="s">
        <v>126</v>
      </c>
      <c r="W14">
        <v>1</v>
      </c>
      <c r="Y14">
        <v>0.5</v>
      </c>
      <c r="Z14">
        <v>1</v>
      </c>
      <c r="AC14" t="s">
        <v>90</v>
      </c>
      <c r="AD14">
        <v>125</v>
      </c>
      <c r="AE14">
        <v>220</v>
      </c>
      <c r="AF14" t="s">
        <v>91</v>
      </c>
      <c r="AG14">
        <v>288</v>
      </c>
      <c r="AH14" s="3">
        <v>114040</v>
      </c>
      <c r="AI14" s="3">
        <f>AH14/(AD14*Y14*Z14)</f>
        <v>1824.64</v>
      </c>
      <c r="AJ14" s="3">
        <f t="shared" si="0"/>
        <v>7.5091379862842524</v>
      </c>
      <c r="AN14" t="b">
        <v>0</v>
      </c>
      <c r="AO14" t="b">
        <v>1</v>
      </c>
      <c r="AP14" t="b">
        <v>0</v>
      </c>
      <c r="AQ14" t="b">
        <v>0</v>
      </c>
      <c r="AR14">
        <v>-1</v>
      </c>
      <c r="AS14" t="s">
        <v>470</v>
      </c>
      <c r="AU14">
        <v>7.2115567333138024</v>
      </c>
      <c r="AV14">
        <v>1.714285714285714</v>
      </c>
      <c r="AW14">
        <v>2.4761904761904758</v>
      </c>
      <c r="AX14">
        <v>0.76190476190476186</v>
      </c>
      <c r="AY14">
        <v>0</v>
      </c>
      <c r="AZ14">
        <v>0.34615384615384609</v>
      </c>
      <c r="BA14">
        <v>0.5</v>
      </c>
      <c r="BB14">
        <v>0.1538461538461538</v>
      </c>
      <c r="BC14">
        <v>0</v>
      </c>
      <c r="BD14">
        <v>5.9615150258809519</v>
      </c>
      <c r="BE14">
        <v>26</v>
      </c>
      <c r="BF14">
        <v>0</v>
      </c>
      <c r="BG14">
        <v>0</v>
      </c>
      <c r="BI14">
        <v>0</v>
      </c>
      <c r="BL14">
        <v>553.65927766671996</v>
      </c>
      <c r="BM14">
        <v>1</v>
      </c>
      <c r="BN14">
        <v>4.696028956576237E-2</v>
      </c>
      <c r="BO14">
        <v>3.8715999999999999</v>
      </c>
      <c r="BP14">
        <v>3.8715999999999999</v>
      </c>
      <c r="BQ14">
        <v>36.936999999999998</v>
      </c>
      <c r="BR14">
        <v>0</v>
      </c>
      <c r="BS14">
        <v>0</v>
      </c>
      <c r="BU14">
        <v>0</v>
      </c>
      <c r="BV14">
        <v>0</v>
      </c>
      <c r="BW14">
        <v>0</v>
      </c>
      <c r="BX14">
        <v>545.80554548520001</v>
      </c>
      <c r="BY14">
        <v>9.5272025779390007E-2</v>
      </c>
      <c r="BZ14">
        <v>13</v>
      </c>
      <c r="CA14">
        <v>4.7636012889694997E-2</v>
      </c>
      <c r="CC14">
        <v>2.3480144782881181E-2</v>
      </c>
      <c r="CF14">
        <v>0.25714100113935939</v>
      </c>
      <c r="CH14">
        <v>0.52168213433139388</v>
      </c>
    </row>
    <row r="15" spans="1:86" x14ac:dyDescent="0.3">
      <c r="A15" s="1">
        <v>617</v>
      </c>
      <c r="B15" t="s">
        <v>1098</v>
      </c>
      <c r="C15" t="s">
        <v>1099</v>
      </c>
      <c r="E15" t="s">
        <v>404</v>
      </c>
      <c r="F15">
        <v>3.4</v>
      </c>
      <c r="G15" t="s">
        <v>1100</v>
      </c>
      <c r="H15">
        <v>-1</v>
      </c>
      <c r="I15">
        <v>-1</v>
      </c>
      <c r="J15">
        <v>2</v>
      </c>
      <c r="K15">
        <v>3.82</v>
      </c>
      <c r="L15">
        <v>3.82</v>
      </c>
      <c r="M15">
        <v>48.5</v>
      </c>
      <c r="N15" t="s">
        <v>529</v>
      </c>
      <c r="O15">
        <v>24.25</v>
      </c>
      <c r="Q15" t="s">
        <v>87</v>
      </c>
      <c r="R15">
        <v>1373</v>
      </c>
      <c r="S15">
        <v>12</v>
      </c>
      <c r="T15" t="b">
        <v>0</v>
      </c>
      <c r="U15" t="s">
        <v>125</v>
      </c>
      <c r="V15" t="s">
        <v>126</v>
      </c>
      <c r="W15">
        <v>1</v>
      </c>
      <c r="X15">
        <v>4.1900000000000004</v>
      </c>
      <c r="Y15">
        <v>0.5</v>
      </c>
      <c r="Z15">
        <v>1</v>
      </c>
      <c r="AC15" t="s">
        <v>90</v>
      </c>
      <c r="AD15">
        <v>125</v>
      </c>
      <c r="AE15">
        <v>220</v>
      </c>
      <c r="AF15" t="s">
        <v>91</v>
      </c>
      <c r="AG15">
        <v>288</v>
      </c>
      <c r="AH15" s="3">
        <v>110040</v>
      </c>
      <c r="AI15" s="3">
        <f>AH15/(AD15*Y15*Z15)</f>
        <v>1760.64</v>
      </c>
      <c r="AJ15" s="3">
        <f t="shared" si="0"/>
        <v>7.4734326582961552</v>
      </c>
      <c r="AN15" t="b">
        <v>0</v>
      </c>
      <c r="AO15" t="b">
        <v>1</v>
      </c>
      <c r="AP15" t="b">
        <v>0</v>
      </c>
      <c r="AQ15" t="b">
        <v>0</v>
      </c>
      <c r="AR15">
        <v>-1</v>
      </c>
      <c r="AS15" t="s">
        <v>470</v>
      </c>
      <c r="AU15">
        <v>7.0021559544036212</v>
      </c>
      <c r="AV15">
        <v>1.714285714285714</v>
      </c>
      <c r="AW15">
        <v>2.4761904761904758</v>
      </c>
      <c r="AX15">
        <v>0.76190476190476186</v>
      </c>
      <c r="AY15">
        <v>0</v>
      </c>
      <c r="AZ15">
        <v>0.34615384615384609</v>
      </c>
      <c r="BA15">
        <v>0.5</v>
      </c>
      <c r="BB15">
        <v>0.1538461538461538</v>
      </c>
      <c r="BC15">
        <v>0</v>
      </c>
      <c r="BD15">
        <v>5.9615150258809519</v>
      </c>
      <c r="BE15">
        <v>26</v>
      </c>
      <c r="BF15">
        <v>0</v>
      </c>
      <c r="BG15">
        <v>0</v>
      </c>
      <c r="BI15">
        <v>0</v>
      </c>
      <c r="BL15">
        <v>553.65927766671996</v>
      </c>
      <c r="BM15">
        <v>1</v>
      </c>
      <c r="BN15">
        <v>4.696028956576237E-2</v>
      </c>
      <c r="BO15">
        <v>3.8715999999999999</v>
      </c>
      <c r="BP15">
        <v>3.8715999999999999</v>
      </c>
      <c r="BQ15">
        <v>36.936999999999998</v>
      </c>
      <c r="BR15">
        <v>0</v>
      </c>
      <c r="BS15">
        <v>0</v>
      </c>
      <c r="BU15">
        <v>0</v>
      </c>
      <c r="BV15">
        <v>0</v>
      </c>
      <c r="BW15">
        <v>0</v>
      </c>
      <c r="BX15">
        <v>545.80554548520001</v>
      </c>
      <c r="BY15">
        <v>9.5272025779390007E-2</v>
      </c>
      <c r="BZ15">
        <v>13</v>
      </c>
      <c r="CA15">
        <v>4.7636012889694997E-2</v>
      </c>
      <c r="CC15">
        <v>2.3480144782881181E-2</v>
      </c>
      <c r="CF15">
        <v>0.25714100113935939</v>
      </c>
      <c r="CH15">
        <v>0.52168213433139388</v>
      </c>
    </row>
    <row r="16" spans="1:86" x14ac:dyDescent="0.3">
      <c r="A16" s="1">
        <v>724</v>
      </c>
      <c r="B16" t="s">
        <v>1115</v>
      </c>
      <c r="C16" t="s">
        <v>1116</v>
      </c>
      <c r="E16" t="s">
        <v>404</v>
      </c>
      <c r="F16">
        <v>3.58</v>
      </c>
      <c r="G16" t="s">
        <v>1080</v>
      </c>
      <c r="H16">
        <v>-1</v>
      </c>
      <c r="I16">
        <v>-1</v>
      </c>
      <c r="J16">
        <v>1</v>
      </c>
      <c r="K16">
        <v>3.802</v>
      </c>
      <c r="L16">
        <v>3.802</v>
      </c>
      <c r="M16">
        <v>24.7</v>
      </c>
      <c r="N16" t="s">
        <v>101</v>
      </c>
      <c r="O16">
        <v>24.7</v>
      </c>
      <c r="Q16" t="s">
        <v>87</v>
      </c>
      <c r="R16">
        <v>1273</v>
      </c>
      <c r="S16">
        <v>10</v>
      </c>
      <c r="T16" t="b">
        <v>0</v>
      </c>
      <c r="U16" t="s">
        <v>125</v>
      </c>
      <c r="V16" t="s">
        <v>126</v>
      </c>
      <c r="W16">
        <v>1</v>
      </c>
      <c r="Y16">
        <v>0.5</v>
      </c>
      <c r="Z16">
        <v>0.2</v>
      </c>
      <c r="AC16" t="s">
        <v>90</v>
      </c>
      <c r="AD16">
        <v>125</v>
      </c>
      <c r="AE16">
        <v>220</v>
      </c>
      <c r="AF16" t="s">
        <v>91</v>
      </c>
      <c r="AG16">
        <v>288</v>
      </c>
      <c r="AH16" s="3">
        <v>21000</v>
      </c>
      <c r="AI16" s="3">
        <f>AH16/(AD16*Y16*Z16)</f>
        <v>1680</v>
      </c>
      <c r="AJ16" s="3">
        <f t="shared" si="0"/>
        <v>7.4265490723973047</v>
      </c>
      <c r="AN16" t="b">
        <v>0</v>
      </c>
      <c r="AO16" t="b">
        <v>1</v>
      </c>
      <c r="AP16" t="b">
        <v>0</v>
      </c>
      <c r="AQ16" t="b">
        <v>0</v>
      </c>
      <c r="AR16">
        <v>-1</v>
      </c>
      <c r="AS16" t="s">
        <v>470</v>
      </c>
      <c r="AU16">
        <v>6.7274317248508551</v>
      </c>
      <c r="AV16">
        <v>1.714285714285714</v>
      </c>
      <c r="AW16">
        <v>2.4761904761904758</v>
      </c>
      <c r="AX16">
        <v>0.76190476190476186</v>
      </c>
      <c r="AY16">
        <v>0</v>
      </c>
      <c r="AZ16">
        <v>0.34615384615384609</v>
      </c>
      <c r="BA16">
        <v>0.5</v>
      </c>
      <c r="BB16">
        <v>0.1538461538461538</v>
      </c>
      <c r="BC16">
        <v>0</v>
      </c>
      <c r="BD16">
        <v>5.9615150258809519</v>
      </c>
      <c r="BE16">
        <v>26</v>
      </c>
      <c r="BF16">
        <v>0</v>
      </c>
      <c r="BG16">
        <v>0</v>
      </c>
      <c r="BI16">
        <v>0</v>
      </c>
      <c r="BL16">
        <v>553.65927766671996</v>
      </c>
      <c r="BM16">
        <v>1</v>
      </c>
      <c r="BN16">
        <v>4.696028956576237E-2</v>
      </c>
      <c r="BO16">
        <v>3.8715999999999999</v>
      </c>
      <c r="BP16">
        <v>3.8715999999999999</v>
      </c>
      <c r="BQ16">
        <v>36.936999999999998</v>
      </c>
      <c r="BR16">
        <v>0</v>
      </c>
      <c r="BS16">
        <v>0</v>
      </c>
      <c r="BU16">
        <v>0</v>
      </c>
      <c r="BV16">
        <v>0</v>
      </c>
      <c r="BW16">
        <v>0</v>
      </c>
      <c r="BX16">
        <v>545.80554548520001</v>
      </c>
      <c r="BY16">
        <v>9.5272025779390007E-2</v>
      </c>
      <c r="BZ16">
        <v>13</v>
      </c>
      <c r="CA16">
        <v>4.7636012889694997E-2</v>
      </c>
      <c r="CC16">
        <v>2.3480144782881181E-2</v>
      </c>
      <c r="CF16">
        <v>0.25714100113935939</v>
      </c>
      <c r="CH16">
        <v>0.52168213433139388</v>
      </c>
    </row>
    <row r="17" spans="1:86" x14ac:dyDescent="0.3">
      <c r="A17" s="1">
        <v>627</v>
      </c>
      <c r="B17" t="s">
        <v>1130</v>
      </c>
      <c r="C17" t="s">
        <v>1131</v>
      </c>
      <c r="E17" t="s">
        <v>404</v>
      </c>
      <c r="F17">
        <v>3.33</v>
      </c>
      <c r="G17" t="s">
        <v>1100</v>
      </c>
      <c r="H17">
        <v>-1</v>
      </c>
      <c r="I17">
        <v>-1</v>
      </c>
      <c r="J17">
        <v>2</v>
      </c>
      <c r="K17">
        <v>3.78</v>
      </c>
      <c r="L17">
        <v>3.78</v>
      </c>
      <c r="M17">
        <v>47.3</v>
      </c>
      <c r="N17" t="s">
        <v>529</v>
      </c>
      <c r="O17">
        <v>23.65</v>
      </c>
      <c r="Q17" t="s">
        <v>87</v>
      </c>
      <c r="R17">
        <v>1373</v>
      </c>
      <c r="S17">
        <v>12</v>
      </c>
      <c r="T17" t="b">
        <v>0</v>
      </c>
      <c r="U17" t="s">
        <v>125</v>
      </c>
      <c r="V17" t="s">
        <v>126</v>
      </c>
      <c r="W17">
        <v>1</v>
      </c>
      <c r="X17">
        <v>3.87</v>
      </c>
      <c r="Y17">
        <v>0.5</v>
      </c>
      <c r="Z17">
        <v>1</v>
      </c>
      <c r="AC17" t="s">
        <v>90</v>
      </c>
      <c r="AD17">
        <v>125</v>
      </c>
      <c r="AE17">
        <v>220</v>
      </c>
      <c r="AF17" t="s">
        <v>91</v>
      </c>
      <c r="AG17">
        <v>288</v>
      </c>
      <c r="AH17" s="3">
        <v>103360</v>
      </c>
      <c r="AI17" s="3">
        <f>AH17/(AD17*Y17*Z17)</f>
        <v>1653.76</v>
      </c>
      <c r="AJ17" s="3">
        <f t="shared" si="0"/>
        <v>7.4108067622740732</v>
      </c>
      <c r="AN17" t="b">
        <v>0</v>
      </c>
      <c r="AO17" t="b">
        <v>1</v>
      </c>
      <c r="AP17" t="b">
        <v>0</v>
      </c>
      <c r="AQ17" t="b">
        <v>0</v>
      </c>
      <c r="AR17">
        <v>-1</v>
      </c>
      <c r="AS17" t="s">
        <v>470</v>
      </c>
      <c r="AU17">
        <v>6.2897155709089976</v>
      </c>
      <c r="AV17">
        <v>1.714285714285714</v>
      </c>
      <c r="AW17">
        <v>2.4761904761904758</v>
      </c>
      <c r="AX17">
        <v>0.76190476190476186</v>
      </c>
      <c r="AY17">
        <v>0</v>
      </c>
      <c r="AZ17">
        <v>0.34615384615384609</v>
      </c>
      <c r="BA17">
        <v>0.5</v>
      </c>
      <c r="BB17">
        <v>0.1538461538461538</v>
      </c>
      <c r="BC17">
        <v>0</v>
      </c>
      <c r="BD17">
        <v>5.9615150258809519</v>
      </c>
      <c r="BE17">
        <v>26</v>
      </c>
      <c r="BF17">
        <v>0</v>
      </c>
      <c r="BG17">
        <v>0</v>
      </c>
      <c r="BI17">
        <v>0</v>
      </c>
      <c r="BL17">
        <v>553.65927766671996</v>
      </c>
      <c r="BM17">
        <v>1</v>
      </c>
      <c r="BN17">
        <v>4.696028956576237E-2</v>
      </c>
      <c r="BO17">
        <v>3.8715999999999999</v>
      </c>
      <c r="BP17">
        <v>3.8715999999999999</v>
      </c>
      <c r="BQ17">
        <v>36.936999999999998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545.80554548520001</v>
      </c>
      <c r="BY17">
        <v>9.5272025779390007E-2</v>
      </c>
      <c r="BZ17">
        <v>13</v>
      </c>
      <c r="CA17">
        <v>4.7636012889694997E-2</v>
      </c>
      <c r="CC17">
        <v>2.3480144782881181E-2</v>
      </c>
      <c r="CF17">
        <v>0.25714100113935939</v>
      </c>
      <c r="CH17">
        <v>0.52168213433139388</v>
      </c>
    </row>
    <row r="18" spans="1:86" x14ac:dyDescent="0.3">
      <c r="A18" s="1">
        <v>646</v>
      </c>
      <c r="B18" t="s">
        <v>1115</v>
      </c>
      <c r="C18" t="s">
        <v>1116</v>
      </c>
      <c r="E18" t="s">
        <v>404</v>
      </c>
      <c r="F18">
        <v>3.58</v>
      </c>
      <c r="G18" t="s">
        <v>1080</v>
      </c>
      <c r="H18">
        <v>-1</v>
      </c>
      <c r="I18">
        <v>-1</v>
      </c>
      <c r="J18">
        <v>1</v>
      </c>
      <c r="K18">
        <v>3.802</v>
      </c>
      <c r="L18">
        <v>3.802</v>
      </c>
      <c r="M18">
        <v>24.7</v>
      </c>
      <c r="N18" t="s">
        <v>101</v>
      </c>
      <c r="O18">
        <v>24.7</v>
      </c>
      <c r="Q18" t="s">
        <v>87</v>
      </c>
      <c r="R18">
        <v>1273</v>
      </c>
      <c r="S18">
        <v>10</v>
      </c>
      <c r="T18" t="b">
        <v>0</v>
      </c>
      <c r="U18" t="s">
        <v>125</v>
      </c>
      <c r="V18" t="s">
        <v>126</v>
      </c>
      <c r="W18">
        <v>1</v>
      </c>
      <c r="Y18">
        <v>0.32</v>
      </c>
      <c r="Z18">
        <v>1</v>
      </c>
      <c r="AC18" t="s">
        <v>90</v>
      </c>
      <c r="AD18">
        <v>125</v>
      </c>
      <c r="AE18">
        <v>220</v>
      </c>
      <c r="AF18" t="s">
        <v>91</v>
      </c>
      <c r="AG18">
        <v>288</v>
      </c>
      <c r="AH18" s="3">
        <v>64000</v>
      </c>
      <c r="AI18" s="3">
        <f>AH18/(AD18*Y18*Z18)</f>
        <v>1600</v>
      </c>
      <c r="AJ18" s="3">
        <f t="shared" si="0"/>
        <v>7.3777589082278725</v>
      </c>
      <c r="AN18" t="b">
        <v>0</v>
      </c>
      <c r="AO18" t="b">
        <v>1</v>
      </c>
      <c r="AP18" t="b">
        <v>0</v>
      </c>
      <c r="AQ18" t="b">
        <v>0</v>
      </c>
      <c r="AR18">
        <v>-1</v>
      </c>
      <c r="AS18" t="s">
        <v>470</v>
      </c>
      <c r="AU18">
        <v>5.4380793089231956</v>
      </c>
      <c r="AV18">
        <v>1.714285714285714</v>
      </c>
      <c r="AW18">
        <v>2.4761904761904758</v>
      </c>
      <c r="AX18">
        <v>0.76190476190476186</v>
      </c>
      <c r="AY18">
        <v>0</v>
      </c>
      <c r="AZ18">
        <v>0.34615384615384609</v>
      </c>
      <c r="BA18">
        <v>0.5</v>
      </c>
      <c r="BB18">
        <v>0.1538461538461538</v>
      </c>
      <c r="BC18">
        <v>0</v>
      </c>
      <c r="BD18">
        <v>5.9615150258809519</v>
      </c>
      <c r="BE18">
        <v>26</v>
      </c>
      <c r="BF18">
        <v>0</v>
      </c>
      <c r="BG18">
        <v>0</v>
      </c>
      <c r="BI18">
        <v>0</v>
      </c>
      <c r="BL18">
        <v>553.65927766671996</v>
      </c>
      <c r="BM18">
        <v>1</v>
      </c>
      <c r="BN18">
        <v>4.696028956576237E-2</v>
      </c>
      <c r="BO18">
        <v>3.8715999999999999</v>
      </c>
      <c r="BP18">
        <v>3.8715999999999999</v>
      </c>
      <c r="BQ18">
        <v>36.936999999999998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545.80554548520001</v>
      </c>
      <c r="BY18">
        <v>9.5272025779390007E-2</v>
      </c>
      <c r="BZ18">
        <v>13</v>
      </c>
      <c r="CA18">
        <v>4.7636012889694997E-2</v>
      </c>
      <c r="CC18">
        <v>2.3480144782881181E-2</v>
      </c>
      <c r="CF18">
        <v>0.25714100113935939</v>
      </c>
      <c r="CH18">
        <v>0.52168213433139388</v>
      </c>
    </row>
    <row r="19" spans="1:86" x14ac:dyDescent="0.3">
      <c r="A19" s="1">
        <v>611</v>
      </c>
      <c r="B19" t="s">
        <v>1074</v>
      </c>
      <c r="C19" t="s">
        <v>1075</v>
      </c>
      <c r="E19" t="s">
        <v>404</v>
      </c>
      <c r="F19">
        <v>3.39</v>
      </c>
      <c r="G19" t="s">
        <v>1076</v>
      </c>
      <c r="H19">
        <v>-1</v>
      </c>
      <c r="I19">
        <v>-1</v>
      </c>
      <c r="J19">
        <v>1</v>
      </c>
      <c r="K19">
        <v>3.82</v>
      </c>
      <c r="L19">
        <v>3.82</v>
      </c>
      <c r="M19">
        <v>20.2</v>
      </c>
      <c r="N19" t="s">
        <v>529</v>
      </c>
      <c r="O19">
        <v>20.2</v>
      </c>
      <c r="Q19" t="s">
        <v>87</v>
      </c>
      <c r="R19">
        <v>1373</v>
      </c>
      <c r="S19">
        <v>12</v>
      </c>
      <c r="T19" t="b">
        <v>0</v>
      </c>
      <c r="U19" t="s">
        <v>125</v>
      </c>
      <c r="V19" t="s">
        <v>126</v>
      </c>
      <c r="W19">
        <v>1</v>
      </c>
      <c r="Y19">
        <v>0.5</v>
      </c>
      <c r="Z19">
        <v>1</v>
      </c>
      <c r="AC19" t="s">
        <v>90</v>
      </c>
      <c r="AD19">
        <v>125</v>
      </c>
      <c r="AE19">
        <v>220</v>
      </c>
      <c r="AF19" t="s">
        <v>91</v>
      </c>
      <c r="AG19">
        <v>288</v>
      </c>
      <c r="AH19" s="3">
        <v>95400</v>
      </c>
      <c r="AI19" s="3">
        <f>AH19/(AD19*Y19*Z19)</f>
        <v>1526.4</v>
      </c>
      <c r="AJ19" s="3">
        <f t="shared" si="0"/>
        <v>7.3306673006940217</v>
      </c>
      <c r="AN19" t="b">
        <v>0</v>
      </c>
      <c r="AO19" t="b">
        <v>1</v>
      </c>
      <c r="AP19" t="b">
        <v>0</v>
      </c>
      <c r="AQ19" t="b">
        <v>0</v>
      </c>
      <c r="AR19">
        <v>-1</v>
      </c>
      <c r="AS19" t="s">
        <v>470</v>
      </c>
      <c r="AU19">
        <v>5.3181199938442161</v>
      </c>
      <c r="AV19">
        <v>1.714285714285714</v>
      </c>
      <c r="AW19">
        <v>2.4761904761904758</v>
      </c>
      <c r="AX19">
        <v>0.76190476190476186</v>
      </c>
      <c r="AY19">
        <v>0</v>
      </c>
      <c r="AZ19">
        <v>0.34615384615384609</v>
      </c>
      <c r="BA19">
        <v>0.5</v>
      </c>
      <c r="BB19">
        <v>0.1538461538461538</v>
      </c>
      <c r="BC19">
        <v>0</v>
      </c>
      <c r="BD19">
        <v>5.9615150258809519</v>
      </c>
      <c r="BE19">
        <v>26</v>
      </c>
      <c r="BF19">
        <v>0</v>
      </c>
      <c r="BG19">
        <v>0</v>
      </c>
      <c r="BI19">
        <v>0</v>
      </c>
      <c r="BL19">
        <v>553.65927766671996</v>
      </c>
      <c r="BM19">
        <v>1</v>
      </c>
      <c r="BN19">
        <v>4.696028956576237E-2</v>
      </c>
      <c r="BO19">
        <v>3.8715999999999999</v>
      </c>
      <c r="BP19">
        <v>3.8715999999999999</v>
      </c>
      <c r="BQ19">
        <v>36.936999999999998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545.80554548520001</v>
      </c>
      <c r="BY19">
        <v>9.5272025779390007E-2</v>
      </c>
      <c r="BZ19">
        <v>13</v>
      </c>
      <c r="CA19">
        <v>4.7636012889694997E-2</v>
      </c>
      <c r="CC19">
        <v>2.3480144782881181E-2</v>
      </c>
      <c r="CF19">
        <v>0.25714100113935939</v>
      </c>
      <c r="CH19">
        <v>0.52168213433139388</v>
      </c>
    </row>
    <row r="20" spans="1:86" x14ac:dyDescent="0.3">
      <c r="A20" s="1">
        <v>645</v>
      </c>
      <c r="B20" t="s">
        <v>1115</v>
      </c>
      <c r="C20" t="s">
        <v>1116</v>
      </c>
      <c r="E20" t="s">
        <v>404</v>
      </c>
      <c r="F20">
        <v>3.58</v>
      </c>
      <c r="G20" t="s">
        <v>1080</v>
      </c>
      <c r="H20">
        <v>-1</v>
      </c>
      <c r="I20">
        <v>-1</v>
      </c>
      <c r="J20">
        <v>1</v>
      </c>
      <c r="K20">
        <v>3.802</v>
      </c>
      <c r="L20">
        <v>3.802</v>
      </c>
      <c r="M20">
        <v>24.7</v>
      </c>
      <c r="N20" t="s">
        <v>101</v>
      </c>
      <c r="O20">
        <v>24.7</v>
      </c>
      <c r="Q20" t="s">
        <v>87</v>
      </c>
      <c r="R20">
        <v>1273</v>
      </c>
      <c r="S20">
        <v>10</v>
      </c>
      <c r="T20" t="b">
        <v>0</v>
      </c>
      <c r="U20" t="s">
        <v>125</v>
      </c>
      <c r="V20" t="s">
        <v>126</v>
      </c>
      <c r="W20">
        <v>1</v>
      </c>
      <c r="Y20">
        <v>0.16</v>
      </c>
      <c r="Z20">
        <v>1</v>
      </c>
      <c r="AC20" t="s">
        <v>90</v>
      </c>
      <c r="AD20">
        <v>125</v>
      </c>
      <c r="AE20">
        <v>220</v>
      </c>
      <c r="AF20" t="s">
        <v>91</v>
      </c>
      <c r="AG20">
        <v>288</v>
      </c>
      <c r="AH20" s="3">
        <v>30000</v>
      </c>
      <c r="AI20" s="3">
        <f>AH20/(AD20*Y20*Z20)</f>
        <v>1500</v>
      </c>
      <c r="AJ20" s="3">
        <f t="shared" si="0"/>
        <v>7.3132203870903014</v>
      </c>
      <c r="AN20" t="b">
        <v>0</v>
      </c>
      <c r="AO20" t="b">
        <v>1</v>
      </c>
      <c r="AP20" t="b">
        <v>0</v>
      </c>
      <c r="AQ20" t="b">
        <v>0</v>
      </c>
      <c r="AR20">
        <v>-1</v>
      </c>
      <c r="AS20" t="s">
        <v>470</v>
      </c>
      <c r="AU20">
        <v>6.1025585946135692</v>
      </c>
      <c r="AV20">
        <v>1.714285714285714</v>
      </c>
      <c r="AW20">
        <v>2.4761904761904758</v>
      </c>
      <c r="AX20">
        <v>0.76190476190476186</v>
      </c>
      <c r="AY20">
        <v>0</v>
      </c>
      <c r="AZ20">
        <v>0.34615384615384609</v>
      </c>
      <c r="BA20">
        <v>0.5</v>
      </c>
      <c r="BB20">
        <v>0.1538461538461538</v>
      </c>
      <c r="BC20">
        <v>0</v>
      </c>
      <c r="BD20">
        <v>5.9615150258809519</v>
      </c>
      <c r="BE20">
        <v>26</v>
      </c>
      <c r="BF20">
        <v>0</v>
      </c>
      <c r="BG20">
        <v>0</v>
      </c>
      <c r="BI20">
        <v>0</v>
      </c>
      <c r="BL20">
        <v>553.65927766671996</v>
      </c>
      <c r="BM20">
        <v>1</v>
      </c>
      <c r="BN20">
        <v>4.696028956576237E-2</v>
      </c>
      <c r="BO20">
        <v>3.8715999999999999</v>
      </c>
      <c r="BP20">
        <v>3.8715999999999999</v>
      </c>
      <c r="BQ20">
        <v>36.936999999999998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545.80554548520001</v>
      </c>
      <c r="BY20">
        <v>9.5272025779390007E-2</v>
      </c>
      <c r="BZ20">
        <v>13</v>
      </c>
      <c r="CA20">
        <v>4.7636012889694997E-2</v>
      </c>
      <c r="CC20">
        <v>2.3480144782881181E-2</v>
      </c>
      <c r="CF20">
        <v>0.25714100113935939</v>
      </c>
      <c r="CH20">
        <v>0.52168213433139388</v>
      </c>
    </row>
    <row r="21" spans="1:86" x14ac:dyDescent="0.3">
      <c r="A21" s="1">
        <v>628</v>
      </c>
      <c r="B21" t="s">
        <v>1133</v>
      </c>
      <c r="C21" t="s">
        <v>1134</v>
      </c>
      <c r="E21" t="s">
        <v>404</v>
      </c>
      <c r="F21">
        <v>3.35</v>
      </c>
      <c r="G21" t="s">
        <v>1104</v>
      </c>
      <c r="H21">
        <v>-1</v>
      </c>
      <c r="I21">
        <v>-1</v>
      </c>
      <c r="J21">
        <v>1</v>
      </c>
      <c r="K21">
        <v>3.81</v>
      </c>
      <c r="L21">
        <v>3.81</v>
      </c>
      <c r="M21">
        <v>28.3</v>
      </c>
      <c r="N21" t="s">
        <v>529</v>
      </c>
      <c r="O21">
        <v>28.3</v>
      </c>
      <c r="Q21" t="s">
        <v>87</v>
      </c>
      <c r="R21">
        <v>1373</v>
      </c>
      <c r="S21">
        <v>12</v>
      </c>
      <c r="T21" t="b">
        <v>0</v>
      </c>
      <c r="U21" t="s">
        <v>125</v>
      </c>
      <c r="V21" t="s">
        <v>126</v>
      </c>
      <c r="W21">
        <v>1</v>
      </c>
      <c r="Y21">
        <v>0.5</v>
      </c>
      <c r="Z21">
        <v>1</v>
      </c>
      <c r="AC21" t="s">
        <v>90</v>
      </c>
      <c r="AD21">
        <v>125</v>
      </c>
      <c r="AE21">
        <v>220</v>
      </c>
      <c r="AF21" t="s">
        <v>91</v>
      </c>
      <c r="AG21">
        <v>288</v>
      </c>
      <c r="AH21" s="3">
        <v>91400</v>
      </c>
      <c r="AI21" s="3">
        <f>AH21/(AD21*Y21*Z21)</f>
        <v>1462.4</v>
      </c>
      <c r="AJ21" s="3">
        <f t="shared" si="0"/>
        <v>7.2878342006998853</v>
      </c>
      <c r="AN21" t="b">
        <v>0</v>
      </c>
      <c r="AO21" t="b">
        <v>1</v>
      </c>
      <c r="AP21" t="b">
        <v>0</v>
      </c>
      <c r="AQ21" t="b">
        <v>0</v>
      </c>
      <c r="AR21">
        <v>-1</v>
      </c>
      <c r="AS21" t="s">
        <v>470</v>
      </c>
      <c r="AU21">
        <v>4.7273878187123408</v>
      </c>
      <c r="AV21">
        <v>1.714285714285714</v>
      </c>
      <c r="AW21">
        <v>2.4761904761904758</v>
      </c>
      <c r="AX21">
        <v>0.76190476190476186</v>
      </c>
      <c r="AY21">
        <v>0</v>
      </c>
      <c r="AZ21">
        <v>0.34615384615384609</v>
      </c>
      <c r="BA21">
        <v>0.5</v>
      </c>
      <c r="BB21">
        <v>0.1538461538461538</v>
      </c>
      <c r="BC21">
        <v>0</v>
      </c>
      <c r="BD21">
        <v>5.9615150258809519</v>
      </c>
      <c r="BE21">
        <v>26</v>
      </c>
      <c r="BF21">
        <v>0</v>
      </c>
      <c r="BG21">
        <v>0</v>
      </c>
      <c r="BI21">
        <v>0</v>
      </c>
      <c r="BL21">
        <v>553.65927766671996</v>
      </c>
      <c r="BM21">
        <v>1</v>
      </c>
      <c r="BN21">
        <v>4.696028956576237E-2</v>
      </c>
      <c r="BO21">
        <v>3.8715999999999999</v>
      </c>
      <c r="BP21">
        <v>3.8715999999999999</v>
      </c>
      <c r="BQ21">
        <v>36.936999999999998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545.80554548520001</v>
      </c>
      <c r="BY21">
        <v>9.5272025779390007E-2</v>
      </c>
      <c r="BZ21">
        <v>13</v>
      </c>
      <c r="CA21">
        <v>4.7636012889694997E-2</v>
      </c>
      <c r="CC21">
        <v>2.3480144782881181E-2</v>
      </c>
      <c r="CF21">
        <v>0.25714100113935939</v>
      </c>
      <c r="CH21">
        <v>0.52168213433139388</v>
      </c>
    </row>
    <row r="22" spans="1:86" x14ac:dyDescent="0.3">
      <c r="A22" s="1">
        <v>626</v>
      </c>
      <c r="B22" t="s">
        <v>1127</v>
      </c>
      <c r="C22" t="s">
        <v>1128</v>
      </c>
      <c r="E22" t="s">
        <v>404</v>
      </c>
      <c r="F22">
        <v>3.33</v>
      </c>
      <c r="G22" t="s">
        <v>1096</v>
      </c>
      <c r="H22">
        <v>-1</v>
      </c>
      <c r="I22">
        <v>-1</v>
      </c>
      <c r="J22">
        <v>2</v>
      </c>
      <c r="K22">
        <v>3.77</v>
      </c>
      <c r="L22">
        <v>3.77</v>
      </c>
      <c r="M22">
        <v>40.9</v>
      </c>
      <c r="N22" t="s">
        <v>529</v>
      </c>
      <c r="O22">
        <v>20.45</v>
      </c>
      <c r="Q22" t="s">
        <v>87</v>
      </c>
      <c r="R22">
        <v>1373</v>
      </c>
      <c r="S22">
        <v>12</v>
      </c>
      <c r="T22" t="b">
        <v>0</v>
      </c>
      <c r="U22" t="s">
        <v>125</v>
      </c>
      <c r="V22" t="s">
        <v>126</v>
      </c>
      <c r="W22">
        <v>1</v>
      </c>
      <c r="Y22">
        <v>0.5</v>
      </c>
      <c r="Z22">
        <v>1</v>
      </c>
      <c r="AC22" t="s">
        <v>90</v>
      </c>
      <c r="AD22">
        <v>125</v>
      </c>
      <c r="AE22">
        <v>220</v>
      </c>
      <c r="AF22" t="s">
        <v>91</v>
      </c>
      <c r="AG22">
        <v>288</v>
      </c>
      <c r="AH22" s="3">
        <v>90720</v>
      </c>
      <c r="AI22" s="3">
        <f>AH22/(AD22*Y22*Z22)</f>
        <v>1451.52</v>
      </c>
      <c r="AJ22" s="3">
        <f t="shared" si="0"/>
        <v>7.2803665622192231</v>
      </c>
      <c r="AN22" t="b">
        <v>1</v>
      </c>
      <c r="AO22" t="b">
        <v>1</v>
      </c>
      <c r="AP22" t="b">
        <v>0</v>
      </c>
      <c r="AQ22" t="b">
        <v>0</v>
      </c>
      <c r="AR22" t="s">
        <v>474</v>
      </c>
      <c r="AS22" t="s">
        <v>475</v>
      </c>
      <c r="AU22">
        <v>2.890371757896165</v>
      </c>
      <c r="AV22">
        <v>2</v>
      </c>
      <c r="AW22">
        <v>3.2307692307692308</v>
      </c>
      <c r="AX22">
        <v>2.1538461538461542</v>
      </c>
      <c r="AY22">
        <v>4.3076923076923066</v>
      </c>
      <c r="AZ22">
        <v>0.1710526315789474</v>
      </c>
      <c r="BA22">
        <v>0.27631578947368418</v>
      </c>
      <c r="BB22">
        <v>0.18421052631578949</v>
      </c>
      <c r="BC22">
        <v>0.36842105263157893</v>
      </c>
      <c r="BD22">
        <v>6.5203588350384614</v>
      </c>
      <c r="BE22">
        <v>18</v>
      </c>
      <c r="BF22">
        <v>730.23330062098216</v>
      </c>
      <c r="BG22">
        <v>4</v>
      </c>
      <c r="BH22">
        <v>9.8598625862134762E-2</v>
      </c>
      <c r="BI22">
        <v>5.452661</v>
      </c>
      <c r="BJ22">
        <v>5.4531499999999999</v>
      </c>
      <c r="BK22">
        <v>24.558717999999999</v>
      </c>
      <c r="BL22">
        <v>699.06513280000001</v>
      </c>
      <c r="BM22">
        <v>4</v>
      </c>
      <c r="BN22">
        <v>0.1029946948027788</v>
      </c>
      <c r="BO22">
        <v>5.44</v>
      </c>
      <c r="BP22">
        <v>5.4130000000000003</v>
      </c>
      <c r="BQ22">
        <v>23.74</v>
      </c>
      <c r="BR22">
        <v>0</v>
      </c>
      <c r="BS22">
        <v>0</v>
      </c>
      <c r="BU22">
        <v>0</v>
      </c>
      <c r="BV22">
        <v>0</v>
      </c>
      <c r="BW22">
        <v>0</v>
      </c>
      <c r="BZ22">
        <v>9</v>
      </c>
      <c r="CB22">
        <v>4.9299312931067381E-2</v>
      </c>
      <c r="CC22">
        <v>5.1497347401389379E-2</v>
      </c>
      <c r="CE22">
        <v>0.50518012153204672</v>
      </c>
      <c r="CF22">
        <v>0.52770382936549076</v>
      </c>
    </row>
    <row r="23" spans="1:86" x14ac:dyDescent="0.3">
      <c r="A23" s="1">
        <v>612</v>
      </c>
      <c r="B23" t="s">
        <v>1078</v>
      </c>
      <c r="C23" t="s">
        <v>1079</v>
      </c>
      <c r="E23" t="s">
        <v>404</v>
      </c>
      <c r="F23">
        <v>3.42</v>
      </c>
      <c r="G23" t="s">
        <v>1080</v>
      </c>
      <c r="H23">
        <v>-1</v>
      </c>
      <c r="I23">
        <v>-1</v>
      </c>
      <c r="J23">
        <v>1</v>
      </c>
      <c r="K23">
        <v>3.81</v>
      </c>
      <c r="L23">
        <v>3.81</v>
      </c>
      <c r="M23">
        <v>24.7</v>
      </c>
      <c r="N23" t="s">
        <v>529</v>
      </c>
      <c r="O23">
        <v>24.7</v>
      </c>
      <c r="Q23" t="s">
        <v>87</v>
      </c>
      <c r="R23">
        <v>1373</v>
      </c>
      <c r="S23">
        <v>12</v>
      </c>
      <c r="T23" t="b">
        <v>0</v>
      </c>
      <c r="U23" t="s">
        <v>125</v>
      </c>
      <c r="V23" t="s">
        <v>126</v>
      </c>
      <c r="W23">
        <v>1</v>
      </c>
      <c r="X23">
        <v>4.09</v>
      </c>
      <c r="Y23">
        <v>0.5</v>
      </c>
      <c r="Z23">
        <v>1</v>
      </c>
      <c r="AC23" t="s">
        <v>90</v>
      </c>
      <c r="AD23">
        <v>125</v>
      </c>
      <c r="AE23">
        <v>220</v>
      </c>
      <c r="AF23" t="s">
        <v>91</v>
      </c>
      <c r="AG23">
        <v>288</v>
      </c>
      <c r="AH23" s="3">
        <v>87240</v>
      </c>
      <c r="AI23" s="3">
        <f>AH23/(AD23*Y23*Z23)</f>
        <v>1395.84</v>
      </c>
      <c r="AJ23" s="3">
        <f t="shared" si="0"/>
        <v>7.2412516635732098</v>
      </c>
      <c r="AN23" t="b">
        <v>1</v>
      </c>
      <c r="AO23" t="b">
        <v>1</v>
      </c>
      <c r="AP23" t="b">
        <v>0</v>
      </c>
      <c r="AQ23" t="b">
        <v>0</v>
      </c>
      <c r="AR23" t="s">
        <v>478</v>
      </c>
      <c r="AS23" t="s">
        <v>479</v>
      </c>
      <c r="AU23">
        <v>0.47000362924573558</v>
      </c>
      <c r="AV23">
        <v>2</v>
      </c>
      <c r="AW23">
        <v>3.333333333333333</v>
      </c>
      <c r="AX23">
        <v>2.666666666666667</v>
      </c>
      <c r="AY23">
        <v>4.666666666666667</v>
      </c>
      <c r="AZ23">
        <v>0.15789473684210531</v>
      </c>
      <c r="BA23">
        <v>0.26315789473684209</v>
      </c>
      <c r="BB23">
        <v>0.2105263157894737</v>
      </c>
      <c r="BC23">
        <v>0.36842105263157898</v>
      </c>
      <c r="BD23">
        <v>6.4228497196666661</v>
      </c>
      <c r="BE23">
        <v>12</v>
      </c>
      <c r="BF23">
        <v>248.80917443900211</v>
      </c>
      <c r="BG23">
        <v>2</v>
      </c>
      <c r="BH23">
        <v>9.6459465588893817E-2</v>
      </c>
      <c r="BI23">
        <v>8.3195821399999996</v>
      </c>
      <c r="BJ23">
        <v>8.3195821399999996</v>
      </c>
      <c r="BK23">
        <v>8.2425581700000006</v>
      </c>
      <c r="BL23">
        <v>503.73811661477208</v>
      </c>
      <c r="BM23">
        <v>4</v>
      </c>
      <c r="BN23">
        <v>9.5287607621536111E-2</v>
      </c>
      <c r="BO23">
        <v>5.5339970000000003</v>
      </c>
      <c r="BP23">
        <v>5.4998300000000002</v>
      </c>
      <c r="BQ23">
        <v>16.550709999999999</v>
      </c>
      <c r="BR23">
        <v>0</v>
      </c>
      <c r="BS23">
        <v>0</v>
      </c>
      <c r="BU23">
        <v>0</v>
      </c>
      <c r="BV23">
        <v>0</v>
      </c>
      <c r="BW23">
        <v>0</v>
      </c>
      <c r="BZ23">
        <v>6</v>
      </c>
      <c r="CB23">
        <v>4.8229732794446908E-2</v>
      </c>
      <c r="CC23">
        <v>4.7643803810768062E-2</v>
      </c>
      <c r="CE23">
        <v>0.5256234825748447</v>
      </c>
      <c r="CF23">
        <v>0.51923783589802375</v>
      </c>
    </row>
    <row r="24" spans="1:86" x14ac:dyDescent="0.3">
      <c r="A24" s="1">
        <v>716</v>
      </c>
      <c r="B24" t="s">
        <v>1078</v>
      </c>
      <c r="C24" t="s">
        <v>1079</v>
      </c>
      <c r="E24" t="s">
        <v>404</v>
      </c>
      <c r="F24">
        <v>3.42</v>
      </c>
      <c r="G24" t="s">
        <v>1080</v>
      </c>
      <c r="H24">
        <v>-1</v>
      </c>
      <c r="I24">
        <v>-1</v>
      </c>
      <c r="J24">
        <v>1</v>
      </c>
      <c r="K24">
        <v>3.82</v>
      </c>
      <c r="L24">
        <v>3.82</v>
      </c>
      <c r="M24">
        <v>25.06</v>
      </c>
      <c r="N24" t="s">
        <v>1047</v>
      </c>
      <c r="O24">
        <v>25.06</v>
      </c>
      <c r="Q24" t="s">
        <v>87</v>
      </c>
      <c r="R24">
        <v>1273</v>
      </c>
      <c r="S24">
        <v>10</v>
      </c>
      <c r="T24" t="b">
        <v>0</v>
      </c>
      <c r="U24" t="s">
        <v>125</v>
      </c>
      <c r="V24" t="s">
        <v>126</v>
      </c>
      <c r="W24">
        <v>1</v>
      </c>
      <c r="Y24">
        <v>0.5</v>
      </c>
      <c r="Z24">
        <v>0.75</v>
      </c>
      <c r="AC24" t="s">
        <v>90</v>
      </c>
      <c r="AD24">
        <v>125</v>
      </c>
      <c r="AE24">
        <v>220</v>
      </c>
      <c r="AF24" t="s">
        <v>91</v>
      </c>
      <c r="AG24">
        <v>288</v>
      </c>
      <c r="AH24" s="3">
        <v>63000</v>
      </c>
      <c r="AI24" s="3">
        <f>AH24/(AD24*Y24*Z24)</f>
        <v>1344</v>
      </c>
      <c r="AJ24" s="3">
        <f t="shared" si="0"/>
        <v>7.203405521083095</v>
      </c>
      <c r="AN24" t="b">
        <v>1</v>
      </c>
      <c r="AO24" t="b">
        <v>1</v>
      </c>
      <c r="AP24" t="b">
        <v>0</v>
      </c>
      <c r="AQ24" t="b">
        <v>0</v>
      </c>
      <c r="AR24" t="s">
        <v>482</v>
      </c>
      <c r="AS24" t="s">
        <v>483</v>
      </c>
      <c r="AU24">
        <v>-0.51082562376599072</v>
      </c>
      <c r="AV24">
        <v>2</v>
      </c>
      <c r="AW24">
        <v>3.1578947368421049</v>
      </c>
      <c r="AX24">
        <v>2.4210526315789469</v>
      </c>
      <c r="AY24">
        <v>2.947368421052631</v>
      </c>
      <c r="AZ24">
        <v>0.19</v>
      </c>
      <c r="BA24">
        <v>0.3</v>
      </c>
      <c r="BB24">
        <v>0.23</v>
      </c>
      <c r="BC24">
        <v>0.28000000000000003</v>
      </c>
      <c r="BD24">
        <v>6.1729611386315781</v>
      </c>
      <c r="BE24">
        <v>24</v>
      </c>
      <c r="BF24">
        <v>251.01098912285789</v>
      </c>
      <c r="BG24">
        <v>1</v>
      </c>
      <c r="BH24">
        <v>9.5613343797681868E-2</v>
      </c>
      <c r="BI24">
        <v>3.86469438</v>
      </c>
      <c r="BJ24">
        <v>3.86469438</v>
      </c>
      <c r="BK24">
        <v>16.978874730000001</v>
      </c>
      <c r="BL24">
        <v>967.79977224000004</v>
      </c>
      <c r="BM24">
        <v>4</v>
      </c>
      <c r="BN24">
        <v>9.919407170122109E-2</v>
      </c>
      <c r="BO24">
        <v>32.83</v>
      </c>
      <c r="BP24">
        <v>5.4109999999999996</v>
      </c>
      <c r="BQ24">
        <v>5.4480000000000004</v>
      </c>
      <c r="BR24">
        <v>0</v>
      </c>
      <c r="BS24">
        <v>0</v>
      </c>
      <c r="BU24">
        <v>0</v>
      </c>
      <c r="BV24">
        <v>0</v>
      </c>
      <c r="BW24">
        <v>0</v>
      </c>
      <c r="BZ24">
        <v>12</v>
      </c>
      <c r="CB24">
        <v>4.7806671898840927E-2</v>
      </c>
      <c r="CC24">
        <v>4.9597035850610538E-2</v>
      </c>
      <c r="CE24">
        <v>0.52818907539878346</v>
      </c>
      <c r="CF24">
        <v>0.54796980145127872</v>
      </c>
    </row>
    <row r="25" spans="1:86" x14ac:dyDescent="0.3">
      <c r="A25" s="1">
        <v>622</v>
      </c>
      <c r="B25" t="s">
        <v>1115</v>
      </c>
      <c r="C25" t="s">
        <v>1116</v>
      </c>
      <c r="E25" t="s">
        <v>404</v>
      </c>
      <c r="F25">
        <v>3.33</v>
      </c>
      <c r="G25" t="s">
        <v>1080</v>
      </c>
      <c r="H25">
        <v>-1</v>
      </c>
      <c r="I25">
        <v>-1</v>
      </c>
      <c r="J25">
        <v>1</v>
      </c>
      <c r="K25">
        <v>3.78</v>
      </c>
      <c r="L25">
        <v>3.78</v>
      </c>
      <c r="M25">
        <v>24.4</v>
      </c>
      <c r="N25" t="s">
        <v>529</v>
      </c>
      <c r="O25">
        <v>24.4</v>
      </c>
      <c r="Q25" t="s">
        <v>87</v>
      </c>
      <c r="R25">
        <v>1373</v>
      </c>
      <c r="S25">
        <v>12</v>
      </c>
      <c r="T25" t="b">
        <v>0</v>
      </c>
      <c r="U25" t="s">
        <v>125</v>
      </c>
      <c r="V25" t="s">
        <v>126</v>
      </c>
      <c r="W25">
        <v>1</v>
      </c>
      <c r="X25">
        <v>3.89</v>
      </c>
      <c r="Y25">
        <v>0.5</v>
      </c>
      <c r="Z25">
        <v>1</v>
      </c>
      <c r="AC25" t="s">
        <v>90</v>
      </c>
      <c r="AD25">
        <v>125</v>
      </c>
      <c r="AE25">
        <v>220</v>
      </c>
      <c r="AF25" t="s">
        <v>91</v>
      </c>
      <c r="AG25">
        <v>288</v>
      </c>
      <c r="AH25" s="3">
        <v>83120</v>
      </c>
      <c r="AI25" s="3">
        <f>AH25/(AD25*Y25*Z25)</f>
        <v>1329.92</v>
      </c>
      <c r="AJ25" s="3">
        <f t="shared" si="0"/>
        <v>7.1928740690307533</v>
      </c>
      <c r="AN25" t="b">
        <v>1</v>
      </c>
      <c r="AO25" t="b">
        <v>1</v>
      </c>
      <c r="AP25" t="b">
        <v>0</v>
      </c>
      <c r="AQ25" t="b">
        <v>0</v>
      </c>
      <c r="AR25" t="s">
        <v>486</v>
      </c>
      <c r="AS25" t="s">
        <v>487</v>
      </c>
      <c r="AU25">
        <v>3.4965075614664798</v>
      </c>
      <c r="AV25">
        <v>1.928571428571429</v>
      </c>
      <c r="AW25">
        <v>3.214285714285714</v>
      </c>
      <c r="AX25">
        <v>2.5714285714285721</v>
      </c>
      <c r="AY25">
        <v>3</v>
      </c>
      <c r="AZ25">
        <v>0.18</v>
      </c>
      <c r="BA25">
        <v>0.3</v>
      </c>
      <c r="BB25">
        <v>0.24</v>
      </c>
      <c r="BC25">
        <v>0.28000000000000003</v>
      </c>
      <c r="BD25">
        <v>6.249145292892857</v>
      </c>
      <c r="BE25">
        <v>18</v>
      </c>
      <c r="BF25">
        <v>189.23096942123021</v>
      </c>
      <c r="BG25">
        <v>1</v>
      </c>
      <c r="BH25">
        <v>9.5121850588482687E-2</v>
      </c>
      <c r="BI25">
        <v>12.951407789999999</v>
      </c>
      <c r="BJ25">
        <v>12.951407789999999</v>
      </c>
      <c r="BK25">
        <v>12.951407789999999</v>
      </c>
      <c r="BL25">
        <v>733.15456527341007</v>
      </c>
      <c r="BM25">
        <v>4</v>
      </c>
      <c r="BN25">
        <v>9.820575825392229E-2</v>
      </c>
      <c r="BO25">
        <v>5.431</v>
      </c>
      <c r="BP25">
        <v>5.3890000000000002</v>
      </c>
      <c r="BQ25">
        <v>25.049990000000001</v>
      </c>
      <c r="BR25">
        <v>0</v>
      </c>
      <c r="BS25">
        <v>0</v>
      </c>
      <c r="BU25">
        <v>0</v>
      </c>
      <c r="BV25">
        <v>0</v>
      </c>
      <c r="BW25">
        <v>0</v>
      </c>
      <c r="BZ25">
        <v>9</v>
      </c>
      <c r="CB25">
        <v>4.7560925294241337E-2</v>
      </c>
      <c r="CC25">
        <v>4.9102879126961152E-2</v>
      </c>
      <c r="CE25">
        <v>0.52453727954770502</v>
      </c>
      <c r="CF25">
        <v>0.54154309395520839</v>
      </c>
    </row>
    <row r="26" spans="1:86" x14ac:dyDescent="0.3">
      <c r="A26" s="1">
        <v>727</v>
      </c>
      <c r="B26" t="s">
        <v>1115</v>
      </c>
      <c r="C26" t="s">
        <v>1116</v>
      </c>
      <c r="E26" t="s">
        <v>404</v>
      </c>
      <c r="F26">
        <v>3.58</v>
      </c>
      <c r="G26" t="s">
        <v>1080</v>
      </c>
      <c r="H26">
        <v>-1</v>
      </c>
      <c r="I26">
        <v>-1</v>
      </c>
      <c r="J26">
        <v>1</v>
      </c>
      <c r="K26">
        <v>3.802</v>
      </c>
      <c r="L26">
        <v>3.802</v>
      </c>
      <c r="M26">
        <v>24.7</v>
      </c>
      <c r="N26" t="s">
        <v>101</v>
      </c>
      <c r="O26">
        <v>24.7</v>
      </c>
      <c r="Q26" t="s">
        <v>87</v>
      </c>
      <c r="R26">
        <v>1273</v>
      </c>
      <c r="S26">
        <v>10</v>
      </c>
      <c r="T26" t="b">
        <v>0</v>
      </c>
      <c r="U26" t="s">
        <v>125</v>
      </c>
      <c r="V26" t="s">
        <v>126</v>
      </c>
      <c r="W26">
        <v>1</v>
      </c>
      <c r="Y26">
        <v>0.5</v>
      </c>
      <c r="Z26">
        <v>1</v>
      </c>
      <c r="AC26" t="s">
        <v>90</v>
      </c>
      <c r="AD26">
        <v>125</v>
      </c>
      <c r="AE26">
        <v>220</v>
      </c>
      <c r="AF26" t="s">
        <v>91</v>
      </c>
      <c r="AG26">
        <v>288</v>
      </c>
      <c r="AH26" s="3">
        <v>78000</v>
      </c>
      <c r="AI26" s="3">
        <f>AH26/(AD26*Y26*Z26)</f>
        <v>1248</v>
      </c>
      <c r="AJ26" s="3">
        <f t="shared" si="0"/>
        <v>7.1292975489293733</v>
      </c>
      <c r="AN26" t="b">
        <v>1</v>
      </c>
      <c r="AO26" t="b">
        <v>1</v>
      </c>
      <c r="AP26" t="b">
        <v>0</v>
      </c>
      <c r="AQ26" t="b">
        <v>0</v>
      </c>
      <c r="AR26" t="s">
        <v>490</v>
      </c>
      <c r="AS26" t="s">
        <v>491</v>
      </c>
      <c r="AU26">
        <v>-4.6051701859880909</v>
      </c>
      <c r="AV26">
        <v>1.8888888888888891</v>
      </c>
      <c r="AW26">
        <v>3.333333333333333</v>
      </c>
      <c r="AX26">
        <v>2.7777777777777781</v>
      </c>
      <c r="AY26">
        <v>3.1111111111111112</v>
      </c>
      <c r="AZ26">
        <v>0.17</v>
      </c>
      <c r="BA26">
        <v>0.3</v>
      </c>
      <c r="BB26">
        <v>0.25</v>
      </c>
      <c r="BC26">
        <v>0.28000000000000003</v>
      </c>
      <c r="BD26">
        <v>6.3761351185555553</v>
      </c>
      <c r="BE26">
        <v>12</v>
      </c>
      <c r="BF26">
        <v>2260.7115007974689</v>
      </c>
      <c r="BG26">
        <v>16</v>
      </c>
      <c r="BH26">
        <v>8.4929014574514128E-2</v>
      </c>
      <c r="BI26">
        <v>22.855297</v>
      </c>
      <c r="BJ26">
        <v>5.6559619999999997</v>
      </c>
      <c r="BK26">
        <v>17.48922452</v>
      </c>
      <c r="BL26">
        <v>2160.393128160722</v>
      </c>
      <c r="BM26">
        <v>16</v>
      </c>
      <c r="BN26">
        <v>8.8872713719220939E-2</v>
      </c>
      <c r="BO26">
        <v>17.24399</v>
      </c>
      <c r="BP26">
        <v>22.428989999999999</v>
      </c>
      <c r="BQ26">
        <v>5.5860000000000003</v>
      </c>
      <c r="BR26">
        <v>0</v>
      </c>
      <c r="BS26">
        <v>0</v>
      </c>
      <c r="BU26">
        <v>0</v>
      </c>
      <c r="BV26">
        <v>0</v>
      </c>
      <c r="BW26">
        <v>0</v>
      </c>
      <c r="BZ26">
        <v>6</v>
      </c>
      <c r="CB26">
        <v>4.2464507287257057E-2</v>
      </c>
      <c r="CC26">
        <v>4.4436356859610469E-2</v>
      </c>
      <c r="CE26">
        <v>0.46231169000880451</v>
      </c>
      <c r="CF26">
        <v>0.48377924412573159</v>
      </c>
    </row>
    <row r="27" spans="1:86" x14ac:dyDescent="0.3">
      <c r="A27" s="1">
        <v>715</v>
      </c>
      <c r="B27" t="s">
        <v>1078</v>
      </c>
      <c r="C27" t="s">
        <v>1079</v>
      </c>
      <c r="E27" t="s">
        <v>404</v>
      </c>
      <c r="F27">
        <v>3.42</v>
      </c>
      <c r="G27" t="s">
        <v>1080</v>
      </c>
      <c r="H27">
        <v>-1</v>
      </c>
      <c r="I27">
        <v>-1</v>
      </c>
      <c r="J27">
        <v>1</v>
      </c>
      <c r="K27">
        <v>3.82</v>
      </c>
      <c r="L27">
        <v>3.82</v>
      </c>
      <c r="M27">
        <v>25.06</v>
      </c>
      <c r="N27" t="s">
        <v>1047</v>
      </c>
      <c r="O27">
        <v>25.06</v>
      </c>
      <c r="Q27" t="s">
        <v>87</v>
      </c>
      <c r="R27">
        <v>1273</v>
      </c>
      <c r="S27">
        <v>10</v>
      </c>
      <c r="T27" t="b">
        <v>0</v>
      </c>
      <c r="U27" t="s">
        <v>125</v>
      </c>
      <c r="V27" t="s">
        <v>126</v>
      </c>
      <c r="W27">
        <v>1</v>
      </c>
      <c r="Y27">
        <v>0.5</v>
      </c>
      <c r="Z27">
        <v>0.5</v>
      </c>
      <c r="AC27" t="s">
        <v>90</v>
      </c>
      <c r="AD27">
        <v>125</v>
      </c>
      <c r="AE27">
        <v>220</v>
      </c>
      <c r="AF27" t="s">
        <v>91</v>
      </c>
      <c r="AG27">
        <v>288</v>
      </c>
      <c r="AH27" s="3">
        <v>37500</v>
      </c>
      <c r="AI27" s="3">
        <f>AH27/(AD27*Y27*Z27)</f>
        <v>1200</v>
      </c>
      <c r="AJ27" s="3">
        <f t="shared" si="0"/>
        <v>7.0900768357760917</v>
      </c>
      <c r="AN27" t="b">
        <v>1</v>
      </c>
      <c r="AO27" t="b">
        <v>0</v>
      </c>
      <c r="AP27" t="b">
        <v>0</v>
      </c>
      <c r="AQ27" t="b">
        <v>0</v>
      </c>
      <c r="AR27" t="s">
        <v>494</v>
      </c>
      <c r="AS27" t="s">
        <v>495</v>
      </c>
      <c r="AU27">
        <v>2.104134154270207</v>
      </c>
      <c r="AV27">
        <v>2</v>
      </c>
      <c r="AW27">
        <v>3</v>
      </c>
      <c r="AX27">
        <v>2</v>
      </c>
      <c r="AY27">
        <v>2.333333333333333</v>
      </c>
      <c r="AZ27">
        <v>0.2142857142857143</v>
      </c>
      <c r="BA27">
        <v>0.3214285714285714</v>
      </c>
      <c r="BB27">
        <v>0.2142857142857143</v>
      </c>
      <c r="BC27">
        <v>0.25</v>
      </c>
      <c r="BD27">
        <v>6.0847913084374996</v>
      </c>
      <c r="BE27">
        <v>30</v>
      </c>
      <c r="BF27">
        <v>309.59189648929049</v>
      </c>
      <c r="BG27">
        <v>1</v>
      </c>
      <c r="BH27">
        <v>9.6901761125513727E-2</v>
      </c>
      <c r="BI27">
        <v>20.551678089999999</v>
      </c>
      <c r="BJ27">
        <v>20.551678089999999</v>
      </c>
      <c r="BK27">
        <v>20.551678089999999</v>
      </c>
      <c r="BL27">
        <v>1248.5309719876</v>
      </c>
      <c r="BM27">
        <v>1</v>
      </c>
      <c r="BN27">
        <v>2.4028238524384762E-2</v>
      </c>
      <c r="BO27">
        <v>41.856999999999999</v>
      </c>
      <c r="BP27">
        <v>5.4550999999999998</v>
      </c>
      <c r="BQ27">
        <v>5.468</v>
      </c>
      <c r="BR27">
        <v>0</v>
      </c>
      <c r="BS27">
        <v>0</v>
      </c>
      <c r="BU27">
        <v>0</v>
      </c>
      <c r="BV27">
        <v>0</v>
      </c>
      <c r="BW27">
        <v>0</v>
      </c>
      <c r="BZ27">
        <v>15</v>
      </c>
      <c r="CB27">
        <v>4.8450880562756857E-2</v>
      </c>
      <c r="CC27">
        <v>1.2014119262192381E-2</v>
      </c>
      <c r="CE27">
        <v>0.55979201272496948</v>
      </c>
      <c r="CF27">
        <v>0.13880878788548109</v>
      </c>
    </row>
    <row r="28" spans="1:86" x14ac:dyDescent="0.3">
      <c r="A28" s="1">
        <v>641</v>
      </c>
      <c r="B28" t="s">
        <v>1115</v>
      </c>
      <c r="C28" t="s">
        <v>1116</v>
      </c>
      <c r="E28" t="s">
        <v>404</v>
      </c>
      <c r="F28">
        <v>3.58</v>
      </c>
      <c r="G28" t="s">
        <v>1080</v>
      </c>
      <c r="H28">
        <v>-1</v>
      </c>
      <c r="I28">
        <v>-1</v>
      </c>
      <c r="J28">
        <v>1</v>
      </c>
      <c r="K28">
        <v>3.802</v>
      </c>
      <c r="L28">
        <v>3.802</v>
      </c>
      <c r="M28">
        <v>24.7</v>
      </c>
      <c r="N28" t="s">
        <v>101</v>
      </c>
      <c r="O28">
        <v>24.7</v>
      </c>
      <c r="Q28" t="s">
        <v>87</v>
      </c>
      <c r="R28">
        <v>1273</v>
      </c>
      <c r="S28">
        <v>10</v>
      </c>
      <c r="T28" t="b">
        <v>0</v>
      </c>
      <c r="U28" t="s">
        <v>125</v>
      </c>
      <c r="V28" t="s">
        <v>126</v>
      </c>
      <c r="W28">
        <v>0.75</v>
      </c>
      <c r="Y28">
        <v>0.5</v>
      </c>
      <c r="Z28">
        <v>1</v>
      </c>
      <c r="AC28" t="s">
        <v>90</v>
      </c>
      <c r="AD28">
        <v>125</v>
      </c>
      <c r="AE28">
        <v>220</v>
      </c>
      <c r="AF28" t="s">
        <v>91</v>
      </c>
      <c r="AG28">
        <v>288</v>
      </c>
      <c r="AH28" s="3">
        <v>74000</v>
      </c>
      <c r="AI28" s="3">
        <f>AH28/(AD28*Y28*Z28)</f>
        <v>1184</v>
      </c>
      <c r="AJ28" s="3">
        <f t="shared" si="0"/>
        <v>7.0766538154439509</v>
      </c>
      <c r="AN28" t="b">
        <v>1</v>
      </c>
      <c r="AO28" t="b">
        <v>1</v>
      </c>
      <c r="AP28" t="b">
        <v>0</v>
      </c>
      <c r="AQ28" t="b">
        <v>0</v>
      </c>
      <c r="AR28" t="s">
        <v>220</v>
      </c>
      <c r="AS28" t="s">
        <v>221</v>
      </c>
      <c r="AU28">
        <v>2.0281482472922852</v>
      </c>
      <c r="AV28">
        <v>1.857142857142857</v>
      </c>
      <c r="AW28">
        <v>3.1428571428571428</v>
      </c>
      <c r="AX28">
        <v>2.714285714285714</v>
      </c>
      <c r="AY28">
        <v>3</v>
      </c>
      <c r="AZ28">
        <v>0.17333333333333331</v>
      </c>
      <c r="BA28">
        <v>0.29333333333333328</v>
      </c>
      <c r="BB28">
        <v>0.25333333333333341</v>
      </c>
      <c r="BC28">
        <v>0.28000000000000003</v>
      </c>
      <c r="BD28">
        <v>6.2605065418214281</v>
      </c>
      <c r="BE28">
        <v>18</v>
      </c>
      <c r="BF28">
        <v>197.4403766939285</v>
      </c>
      <c r="BG28">
        <v>1</v>
      </c>
      <c r="BH28">
        <v>9.1166762854710051E-2</v>
      </c>
      <c r="BI28">
        <v>12.868820120000001</v>
      </c>
      <c r="BJ28">
        <v>12.868820120000001</v>
      </c>
      <c r="BK28">
        <v>12.868820120000001</v>
      </c>
      <c r="BL28">
        <v>789.87506903020289</v>
      </c>
      <c r="BM28">
        <v>4</v>
      </c>
      <c r="BN28">
        <v>9.1153655588092616E-2</v>
      </c>
      <c r="BO28">
        <v>5.5453000000000001</v>
      </c>
      <c r="BP28">
        <v>5.5453000000000001</v>
      </c>
      <c r="BQ28">
        <v>25.686699999999998</v>
      </c>
      <c r="BR28">
        <v>0</v>
      </c>
      <c r="BS28">
        <v>0</v>
      </c>
      <c r="BU28">
        <v>0</v>
      </c>
      <c r="BV28">
        <v>0</v>
      </c>
      <c r="BW28">
        <v>0</v>
      </c>
      <c r="BX28">
        <v>771.76370880000013</v>
      </c>
      <c r="BY28">
        <v>9.3292803456580448E-2</v>
      </c>
      <c r="BZ28">
        <v>9</v>
      </c>
      <c r="CA28">
        <v>4.6646401728290217E-2</v>
      </c>
      <c r="CB28">
        <v>4.5583381427355033E-2</v>
      </c>
      <c r="CC28">
        <v>4.5576827794046308E-2</v>
      </c>
      <c r="CE28">
        <v>0.51995616258071931</v>
      </c>
      <c r="CF28">
        <v>0.51988140722208953</v>
      </c>
      <c r="CH28">
        <v>0.53208172104330353</v>
      </c>
    </row>
    <row r="29" spans="1:86" x14ac:dyDescent="0.3">
      <c r="A29" s="1">
        <v>614</v>
      </c>
      <c r="B29" t="s">
        <v>1086</v>
      </c>
      <c r="C29" t="s">
        <v>1087</v>
      </c>
      <c r="E29" t="s">
        <v>404</v>
      </c>
      <c r="F29">
        <v>3.4</v>
      </c>
      <c r="G29" t="s">
        <v>1088</v>
      </c>
      <c r="H29">
        <v>-1</v>
      </c>
      <c r="I29">
        <v>-1</v>
      </c>
      <c r="J29">
        <v>1</v>
      </c>
      <c r="K29">
        <v>3.85</v>
      </c>
      <c r="L29">
        <v>3.85</v>
      </c>
      <c r="M29">
        <v>34.200000000000003</v>
      </c>
      <c r="N29" t="s">
        <v>529</v>
      </c>
      <c r="O29">
        <v>34.200000000000003</v>
      </c>
      <c r="Q29" t="s">
        <v>87</v>
      </c>
      <c r="R29">
        <v>1373</v>
      </c>
      <c r="S29">
        <v>12</v>
      </c>
      <c r="T29" t="b">
        <v>0</v>
      </c>
      <c r="U29" t="s">
        <v>125</v>
      </c>
      <c r="V29" t="s">
        <v>126</v>
      </c>
      <c r="W29">
        <v>1</v>
      </c>
      <c r="X29">
        <v>4.38</v>
      </c>
      <c r="Y29">
        <v>0.5</v>
      </c>
      <c r="Z29">
        <v>1</v>
      </c>
      <c r="AC29" t="s">
        <v>90</v>
      </c>
      <c r="AD29">
        <v>125</v>
      </c>
      <c r="AE29">
        <v>220</v>
      </c>
      <c r="AF29" t="s">
        <v>91</v>
      </c>
      <c r="AG29">
        <v>288</v>
      </c>
      <c r="AH29" s="3">
        <v>73440</v>
      </c>
      <c r="AI29" s="3">
        <f>AH29/(AD29*Y29*Z29)</f>
        <v>1175.04</v>
      </c>
      <c r="AJ29" s="3">
        <f t="shared" si="0"/>
        <v>7.0690574685520167</v>
      </c>
      <c r="AN29" t="b">
        <v>1</v>
      </c>
      <c r="AO29" t="b">
        <v>0</v>
      </c>
      <c r="AP29" t="b">
        <v>0</v>
      </c>
      <c r="AQ29" t="b">
        <v>0</v>
      </c>
      <c r="AR29" t="s">
        <v>100</v>
      </c>
      <c r="AS29">
        <v>-1</v>
      </c>
      <c r="AU29">
        <v>5.6131281063880696</v>
      </c>
      <c r="AV29">
        <v>1.7272727272727271</v>
      </c>
      <c r="AW29">
        <v>2.545454545454545</v>
      </c>
      <c r="AX29">
        <v>0.81818181818181823</v>
      </c>
      <c r="AY29">
        <v>0</v>
      </c>
      <c r="AZ29">
        <v>0.3392857142857143</v>
      </c>
      <c r="BA29">
        <v>0.5</v>
      </c>
      <c r="BB29">
        <v>0.1607142857142857</v>
      </c>
      <c r="BC29">
        <v>0</v>
      </c>
      <c r="BD29">
        <v>5.9865536528636358</v>
      </c>
      <c r="BE29">
        <v>14</v>
      </c>
      <c r="BF29">
        <v>349.00875366799971</v>
      </c>
      <c r="BG29">
        <v>2</v>
      </c>
      <c r="BH29">
        <v>8.0227214090553903E-2</v>
      </c>
      <c r="BI29">
        <v>11.92921406</v>
      </c>
      <c r="BJ29">
        <v>11.92921406</v>
      </c>
      <c r="BK29">
        <v>11.92921406</v>
      </c>
      <c r="BL29">
        <v>0</v>
      </c>
      <c r="BM29">
        <v>0</v>
      </c>
      <c r="BO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X29">
        <v>632.80843567468798</v>
      </c>
      <c r="BY29">
        <v>8.8494395527919753E-2</v>
      </c>
      <c r="BZ29">
        <v>7</v>
      </c>
      <c r="CA29">
        <v>4.4247197763959883E-2</v>
      </c>
      <c r="CB29">
        <v>4.0113607045276951E-2</v>
      </c>
      <c r="CE29">
        <v>0.50734392504100989</v>
      </c>
      <c r="CH29">
        <v>0.55962424322238391</v>
      </c>
    </row>
    <row r="30" spans="1:86" x14ac:dyDescent="0.3">
      <c r="A30" s="1">
        <v>725</v>
      </c>
      <c r="B30" t="s">
        <v>1115</v>
      </c>
      <c r="C30" t="s">
        <v>1116</v>
      </c>
      <c r="E30" t="s">
        <v>404</v>
      </c>
      <c r="F30">
        <v>3.58</v>
      </c>
      <c r="G30" t="s">
        <v>1080</v>
      </c>
      <c r="H30">
        <v>-1</v>
      </c>
      <c r="I30">
        <v>-1</v>
      </c>
      <c r="J30">
        <v>1</v>
      </c>
      <c r="K30">
        <v>3.802</v>
      </c>
      <c r="L30">
        <v>3.802</v>
      </c>
      <c r="M30">
        <v>24.7</v>
      </c>
      <c r="N30" t="s">
        <v>101</v>
      </c>
      <c r="O30">
        <v>24.7</v>
      </c>
      <c r="Q30" t="s">
        <v>87</v>
      </c>
      <c r="R30">
        <v>1273</v>
      </c>
      <c r="S30">
        <v>10</v>
      </c>
      <c r="T30" t="b">
        <v>0</v>
      </c>
      <c r="U30" t="s">
        <v>125</v>
      </c>
      <c r="V30" t="s">
        <v>126</v>
      </c>
      <c r="W30">
        <v>1</v>
      </c>
      <c r="Y30">
        <v>0.5</v>
      </c>
      <c r="Z30">
        <v>0.5</v>
      </c>
      <c r="AC30" t="s">
        <v>90</v>
      </c>
      <c r="AD30">
        <v>125</v>
      </c>
      <c r="AE30">
        <v>220</v>
      </c>
      <c r="AF30" t="s">
        <v>91</v>
      </c>
      <c r="AG30">
        <v>288</v>
      </c>
      <c r="AH30" s="3">
        <v>36000</v>
      </c>
      <c r="AI30" s="3">
        <f>AH30/(AD30*Y30*Z30)</f>
        <v>1152</v>
      </c>
      <c r="AJ30" s="3">
        <f t="shared" si="0"/>
        <v>7.0492548412558369</v>
      </c>
      <c r="AN30" t="b">
        <v>1</v>
      </c>
      <c r="AO30" t="b">
        <v>1</v>
      </c>
      <c r="AP30" t="b">
        <v>0</v>
      </c>
      <c r="AQ30" t="b">
        <v>0</v>
      </c>
      <c r="AR30" t="s">
        <v>656</v>
      </c>
      <c r="AS30" t="s">
        <v>657</v>
      </c>
      <c r="AU30">
        <v>6.7357800142423274</v>
      </c>
      <c r="AV30">
        <v>1.7272727272727271</v>
      </c>
      <c r="AW30">
        <v>2.545454545454545</v>
      </c>
      <c r="AX30">
        <v>1.7272727272727271</v>
      </c>
      <c r="AY30">
        <v>0</v>
      </c>
      <c r="AZ30">
        <v>0.2878787878787879</v>
      </c>
      <c r="BA30">
        <v>0.42424242424242431</v>
      </c>
      <c r="BB30">
        <v>0.2878787878787879</v>
      </c>
      <c r="BC30">
        <v>0</v>
      </c>
      <c r="BD30">
        <v>6.1782655933181818</v>
      </c>
      <c r="BE30">
        <v>14</v>
      </c>
      <c r="BF30">
        <v>169.7295487154349</v>
      </c>
      <c r="BG30">
        <v>1</v>
      </c>
      <c r="BH30">
        <v>8.248416440128592E-2</v>
      </c>
      <c r="BI30">
        <v>11.30538971</v>
      </c>
      <c r="BJ30">
        <v>11.30538971</v>
      </c>
      <c r="BK30">
        <v>11.30538971</v>
      </c>
      <c r="BL30">
        <v>329.80681691007999</v>
      </c>
      <c r="BM30">
        <v>2</v>
      </c>
      <c r="BN30">
        <v>8.4898184526107132E-2</v>
      </c>
      <c r="BO30">
        <v>3.8996</v>
      </c>
      <c r="BP30">
        <v>3.8996</v>
      </c>
      <c r="BQ30">
        <v>21.687999999999999</v>
      </c>
      <c r="BR30">
        <v>0</v>
      </c>
      <c r="BS30">
        <v>0</v>
      </c>
      <c r="BU30">
        <v>0</v>
      </c>
      <c r="BV30">
        <v>0</v>
      </c>
      <c r="BW30">
        <v>0</v>
      </c>
      <c r="BX30">
        <v>2576.844282136828</v>
      </c>
      <c r="BY30">
        <v>8.6928031139797746E-2</v>
      </c>
      <c r="BZ30">
        <v>7</v>
      </c>
      <c r="CA30">
        <v>4.3464015569898873E-2</v>
      </c>
      <c r="CB30">
        <v>4.124208220064296E-2</v>
      </c>
      <c r="CC30">
        <v>4.2449092263053573E-2</v>
      </c>
      <c r="CE30">
        <v>0.46170510468104309</v>
      </c>
      <c r="CF30">
        <v>0.4752175821671501</v>
      </c>
      <c r="CH30">
        <v>0.48657964845057688</v>
      </c>
    </row>
    <row r="31" spans="1:86" x14ac:dyDescent="0.3">
      <c r="A31" s="1">
        <v>726</v>
      </c>
      <c r="B31" t="s">
        <v>1115</v>
      </c>
      <c r="C31" t="s">
        <v>1116</v>
      </c>
      <c r="E31" t="s">
        <v>404</v>
      </c>
      <c r="F31">
        <v>3.58</v>
      </c>
      <c r="G31" t="s">
        <v>1080</v>
      </c>
      <c r="H31">
        <v>-1</v>
      </c>
      <c r="I31">
        <v>-1</v>
      </c>
      <c r="J31">
        <v>1</v>
      </c>
      <c r="K31">
        <v>3.802</v>
      </c>
      <c r="L31">
        <v>3.802</v>
      </c>
      <c r="M31">
        <v>24.7</v>
      </c>
      <c r="N31" t="s">
        <v>101</v>
      </c>
      <c r="O31">
        <v>24.7</v>
      </c>
      <c r="Q31" t="s">
        <v>87</v>
      </c>
      <c r="R31">
        <v>1273</v>
      </c>
      <c r="S31">
        <v>10</v>
      </c>
      <c r="T31" t="b">
        <v>0</v>
      </c>
      <c r="U31" t="s">
        <v>125</v>
      </c>
      <c r="V31" t="s">
        <v>126</v>
      </c>
      <c r="W31">
        <v>1</v>
      </c>
      <c r="Y31">
        <v>0.5</v>
      </c>
      <c r="Z31">
        <v>0.75</v>
      </c>
      <c r="AC31" t="s">
        <v>90</v>
      </c>
      <c r="AD31">
        <v>125</v>
      </c>
      <c r="AE31">
        <v>220</v>
      </c>
      <c r="AF31" t="s">
        <v>91</v>
      </c>
      <c r="AG31">
        <v>288</v>
      </c>
      <c r="AH31" s="3">
        <v>54000</v>
      </c>
      <c r="AI31" s="3">
        <f>AH31/(AD31*Y31*Z31)</f>
        <v>1152</v>
      </c>
      <c r="AJ31" s="3">
        <f t="shared" si="0"/>
        <v>7.0492548412558369</v>
      </c>
      <c r="AN31" t="b">
        <v>1</v>
      </c>
      <c r="AO31" t="b">
        <v>1</v>
      </c>
      <c r="AP31" t="b">
        <v>0</v>
      </c>
      <c r="AQ31" t="b">
        <v>0</v>
      </c>
      <c r="AR31" t="s">
        <v>656</v>
      </c>
      <c r="AS31" t="s">
        <v>657</v>
      </c>
      <c r="AU31">
        <v>2.9957322735539909</v>
      </c>
      <c r="AV31">
        <v>1.7272727272727271</v>
      </c>
      <c r="AW31">
        <v>2.545454545454545</v>
      </c>
      <c r="AX31">
        <v>1.7272727272727271</v>
      </c>
      <c r="AY31">
        <v>0</v>
      </c>
      <c r="AZ31">
        <v>0.2878787878787879</v>
      </c>
      <c r="BA31">
        <v>0.42424242424242431</v>
      </c>
      <c r="BB31">
        <v>0.2878787878787879</v>
      </c>
      <c r="BC31">
        <v>0</v>
      </c>
      <c r="BD31">
        <v>6.1782655933181818</v>
      </c>
      <c r="BE31">
        <v>14</v>
      </c>
      <c r="BF31">
        <v>169.7295487154349</v>
      </c>
      <c r="BG31">
        <v>1</v>
      </c>
      <c r="BH31">
        <v>8.248416440128592E-2</v>
      </c>
      <c r="BI31">
        <v>11.30538971</v>
      </c>
      <c r="BJ31">
        <v>11.30538971</v>
      </c>
      <c r="BK31">
        <v>11.30538971</v>
      </c>
      <c r="BL31">
        <v>329.80681691007999</v>
      </c>
      <c r="BM31">
        <v>2</v>
      </c>
      <c r="BN31">
        <v>8.4898184526107132E-2</v>
      </c>
      <c r="BO31">
        <v>3.8996</v>
      </c>
      <c r="BP31">
        <v>3.8996</v>
      </c>
      <c r="BQ31">
        <v>21.687999999999999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2576.844282136828</v>
      </c>
      <c r="BY31">
        <v>8.6928031139797746E-2</v>
      </c>
      <c r="BZ31">
        <v>7</v>
      </c>
      <c r="CA31">
        <v>4.3464015569898873E-2</v>
      </c>
      <c r="CB31">
        <v>4.124208220064296E-2</v>
      </c>
      <c r="CC31">
        <v>4.2449092263053573E-2</v>
      </c>
      <c r="CE31">
        <v>0.46170510468104309</v>
      </c>
      <c r="CF31">
        <v>0.4752175821671501</v>
      </c>
      <c r="CH31">
        <v>0.48657964845057688</v>
      </c>
    </row>
    <row r="32" spans="1:86" x14ac:dyDescent="0.3">
      <c r="A32" s="1">
        <v>625</v>
      </c>
      <c r="B32" t="s">
        <v>1124</v>
      </c>
      <c r="C32" t="s">
        <v>1125</v>
      </c>
      <c r="E32" t="s">
        <v>404</v>
      </c>
      <c r="F32">
        <v>3.33</v>
      </c>
      <c r="G32" t="s">
        <v>1092</v>
      </c>
      <c r="H32">
        <v>-1</v>
      </c>
      <c r="I32">
        <v>-1</v>
      </c>
      <c r="J32">
        <v>2</v>
      </c>
      <c r="K32">
        <v>3.76</v>
      </c>
      <c r="L32">
        <v>3.76</v>
      </c>
      <c r="M32">
        <v>34.1</v>
      </c>
      <c r="N32" t="s">
        <v>529</v>
      </c>
      <c r="O32">
        <v>17.05</v>
      </c>
      <c r="Q32" t="s">
        <v>87</v>
      </c>
      <c r="R32">
        <v>1373</v>
      </c>
      <c r="S32">
        <v>12</v>
      </c>
      <c r="T32" t="b">
        <v>0</v>
      </c>
      <c r="U32" t="s">
        <v>125</v>
      </c>
      <c r="V32" t="s">
        <v>126</v>
      </c>
      <c r="W32">
        <v>1</v>
      </c>
      <c r="X32">
        <v>4.51</v>
      </c>
      <c r="Y32">
        <v>0.5</v>
      </c>
      <c r="Z32">
        <v>1</v>
      </c>
      <c r="AC32" t="s">
        <v>90</v>
      </c>
      <c r="AD32">
        <v>125</v>
      </c>
      <c r="AE32">
        <v>220</v>
      </c>
      <c r="AF32" t="s">
        <v>91</v>
      </c>
      <c r="AG32">
        <v>288</v>
      </c>
      <c r="AH32" s="3">
        <v>71480</v>
      </c>
      <c r="AI32" s="3">
        <f>AH32/(AD32*Y32*Z32)</f>
        <v>1143.68</v>
      </c>
      <c r="AJ32" s="3">
        <f t="shared" si="0"/>
        <v>7.0420064125310082</v>
      </c>
      <c r="AN32" t="b">
        <v>1</v>
      </c>
      <c r="AO32" t="b">
        <v>0</v>
      </c>
      <c r="AP32" t="b">
        <v>0</v>
      </c>
      <c r="AQ32" t="b">
        <v>0</v>
      </c>
      <c r="AR32" t="s">
        <v>100</v>
      </c>
      <c r="AS32">
        <v>-1</v>
      </c>
      <c r="AU32">
        <v>5.8021183753770629</v>
      </c>
      <c r="AV32">
        <v>1.7272727272727271</v>
      </c>
      <c r="AW32">
        <v>2.545454545454545</v>
      </c>
      <c r="AX32">
        <v>0.81818181818181823</v>
      </c>
      <c r="AY32">
        <v>0</v>
      </c>
      <c r="AZ32">
        <v>0.3392857142857143</v>
      </c>
      <c r="BA32">
        <v>0.5</v>
      </c>
      <c r="BB32">
        <v>0.1607142857142857</v>
      </c>
      <c r="BC32">
        <v>0</v>
      </c>
      <c r="BD32">
        <v>5.9865536528636358</v>
      </c>
      <c r="BE32">
        <v>14</v>
      </c>
      <c r="BF32">
        <v>349.00875366799971</v>
      </c>
      <c r="BG32">
        <v>2</v>
      </c>
      <c r="BH32">
        <v>8.0227214090553903E-2</v>
      </c>
      <c r="BI32">
        <v>11.92921406</v>
      </c>
      <c r="BJ32">
        <v>11.92921406</v>
      </c>
      <c r="BK32">
        <v>11.92921406</v>
      </c>
      <c r="BL32">
        <v>0</v>
      </c>
      <c r="BM32">
        <v>0</v>
      </c>
      <c r="BO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672.55269174125999</v>
      </c>
      <c r="BY32">
        <v>8.3264851494407446E-2</v>
      </c>
      <c r="BZ32">
        <v>7</v>
      </c>
      <c r="CA32">
        <v>4.1632425747203723E-2</v>
      </c>
      <c r="CB32">
        <v>4.0113607045276951E-2</v>
      </c>
      <c r="CE32">
        <v>0.50734392504100989</v>
      </c>
      <c r="CH32">
        <v>0.52655345264074604</v>
      </c>
    </row>
    <row r="33" spans="1:86" x14ac:dyDescent="0.3">
      <c r="A33" s="1">
        <v>634</v>
      </c>
      <c r="B33" t="s">
        <v>1115</v>
      </c>
      <c r="C33" t="s">
        <v>1116</v>
      </c>
      <c r="E33" t="s">
        <v>404</v>
      </c>
      <c r="F33">
        <v>3.58</v>
      </c>
      <c r="G33" t="s">
        <v>1080</v>
      </c>
      <c r="H33">
        <v>-1</v>
      </c>
      <c r="I33">
        <v>-1</v>
      </c>
      <c r="J33">
        <v>1</v>
      </c>
      <c r="K33">
        <v>3.802</v>
      </c>
      <c r="L33">
        <v>3.802</v>
      </c>
      <c r="M33">
        <v>24.7</v>
      </c>
      <c r="N33" t="s">
        <v>101</v>
      </c>
      <c r="O33">
        <v>24.7</v>
      </c>
      <c r="Q33" t="s">
        <v>87</v>
      </c>
      <c r="R33">
        <v>1273</v>
      </c>
      <c r="S33">
        <v>10</v>
      </c>
      <c r="T33" t="b">
        <v>0</v>
      </c>
      <c r="U33" t="s">
        <v>125</v>
      </c>
      <c r="V33" t="s">
        <v>126</v>
      </c>
      <c r="W33">
        <v>1</v>
      </c>
      <c r="Y33">
        <v>0.5</v>
      </c>
      <c r="Z33">
        <v>0.75</v>
      </c>
      <c r="AC33" t="s">
        <v>90</v>
      </c>
      <c r="AD33">
        <v>125</v>
      </c>
      <c r="AE33">
        <v>220</v>
      </c>
      <c r="AF33" t="s">
        <v>91</v>
      </c>
      <c r="AG33">
        <v>288</v>
      </c>
      <c r="AH33" s="3">
        <v>52000</v>
      </c>
      <c r="AI33" s="3">
        <f>AH33/(AD33*Y33*Z33)</f>
        <v>1109.3333333333333</v>
      </c>
      <c r="AJ33" s="3">
        <f t="shared" si="0"/>
        <v>7.0115145132729895</v>
      </c>
      <c r="AN33" t="b">
        <v>1</v>
      </c>
      <c r="AO33" t="b">
        <v>1</v>
      </c>
      <c r="AP33" t="b">
        <v>0</v>
      </c>
      <c r="AQ33" t="b">
        <v>0</v>
      </c>
      <c r="AR33" t="s">
        <v>656</v>
      </c>
      <c r="AS33" t="s">
        <v>657</v>
      </c>
      <c r="AU33">
        <v>7.2758646005465328</v>
      </c>
      <c r="AV33">
        <v>1.7272727272727271</v>
      </c>
      <c r="AW33">
        <v>2.545454545454545</v>
      </c>
      <c r="AX33">
        <v>1.7272727272727271</v>
      </c>
      <c r="AY33">
        <v>0</v>
      </c>
      <c r="AZ33">
        <v>0.2878787878787879</v>
      </c>
      <c r="BA33">
        <v>0.42424242424242431</v>
      </c>
      <c r="BB33">
        <v>0.2878787878787879</v>
      </c>
      <c r="BC33">
        <v>0</v>
      </c>
      <c r="BD33">
        <v>6.1782655933181818</v>
      </c>
      <c r="BE33">
        <v>14</v>
      </c>
      <c r="BF33">
        <v>169.7295487154349</v>
      </c>
      <c r="BG33">
        <v>1</v>
      </c>
      <c r="BH33">
        <v>8.248416440128592E-2</v>
      </c>
      <c r="BI33">
        <v>11.30538971</v>
      </c>
      <c r="BJ33">
        <v>11.30538971</v>
      </c>
      <c r="BK33">
        <v>11.30538971</v>
      </c>
      <c r="BL33">
        <v>329.80681691007999</v>
      </c>
      <c r="BM33">
        <v>2</v>
      </c>
      <c r="BN33">
        <v>8.4898184526107132E-2</v>
      </c>
      <c r="BO33">
        <v>3.8996</v>
      </c>
      <c r="BP33">
        <v>3.8996</v>
      </c>
      <c r="BQ33">
        <v>21.687999999999999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330.08886816502502</v>
      </c>
      <c r="BY33">
        <v>8.482564151785224E-2</v>
      </c>
      <c r="BZ33">
        <v>7</v>
      </c>
      <c r="CA33">
        <v>4.241282075892612E-2</v>
      </c>
      <c r="CB33">
        <v>4.124208220064296E-2</v>
      </c>
      <c r="CC33">
        <v>4.2449092263053573E-2</v>
      </c>
      <c r="CE33">
        <v>0.46170510468104309</v>
      </c>
      <c r="CF33">
        <v>0.4752175821671501</v>
      </c>
      <c r="CH33">
        <v>0.47481152268332899</v>
      </c>
    </row>
    <row r="34" spans="1:86" x14ac:dyDescent="0.3">
      <c r="A34" s="1">
        <v>642</v>
      </c>
      <c r="B34" t="s">
        <v>1115</v>
      </c>
      <c r="C34" t="s">
        <v>1116</v>
      </c>
      <c r="E34" t="s">
        <v>404</v>
      </c>
      <c r="F34">
        <v>3.58</v>
      </c>
      <c r="G34" t="s">
        <v>1080</v>
      </c>
      <c r="H34">
        <v>-1</v>
      </c>
      <c r="I34">
        <v>-1</v>
      </c>
      <c r="J34">
        <v>1</v>
      </c>
      <c r="K34">
        <v>3.802</v>
      </c>
      <c r="L34">
        <v>3.802</v>
      </c>
      <c r="M34">
        <v>24.7</v>
      </c>
      <c r="N34" t="s">
        <v>101</v>
      </c>
      <c r="O34">
        <v>24.7</v>
      </c>
      <c r="Q34" t="s">
        <v>87</v>
      </c>
      <c r="R34">
        <v>1273</v>
      </c>
      <c r="S34">
        <v>10</v>
      </c>
      <c r="T34" t="b">
        <v>0</v>
      </c>
      <c r="U34" t="s">
        <v>125</v>
      </c>
      <c r="V34" t="s">
        <v>126</v>
      </c>
      <c r="W34">
        <v>2</v>
      </c>
      <c r="Y34">
        <v>0.5</v>
      </c>
      <c r="Z34">
        <v>1</v>
      </c>
      <c r="AC34" t="s">
        <v>90</v>
      </c>
      <c r="AD34">
        <v>125</v>
      </c>
      <c r="AE34">
        <v>220</v>
      </c>
      <c r="AF34" t="s">
        <v>91</v>
      </c>
      <c r="AG34">
        <v>288</v>
      </c>
      <c r="AH34" s="3">
        <v>68000</v>
      </c>
      <c r="AI34" s="3">
        <f>AH34/(AD34*Y34*Z34)</f>
        <v>1088</v>
      </c>
      <c r="AJ34" s="3">
        <f t="shared" si="0"/>
        <v>6.9920964274158877</v>
      </c>
      <c r="AN34" t="b">
        <v>1</v>
      </c>
      <c r="AO34" t="b">
        <v>1</v>
      </c>
      <c r="AP34" t="b">
        <v>0</v>
      </c>
      <c r="AQ34" t="b">
        <v>0</v>
      </c>
      <c r="AR34" t="s">
        <v>113</v>
      </c>
      <c r="AS34" t="s">
        <v>114</v>
      </c>
      <c r="AU34">
        <v>7.2570027070920728</v>
      </c>
      <c r="AV34">
        <v>1.75</v>
      </c>
      <c r="AW34">
        <v>2.5</v>
      </c>
      <c r="AX34">
        <v>0.75</v>
      </c>
      <c r="AY34">
        <v>0</v>
      </c>
      <c r="AZ34">
        <v>0.35</v>
      </c>
      <c r="BA34">
        <v>0.5</v>
      </c>
      <c r="BB34">
        <v>0.15</v>
      </c>
      <c r="BC34">
        <v>0</v>
      </c>
      <c r="BD34">
        <v>5.9612158762499998</v>
      </c>
      <c r="BE34">
        <v>20</v>
      </c>
      <c r="BF34">
        <v>240.40623599981481</v>
      </c>
      <c r="BG34">
        <v>1</v>
      </c>
      <c r="BH34">
        <v>8.3192517518619641E-2</v>
      </c>
      <c r="BI34">
        <v>3.9661010000000001</v>
      </c>
      <c r="BJ34">
        <v>3.9661010000000001</v>
      </c>
      <c r="BK34">
        <v>15.283337</v>
      </c>
      <c r="BL34">
        <v>222.00958249733301</v>
      </c>
      <c r="BM34">
        <v>1</v>
      </c>
      <c r="BN34">
        <v>9.0086201573034624E-2</v>
      </c>
      <c r="BO34">
        <v>3.8586499999999999</v>
      </c>
      <c r="BP34">
        <v>3.8586499999999999</v>
      </c>
      <c r="BQ34">
        <v>14.9108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223.6894626175</v>
      </c>
      <c r="BY34">
        <v>8.9409665372566949E-2</v>
      </c>
      <c r="BZ34">
        <v>10</v>
      </c>
      <c r="CA34">
        <v>4.4704832686283467E-2</v>
      </c>
      <c r="CB34">
        <v>4.159625875930982E-2</v>
      </c>
      <c r="CC34">
        <v>4.5043100786517312E-2</v>
      </c>
      <c r="CE34">
        <v>0.50467688585120685</v>
      </c>
      <c r="CF34">
        <v>0.54649654829675809</v>
      </c>
      <c r="CH34">
        <v>0.54239242700073875</v>
      </c>
    </row>
    <row r="35" spans="1:86" x14ac:dyDescent="0.3">
      <c r="A35" s="1">
        <v>631</v>
      </c>
      <c r="B35" t="s">
        <v>1115</v>
      </c>
      <c r="C35" t="s">
        <v>1116</v>
      </c>
      <c r="E35" t="s">
        <v>404</v>
      </c>
      <c r="F35">
        <v>3.58</v>
      </c>
      <c r="G35" t="s">
        <v>1080</v>
      </c>
      <c r="H35">
        <v>-1</v>
      </c>
      <c r="I35">
        <v>-1</v>
      </c>
      <c r="J35">
        <v>1</v>
      </c>
      <c r="K35">
        <v>3.802</v>
      </c>
      <c r="L35">
        <v>3.802</v>
      </c>
      <c r="M35">
        <v>24.7</v>
      </c>
      <c r="N35" t="s">
        <v>101</v>
      </c>
      <c r="O35">
        <v>24.7</v>
      </c>
      <c r="Q35" t="s">
        <v>87</v>
      </c>
      <c r="R35">
        <v>1273</v>
      </c>
      <c r="S35">
        <v>10</v>
      </c>
      <c r="T35" t="b">
        <v>0</v>
      </c>
      <c r="U35" t="s">
        <v>125</v>
      </c>
      <c r="V35" t="s">
        <v>126</v>
      </c>
      <c r="W35">
        <v>1</v>
      </c>
      <c r="Y35">
        <v>0.5</v>
      </c>
      <c r="Z35">
        <v>1</v>
      </c>
      <c r="AC35" t="s">
        <v>90</v>
      </c>
      <c r="AD35">
        <v>125</v>
      </c>
      <c r="AE35">
        <v>220</v>
      </c>
      <c r="AF35" t="s">
        <v>91</v>
      </c>
      <c r="AG35">
        <v>288</v>
      </c>
      <c r="AH35" s="3">
        <v>68000</v>
      </c>
      <c r="AI35" s="3">
        <f>AH35/(AD35*Y35*Z35)</f>
        <v>1088</v>
      </c>
      <c r="AJ35" s="3">
        <f t="shared" si="0"/>
        <v>6.9920964274158877</v>
      </c>
      <c r="AK35" t="s">
        <v>661</v>
      </c>
      <c r="AL35" t="s">
        <v>661</v>
      </c>
      <c r="AN35" t="b">
        <v>1</v>
      </c>
      <c r="AO35" t="b">
        <v>1</v>
      </c>
      <c r="AP35" t="b">
        <v>0</v>
      </c>
      <c r="AQ35" t="b">
        <v>0</v>
      </c>
      <c r="AR35" t="s">
        <v>662</v>
      </c>
      <c r="AS35" t="s">
        <v>663</v>
      </c>
      <c r="AU35">
        <v>9.5190008508131552</v>
      </c>
      <c r="AV35">
        <v>1.75</v>
      </c>
      <c r="AW35">
        <v>2.5</v>
      </c>
      <c r="AX35">
        <v>1.375</v>
      </c>
      <c r="AY35">
        <v>0</v>
      </c>
      <c r="AZ35">
        <v>0.31111111111111112</v>
      </c>
      <c r="BA35">
        <v>0.44444444444444442</v>
      </c>
      <c r="BB35">
        <v>0.24444444444444441</v>
      </c>
      <c r="BC35">
        <v>0</v>
      </c>
      <c r="BD35">
        <v>6.0930178353124997</v>
      </c>
      <c r="BE35">
        <v>20</v>
      </c>
      <c r="BF35">
        <v>240.40623599981481</v>
      </c>
      <c r="BG35">
        <v>1</v>
      </c>
      <c r="BH35">
        <v>8.3192517518619641E-2</v>
      </c>
      <c r="BI35">
        <v>3.9661010000000001</v>
      </c>
      <c r="BJ35">
        <v>3.9661010000000001</v>
      </c>
      <c r="BK35">
        <v>15.283337</v>
      </c>
      <c r="BL35">
        <v>222.00958249733301</v>
      </c>
      <c r="BM35">
        <v>1</v>
      </c>
      <c r="BN35">
        <v>9.0086201573034624E-2</v>
      </c>
      <c r="BO35">
        <v>3.8586499999999999</v>
      </c>
      <c r="BP35">
        <v>3.8586499999999999</v>
      </c>
      <c r="BQ35">
        <v>14.9108</v>
      </c>
      <c r="BR35">
        <v>0</v>
      </c>
      <c r="BS35">
        <v>0</v>
      </c>
      <c r="BU35">
        <v>0</v>
      </c>
      <c r="BV35">
        <v>0</v>
      </c>
      <c r="BW35">
        <v>0</v>
      </c>
      <c r="BZ35">
        <v>10</v>
      </c>
      <c r="CB35">
        <v>4.159625875930982E-2</v>
      </c>
      <c r="CC35">
        <v>4.5043100786517312E-2</v>
      </c>
      <c r="CE35">
        <v>0.46237874670194329</v>
      </c>
      <c r="CF35">
        <v>0.50069340634096882</v>
      </c>
    </row>
    <row r="36" spans="1:86" x14ac:dyDescent="0.3">
      <c r="A36" s="1">
        <v>613</v>
      </c>
      <c r="B36" t="s">
        <v>1082</v>
      </c>
      <c r="C36" t="s">
        <v>1083</v>
      </c>
      <c r="E36" t="s">
        <v>404</v>
      </c>
      <c r="F36">
        <v>3.41</v>
      </c>
      <c r="G36" t="s">
        <v>1084</v>
      </c>
      <c r="H36">
        <v>-1</v>
      </c>
      <c r="I36">
        <v>-1</v>
      </c>
      <c r="J36">
        <v>1</v>
      </c>
      <c r="K36">
        <v>3.87</v>
      </c>
      <c r="L36">
        <v>3.87</v>
      </c>
      <c r="M36">
        <v>29.4</v>
      </c>
      <c r="N36" t="s">
        <v>529</v>
      </c>
      <c r="O36">
        <v>29.4</v>
      </c>
      <c r="Q36" t="s">
        <v>87</v>
      </c>
      <c r="R36">
        <v>1373</v>
      </c>
      <c r="S36">
        <v>12</v>
      </c>
      <c r="T36" t="b">
        <v>0</v>
      </c>
      <c r="U36" t="s">
        <v>125</v>
      </c>
      <c r="V36" t="s">
        <v>126</v>
      </c>
      <c r="W36">
        <v>1</v>
      </c>
      <c r="Y36">
        <v>0.5</v>
      </c>
      <c r="Z36">
        <v>1</v>
      </c>
      <c r="AC36" t="s">
        <v>90</v>
      </c>
      <c r="AD36">
        <v>125</v>
      </c>
      <c r="AE36">
        <v>220</v>
      </c>
      <c r="AF36" t="s">
        <v>91</v>
      </c>
      <c r="AG36">
        <v>288</v>
      </c>
      <c r="AH36" s="3">
        <v>66200</v>
      </c>
      <c r="AI36" s="3">
        <f>AH36/(AD36*Y36*Z36)</f>
        <v>1059.2</v>
      </c>
      <c r="AJ36" s="3">
        <f t="shared" si="0"/>
        <v>6.965269185182744</v>
      </c>
      <c r="AN36" t="b">
        <v>1</v>
      </c>
      <c r="AO36" t="b">
        <v>1</v>
      </c>
      <c r="AP36" t="b">
        <v>0</v>
      </c>
      <c r="AQ36" t="b">
        <v>0</v>
      </c>
      <c r="AR36" t="s">
        <v>666</v>
      </c>
      <c r="AS36" t="s">
        <v>667</v>
      </c>
      <c r="AU36">
        <v>7.5647570129057291</v>
      </c>
      <c r="AV36">
        <v>1.75</v>
      </c>
      <c r="AW36">
        <v>2.5</v>
      </c>
      <c r="AX36">
        <v>0.75</v>
      </c>
      <c r="AY36">
        <v>0</v>
      </c>
      <c r="AZ36">
        <v>0.35</v>
      </c>
      <c r="BA36">
        <v>0.5</v>
      </c>
      <c r="BB36">
        <v>0.15</v>
      </c>
      <c r="BC36">
        <v>0</v>
      </c>
      <c r="BD36">
        <v>5.9367925625</v>
      </c>
      <c r="BE36">
        <v>20</v>
      </c>
      <c r="BF36">
        <v>245.33049696160739</v>
      </c>
      <c r="BG36">
        <v>1</v>
      </c>
      <c r="BH36">
        <v>8.1522681638434333E-2</v>
      </c>
      <c r="BI36">
        <v>3.9860820000000001</v>
      </c>
      <c r="BJ36">
        <v>3.9860820000000001</v>
      </c>
      <c r="BK36">
        <v>15.440419</v>
      </c>
      <c r="BL36">
        <v>231.60535161856001</v>
      </c>
      <c r="BM36">
        <v>1</v>
      </c>
      <c r="BN36">
        <v>8.6353790446685313E-2</v>
      </c>
      <c r="BO36">
        <v>3.8944000000000001</v>
      </c>
      <c r="BP36">
        <v>3.8944000000000001</v>
      </c>
      <c r="BQ36">
        <v>15.271000000000001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233.06715788288</v>
      </c>
      <c r="BY36">
        <v>8.5812176119856073E-2</v>
      </c>
      <c r="BZ36">
        <v>10</v>
      </c>
      <c r="CA36">
        <v>4.2906088059928037E-2</v>
      </c>
      <c r="CB36">
        <v>4.0761340819217173E-2</v>
      </c>
      <c r="CC36">
        <v>4.3176895223342657E-2</v>
      </c>
      <c r="CE36">
        <v>0.5224946958501494</v>
      </c>
      <c r="CF36">
        <v>0.55345821025686892</v>
      </c>
      <c r="CH36">
        <v>0.54998689887116359</v>
      </c>
    </row>
    <row r="37" spans="1:86" x14ac:dyDescent="0.3">
      <c r="A37" s="1">
        <v>712</v>
      </c>
      <c r="B37" t="s">
        <v>1078</v>
      </c>
      <c r="C37" t="s">
        <v>1079</v>
      </c>
      <c r="E37" t="s">
        <v>404</v>
      </c>
      <c r="F37">
        <v>3.42</v>
      </c>
      <c r="G37" t="s">
        <v>1080</v>
      </c>
      <c r="H37">
        <v>-1</v>
      </c>
      <c r="I37">
        <v>-1</v>
      </c>
      <c r="J37">
        <v>1</v>
      </c>
      <c r="K37">
        <v>3.82</v>
      </c>
      <c r="L37">
        <v>3.82</v>
      </c>
      <c r="M37">
        <v>25.06</v>
      </c>
      <c r="N37" t="s">
        <v>1047</v>
      </c>
      <c r="O37">
        <v>25.06</v>
      </c>
      <c r="Q37" t="s">
        <v>87</v>
      </c>
      <c r="R37">
        <v>1273</v>
      </c>
      <c r="S37">
        <v>10</v>
      </c>
      <c r="T37" t="b">
        <v>0</v>
      </c>
      <c r="U37" t="s">
        <v>125</v>
      </c>
      <c r="V37" t="s">
        <v>126</v>
      </c>
      <c r="W37">
        <v>1</v>
      </c>
      <c r="X37">
        <v>12.7</v>
      </c>
      <c r="Y37">
        <v>0.5</v>
      </c>
      <c r="Z37">
        <v>1</v>
      </c>
      <c r="AC37" t="s">
        <v>90</v>
      </c>
      <c r="AD37">
        <v>125</v>
      </c>
      <c r="AE37">
        <v>220</v>
      </c>
      <c r="AF37" t="s">
        <v>91</v>
      </c>
      <c r="AG37">
        <v>288</v>
      </c>
      <c r="AH37" s="3">
        <v>66000</v>
      </c>
      <c r="AI37" s="3">
        <f>AH37/(AD37*Y37*Z37)</f>
        <v>1056</v>
      </c>
      <c r="AJ37" s="3">
        <f t="shared" si="0"/>
        <v>6.9622434642662068</v>
      </c>
      <c r="AK37" t="s">
        <v>670</v>
      </c>
      <c r="AL37" t="s">
        <v>670</v>
      </c>
      <c r="AN37" t="b">
        <v>1</v>
      </c>
      <c r="AO37" t="b">
        <v>1</v>
      </c>
      <c r="AP37" t="b">
        <v>0</v>
      </c>
      <c r="AQ37" t="b">
        <v>0</v>
      </c>
      <c r="AR37" t="s">
        <v>671</v>
      </c>
      <c r="AS37" t="s">
        <v>672</v>
      </c>
      <c r="AU37">
        <v>8.0910150417105307</v>
      </c>
      <c r="AV37">
        <v>1.75</v>
      </c>
      <c r="AW37">
        <v>2.5</v>
      </c>
      <c r="AX37">
        <v>1.375</v>
      </c>
      <c r="AY37">
        <v>0</v>
      </c>
      <c r="AZ37">
        <v>0.31111111111111112</v>
      </c>
      <c r="BA37">
        <v>0.44444444444444442</v>
      </c>
      <c r="BB37">
        <v>0.24444444444444441</v>
      </c>
      <c r="BC37">
        <v>0</v>
      </c>
      <c r="BD37">
        <v>6.0685945215624999</v>
      </c>
      <c r="BE37">
        <v>20</v>
      </c>
      <c r="BF37">
        <v>240.40623599981481</v>
      </c>
      <c r="BG37">
        <v>1</v>
      </c>
      <c r="BH37">
        <v>8.3192517518619641E-2</v>
      </c>
      <c r="BI37">
        <v>3.9661010000000001</v>
      </c>
      <c r="BJ37">
        <v>3.9661010000000001</v>
      </c>
      <c r="BK37">
        <v>15.283337</v>
      </c>
      <c r="BL37">
        <v>222.00958249733301</v>
      </c>
      <c r="BM37">
        <v>1</v>
      </c>
      <c r="BN37">
        <v>9.0086201573034624E-2</v>
      </c>
      <c r="BO37">
        <v>3.8586499999999999</v>
      </c>
      <c r="BP37">
        <v>3.8586499999999999</v>
      </c>
      <c r="BQ37">
        <v>14.9108</v>
      </c>
      <c r="BR37">
        <v>0</v>
      </c>
      <c r="BS37">
        <v>0</v>
      </c>
      <c r="BU37">
        <v>0</v>
      </c>
      <c r="BV37">
        <v>0</v>
      </c>
      <c r="BW37">
        <v>0</v>
      </c>
      <c r="BZ37">
        <v>10</v>
      </c>
      <c r="CB37">
        <v>4.159625875930982E-2</v>
      </c>
      <c r="CC37">
        <v>4.5043100786517312E-2</v>
      </c>
      <c r="CE37">
        <v>0.49089885908841852</v>
      </c>
      <c r="CF37">
        <v>0.53157681593076234</v>
      </c>
    </row>
    <row r="38" spans="1:86" x14ac:dyDescent="0.3">
      <c r="A38" s="1">
        <v>610</v>
      </c>
      <c r="B38" t="s">
        <v>1070</v>
      </c>
      <c r="C38" t="s">
        <v>1071</v>
      </c>
      <c r="E38" t="s">
        <v>404</v>
      </c>
      <c r="F38">
        <v>3.34</v>
      </c>
      <c r="G38" t="s">
        <v>1072</v>
      </c>
      <c r="H38">
        <v>-1</v>
      </c>
      <c r="I38">
        <v>-1</v>
      </c>
      <c r="J38">
        <v>2</v>
      </c>
      <c r="K38">
        <v>3.83</v>
      </c>
      <c r="L38">
        <v>3.83</v>
      </c>
      <c r="M38">
        <v>36.700000000000003</v>
      </c>
      <c r="N38" t="s">
        <v>529</v>
      </c>
      <c r="O38">
        <v>18.350000000000001</v>
      </c>
      <c r="Q38" t="s">
        <v>87</v>
      </c>
      <c r="R38">
        <v>1373</v>
      </c>
      <c r="S38">
        <v>12</v>
      </c>
      <c r="T38" t="b">
        <v>0</v>
      </c>
      <c r="U38" t="s">
        <v>125</v>
      </c>
      <c r="V38" t="s">
        <v>126</v>
      </c>
      <c r="W38">
        <v>1</v>
      </c>
      <c r="X38">
        <v>3.88</v>
      </c>
      <c r="Y38">
        <v>0.5</v>
      </c>
      <c r="Z38">
        <v>1</v>
      </c>
      <c r="AC38" t="s">
        <v>90</v>
      </c>
      <c r="AD38">
        <v>125</v>
      </c>
      <c r="AE38">
        <v>220</v>
      </c>
      <c r="AF38" t="s">
        <v>91</v>
      </c>
      <c r="AG38">
        <v>288</v>
      </c>
      <c r="AH38" s="3">
        <v>65880</v>
      </c>
      <c r="AI38" s="3">
        <f>AH38/(AD38*Y38*Z38)</f>
        <v>1054.08</v>
      </c>
      <c r="AJ38" s="3">
        <f t="shared" si="0"/>
        <v>6.9604236275492211</v>
      </c>
      <c r="AK38" t="s">
        <v>677</v>
      </c>
      <c r="AL38" t="s">
        <v>677</v>
      </c>
      <c r="AN38" t="b">
        <v>1</v>
      </c>
      <c r="AO38" t="b">
        <v>1</v>
      </c>
      <c r="AP38" t="b">
        <v>0</v>
      </c>
      <c r="AQ38" t="b">
        <v>0</v>
      </c>
      <c r="AR38" t="s">
        <v>678</v>
      </c>
      <c r="AS38" t="s">
        <v>679</v>
      </c>
      <c r="AU38">
        <v>8.1936766659552411</v>
      </c>
      <c r="AV38">
        <v>1.882352941176471</v>
      </c>
      <c r="AW38">
        <v>2.3529411764705879</v>
      </c>
      <c r="AX38">
        <v>0.47058823529411759</v>
      </c>
      <c r="AY38">
        <v>0</v>
      </c>
      <c r="AZ38">
        <v>0.4</v>
      </c>
      <c r="BA38">
        <v>0.5</v>
      </c>
      <c r="BB38">
        <v>9.9999999999999992E-2</v>
      </c>
      <c r="BC38">
        <v>0</v>
      </c>
      <c r="BD38">
        <v>5.6793428179411762</v>
      </c>
      <c r="BE38">
        <v>20</v>
      </c>
      <c r="BF38">
        <v>218.43262216091571</v>
      </c>
      <c r="BG38">
        <v>1</v>
      </c>
      <c r="BH38">
        <v>9.1561415150097566E-2</v>
      </c>
      <c r="BI38">
        <v>14.88329339</v>
      </c>
      <c r="BJ38">
        <v>14.88329339</v>
      </c>
      <c r="BK38">
        <v>14.88329339</v>
      </c>
      <c r="BL38">
        <v>422.61306904883998</v>
      </c>
      <c r="BM38">
        <v>2</v>
      </c>
      <c r="BN38">
        <v>9.4649226276950119E-2</v>
      </c>
      <c r="BO38">
        <v>3.8250999999999999</v>
      </c>
      <c r="BP38">
        <v>3.8250999999999999</v>
      </c>
      <c r="BQ38">
        <v>28.884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467.22857285491187</v>
      </c>
      <c r="BY38">
        <v>8.5611202576048706E-2</v>
      </c>
      <c r="BZ38">
        <v>10</v>
      </c>
      <c r="CA38">
        <v>4.2805601288024353E-2</v>
      </c>
      <c r="CB38">
        <v>4.5780707575048783E-2</v>
      </c>
      <c r="CC38">
        <v>4.7324613138475059E-2</v>
      </c>
      <c r="CE38">
        <v>0.64457299028572113</v>
      </c>
      <c r="CF38">
        <v>0.66631052730620211</v>
      </c>
      <c r="CH38">
        <v>0.60268475269783495</v>
      </c>
    </row>
    <row r="39" spans="1:86" x14ac:dyDescent="0.3">
      <c r="A39" s="1">
        <v>640</v>
      </c>
      <c r="B39" t="s">
        <v>1115</v>
      </c>
      <c r="C39" t="s">
        <v>1116</v>
      </c>
      <c r="E39" t="s">
        <v>404</v>
      </c>
      <c r="F39">
        <v>3.58</v>
      </c>
      <c r="G39" t="s">
        <v>1080</v>
      </c>
      <c r="H39">
        <v>-1</v>
      </c>
      <c r="I39">
        <v>-1</v>
      </c>
      <c r="J39">
        <v>1</v>
      </c>
      <c r="K39">
        <v>3.802</v>
      </c>
      <c r="L39">
        <v>3.802</v>
      </c>
      <c r="M39">
        <v>24.7</v>
      </c>
      <c r="N39" t="s">
        <v>101</v>
      </c>
      <c r="O39">
        <v>24.7</v>
      </c>
      <c r="Q39" t="s">
        <v>87</v>
      </c>
      <c r="R39">
        <v>1273</v>
      </c>
      <c r="S39">
        <v>10</v>
      </c>
      <c r="T39" t="b">
        <v>0</v>
      </c>
      <c r="U39" t="s">
        <v>125</v>
      </c>
      <c r="V39" t="s">
        <v>126</v>
      </c>
      <c r="W39">
        <v>0.5</v>
      </c>
      <c r="Y39">
        <v>0.5</v>
      </c>
      <c r="Z39">
        <v>1</v>
      </c>
      <c r="AC39" t="s">
        <v>90</v>
      </c>
      <c r="AD39">
        <v>125</v>
      </c>
      <c r="AE39">
        <v>220</v>
      </c>
      <c r="AF39" t="s">
        <v>91</v>
      </c>
      <c r="AG39">
        <v>288</v>
      </c>
      <c r="AH39" s="3">
        <v>62000</v>
      </c>
      <c r="AI39" s="3">
        <f>AH39/(AD39*Y39*Z39)</f>
        <v>992</v>
      </c>
      <c r="AJ39" s="3">
        <f t="shared" si="0"/>
        <v>6.8997231072848724</v>
      </c>
      <c r="AN39" t="b">
        <v>1</v>
      </c>
      <c r="AO39" t="b">
        <v>1</v>
      </c>
      <c r="AP39" t="b">
        <v>0</v>
      </c>
      <c r="AQ39" t="b">
        <v>0</v>
      </c>
      <c r="AR39" t="s">
        <v>675</v>
      </c>
      <c r="AS39" t="s">
        <v>676</v>
      </c>
      <c r="AU39">
        <v>6.6372580312844569</v>
      </c>
      <c r="AV39">
        <v>1.882352941176471</v>
      </c>
      <c r="AW39">
        <v>2.3529411764705879</v>
      </c>
      <c r="AX39">
        <v>1.6470588235294119</v>
      </c>
      <c r="AY39">
        <v>0</v>
      </c>
      <c r="AZ39">
        <v>0.32</v>
      </c>
      <c r="BA39">
        <v>0.4</v>
      </c>
      <c r="BB39">
        <v>0.28000000000000003</v>
      </c>
      <c r="BC39">
        <v>0</v>
      </c>
      <c r="BD39">
        <v>5.9274406232352943</v>
      </c>
      <c r="BE39">
        <v>20</v>
      </c>
      <c r="BF39">
        <v>218.43262216091571</v>
      </c>
      <c r="BG39">
        <v>1</v>
      </c>
      <c r="BH39">
        <v>9.1561415150097566E-2</v>
      </c>
      <c r="BI39">
        <v>14.88329339</v>
      </c>
      <c r="BJ39">
        <v>14.88329339</v>
      </c>
      <c r="BK39">
        <v>14.88329339</v>
      </c>
      <c r="BL39">
        <v>422.61306904883998</v>
      </c>
      <c r="BM39">
        <v>2</v>
      </c>
      <c r="BN39">
        <v>9.4649226276950119E-2</v>
      </c>
      <c r="BO39">
        <v>3.8250999999999999</v>
      </c>
      <c r="BP39">
        <v>3.8250999999999999</v>
      </c>
      <c r="BQ39">
        <v>28.884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423.82135294154398</v>
      </c>
      <c r="BY39">
        <v>9.4379388207741013E-2</v>
      </c>
      <c r="BZ39">
        <v>10</v>
      </c>
      <c r="CA39">
        <v>4.7189694103870507E-2</v>
      </c>
      <c r="CB39">
        <v>4.5780707575048783E-2</v>
      </c>
      <c r="CC39">
        <v>4.7324613138475059E-2</v>
      </c>
      <c r="CE39">
        <v>0.55146660057091246</v>
      </c>
      <c r="CF39">
        <v>0.57006422384419808</v>
      </c>
      <c r="CH39">
        <v>0.56843901214899417</v>
      </c>
    </row>
    <row r="40" spans="1:86" x14ac:dyDescent="0.3">
      <c r="A40" s="1">
        <v>621</v>
      </c>
      <c r="B40" t="s">
        <v>1112</v>
      </c>
      <c r="C40" t="s">
        <v>1113</v>
      </c>
      <c r="E40" t="s">
        <v>404</v>
      </c>
      <c r="F40">
        <v>3.32</v>
      </c>
      <c r="G40" t="s">
        <v>1076</v>
      </c>
      <c r="H40">
        <v>-1</v>
      </c>
      <c r="I40">
        <v>-1</v>
      </c>
      <c r="J40">
        <v>1</v>
      </c>
      <c r="K40">
        <v>3.8</v>
      </c>
      <c r="L40">
        <v>3.8</v>
      </c>
      <c r="M40">
        <v>19.899999999999999</v>
      </c>
      <c r="N40" t="s">
        <v>529</v>
      </c>
      <c r="O40">
        <v>19.899999999999999</v>
      </c>
      <c r="Q40" t="s">
        <v>87</v>
      </c>
      <c r="R40">
        <v>1373</v>
      </c>
      <c r="S40">
        <v>12</v>
      </c>
      <c r="T40" t="b">
        <v>0</v>
      </c>
      <c r="U40" t="s">
        <v>125</v>
      </c>
      <c r="V40" t="s">
        <v>126</v>
      </c>
      <c r="W40">
        <v>1</v>
      </c>
      <c r="Y40">
        <v>0.5</v>
      </c>
      <c r="Z40">
        <v>1</v>
      </c>
      <c r="AC40" t="s">
        <v>90</v>
      </c>
      <c r="AD40">
        <v>125</v>
      </c>
      <c r="AE40">
        <v>220</v>
      </c>
      <c r="AF40" t="s">
        <v>91</v>
      </c>
      <c r="AG40">
        <v>288</v>
      </c>
      <c r="AH40" s="3">
        <v>59280</v>
      </c>
      <c r="AI40" s="3">
        <f>AH40/(AD40*Y40*Z40)</f>
        <v>948.48</v>
      </c>
      <c r="AJ40" s="3">
        <f t="shared" si="0"/>
        <v>6.8548607032276125</v>
      </c>
      <c r="AN40" t="b">
        <v>1</v>
      </c>
      <c r="AO40" t="b">
        <v>0</v>
      </c>
      <c r="AP40" t="b">
        <v>0</v>
      </c>
      <c r="AQ40" t="b">
        <v>0</v>
      </c>
      <c r="AR40" t="s">
        <v>692</v>
      </c>
      <c r="AS40" t="s">
        <v>693</v>
      </c>
      <c r="AU40">
        <v>4.7874917427820458</v>
      </c>
      <c r="AV40">
        <v>2</v>
      </c>
      <c r="AW40">
        <v>2.545454545454545</v>
      </c>
      <c r="AX40">
        <v>0.54545454545454541</v>
      </c>
      <c r="AY40">
        <v>0</v>
      </c>
      <c r="AZ40">
        <v>0.39285714285714279</v>
      </c>
      <c r="BA40">
        <v>0.5</v>
      </c>
      <c r="BB40">
        <v>0.1071428571428571</v>
      </c>
      <c r="BC40">
        <v>0</v>
      </c>
      <c r="BD40">
        <v>5.9831999205909083</v>
      </c>
      <c r="BE40">
        <v>14</v>
      </c>
      <c r="BF40">
        <v>288.33429290182369</v>
      </c>
      <c r="BG40">
        <v>2</v>
      </c>
      <c r="BH40">
        <v>9.7109503410799117E-2</v>
      </c>
      <c r="BI40">
        <v>7.41544296</v>
      </c>
      <c r="BJ40">
        <v>7.4154429599999991</v>
      </c>
      <c r="BK40">
        <v>7.41544296</v>
      </c>
      <c r="BL40">
        <v>556.51188553357167</v>
      </c>
      <c r="BM40">
        <v>4</v>
      </c>
      <c r="BN40">
        <v>0.10062678166578309</v>
      </c>
      <c r="BO40">
        <v>7.8</v>
      </c>
      <c r="BP40">
        <v>13.010999999999999</v>
      </c>
      <c r="BQ40">
        <v>5.5460000000000003</v>
      </c>
      <c r="BR40">
        <v>0</v>
      </c>
      <c r="BS40">
        <v>0</v>
      </c>
      <c r="BU40">
        <v>0</v>
      </c>
      <c r="BV40">
        <v>0</v>
      </c>
      <c r="BW40">
        <v>0</v>
      </c>
      <c r="BZ40">
        <v>7</v>
      </c>
      <c r="CB40">
        <v>4.8554751705399558E-2</v>
      </c>
      <c r="CC40">
        <v>5.0313390832891547E-2</v>
      </c>
      <c r="CE40">
        <v>0.52442413903612495</v>
      </c>
      <c r="CF40">
        <v>0.54341863036636617</v>
      </c>
    </row>
    <row r="41" spans="1:86" x14ac:dyDescent="0.3">
      <c r="A41" s="1">
        <v>620</v>
      </c>
      <c r="B41" t="s">
        <v>1109</v>
      </c>
      <c r="C41" t="s">
        <v>1110</v>
      </c>
      <c r="E41" t="s">
        <v>404</v>
      </c>
      <c r="F41">
        <v>3.4</v>
      </c>
      <c r="G41" t="s">
        <v>1072</v>
      </c>
      <c r="H41">
        <v>-1</v>
      </c>
      <c r="I41">
        <v>-1</v>
      </c>
      <c r="J41">
        <v>2</v>
      </c>
      <c r="K41">
        <v>3.81</v>
      </c>
      <c r="L41">
        <v>3.81</v>
      </c>
      <c r="M41">
        <v>35.4</v>
      </c>
      <c r="N41" t="s">
        <v>529</v>
      </c>
      <c r="O41">
        <v>17.7</v>
      </c>
      <c r="Q41" t="s">
        <v>87</v>
      </c>
      <c r="R41">
        <v>1373</v>
      </c>
      <c r="S41">
        <v>12</v>
      </c>
      <c r="T41" t="b">
        <v>0</v>
      </c>
      <c r="U41" t="s">
        <v>125</v>
      </c>
      <c r="V41" t="s">
        <v>126</v>
      </c>
      <c r="W41">
        <v>1</v>
      </c>
      <c r="X41">
        <v>3.72</v>
      </c>
      <c r="Y41">
        <v>0.5</v>
      </c>
      <c r="Z41">
        <v>1</v>
      </c>
      <c r="AC41" t="s">
        <v>90</v>
      </c>
      <c r="AD41">
        <v>125</v>
      </c>
      <c r="AE41">
        <v>220</v>
      </c>
      <c r="AF41" t="s">
        <v>91</v>
      </c>
      <c r="AG41">
        <v>288</v>
      </c>
      <c r="AH41" s="3">
        <v>59040</v>
      </c>
      <c r="AI41" s="3">
        <f>AH41/(AD41*Y41*Z41)</f>
        <v>944.64</v>
      </c>
      <c r="AJ41" s="3">
        <f t="shared" si="0"/>
        <v>6.8508039025319984</v>
      </c>
      <c r="AN41" t="b">
        <v>1</v>
      </c>
      <c r="AO41" t="b">
        <v>1</v>
      </c>
      <c r="AP41" t="b">
        <v>0</v>
      </c>
      <c r="AQ41" t="b">
        <v>0</v>
      </c>
      <c r="AR41" t="s">
        <v>891</v>
      </c>
      <c r="AS41" t="s">
        <v>892</v>
      </c>
      <c r="AU41">
        <v>5.598421958998375</v>
      </c>
      <c r="AV41">
        <v>1.75</v>
      </c>
      <c r="AW41">
        <v>2.5</v>
      </c>
      <c r="AX41">
        <v>0.75</v>
      </c>
      <c r="AY41">
        <v>0</v>
      </c>
      <c r="AZ41">
        <v>0.35</v>
      </c>
      <c r="BA41">
        <v>0.5</v>
      </c>
      <c r="BB41">
        <v>0.15</v>
      </c>
      <c r="BC41">
        <v>0</v>
      </c>
      <c r="BD41">
        <v>5.9030792517321871</v>
      </c>
      <c r="BE41">
        <v>20</v>
      </c>
      <c r="BF41">
        <v>260.8671724870714</v>
      </c>
      <c r="BG41">
        <v>1</v>
      </c>
      <c r="BH41">
        <v>7.6667369869971663E-2</v>
      </c>
      <c r="BI41">
        <v>4.0290549999999996</v>
      </c>
      <c r="BJ41">
        <v>4.0290549999999996</v>
      </c>
      <c r="BK41">
        <v>16.069894999999999</v>
      </c>
      <c r="BL41">
        <v>246.35930430675199</v>
      </c>
      <c r="BM41">
        <v>1</v>
      </c>
      <c r="BN41">
        <v>8.1182239316186677E-2</v>
      </c>
      <c r="BO41">
        <v>3.9765999999999999</v>
      </c>
      <c r="BP41">
        <v>3.9765999999999999</v>
      </c>
      <c r="BQ41">
        <v>15.5792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245.23960400000001</v>
      </c>
      <c r="BY41">
        <v>8.1552896325831611E-2</v>
      </c>
      <c r="BZ41">
        <v>10</v>
      </c>
      <c r="CA41">
        <v>4.0776448162915813E-2</v>
      </c>
      <c r="CB41">
        <v>3.8333684934985832E-2</v>
      </c>
      <c r="CC41">
        <v>4.0591119658093339E-2</v>
      </c>
      <c r="CE41">
        <v>0.54551133687670883</v>
      </c>
      <c r="CF41">
        <v>0.57763598744977107</v>
      </c>
      <c r="CH41">
        <v>0.58027332327069536</v>
      </c>
    </row>
    <row r="42" spans="1:86" x14ac:dyDescent="0.3">
      <c r="A42" s="1">
        <v>828</v>
      </c>
      <c r="B42" t="s">
        <v>128</v>
      </c>
      <c r="C42" t="s">
        <v>129</v>
      </c>
      <c r="E42" t="s">
        <v>130</v>
      </c>
      <c r="F42">
        <v>3.2</v>
      </c>
      <c r="G42" t="s">
        <v>131</v>
      </c>
      <c r="H42" t="s">
        <v>132</v>
      </c>
      <c r="I42">
        <v>-1</v>
      </c>
      <c r="O42">
        <v>0</v>
      </c>
      <c r="Q42" t="s">
        <v>248</v>
      </c>
      <c r="R42">
        <v>623</v>
      </c>
      <c r="S42">
        <v>17</v>
      </c>
      <c r="T42" t="b">
        <v>0</v>
      </c>
      <c r="U42" t="s">
        <v>125</v>
      </c>
      <c r="V42" t="s">
        <v>126</v>
      </c>
      <c r="W42">
        <v>0.5</v>
      </c>
      <c r="X42">
        <v>50</v>
      </c>
      <c r="Y42">
        <v>1</v>
      </c>
      <c r="Z42">
        <v>0.1</v>
      </c>
      <c r="AC42" t="s">
        <v>90</v>
      </c>
      <c r="AD42">
        <v>125</v>
      </c>
      <c r="AE42">
        <v>220</v>
      </c>
      <c r="AF42" t="s">
        <v>91</v>
      </c>
      <c r="AG42">
        <v>288</v>
      </c>
      <c r="AH42" s="3">
        <v>10563.63636363636</v>
      </c>
      <c r="AI42" s="3">
        <f>AH42/(AD42*Y42*Z42)</f>
        <v>845.09090909090878</v>
      </c>
      <c r="AJ42" s="3">
        <f t="shared" si="0"/>
        <v>6.7394442062933217</v>
      </c>
      <c r="AN42" t="b">
        <v>1</v>
      </c>
      <c r="AO42" t="b">
        <v>1</v>
      </c>
      <c r="AP42" t="b">
        <v>0</v>
      </c>
      <c r="AQ42" t="b">
        <v>0</v>
      </c>
      <c r="AR42" t="s">
        <v>891</v>
      </c>
      <c r="AS42" t="s">
        <v>892</v>
      </c>
      <c r="AU42">
        <v>-0.22314355131420971</v>
      </c>
      <c r="AV42">
        <v>1.75</v>
      </c>
      <c r="AW42">
        <v>2.5</v>
      </c>
      <c r="AX42">
        <v>0.75</v>
      </c>
      <c r="AY42">
        <v>0</v>
      </c>
      <c r="AZ42">
        <v>0.35</v>
      </c>
      <c r="BA42">
        <v>0.5</v>
      </c>
      <c r="BB42">
        <v>0.15</v>
      </c>
      <c r="BC42">
        <v>0</v>
      </c>
      <c r="BD42">
        <v>5.9030792517321871</v>
      </c>
      <c r="BE42">
        <v>20</v>
      </c>
      <c r="BF42">
        <v>260.8671724870714</v>
      </c>
      <c r="BG42">
        <v>1</v>
      </c>
      <c r="BH42">
        <v>7.6667369869971663E-2</v>
      </c>
      <c r="BI42">
        <v>4.0290549999999996</v>
      </c>
      <c r="BJ42">
        <v>4.0290549999999996</v>
      </c>
      <c r="BK42">
        <v>16.069894999999999</v>
      </c>
      <c r="BL42">
        <v>246.35930430675199</v>
      </c>
      <c r="BM42">
        <v>1</v>
      </c>
      <c r="BN42">
        <v>8.1182239316186677E-2</v>
      </c>
      <c r="BO42">
        <v>3.9765999999999999</v>
      </c>
      <c r="BP42">
        <v>3.9765999999999999</v>
      </c>
      <c r="BQ42">
        <v>15.5792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245.23960400000001</v>
      </c>
      <c r="BY42">
        <v>8.1552896325831611E-2</v>
      </c>
      <c r="BZ42">
        <v>10</v>
      </c>
      <c r="CA42">
        <v>4.0776448162915813E-2</v>
      </c>
      <c r="CB42">
        <v>3.8333684934985832E-2</v>
      </c>
      <c r="CC42">
        <v>4.0591119658093339E-2</v>
      </c>
      <c r="CE42">
        <v>0.54551133687670883</v>
      </c>
      <c r="CF42">
        <v>0.57763598744977107</v>
      </c>
      <c r="CH42">
        <v>0.58027332327069536</v>
      </c>
    </row>
    <row r="43" spans="1:86" x14ac:dyDescent="0.3">
      <c r="A43" s="1">
        <v>635</v>
      </c>
      <c r="B43" t="s">
        <v>1115</v>
      </c>
      <c r="C43" t="s">
        <v>1116</v>
      </c>
      <c r="E43" t="s">
        <v>404</v>
      </c>
      <c r="F43">
        <v>3.58</v>
      </c>
      <c r="G43" t="s">
        <v>1080</v>
      </c>
      <c r="H43">
        <v>-1</v>
      </c>
      <c r="I43">
        <v>-1</v>
      </c>
      <c r="J43">
        <v>1</v>
      </c>
      <c r="K43">
        <v>3.802</v>
      </c>
      <c r="L43">
        <v>3.802</v>
      </c>
      <c r="M43">
        <v>24.7</v>
      </c>
      <c r="N43" t="s">
        <v>101</v>
      </c>
      <c r="O43">
        <v>24.7</v>
      </c>
      <c r="Q43" t="s">
        <v>87</v>
      </c>
      <c r="R43">
        <v>1273</v>
      </c>
      <c r="S43">
        <v>10</v>
      </c>
      <c r="T43" t="b">
        <v>0</v>
      </c>
      <c r="U43" t="s">
        <v>125</v>
      </c>
      <c r="V43" t="s">
        <v>126</v>
      </c>
      <c r="W43">
        <v>1</v>
      </c>
      <c r="Y43">
        <v>0.5</v>
      </c>
      <c r="Z43">
        <v>2</v>
      </c>
      <c r="AC43" t="s">
        <v>90</v>
      </c>
      <c r="AD43">
        <v>125</v>
      </c>
      <c r="AE43">
        <v>220</v>
      </c>
      <c r="AF43" t="s">
        <v>91</v>
      </c>
      <c r="AG43">
        <v>288</v>
      </c>
      <c r="AH43" s="3">
        <v>100000</v>
      </c>
      <c r="AI43" s="3">
        <f>AH43/(AD43*Y43*Z43)</f>
        <v>800</v>
      </c>
      <c r="AJ43" s="3">
        <f t="shared" si="0"/>
        <v>6.6846117276679271</v>
      </c>
      <c r="AK43" t="s">
        <v>136</v>
      </c>
      <c r="AN43" t="b">
        <v>1</v>
      </c>
      <c r="AO43" t="b">
        <v>0</v>
      </c>
      <c r="AP43" t="b">
        <v>0</v>
      </c>
      <c r="AQ43" t="b">
        <v>0</v>
      </c>
      <c r="AR43" t="s">
        <v>998</v>
      </c>
      <c r="AS43">
        <v>-1</v>
      </c>
      <c r="AU43">
        <v>6.3279367837291947</v>
      </c>
      <c r="AV43">
        <v>1.857142857142857</v>
      </c>
      <c r="AW43">
        <v>2.285714285714286</v>
      </c>
      <c r="AX43">
        <v>0.42857142857142849</v>
      </c>
      <c r="AY43">
        <v>0</v>
      </c>
      <c r="AZ43">
        <v>0.40625000000000011</v>
      </c>
      <c r="BA43">
        <v>0.5</v>
      </c>
      <c r="BB43">
        <v>9.375E-2</v>
      </c>
      <c r="BC43">
        <v>0</v>
      </c>
      <c r="BD43">
        <v>6.2648152075501429</v>
      </c>
      <c r="BE43">
        <v>8</v>
      </c>
      <c r="BF43">
        <v>203.79933701026059</v>
      </c>
      <c r="BG43">
        <v>2</v>
      </c>
      <c r="BH43">
        <v>7.8508596910668346E-2</v>
      </c>
      <c r="BI43">
        <v>3.8703880000000002</v>
      </c>
      <c r="BJ43">
        <v>3.8703880000000002</v>
      </c>
      <c r="BK43">
        <v>13.604850000000001</v>
      </c>
      <c r="BL43">
        <v>0</v>
      </c>
      <c r="BM43">
        <v>0</v>
      </c>
      <c r="BO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167.92202</v>
      </c>
      <c r="BY43">
        <v>9.5282322115944076E-2</v>
      </c>
      <c r="BZ43">
        <v>4</v>
      </c>
      <c r="CA43">
        <v>4.7641161057972038E-2</v>
      </c>
      <c r="CB43">
        <v>3.9254298455334173E-2</v>
      </c>
      <c r="CE43">
        <v>0.41209139981608062</v>
      </c>
      <c r="CH43">
        <v>0.50013663526765251</v>
      </c>
    </row>
    <row r="44" spans="1:86" x14ac:dyDescent="0.3">
      <c r="A44" s="1">
        <v>728</v>
      </c>
      <c r="B44" t="s">
        <v>1115</v>
      </c>
      <c r="C44" t="s">
        <v>1116</v>
      </c>
      <c r="E44" t="s">
        <v>404</v>
      </c>
      <c r="F44">
        <v>3.58</v>
      </c>
      <c r="G44" t="s">
        <v>1080</v>
      </c>
      <c r="H44">
        <v>-1</v>
      </c>
      <c r="I44">
        <v>-1</v>
      </c>
      <c r="J44">
        <v>1</v>
      </c>
      <c r="K44">
        <v>3.802</v>
      </c>
      <c r="L44">
        <v>3.802</v>
      </c>
      <c r="M44">
        <v>24.7</v>
      </c>
      <c r="N44" t="s">
        <v>101</v>
      </c>
      <c r="O44">
        <v>24.7</v>
      </c>
      <c r="Q44" t="s">
        <v>87</v>
      </c>
      <c r="R44">
        <v>1273</v>
      </c>
      <c r="S44">
        <v>10</v>
      </c>
      <c r="T44" t="b">
        <v>0</v>
      </c>
      <c r="U44" t="s">
        <v>125</v>
      </c>
      <c r="V44" t="s">
        <v>126</v>
      </c>
      <c r="W44">
        <v>1</v>
      </c>
      <c r="Y44">
        <v>0.5</v>
      </c>
      <c r="Z44">
        <v>2</v>
      </c>
      <c r="AC44" t="s">
        <v>90</v>
      </c>
      <c r="AD44">
        <v>125</v>
      </c>
      <c r="AE44">
        <v>220</v>
      </c>
      <c r="AF44" t="s">
        <v>91</v>
      </c>
      <c r="AG44">
        <v>288</v>
      </c>
      <c r="AH44" s="3">
        <v>99000</v>
      </c>
      <c r="AI44" s="3">
        <f>AH44/(AD44*Y44*Z44)</f>
        <v>792</v>
      </c>
      <c r="AJ44" s="3">
        <f t="shared" si="0"/>
        <v>6.674561391814426</v>
      </c>
      <c r="AN44" t="b">
        <v>1</v>
      </c>
      <c r="AO44" t="b">
        <v>0</v>
      </c>
      <c r="AP44" t="b">
        <v>0</v>
      </c>
      <c r="AQ44" t="b">
        <v>0</v>
      </c>
      <c r="AR44" t="s">
        <v>948</v>
      </c>
      <c r="AS44">
        <v>-1</v>
      </c>
      <c r="AU44">
        <v>7.5600804650218274</v>
      </c>
      <c r="AV44">
        <v>1.571428571428571</v>
      </c>
      <c r="AW44">
        <v>1.5</v>
      </c>
      <c r="AX44">
        <v>0.2142857142857143</v>
      </c>
      <c r="AY44">
        <v>0</v>
      </c>
      <c r="AZ44">
        <v>0.47826086956521741</v>
      </c>
      <c r="BA44">
        <v>0.45652173913043481</v>
      </c>
      <c r="BB44">
        <v>6.5217391304347824E-2</v>
      </c>
      <c r="BC44">
        <v>0</v>
      </c>
      <c r="BD44">
        <v>6.659182230900428</v>
      </c>
      <c r="BE44">
        <v>8</v>
      </c>
      <c r="BF44">
        <v>249.41538945455761</v>
      </c>
      <c r="BG44">
        <v>2</v>
      </c>
      <c r="BH44">
        <v>6.4150011091898274E-2</v>
      </c>
      <c r="BI44">
        <v>3.8703880000000002</v>
      </c>
      <c r="BJ44">
        <v>3.8703880000000002</v>
      </c>
      <c r="BK44">
        <v>16.649999999999999</v>
      </c>
      <c r="BL44">
        <v>0</v>
      </c>
      <c r="BM44">
        <v>0</v>
      </c>
      <c r="BO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473.28956999999991</v>
      </c>
      <c r="BY44">
        <v>6.7611885045343392E-2</v>
      </c>
      <c r="BZ44">
        <v>4</v>
      </c>
      <c r="CA44">
        <v>3.3805942522671703E-2</v>
      </c>
      <c r="CB44">
        <v>3.2075005545949137E-2</v>
      </c>
      <c r="CE44">
        <v>0.41488478690173181</v>
      </c>
      <c r="CH44">
        <v>0.43727416475231679</v>
      </c>
    </row>
    <row r="45" spans="1:86" x14ac:dyDescent="0.3">
      <c r="A45" s="1">
        <v>615</v>
      </c>
      <c r="B45" t="s">
        <v>1090</v>
      </c>
      <c r="C45" t="s">
        <v>1091</v>
      </c>
      <c r="E45" t="s">
        <v>404</v>
      </c>
      <c r="F45">
        <v>3.33</v>
      </c>
      <c r="G45" t="s">
        <v>1092</v>
      </c>
      <c r="H45">
        <v>-1</v>
      </c>
      <c r="I45">
        <v>-1</v>
      </c>
      <c r="J45">
        <v>2</v>
      </c>
      <c r="K45">
        <v>3.81</v>
      </c>
      <c r="L45">
        <v>3.81</v>
      </c>
      <c r="M45">
        <v>35.1</v>
      </c>
      <c r="N45" t="s">
        <v>529</v>
      </c>
      <c r="O45">
        <v>17.55</v>
      </c>
      <c r="Q45" t="s">
        <v>87</v>
      </c>
      <c r="R45">
        <v>1373</v>
      </c>
      <c r="S45">
        <v>12</v>
      </c>
      <c r="T45" t="b">
        <v>0</v>
      </c>
      <c r="U45" t="s">
        <v>125</v>
      </c>
      <c r="V45" t="s">
        <v>126</v>
      </c>
      <c r="W45">
        <v>1</v>
      </c>
      <c r="X45">
        <v>5.73</v>
      </c>
      <c r="Y45">
        <v>0.5</v>
      </c>
      <c r="Z45">
        <v>1</v>
      </c>
      <c r="AC45" t="s">
        <v>90</v>
      </c>
      <c r="AD45">
        <v>125</v>
      </c>
      <c r="AE45">
        <v>220</v>
      </c>
      <c r="AF45" t="s">
        <v>91</v>
      </c>
      <c r="AG45">
        <v>288</v>
      </c>
      <c r="AH45" s="3">
        <v>47920</v>
      </c>
      <c r="AI45" s="3">
        <f>AH45/(AD45*Y45*Z45)</f>
        <v>766.72</v>
      </c>
      <c r="AJ45" s="3">
        <f t="shared" si="0"/>
        <v>6.6421216760469752</v>
      </c>
      <c r="AN45" t="b">
        <v>1</v>
      </c>
      <c r="AO45" t="b">
        <v>0</v>
      </c>
      <c r="AP45" t="b">
        <v>0</v>
      </c>
      <c r="AQ45" t="b">
        <v>0</v>
      </c>
      <c r="AR45" t="s">
        <v>951</v>
      </c>
      <c r="AS45">
        <v>-1</v>
      </c>
      <c r="AU45">
        <v>8.2738469327845081</v>
      </c>
      <c r="AV45">
        <v>1.529411764705882</v>
      </c>
      <c r="AW45">
        <v>1.3529411764705881</v>
      </c>
      <c r="AX45">
        <v>0.1764705882352941</v>
      </c>
      <c r="AY45">
        <v>0</v>
      </c>
      <c r="AZ45">
        <v>0.5</v>
      </c>
      <c r="BA45">
        <v>0.44230769230769229</v>
      </c>
      <c r="BB45">
        <v>5.7692307692307702E-2</v>
      </c>
      <c r="BC45">
        <v>0</v>
      </c>
      <c r="BD45">
        <v>6.696610960459294</v>
      </c>
      <c r="BE45">
        <v>8</v>
      </c>
      <c r="BF45">
        <v>279.37519599564558</v>
      </c>
      <c r="BG45">
        <v>2</v>
      </c>
      <c r="BH45">
        <v>5.7270653334053963E-2</v>
      </c>
      <c r="BI45">
        <v>3.8703880000000002</v>
      </c>
      <c r="BJ45">
        <v>3.8703880000000002</v>
      </c>
      <c r="BK45">
        <v>18.649999999999999</v>
      </c>
      <c r="BL45">
        <v>0</v>
      </c>
      <c r="BM45">
        <v>0</v>
      </c>
      <c r="BO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524.53125</v>
      </c>
      <c r="BY45">
        <v>6.1006851355376833E-2</v>
      </c>
      <c r="BZ45">
        <v>4</v>
      </c>
      <c r="CA45">
        <v>3.050342567768841E-2</v>
      </c>
      <c r="CB45">
        <v>2.8635326667026981E-2</v>
      </c>
      <c r="CE45">
        <v>0.37120324532256599</v>
      </c>
      <c r="CH45">
        <v>0.39541964150357722</v>
      </c>
    </row>
    <row r="46" spans="1:86" x14ac:dyDescent="0.3">
      <c r="A46" s="1">
        <v>694</v>
      </c>
      <c r="B46" t="s">
        <v>1054</v>
      </c>
      <c r="C46" t="s">
        <v>1055</v>
      </c>
      <c r="E46" t="s">
        <v>404</v>
      </c>
      <c r="F46">
        <v>3.26</v>
      </c>
      <c r="G46" t="s">
        <v>405</v>
      </c>
      <c r="H46">
        <v>-1</v>
      </c>
      <c r="I46" t="s">
        <v>1056</v>
      </c>
      <c r="J46">
        <v>2</v>
      </c>
      <c r="K46">
        <v>3.8</v>
      </c>
      <c r="L46">
        <v>3.8</v>
      </c>
      <c r="M46">
        <v>24</v>
      </c>
      <c r="O46">
        <v>12</v>
      </c>
      <c r="Q46" t="s">
        <v>87</v>
      </c>
      <c r="R46">
        <v>1373</v>
      </c>
      <c r="S46">
        <v>12</v>
      </c>
      <c r="T46" t="b">
        <v>0</v>
      </c>
      <c r="U46" t="s">
        <v>125</v>
      </c>
      <c r="V46" t="s">
        <v>126</v>
      </c>
      <c r="W46">
        <v>1</v>
      </c>
      <c r="X46">
        <v>21</v>
      </c>
      <c r="Y46">
        <v>0.5</v>
      </c>
      <c r="Z46">
        <v>1</v>
      </c>
      <c r="AC46" t="s">
        <v>90</v>
      </c>
      <c r="AD46">
        <v>125</v>
      </c>
      <c r="AE46">
        <v>220</v>
      </c>
      <c r="AF46" t="s">
        <v>91</v>
      </c>
      <c r="AG46">
        <v>288</v>
      </c>
      <c r="AH46" s="3">
        <v>47600</v>
      </c>
      <c r="AI46" s="3">
        <f>AH46/(AD46*Y46*Z46)</f>
        <v>761.6</v>
      </c>
      <c r="AJ46" s="3">
        <f t="shared" si="0"/>
        <v>6.6354214834771552</v>
      </c>
      <c r="AN46" t="b">
        <v>1</v>
      </c>
      <c r="AO46" t="b">
        <v>0</v>
      </c>
      <c r="AP46" t="b">
        <v>0</v>
      </c>
      <c r="AQ46" t="b">
        <v>0</v>
      </c>
      <c r="AR46" t="s">
        <v>954</v>
      </c>
      <c r="AS46">
        <v>-1</v>
      </c>
      <c r="AU46">
        <v>7.7319307219484861</v>
      </c>
      <c r="AV46">
        <v>1.4782608695652171</v>
      </c>
      <c r="AW46">
        <v>1.173913043478261</v>
      </c>
      <c r="AX46">
        <v>0.13043478260869559</v>
      </c>
      <c r="AY46">
        <v>0</v>
      </c>
      <c r="AZ46">
        <v>0.53125</v>
      </c>
      <c r="BA46">
        <v>0.42187500000000011</v>
      </c>
      <c r="BB46">
        <v>4.6875E-2</v>
      </c>
      <c r="BC46">
        <v>0</v>
      </c>
      <c r="BD46">
        <v>6.7421763703570434</v>
      </c>
      <c r="BE46">
        <v>8</v>
      </c>
      <c r="BF46">
        <v>358.01968816600157</v>
      </c>
      <c r="BG46">
        <v>2</v>
      </c>
      <c r="BH46">
        <v>4.4690279693728303E-2</v>
      </c>
      <c r="BI46">
        <v>3.8703880000000002</v>
      </c>
      <c r="BJ46">
        <v>3.8703880000000002</v>
      </c>
      <c r="BK46">
        <v>23.9</v>
      </c>
      <c r="BL46">
        <v>0</v>
      </c>
      <c r="BM46">
        <v>0</v>
      </c>
      <c r="BO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675.77727999999991</v>
      </c>
      <c r="BY46">
        <v>4.7352879339181107E-2</v>
      </c>
      <c r="BZ46">
        <v>4</v>
      </c>
      <c r="CA46">
        <v>2.367643966959055E-2</v>
      </c>
      <c r="CB46">
        <v>2.2345139846864152E-2</v>
      </c>
      <c r="CE46">
        <v>0.29092712016610461</v>
      </c>
      <c r="CH46">
        <v>0.30826025059884121</v>
      </c>
    </row>
    <row r="47" spans="1:86" x14ac:dyDescent="0.3">
      <c r="A47" s="1">
        <v>717</v>
      </c>
      <c r="B47" t="s">
        <v>1078</v>
      </c>
      <c r="C47" t="s">
        <v>1079</v>
      </c>
      <c r="E47" t="s">
        <v>404</v>
      </c>
      <c r="F47">
        <v>3.42</v>
      </c>
      <c r="G47" t="s">
        <v>1080</v>
      </c>
      <c r="H47">
        <v>-1</v>
      </c>
      <c r="I47">
        <v>-1</v>
      </c>
      <c r="J47">
        <v>1</v>
      </c>
      <c r="K47">
        <v>3.82</v>
      </c>
      <c r="L47">
        <v>3.82</v>
      </c>
      <c r="M47">
        <v>25.06</v>
      </c>
      <c r="N47" t="s">
        <v>1047</v>
      </c>
      <c r="O47">
        <v>25.06</v>
      </c>
      <c r="Q47" t="s">
        <v>87</v>
      </c>
      <c r="R47">
        <v>1273</v>
      </c>
      <c r="S47">
        <v>10</v>
      </c>
      <c r="T47" t="b">
        <v>0</v>
      </c>
      <c r="U47" t="s">
        <v>125</v>
      </c>
      <c r="V47" t="s">
        <v>126</v>
      </c>
      <c r="W47">
        <v>1</v>
      </c>
      <c r="Y47">
        <v>0.5</v>
      </c>
      <c r="Z47">
        <v>2</v>
      </c>
      <c r="AC47" t="s">
        <v>90</v>
      </c>
      <c r="AD47">
        <v>125</v>
      </c>
      <c r="AE47">
        <v>220</v>
      </c>
      <c r="AF47" t="s">
        <v>91</v>
      </c>
      <c r="AG47">
        <v>288</v>
      </c>
      <c r="AH47" s="3">
        <v>93000</v>
      </c>
      <c r="AI47" s="3">
        <f>AH47/(AD47*Y47*Z47)</f>
        <v>744</v>
      </c>
      <c r="AJ47" s="3">
        <f t="shared" si="0"/>
        <v>6.6120410348330916</v>
      </c>
      <c r="AN47" t="b">
        <v>1</v>
      </c>
      <c r="AO47" t="b">
        <v>0</v>
      </c>
      <c r="AP47" t="b">
        <v>0</v>
      </c>
      <c r="AQ47" t="b">
        <v>0</v>
      </c>
      <c r="AR47" t="s">
        <v>957</v>
      </c>
      <c r="AS47">
        <v>-1</v>
      </c>
      <c r="AU47">
        <v>8.1997389606307856</v>
      </c>
      <c r="AV47">
        <v>1.448275862068966</v>
      </c>
      <c r="AW47">
        <v>1.068965517241379</v>
      </c>
      <c r="AX47">
        <v>0.10344827586206901</v>
      </c>
      <c r="AY47">
        <v>0</v>
      </c>
      <c r="AZ47">
        <v>0.55263157894736847</v>
      </c>
      <c r="BA47">
        <v>0.40789473684210531</v>
      </c>
      <c r="BB47">
        <v>3.9473684210526307E-2</v>
      </c>
      <c r="BC47">
        <v>0</v>
      </c>
      <c r="BD47">
        <v>6.7688871278833096</v>
      </c>
      <c r="BE47">
        <v>8</v>
      </c>
      <c r="BF47">
        <v>411.19834477643292</v>
      </c>
      <c r="BG47">
        <v>2</v>
      </c>
      <c r="BH47">
        <v>3.8910662465577638E-2</v>
      </c>
      <c r="BI47">
        <v>3.8703880000000002</v>
      </c>
      <c r="BJ47">
        <v>3.8703880000000002</v>
      </c>
      <c r="BK47">
        <v>27.45</v>
      </c>
      <c r="BL47">
        <v>0</v>
      </c>
      <c r="BM47">
        <v>0</v>
      </c>
      <c r="BO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776.15423999999996</v>
      </c>
      <c r="BY47">
        <v>4.1228918623185E-2</v>
      </c>
      <c r="BZ47">
        <v>4</v>
      </c>
      <c r="CA47">
        <v>2.06144593115925E-2</v>
      </c>
      <c r="CB47">
        <v>1.9455331232788819E-2</v>
      </c>
      <c r="CE47">
        <v>0.25440349066207429</v>
      </c>
      <c r="CH47">
        <v>0.26956058183896969</v>
      </c>
    </row>
    <row r="48" spans="1:86" x14ac:dyDescent="0.3">
      <c r="A48" s="1">
        <v>697</v>
      </c>
      <c r="B48" t="s">
        <v>402</v>
      </c>
      <c r="C48" t="s">
        <v>403</v>
      </c>
      <c r="E48" t="s">
        <v>404</v>
      </c>
      <c r="F48">
        <v>3.63</v>
      </c>
      <c r="G48" t="s">
        <v>405</v>
      </c>
      <c r="H48">
        <v>-1</v>
      </c>
      <c r="I48" t="s">
        <v>754</v>
      </c>
      <c r="Q48" t="s">
        <v>87</v>
      </c>
      <c r="R48">
        <v>1373</v>
      </c>
      <c r="S48">
        <v>15</v>
      </c>
      <c r="T48" t="b">
        <v>0</v>
      </c>
      <c r="U48" t="s">
        <v>125</v>
      </c>
      <c r="V48" t="s">
        <v>126</v>
      </c>
      <c r="W48">
        <v>1</v>
      </c>
      <c r="Y48">
        <v>0.5</v>
      </c>
      <c r="Z48">
        <v>1</v>
      </c>
      <c r="AC48" t="s">
        <v>90</v>
      </c>
      <c r="AD48">
        <v>125</v>
      </c>
      <c r="AE48">
        <v>220</v>
      </c>
      <c r="AF48" t="s">
        <v>91</v>
      </c>
      <c r="AG48">
        <v>288</v>
      </c>
      <c r="AH48" s="3">
        <v>45600</v>
      </c>
      <c r="AI48" s="3">
        <f>AH48/(AD48*Y48*Z48)</f>
        <v>729.6</v>
      </c>
      <c r="AJ48" s="3">
        <f t="shared" si="0"/>
        <v>6.5924964387601213</v>
      </c>
      <c r="AN48" t="b">
        <v>1</v>
      </c>
      <c r="AO48" t="b">
        <v>0</v>
      </c>
      <c r="AP48" t="b">
        <v>0</v>
      </c>
      <c r="AQ48" t="b">
        <v>0</v>
      </c>
      <c r="AR48" t="s">
        <v>960</v>
      </c>
      <c r="AS48">
        <v>-1</v>
      </c>
      <c r="AU48">
        <v>8.2940496401020276</v>
      </c>
      <c r="AV48">
        <v>1.615384615384615</v>
      </c>
      <c r="AW48">
        <v>1.6923076923076921</v>
      </c>
      <c r="AX48">
        <v>0.23076923076923081</v>
      </c>
      <c r="AY48">
        <v>0</v>
      </c>
      <c r="AZ48">
        <v>0.45652173913043481</v>
      </c>
      <c r="BA48">
        <v>0.47826086956521741</v>
      </c>
      <c r="BB48">
        <v>6.5217391304347838E-2</v>
      </c>
      <c r="BC48">
        <v>0</v>
      </c>
      <c r="BD48">
        <v>6.6430581020965382</v>
      </c>
      <c r="BE48">
        <v>10</v>
      </c>
      <c r="BF48">
        <v>249.41538945455761</v>
      </c>
      <c r="BG48">
        <v>2</v>
      </c>
      <c r="BH48">
        <v>8.0187513864872856E-2</v>
      </c>
      <c r="BI48">
        <v>3.8703880000000002</v>
      </c>
      <c r="BJ48">
        <v>3.8703880000000002</v>
      </c>
      <c r="BK48">
        <v>16.649999999999999</v>
      </c>
      <c r="BL48">
        <v>0</v>
      </c>
      <c r="BM48">
        <v>0</v>
      </c>
      <c r="BO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446.98032000000001</v>
      </c>
      <c r="BY48">
        <v>8.9489398548911497E-2</v>
      </c>
      <c r="BZ48">
        <v>5</v>
      </c>
      <c r="CA48">
        <v>4.4744699274455749E-2</v>
      </c>
      <c r="CB48">
        <v>4.0093756932436428E-2</v>
      </c>
      <c r="CE48">
        <v>0.4048215622699361</v>
      </c>
      <c r="CH48">
        <v>0.45178153531752158</v>
      </c>
    </row>
    <row r="49" spans="1:86" x14ac:dyDescent="0.3">
      <c r="A49" s="1">
        <v>714</v>
      </c>
      <c r="B49" t="s">
        <v>1078</v>
      </c>
      <c r="C49" t="s">
        <v>1079</v>
      </c>
      <c r="E49" t="s">
        <v>404</v>
      </c>
      <c r="F49">
        <v>3.42</v>
      </c>
      <c r="G49" t="s">
        <v>1080</v>
      </c>
      <c r="H49">
        <v>-1</v>
      </c>
      <c r="I49">
        <v>-1</v>
      </c>
      <c r="J49">
        <v>1</v>
      </c>
      <c r="K49">
        <v>3.82</v>
      </c>
      <c r="L49">
        <v>3.82</v>
      </c>
      <c r="M49">
        <v>25.06</v>
      </c>
      <c r="N49" t="s">
        <v>1047</v>
      </c>
      <c r="O49">
        <v>25.06</v>
      </c>
      <c r="Q49" t="s">
        <v>87</v>
      </c>
      <c r="R49">
        <v>1273</v>
      </c>
      <c r="S49">
        <v>10</v>
      </c>
      <c r="T49" t="b">
        <v>0</v>
      </c>
      <c r="U49" t="s">
        <v>125</v>
      </c>
      <c r="V49" t="s">
        <v>126</v>
      </c>
      <c r="W49">
        <v>1</v>
      </c>
      <c r="Y49">
        <v>0.5</v>
      </c>
      <c r="Z49">
        <v>0.2</v>
      </c>
      <c r="AC49" t="s">
        <v>90</v>
      </c>
      <c r="AD49">
        <v>125</v>
      </c>
      <c r="AE49">
        <v>220</v>
      </c>
      <c r="AF49" t="s">
        <v>91</v>
      </c>
      <c r="AG49">
        <v>288</v>
      </c>
      <c r="AH49" s="3">
        <v>9000</v>
      </c>
      <c r="AI49" s="3">
        <f>AH49/(AD49*Y49*Z49)</f>
        <v>720</v>
      </c>
      <c r="AJ49" s="3">
        <f t="shared" si="0"/>
        <v>6.5792512120101012</v>
      </c>
      <c r="AN49" t="b">
        <v>1</v>
      </c>
      <c r="AO49" t="b">
        <v>0</v>
      </c>
      <c r="AP49" t="b">
        <v>0</v>
      </c>
      <c r="AQ49" t="b">
        <v>0</v>
      </c>
      <c r="AR49" t="s">
        <v>963</v>
      </c>
      <c r="AS49">
        <v>-1</v>
      </c>
      <c r="AU49">
        <v>7.3264656138403224</v>
      </c>
      <c r="AV49">
        <v>1.5625</v>
      </c>
      <c r="AW49">
        <v>1.5</v>
      </c>
      <c r="AX49">
        <v>0.1875</v>
      </c>
      <c r="AY49">
        <v>0</v>
      </c>
      <c r="AZ49">
        <v>0.48076923076923078</v>
      </c>
      <c r="BA49">
        <v>0.46153846153846162</v>
      </c>
      <c r="BB49">
        <v>5.7692307692307702E-2</v>
      </c>
      <c r="BC49">
        <v>0</v>
      </c>
      <c r="BD49">
        <v>6.6858494014035621</v>
      </c>
      <c r="BE49">
        <v>10</v>
      </c>
      <c r="BF49">
        <v>279.37519599564558</v>
      </c>
      <c r="BG49">
        <v>2</v>
      </c>
      <c r="BH49">
        <v>7.1588316667567459E-2</v>
      </c>
      <c r="BI49">
        <v>3.8703880000000002</v>
      </c>
      <c r="BJ49">
        <v>3.8703880000000002</v>
      </c>
      <c r="BK49">
        <v>18.649999999999999</v>
      </c>
      <c r="BL49">
        <v>0</v>
      </c>
      <c r="BM49">
        <v>0</v>
      </c>
      <c r="BO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506.4854400000001</v>
      </c>
      <c r="BY49">
        <v>7.8975616752181454E-2</v>
      </c>
      <c r="BZ49">
        <v>5</v>
      </c>
      <c r="CA49">
        <v>3.9487808376090727E-2</v>
      </c>
      <c r="CB49">
        <v>3.5794158333783729E-2</v>
      </c>
      <c r="CE49">
        <v>0.36221918687112381</v>
      </c>
      <c r="CH49">
        <v>0.39959709927891929</v>
      </c>
    </row>
    <row r="50" spans="1:86" x14ac:dyDescent="0.3">
      <c r="A50" s="1">
        <v>643</v>
      </c>
      <c r="B50" t="s">
        <v>1115</v>
      </c>
      <c r="C50" t="s">
        <v>1116</v>
      </c>
      <c r="E50" t="s">
        <v>404</v>
      </c>
      <c r="F50">
        <v>3.58</v>
      </c>
      <c r="G50" t="s">
        <v>1080</v>
      </c>
      <c r="H50">
        <v>-1</v>
      </c>
      <c r="I50">
        <v>-1</v>
      </c>
      <c r="J50">
        <v>1</v>
      </c>
      <c r="K50">
        <v>3.802</v>
      </c>
      <c r="L50">
        <v>3.802</v>
      </c>
      <c r="M50">
        <v>24.7</v>
      </c>
      <c r="N50" t="s">
        <v>101</v>
      </c>
      <c r="O50">
        <v>24.7</v>
      </c>
      <c r="Q50" t="s">
        <v>87</v>
      </c>
      <c r="R50">
        <v>1273</v>
      </c>
      <c r="S50">
        <v>10</v>
      </c>
      <c r="T50" t="b">
        <v>0</v>
      </c>
      <c r="U50" t="s">
        <v>125</v>
      </c>
      <c r="V50" t="s">
        <v>126</v>
      </c>
      <c r="W50">
        <v>5</v>
      </c>
      <c r="Y50">
        <v>0.5</v>
      </c>
      <c r="Z50">
        <v>1</v>
      </c>
      <c r="AC50" t="s">
        <v>90</v>
      </c>
      <c r="AD50">
        <v>125</v>
      </c>
      <c r="AE50">
        <v>220</v>
      </c>
      <c r="AF50" t="s">
        <v>91</v>
      </c>
      <c r="AG50">
        <v>288</v>
      </c>
      <c r="AH50" s="3">
        <v>44000</v>
      </c>
      <c r="AI50" s="3">
        <f>AH50/(AD50*Y50*Z50)</f>
        <v>704</v>
      </c>
      <c r="AJ50" s="3">
        <f t="shared" si="0"/>
        <v>6.5567783561580422</v>
      </c>
      <c r="AN50" t="b">
        <v>1</v>
      </c>
      <c r="AO50" t="b">
        <v>0</v>
      </c>
      <c r="AP50" t="b">
        <v>0</v>
      </c>
      <c r="AQ50" t="b">
        <v>0</v>
      </c>
      <c r="AR50" t="s">
        <v>966</v>
      </c>
      <c r="AS50">
        <v>-1</v>
      </c>
      <c r="AU50">
        <v>7.6591713676660582</v>
      </c>
      <c r="AV50">
        <v>1.5</v>
      </c>
      <c r="AW50">
        <v>1.2727272727272729</v>
      </c>
      <c r="AX50">
        <v>0.13636363636363641</v>
      </c>
      <c r="AY50">
        <v>0</v>
      </c>
      <c r="AZ50">
        <v>0.515625</v>
      </c>
      <c r="BA50">
        <v>0.4375</v>
      </c>
      <c r="BB50">
        <v>4.6874999999999993E-2</v>
      </c>
      <c r="BC50">
        <v>0</v>
      </c>
      <c r="BD50">
        <v>6.7364209369482273</v>
      </c>
      <c r="BE50">
        <v>10</v>
      </c>
      <c r="BF50">
        <v>358.01968816600157</v>
      </c>
      <c r="BG50">
        <v>2</v>
      </c>
      <c r="BH50">
        <v>5.5862849617160371E-2</v>
      </c>
      <c r="BI50">
        <v>3.8703880000000002</v>
      </c>
      <c r="BJ50">
        <v>3.8703880000000002</v>
      </c>
      <c r="BK50">
        <v>23.9</v>
      </c>
      <c r="BL50">
        <v>0</v>
      </c>
      <c r="BM50">
        <v>0</v>
      </c>
      <c r="BO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634.42824000000007</v>
      </c>
      <c r="BY50">
        <v>6.3048895805773081E-2</v>
      </c>
      <c r="BZ50">
        <v>5</v>
      </c>
      <c r="CA50">
        <v>3.152444790288654E-2</v>
      </c>
      <c r="CB50">
        <v>2.7931424808580189E-2</v>
      </c>
      <c r="CE50">
        <v>0.28391654735776151</v>
      </c>
      <c r="CH50">
        <v>0.32043880565655031</v>
      </c>
    </row>
    <row r="51" spans="1:86" x14ac:dyDescent="0.3">
      <c r="A51" s="1">
        <v>647</v>
      </c>
      <c r="B51" t="s">
        <v>1115</v>
      </c>
      <c r="C51" t="s">
        <v>1116</v>
      </c>
      <c r="E51" t="s">
        <v>404</v>
      </c>
      <c r="F51">
        <v>3.58</v>
      </c>
      <c r="G51" t="s">
        <v>1080</v>
      </c>
      <c r="H51">
        <v>-1</v>
      </c>
      <c r="I51">
        <v>-1</v>
      </c>
      <c r="J51">
        <v>1</v>
      </c>
      <c r="K51">
        <v>3.802</v>
      </c>
      <c r="L51">
        <v>3.802</v>
      </c>
      <c r="M51">
        <v>24.7</v>
      </c>
      <c r="N51" t="s">
        <v>101</v>
      </c>
      <c r="O51">
        <v>24.7</v>
      </c>
      <c r="Q51" t="s">
        <v>87</v>
      </c>
      <c r="R51">
        <v>1273</v>
      </c>
      <c r="S51">
        <v>10</v>
      </c>
      <c r="T51" t="b">
        <v>0</v>
      </c>
      <c r="U51" t="s">
        <v>125</v>
      </c>
      <c r="V51" t="s">
        <v>126</v>
      </c>
      <c r="W51">
        <v>1</v>
      </c>
      <c r="Y51">
        <v>1</v>
      </c>
      <c r="Z51">
        <v>1</v>
      </c>
      <c r="AC51" t="s">
        <v>90</v>
      </c>
      <c r="AD51">
        <v>125</v>
      </c>
      <c r="AE51">
        <v>220</v>
      </c>
      <c r="AF51" t="s">
        <v>91</v>
      </c>
      <c r="AG51">
        <v>288</v>
      </c>
      <c r="AH51" s="3">
        <v>88000</v>
      </c>
      <c r="AI51" s="3">
        <f>AH51/(AD51*Y51*Z51)</f>
        <v>704</v>
      </c>
      <c r="AJ51" s="3">
        <f t="shared" si="0"/>
        <v>6.5567783561580422</v>
      </c>
      <c r="AN51" t="b">
        <v>1</v>
      </c>
      <c r="AO51" t="b">
        <v>0</v>
      </c>
      <c r="AP51" t="b">
        <v>0</v>
      </c>
      <c r="AQ51" t="b">
        <v>0</v>
      </c>
      <c r="AR51" t="s">
        <v>969</v>
      </c>
      <c r="AS51">
        <v>-1</v>
      </c>
      <c r="AU51">
        <v>7.5390270558239951</v>
      </c>
      <c r="AV51">
        <v>1.464285714285714</v>
      </c>
      <c r="AW51">
        <v>1.142857142857143</v>
      </c>
      <c r="AX51">
        <v>0.1071428571428571</v>
      </c>
      <c r="AY51">
        <v>0</v>
      </c>
      <c r="AZ51">
        <v>0.53947368421052622</v>
      </c>
      <c r="BA51">
        <v>0.42105263157894729</v>
      </c>
      <c r="BB51">
        <v>3.9473684210526307E-2</v>
      </c>
      <c r="BC51">
        <v>0</v>
      </c>
      <c r="BD51">
        <v>6.7653189572594643</v>
      </c>
      <c r="BE51">
        <v>10</v>
      </c>
      <c r="BF51">
        <v>411.19834477643292</v>
      </c>
      <c r="BG51">
        <v>2</v>
      </c>
      <c r="BH51">
        <v>4.8638328081972049E-2</v>
      </c>
      <c r="BI51">
        <v>3.8703880000000002</v>
      </c>
      <c r="BJ51">
        <v>3.8703880000000002</v>
      </c>
      <c r="BK51">
        <v>27.45</v>
      </c>
      <c r="BL51">
        <v>0</v>
      </c>
      <c r="BM51">
        <v>0</v>
      </c>
      <c r="BO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774.91304000000014</v>
      </c>
      <c r="BY51">
        <v>5.1618695176429079E-2</v>
      </c>
      <c r="BZ51">
        <v>5</v>
      </c>
      <c r="CA51">
        <v>2.5809347588214539E-2</v>
      </c>
      <c r="CB51">
        <v>2.4319164040986021E-2</v>
      </c>
      <c r="CE51">
        <v>0.24829956752475571</v>
      </c>
      <c r="CH51">
        <v>0.26351439685382932</v>
      </c>
    </row>
    <row r="52" spans="1:86" x14ac:dyDescent="0.3">
      <c r="A52" s="1">
        <v>624</v>
      </c>
      <c r="B52" t="s">
        <v>1121</v>
      </c>
      <c r="C52" t="s">
        <v>1122</v>
      </c>
      <c r="E52" t="s">
        <v>404</v>
      </c>
      <c r="F52">
        <v>3.36</v>
      </c>
      <c r="G52" t="s">
        <v>1088</v>
      </c>
      <c r="H52">
        <v>-1</v>
      </c>
      <c r="I52">
        <v>-1</v>
      </c>
      <c r="J52">
        <v>1</v>
      </c>
      <c r="K52">
        <v>3.8</v>
      </c>
      <c r="L52">
        <v>3.8</v>
      </c>
      <c r="M52">
        <v>33.4</v>
      </c>
      <c r="N52" t="s">
        <v>529</v>
      </c>
      <c r="O52">
        <v>33.4</v>
      </c>
      <c r="Q52" t="s">
        <v>87</v>
      </c>
      <c r="R52">
        <v>1373</v>
      </c>
      <c r="S52">
        <v>12</v>
      </c>
      <c r="T52" t="b">
        <v>0</v>
      </c>
      <c r="U52" t="s">
        <v>125</v>
      </c>
      <c r="V52" t="s">
        <v>126</v>
      </c>
      <c r="W52">
        <v>1</v>
      </c>
      <c r="X52">
        <v>4.3899999999999997</v>
      </c>
      <c r="Y52">
        <v>0.5</v>
      </c>
      <c r="Z52">
        <v>1</v>
      </c>
      <c r="AC52" t="s">
        <v>90</v>
      </c>
      <c r="AD52">
        <v>125</v>
      </c>
      <c r="AE52">
        <v>220</v>
      </c>
      <c r="AF52" t="s">
        <v>91</v>
      </c>
      <c r="AG52">
        <v>288</v>
      </c>
      <c r="AH52" s="3">
        <v>41080</v>
      </c>
      <c r="AI52" s="3">
        <f>AH52/(AD52*Y52*Z52)</f>
        <v>657.28</v>
      </c>
      <c r="AJ52" s="3">
        <f t="shared" si="0"/>
        <v>6.4881101073001384</v>
      </c>
      <c r="AK52" t="s">
        <v>972</v>
      </c>
      <c r="AN52" t="b">
        <v>1</v>
      </c>
      <c r="AO52" t="b">
        <v>0</v>
      </c>
      <c r="AP52" t="b">
        <v>0</v>
      </c>
      <c r="AQ52" t="b">
        <v>0</v>
      </c>
      <c r="AR52" t="s">
        <v>999</v>
      </c>
      <c r="AS52">
        <v>-1</v>
      </c>
      <c r="AT52" t="s">
        <v>754</v>
      </c>
      <c r="AU52">
        <v>5.5134287461649816</v>
      </c>
      <c r="AV52">
        <v>1.857142857142857</v>
      </c>
      <c r="AW52">
        <v>2.285714285714286</v>
      </c>
      <c r="AX52">
        <v>0.2857142857142857</v>
      </c>
      <c r="AY52">
        <v>0.5714285714285714</v>
      </c>
      <c r="AZ52">
        <v>0.37142857142857139</v>
      </c>
      <c r="BA52">
        <v>0.45714285714285707</v>
      </c>
      <c r="BB52">
        <v>5.7142857142857141E-2</v>
      </c>
      <c r="BC52">
        <v>0.1142857142857143</v>
      </c>
      <c r="BD52">
        <v>6.2282471432644284</v>
      </c>
      <c r="BE52">
        <v>8</v>
      </c>
      <c r="BF52">
        <v>203.79933701026059</v>
      </c>
      <c r="BG52">
        <v>2</v>
      </c>
      <c r="BH52">
        <v>7.8508596910668346E-2</v>
      </c>
      <c r="BI52">
        <v>3.8703880000000002</v>
      </c>
      <c r="BJ52">
        <v>3.8703880000000002</v>
      </c>
      <c r="BK52">
        <v>13.604850000000001</v>
      </c>
      <c r="BL52">
        <v>0</v>
      </c>
      <c r="BM52">
        <v>0</v>
      </c>
      <c r="BO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163.86304000000001</v>
      </c>
      <c r="BY52">
        <v>9.7642519020762694E-2</v>
      </c>
      <c r="BZ52">
        <v>4</v>
      </c>
      <c r="CA52">
        <v>4.8821259510381347E-2</v>
      </c>
      <c r="CB52">
        <v>3.9254298455334173E-2</v>
      </c>
      <c r="CE52">
        <v>0.40413338857906378</v>
      </c>
      <c r="CH52">
        <v>0.50262778388661167</v>
      </c>
    </row>
    <row r="53" spans="1:86" x14ac:dyDescent="0.3">
      <c r="A53" s="1">
        <v>632</v>
      </c>
      <c r="B53" t="s">
        <v>1115</v>
      </c>
      <c r="C53" t="s">
        <v>1116</v>
      </c>
      <c r="E53" t="s">
        <v>404</v>
      </c>
      <c r="F53">
        <v>3.58</v>
      </c>
      <c r="G53" t="s">
        <v>1080</v>
      </c>
      <c r="H53">
        <v>-1</v>
      </c>
      <c r="I53">
        <v>-1</v>
      </c>
      <c r="J53">
        <v>1</v>
      </c>
      <c r="K53">
        <v>3.802</v>
      </c>
      <c r="L53">
        <v>3.802</v>
      </c>
      <c r="M53">
        <v>24.7</v>
      </c>
      <c r="N53" t="s">
        <v>101</v>
      </c>
      <c r="O53">
        <v>24.7</v>
      </c>
      <c r="Q53" t="s">
        <v>87</v>
      </c>
      <c r="R53">
        <v>1273</v>
      </c>
      <c r="S53">
        <v>10</v>
      </c>
      <c r="T53" t="b">
        <v>0</v>
      </c>
      <c r="U53" t="s">
        <v>125</v>
      </c>
      <c r="V53" t="s">
        <v>126</v>
      </c>
      <c r="W53">
        <v>1</v>
      </c>
      <c r="Y53">
        <v>0.5</v>
      </c>
      <c r="Z53">
        <v>0.2</v>
      </c>
      <c r="AC53" t="s">
        <v>90</v>
      </c>
      <c r="AD53">
        <v>125</v>
      </c>
      <c r="AE53">
        <v>220</v>
      </c>
      <c r="AF53" t="s">
        <v>91</v>
      </c>
      <c r="AG53">
        <v>288</v>
      </c>
      <c r="AH53" s="3">
        <v>8000</v>
      </c>
      <c r="AI53" s="3">
        <f>AH53/(AD53*Y53*Z53)</f>
        <v>640</v>
      </c>
      <c r="AJ53" s="3">
        <f t="shared" si="0"/>
        <v>6.4614681763537174</v>
      </c>
      <c r="AK53" t="s">
        <v>550</v>
      </c>
      <c r="AN53" t="b">
        <v>1</v>
      </c>
      <c r="AO53" t="b">
        <v>0</v>
      </c>
      <c r="AP53" t="b">
        <v>0</v>
      </c>
      <c r="AQ53" t="b">
        <v>0</v>
      </c>
      <c r="AR53" t="s">
        <v>1000</v>
      </c>
      <c r="AS53">
        <v>-1</v>
      </c>
      <c r="AU53">
        <v>6.4614681763537174</v>
      </c>
      <c r="AV53">
        <v>1.571428571428571</v>
      </c>
      <c r="AW53">
        <v>1.5</v>
      </c>
      <c r="AX53">
        <v>0.14285714285714279</v>
      </c>
      <c r="AY53">
        <v>0.2857142857142857</v>
      </c>
      <c r="AZ53">
        <v>0.44897959183673469</v>
      </c>
      <c r="BA53">
        <v>0.42857142857142849</v>
      </c>
      <c r="BB53">
        <v>4.0816326530612242E-2</v>
      </c>
      <c r="BC53">
        <v>8.1632653061224483E-2</v>
      </c>
      <c r="BD53">
        <v>6.6408981987575713</v>
      </c>
      <c r="BE53">
        <v>8</v>
      </c>
      <c r="BF53">
        <v>249.41538945455761</v>
      </c>
      <c r="BG53">
        <v>2</v>
      </c>
      <c r="BH53">
        <v>6.4150011091898274E-2</v>
      </c>
      <c r="BI53">
        <v>3.8703880000000002</v>
      </c>
      <c r="BJ53">
        <v>3.8703880000000002</v>
      </c>
      <c r="BK53">
        <v>16.649999999999999</v>
      </c>
      <c r="BL53">
        <v>0</v>
      </c>
      <c r="BM53">
        <v>0</v>
      </c>
      <c r="BO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462.9895600000001</v>
      </c>
      <c r="BY53">
        <v>6.9116029311762431E-2</v>
      </c>
      <c r="BZ53">
        <v>4</v>
      </c>
      <c r="CA53">
        <v>3.4558014655881222E-2</v>
      </c>
      <c r="CB53">
        <v>3.2075005545949137E-2</v>
      </c>
      <c r="CE53">
        <v>0.40838223139554991</v>
      </c>
      <c r="CH53">
        <v>0.43999615580896612</v>
      </c>
    </row>
    <row r="54" spans="1:86" x14ac:dyDescent="0.3">
      <c r="A54" s="1">
        <v>633</v>
      </c>
      <c r="B54" t="s">
        <v>1115</v>
      </c>
      <c r="C54" t="s">
        <v>1116</v>
      </c>
      <c r="E54" t="s">
        <v>404</v>
      </c>
      <c r="F54">
        <v>3.58</v>
      </c>
      <c r="G54" t="s">
        <v>1080</v>
      </c>
      <c r="H54">
        <v>-1</v>
      </c>
      <c r="I54">
        <v>-1</v>
      </c>
      <c r="J54">
        <v>1</v>
      </c>
      <c r="K54">
        <v>3.802</v>
      </c>
      <c r="L54">
        <v>3.802</v>
      </c>
      <c r="M54">
        <v>24.7</v>
      </c>
      <c r="N54" t="s">
        <v>101</v>
      </c>
      <c r="O54">
        <v>24.7</v>
      </c>
      <c r="Q54" t="s">
        <v>87</v>
      </c>
      <c r="R54">
        <v>1273</v>
      </c>
      <c r="S54">
        <v>10</v>
      </c>
      <c r="T54" t="b">
        <v>0</v>
      </c>
      <c r="U54" t="s">
        <v>125</v>
      </c>
      <c r="V54" t="s">
        <v>126</v>
      </c>
      <c r="W54">
        <v>1</v>
      </c>
      <c r="Y54">
        <v>0.5</v>
      </c>
      <c r="Z54">
        <v>0.5</v>
      </c>
      <c r="AC54" t="s">
        <v>90</v>
      </c>
      <c r="AD54">
        <v>125</v>
      </c>
      <c r="AE54">
        <v>220</v>
      </c>
      <c r="AF54" t="s">
        <v>91</v>
      </c>
      <c r="AG54">
        <v>288</v>
      </c>
      <c r="AH54" s="3">
        <v>20000</v>
      </c>
      <c r="AI54" s="3">
        <f>AH54/(AD54*Y54*Z54)</f>
        <v>640</v>
      </c>
      <c r="AJ54" s="3">
        <f t="shared" si="0"/>
        <v>6.4614681763537174</v>
      </c>
      <c r="AK54" t="s">
        <v>550</v>
      </c>
      <c r="AN54" t="b">
        <v>1</v>
      </c>
      <c r="AO54" t="b">
        <v>0</v>
      </c>
      <c r="AP54" t="b">
        <v>0</v>
      </c>
      <c r="AQ54" t="b">
        <v>0</v>
      </c>
      <c r="AR54" t="s">
        <v>1001</v>
      </c>
      <c r="AS54">
        <v>-1</v>
      </c>
      <c r="AU54">
        <v>6.0867747269123056</v>
      </c>
      <c r="AV54">
        <v>1.529411764705882</v>
      </c>
      <c r="AW54">
        <v>1.3529411764705881</v>
      </c>
      <c r="AX54">
        <v>0.1176470588235294</v>
      </c>
      <c r="AY54">
        <v>0.23529411764705879</v>
      </c>
      <c r="AZ54">
        <v>0.47272727272727272</v>
      </c>
      <c r="BA54">
        <v>0.41818181818181821</v>
      </c>
      <c r="BB54">
        <v>3.6363636363636362E-2</v>
      </c>
      <c r="BC54">
        <v>7.2727272727272724E-2</v>
      </c>
      <c r="BD54">
        <v>6.6815535222240001</v>
      </c>
      <c r="BE54">
        <v>8</v>
      </c>
      <c r="BF54">
        <v>279.37519599564558</v>
      </c>
      <c r="BG54">
        <v>2</v>
      </c>
      <c r="BH54">
        <v>5.7270653334053963E-2</v>
      </c>
      <c r="BI54">
        <v>3.8703880000000002</v>
      </c>
      <c r="BJ54">
        <v>3.8703880000000002</v>
      </c>
      <c r="BK54">
        <v>18.649999999999999</v>
      </c>
      <c r="BL54">
        <v>0</v>
      </c>
      <c r="BM54">
        <v>0</v>
      </c>
      <c r="BO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525.93376000000012</v>
      </c>
      <c r="BY54">
        <v>6.0844164101578099E-2</v>
      </c>
      <c r="BZ54">
        <v>4</v>
      </c>
      <c r="CA54">
        <v>3.042208205078905E-2</v>
      </c>
      <c r="CB54">
        <v>2.8635326667026981E-2</v>
      </c>
      <c r="CE54">
        <v>0.36539801480364231</v>
      </c>
      <c r="CH54">
        <v>0.38819771524911167</v>
      </c>
    </row>
    <row r="55" spans="1:86" x14ac:dyDescent="0.3">
      <c r="A55" s="1">
        <v>623</v>
      </c>
      <c r="B55" t="s">
        <v>1118</v>
      </c>
      <c r="C55" t="s">
        <v>1119</v>
      </c>
      <c r="E55" t="s">
        <v>404</v>
      </c>
      <c r="F55">
        <v>3.35</v>
      </c>
      <c r="G55" t="s">
        <v>1084</v>
      </c>
      <c r="H55">
        <v>-1</v>
      </c>
      <c r="I55">
        <v>-1</v>
      </c>
      <c r="J55">
        <v>1</v>
      </c>
      <c r="K55">
        <v>3.8</v>
      </c>
      <c r="L55">
        <v>3.8</v>
      </c>
      <c r="M55">
        <v>29.2</v>
      </c>
      <c r="N55" t="s">
        <v>529</v>
      </c>
      <c r="O55">
        <v>29.2</v>
      </c>
      <c r="Q55" t="s">
        <v>87</v>
      </c>
      <c r="R55">
        <v>1373</v>
      </c>
      <c r="S55">
        <v>12</v>
      </c>
      <c r="T55" t="b">
        <v>0</v>
      </c>
      <c r="U55" t="s">
        <v>125</v>
      </c>
      <c r="V55" t="s">
        <v>126</v>
      </c>
      <c r="W55">
        <v>1</v>
      </c>
      <c r="Y55">
        <v>0.5</v>
      </c>
      <c r="Z55">
        <v>1</v>
      </c>
      <c r="AC55" t="s">
        <v>90</v>
      </c>
      <c r="AD55">
        <v>125</v>
      </c>
      <c r="AE55">
        <v>220</v>
      </c>
      <c r="AF55" t="s">
        <v>91</v>
      </c>
      <c r="AG55">
        <v>288</v>
      </c>
      <c r="AH55" s="3">
        <v>38600</v>
      </c>
      <c r="AI55" s="3">
        <f>AH55/(AD55*Y55*Z55)</f>
        <v>617.6</v>
      </c>
      <c r="AJ55" s="3">
        <f t="shared" si="0"/>
        <v>6.4258409987105667</v>
      </c>
      <c r="AK55" t="s">
        <v>550</v>
      </c>
      <c r="AN55" t="b">
        <v>1</v>
      </c>
      <c r="AO55" t="b">
        <v>0</v>
      </c>
      <c r="AP55" t="b">
        <v>0</v>
      </c>
      <c r="AQ55" t="b">
        <v>0</v>
      </c>
      <c r="AR55" t="s">
        <v>1002</v>
      </c>
      <c r="AS55">
        <v>-1</v>
      </c>
      <c r="AU55">
        <v>6.1737861039019366</v>
      </c>
      <c r="AV55">
        <v>1.4782608695652171</v>
      </c>
      <c r="AW55">
        <v>1.173913043478261</v>
      </c>
      <c r="AX55">
        <v>8.6956521739130432E-2</v>
      </c>
      <c r="AY55">
        <v>0.17391304347826089</v>
      </c>
      <c r="AZ55">
        <v>0.50746268656716409</v>
      </c>
      <c r="BA55">
        <v>0.40298507462686572</v>
      </c>
      <c r="BB55">
        <v>2.9850746268656719E-2</v>
      </c>
      <c r="BC55">
        <v>5.9701492537313432E-2</v>
      </c>
      <c r="BD55">
        <v>6.731046959487478</v>
      </c>
      <c r="BE55">
        <v>8</v>
      </c>
      <c r="BF55">
        <v>358.01968816600157</v>
      </c>
      <c r="BG55">
        <v>2</v>
      </c>
      <c r="BH55">
        <v>4.4690279693728303E-2</v>
      </c>
      <c r="BI55">
        <v>3.8703880000000002</v>
      </c>
      <c r="BJ55">
        <v>3.8703880000000002</v>
      </c>
      <c r="BK55">
        <v>23.9</v>
      </c>
      <c r="BL55">
        <v>0</v>
      </c>
      <c r="BM55">
        <v>0</v>
      </c>
      <c r="BO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667.20852000000014</v>
      </c>
      <c r="BY55">
        <v>4.796101824359196E-2</v>
      </c>
      <c r="BZ55">
        <v>4</v>
      </c>
      <c r="CA55">
        <v>2.398050912179598E-2</v>
      </c>
      <c r="CB55">
        <v>2.2345139846864152E-2</v>
      </c>
      <c r="CE55">
        <v>0.28639709718794848</v>
      </c>
      <c r="CH55">
        <v>0.30735758418335962</v>
      </c>
    </row>
    <row r="56" spans="1:86" x14ac:dyDescent="0.3">
      <c r="A56" s="1">
        <v>560</v>
      </c>
      <c r="B56" t="s">
        <v>140</v>
      </c>
      <c r="C56" t="s">
        <v>141</v>
      </c>
      <c r="E56" t="s">
        <v>106</v>
      </c>
      <c r="F56">
        <v>3.38</v>
      </c>
      <c r="G56" t="s">
        <v>142</v>
      </c>
      <c r="H56">
        <v>1522043</v>
      </c>
      <c r="I56">
        <v>-1</v>
      </c>
      <c r="J56">
        <v>1</v>
      </c>
      <c r="K56">
        <v>3.82</v>
      </c>
      <c r="L56">
        <v>3.82</v>
      </c>
      <c r="M56">
        <v>16</v>
      </c>
      <c r="O56">
        <v>16</v>
      </c>
      <c r="Q56" t="s">
        <v>87</v>
      </c>
      <c r="R56">
        <v>1373</v>
      </c>
      <c r="S56">
        <v>24</v>
      </c>
      <c r="T56" t="b">
        <v>0</v>
      </c>
      <c r="U56" t="s">
        <v>125</v>
      </c>
      <c r="V56" t="s">
        <v>126</v>
      </c>
      <c r="W56">
        <v>1</v>
      </c>
      <c r="X56">
        <v>76.3</v>
      </c>
      <c r="Y56">
        <v>0.5</v>
      </c>
      <c r="Z56">
        <v>1</v>
      </c>
      <c r="AC56" t="s">
        <v>90</v>
      </c>
      <c r="AD56">
        <v>125</v>
      </c>
      <c r="AE56">
        <v>220</v>
      </c>
      <c r="AF56" t="s">
        <v>91</v>
      </c>
      <c r="AG56">
        <v>288</v>
      </c>
      <c r="AH56" s="3">
        <v>37600</v>
      </c>
      <c r="AI56" s="3">
        <f>AH56/(AD56*Y56*Z56)</f>
        <v>601.6</v>
      </c>
      <c r="AJ56" s="3">
        <f t="shared" si="0"/>
        <v>6.3995927726356303</v>
      </c>
      <c r="AK56" t="s">
        <v>550</v>
      </c>
      <c r="AN56" t="b">
        <v>1</v>
      </c>
      <c r="AO56" t="b">
        <v>0</v>
      </c>
      <c r="AP56" t="b">
        <v>0</v>
      </c>
      <c r="AQ56" t="b">
        <v>0</v>
      </c>
      <c r="AR56" t="s">
        <v>1003</v>
      </c>
      <c r="AS56">
        <v>-1</v>
      </c>
      <c r="AU56">
        <v>6.7799219074722519</v>
      </c>
      <c r="AV56">
        <v>1.448275862068966</v>
      </c>
      <c r="AW56">
        <v>1.068965517241379</v>
      </c>
      <c r="AX56">
        <v>6.8965517241379309E-2</v>
      </c>
      <c r="AY56">
        <v>0.13793103448275859</v>
      </c>
      <c r="AZ56">
        <v>0.53164556962025322</v>
      </c>
      <c r="BA56">
        <v>0.39240506329113922</v>
      </c>
      <c r="BB56">
        <v>2.5316455696202531E-2</v>
      </c>
      <c r="BC56">
        <v>5.0632911392405063E-2</v>
      </c>
      <c r="BD56">
        <v>6.7600603537453789</v>
      </c>
      <c r="BE56">
        <v>8</v>
      </c>
      <c r="BF56">
        <v>411.19834477643292</v>
      </c>
      <c r="BG56">
        <v>2</v>
      </c>
      <c r="BH56">
        <v>3.8910662465577638E-2</v>
      </c>
      <c r="BI56">
        <v>3.8703880000000002</v>
      </c>
      <c r="BJ56">
        <v>3.8703880000000002</v>
      </c>
      <c r="BK56">
        <v>27.45</v>
      </c>
      <c r="BL56">
        <v>0</v>
      </c>
      <c r="BM56">
        <v>0</v>
      </c>
      <c r="BO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747.2736000000001</v>
      </c>
      <c r="BY56">
        <v>4.282233441673839E-2</v>
      </c>
      <c r="BZ56">
        <v>4</v>
      </c>
      <c r="CA56">
        <v>2.1411167208369199E-2</v>
      </c>
      <c r="CB56">
        <v>1.9455331232788819E-2</v>
      </c>
      <c r="CE56">
        <v>0.25045931765012802</v>
      </c>
      <c r="CH56">
        <v>0.27563788377260329</v>
      </c>
    </row>
    <row r="57" spans="1:86" x14ac:dyDescent="0.3">
      <c r="A57" s="1">
        <v>559</v>
      </c>
      <c r="B57" t="s">
        <v>151</v>
      </c>
      <c r="C57" t="s">
        <v>152</v>
      </c>
      <c r="E57" t="s">
        <v>106</v>
      </c>
      <c r="F57">
        <v>3.26</v>
      </c>
      <c r="G57" t="s">
        <v>142</v>
      </c>
      <c r="H57">
        <v>1522043</v>
      </c>
      <c r="I57">
        <v>-1</v>
      </c>
      <c r="J57">
        <v>1</v>
      </c>
      <c r="K57">
        <v>3.89</v>
      </c>
      <c r="L57">
        <v>3.89</v>
      </c>
      <c r="M57">
        <v>16.399999999999999</v>
      </c>
      <c r="O57">
        <v>16.399999999999999</v>
      </c>
      <c r="Q57" t="s">
        <v>87</v>
      </c>
      <c r="R57">
        <v>1573</v>
      </c>
      <c r="S57">
        <v>10</v>
      </c>
      <c r="T57" t="b">
        <v>0</v>
      </c>
      <c r="U57" t="s">
        <v>125</v>
      </c>
      <c r="V57" t="s">
        <v>126</v>
      </c>
      <c r="W57">
        <v>1</v>
      </c>
      <c r="X57">
        <v>103</v>
      </c>
      <c r="Y57">
        <v>0.5</v>
      </c>
      <c r="Z57">
        <v>1</v>
      </c>
      <c r="AC57" t="s">
        <v>90</v>
      </c>
      <c r="AD57">
        <v>125</v>
      </c>
      <c r="AE57">
        <v>220</v>
      </c>
      <c r="AF57" t="s">
        <v>91</v>
      </c>
      <c r="AG57">
        <v>288</v>
      </c>
      <c r="AH57" s="3">
        <v>36000</v>
      </c>
      <c r="AI57" s="3">
        <f>AH57/(AD57*Y57*Z57)</f>
        <v>576</v>
      </c>
      <c r="AJ57" s="3">
        <f t="shared" si="0"/>
        <v>6.3561076606958915</v>
      </c>
      <c r="AK57" t="s">
        <v>550</v>
      </c>
      <c r="AN57" t="b">
        <v>1</v>
      </c>
      <c r="AO57" t="b">
        <v>0</v>
      </c>
      <c r="AP57" t="b">
        <v>0</v>
      </c>
      <c r="AQ57" t="b">
        <v>0</v>
      </c>
      <c r="AR57" t="s">
        <v>1004</v>
      </c>
      <c r="AS57">
        <v>-1</v>
      </c>
      <c r="AU57">
        <v>7.3777589082278734</v>
      </c>
      <c r="AV57">
        <v>1.615384615384615</v>
      </c>
      <c r="AW57">
        <v>1.6923076923076921</v>
      </c>
      <c r="AX57">
        <v>0.15384615384615391</v>
      </c>
      <c r="AY57">
        <v>0.30769230769230771</v>
      </c>
      <c r="AZ57">
        <v>0.4285714285714286</v>
      </c>
      <c r="BA57">
        <v>0.44897959183673469</v>
      </c>
      <c r="BB57">
        <v>4.0816326530612249E-2</v>
      </c>
      <c r="BC57">
        <v>8.1632653061224497E-2</v>
      </c>
      <c r="BD57">
        <v>6.6233676059426916</v>
      </c>
      <c r="BE57">
        <v>10</v>
      </c>
      <c r="BF57">
        <v>249.41538945455761</v>
      </c>
      <c r="BG57">
        <v>2</v>
      </c>
      <c r="BH57">
        <v>8.0187513864872856E-2</v>
      </c>
      <c r="BI57">
        <v>3.8703880000000002</v>
      </c>
      <c r="BJ57">
        <v>3.8703880000000002</v>
      </c>
      <c r="BK57">
        <v>16.649999999999999</v>
      </c>
      <c r="BL57">
        <v>0</v>
      </c>
      <c r="BM57">
        <v>0</v>
      </c>
      <c r="BO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440.45119999999997</v>
      </c>
      <c r="BY57">
        <v>9.0815963266759184E-2</v>
      </c>
      <c r="BZ57">
        <v>5</v>
      </c>
      <c r="CA57">
        <v>4.5407981633379592E-2</v>
      </c>
      <c r="CB57">
        <v>4.0093756932436428E-2</v>
      </c>
      <c r="CE57">
        <v>0.39831900676375431</v>
      </c>
      <c r="CH57">
        <v>0.45111417654956709</v>
      </c>
    </row>
    <row r="58" spans="1:86" x14ac:dyDescent="0.3">
      <c r="A58" s="1">
        <v>639</v>
      </c>
      <c r="B58" t="s">
        <v>1115</v>
      </c>
      <c r="C58" t="s">
        <v>1116</v>
      </c>
      <c r="E58" t="s">
        <v>404</v>
      </c>
      <c r="F58">
        <v>3.58</v>
      </c>
      <c r="G58" t="s">
        <v>1080</v>
      </c>
      <c r="H58">
        <v>-1</v>
      </c>
      <c r="I58">
        <v>-1</v>
      </c>
      <c r="J58">
        <v>1</v>
      </c>
      <c r="K58">
        <v>3.802</v>
      </c>
      <c r="L58">
        <v>3.802</v>
      </c>
      <c r="M58">
        <v>24.7</v>
      </c>
      <c r="N58" t="s">
        <v>101</v>
      </c>
      <c r="O58">
        <v>24.7</v>
      </c>
      <c r="Q58" t="s">
        <v>87</v>
      </c>
      <c r="R58">
        <v>1273</v>
      </c>
      <c r="S58">
        <v>10</v>
      </c>
      <c r="T58" t="b">
        <v>0</v>
      </c>
      <c r="U58" t="s">
        <v>125</v>
      </c>
      <c r="V58" t="s">
        <v>126</v>
      </c>
      <c r="W58">
        <v>0.25</v>
      </c>
      <c r="Y58">
        <v>0.5</v>
      </c>
      <c r="Z58">
        <v>1</v>
      </c>
      <c r="AC58" t="s">
        <v>90</v>
      </c>
      <c r="AD58">
        <v>125</v>
      </c>
      <c r="AE58">
        <v>220</v>
      </c>
      <c r="AF58" t="s">
        <v>91</v>
      </c>
      <c r="AG58">
        <v>288</v>
      </c>
      <c r="AH58" s="3">
        <v>36000</v>
      </c>
      <c r="AI58" s="3">
        <f>AH58/(AD58*Y58*Z58)</f>
        <v>576</v>
      </c>
      <c r="AJ58" s="3">
        <f t="shared" si="0"/>
        <v>6.3561076606958915</v>
      </c>
      <c r="AK58" t="s">
        <v>550</v>
      </c>
      <c r="AN58" t="b">
        <v>1</v>
      </c>
      <c r="AO58" t="b">
        <v>0</v>
      </c>
      <c r="AP58" t="b">
        <v>0</v>
      </c>
      <c r="AQ58" t="b">
        <v>0</v>
      </c>
      <c r="AR58" t="s">
        <v>1005</v>
      </c>
      <c r="AS58">
        <v>-1</v>
      </c>
      <c r="AU58">
        <v>6.4614681763537174</v>
      </c>
      <c r="AV58">
        <v>1.5625</v>
      </c>
      <c r="AW58">
        <v>1.5</v>
      </c>
      <c r="AX58">
        <v>0.125</v>
      </c>
      <c r="AY58">
        <v>0.25</v>
      </c>
      <c r="AZ58">
        <v>0.45454545454545447</v>
      </c>
      <c r="BA58">
        <v>0.43636363636363629</v>
      </c>
      <c r="BB58">
        <v>3.6363636363636362E-2</v>
      </c>
      <c r="BC58">
        <v>7.2727272727272724E-2</v>
      </c>
      <c r="BD58">
        <v>6.6698508732785617</v>
      </c>
      <c r="BE58">
        <v>10</v>
      </c>
      <c r="BF58">
        <v>279.37519599564558</v>
      </c>
      <c r="BG58">
        <v>2</v>
      </c>
      <c r="BH58">
        <v>7.1588316667567459E-2</v>
      </c>
      <c r="BI58">
        <v>3.8703880000000002</v>
      </c>
      <c r="BJ58">
        <v>3.8703880000000002</v>
      </c>
      <c r="BK58">
        <v>18.649999999999999</v>
      </c>
      <c r="BL58">
        <v>0</v>
      </c>
      <c r="BM58">
        <v>0</v>
      </c>
      <c r="BO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498.31599999999997</v>
      </c>
      <c r="BY58">
        <v>8.0270350540620802E-2</v>
      </c>
      <c r="BZ58">
        <v>5</v>
      </c>
      <c r="CA58">
        <v>4.0135175270310401E-2</v>
      </c>
      <c r="CB58">
        <v>3.5794158333783729E-2</v>
      </c>
      <c r="CE58">
        <v>0.35641395635220002</v>
      </c>
      <c r="CH58">
        <v>0.39963885932412108</v>
      </c>
    </row>
    <row r="59" spans="1:86" x14ac:dyDescent="0.3">
      <c r="A59" s="1">
        <v>729</v>
      </c>
      <c r="B59" t="s">
        <v>1115</v>
      </c>
      <c r="C59" t="s">
        <v>1116</v>
      </c>
      <c r="E59" t="s">
        <v>404</v>
      </c>
      <c r="F59">
        <v>3.58</v>
      </c>
      <c r="G59" t="s">
        <v>1080</v>
      </c>
      <c r="H59">
        <v>-1</v>
      </c>
      <c r="I59">
        <v>-1</v>
      </c>
      <c r="J59">
        <v>1</v>
      </c>
      <c r="K59">
        <v>3.802</v>
      </c>
      <c r="L59">
        <v>3.802</v>
      </c>
      <c r="M59">
        <v>24.7</v>
      </c>
      <c r="N59" t="s">
        <v>101</v>
      </c>
      <c r="O59">
        <v>24.7</v>
      </c>
      <c r="Q59" t="s">
        <v>87</v>
      </c>
      <c r="R59">
        <v>1273</v>
      </c>
      <c r="S59">
        <v>10</v>
      </c>
      <c r="T59" t="b">
        <v>0</v>
      </c>
      <c r="U59" t="s">
        <v>125</v>
      </c>
      <c r="V59" t="s">
        <v>126</v>
      </c>
      <c r="W59">
        <v>1</v>
      </c>
      <c r="Y59">
        <v>0.5</v>
      </c>
      <c r="Z59">
        <v>5</v>
      </c>
      <c r="AC59" t="s">
        <v>90</v>
      </c>
      <c r="AD59">
        <v>125</v>
      </c>
      <c r="AE59">
        <v>220</v>
      </c>
      <c r="AF59" t="s">
        <v>91</v>
      </c>
      <c r="AG59">
        <v>288</v>
      </c>
      <c r="AH59" s="3">
        <v>141000</v>
      </c>
      <c r="AI59" s="3">
        <f>AH59/(AD59*Y59*Z59)</f>
        <v>451.2</v>
      </c>
      <c r="AJ59" s="3">
        <f t="shared" si="0"/>
        <v>6.1119107001838495</v>
      </c>
      <c r="AK59" t="s">
        <v>550</v>
      </c>
      <c r="AN59" t="b">
        <v>1</v>
      </c>
      <c r="AO59" t="b">
        <v>0</v>
      </c>
      <c r="AP59" t="b">
        <v>0</v>
      </c>
      <c r="AQ59" t="b">
        <v>0</v>
      </c>
      <c r="AR59" t="s">
        <v>1006</v>
      </c>
      <c r="AS59">
        <v>-1</v>
      </c>
      <c r="AU59">
        <v>6.9847163201182658</v>
      </c>
      <c r="AV59">
        <v>1.5</v>
      </c>
      <c r="AW59">
        <v>1.2727272727272729</v>
      </c>
      <c r="AX59">
        <v>9.0909090909090912E-2</v>
      </c>
      <c r="AY59">
        <v>0.1818181818181818</v>
      </c>
      <c r="AZ59">
        <v>0.49253731343283591</v>
      </c>
      <c r="BA59">
        <v>0.41791044776119401</v>
      </c>
      <c r="BB59">
        <v>2.9850746268656719E-2</v>
      </c>
      <c r="BC59">
        <v>5.9701492537313439E-2</v>
      </c>
      <c r="BD59">
        <v>6.7247856437664089</v>
      </c>
      <c r="BE59">
        <v>10</v>
      </c>
      <c r="BF59">
        <v>358.01968816600157</v>
      </c>
      <c r="BG59">
        <v>2</v>
      </c>
      <c r="BH59">
        <v>5.5862849617160371E-2</v>
      </c>
      <c r="BI59">
        <v>3.8703880000000002</v>
      </c>
      <c r="BJ59">
        <v>3.8703880000000002</v>
      </c>
      <c r="BK59">
        <v>23.9</v>
      </c>
      <c r="BL59">
        <v>0</v>
      </c>
      <c r="BM59">
        <v>0</v>
      </c>
      <c r="BO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612.50244999999995</v>
      </c>
      <c r="BY59">
        <v>6.5305861225534695E-2</v>
      </c>
      <c r="BZ59">
        <v>5</v>
      </c>
      <c r="CA59">
        <v>3.2652930612767347E-2</v>
      </c>
      <c r="CB59">
        <v>2.7931424808580189E-2</v>
      </c>
      <c r="CE59">
        <v>0.27938652437960559</v>
      </c>
      <c r="CH59">
        <v>0.32661379994861872</v>
      </c>
    </row>
    <row r="60" spans="1:86" x14ac:dyDescent="0.3">
      <c r="A60" s="1">
        <v>558</v>
      </c>
      <c r="B60" t="s">
        <v>140</v>
      </c>
      <c r="C60" t="s">
        <v>141</v>
      </c>
      <c r="E60" t="s">
        <v>106</v>
      </c>
      <c r="F60">
        <v>3.5</v>
      </c>
      <c r="G60" t="s">
        <v>142</v>
      </c>
      <c r="H60">
        <v>1522043</v>
      </c>
      <c r="I60">
        <v>-1</v>
      </c>
      <c r="J60">
        <v>1</v>
      </c>
      <c r="K60">
        <v>3.82</v>
      </c>
      <c r="L60">
        <v>3.82</v>
      </c>
      <c r="M60">
        <v>16</v>
      </c>
      <c r="O60">
        <v>16</v>
      </c>
      <c r="Q60" t="s">
        <v>87</v>
      </c>
      <c r="R60">
        <v>1373</v>
      </c>
      <c r="S60">
        <v>24</v>
      </c>
      <c r="T60" t="b">
        <v>0</v>
      </c>
      <c r="U60" t="s">
        <v>125</v>
      </c>
      <c r="V60" t="s">
        <v>126</v>
      </c>
      <c r="W60">
        <v>1</v>
      </c>
      <c r="X60">
        <v>7.6</v>
      </c>
      <c r="Y60">
        <v>0.5</v>
      </c>
      <c r="Z60">
        <v>1</v>
      </c>
      <c r="AC60" t="s">
        <v>90</v>
      </c>
      <c r="AD60">
        <v>125</v>
      </c>
      <c r="AE60">
        <v>220</v>
      </c>
      <c r="AF60" t="s">
        <v>91</v>
      </c>
      <c r="AG60">
        <v>288</v>
      </c>
      <c r="AH60" s="3">
        <v>23600</v>
      </c>
      <c r="AI60" s="3">
        <f>AH60/(AD60*Y60*Z60)</f>
        <v>377.6</v>
      </c>
      <c r="AJ60" s="3">
        <f t="shared" si="0"/>
        <v>5.9338354342713453</v>
      </c>
      <c r="AK60" t="s">
        <v>550</v>
      </c>
      <c r="AN60" t="b">
        <v>1</v>
      </c>
      <c r="AO60" t="b">
        <v>0</v>
      </c>
      <c r="AP60" t="b">
        <v>0</v>
      </c>
      <c r="AQ60" t="b">
        <v>0</v>
      </c>
      <c r="AR60" t="s">
        <v>1007</v>
      </c>
      <c r="AS60">
        <v>-1</v>
      </c>
      <c r="AU60">
        <v>6.7334018918373593</v>
      </c>
      <c r="AV60">
        <v>1.464285714285714</v>
      </c>
      <c r="AW60">
        <v>1.142857142857143</v>
      </c>
      <c r="AX60">
        <v>7.1428571428571425E-2</v>
      </c>
      <c r="AY60">
        <v>0.14285714285714279</v>
      </c>
      <c r="AZ60">
        <v>0.51898734177215178</v>
      </c>
      <c r="BA60">
        <v>0.40506329113924039</v>
      </c>
      <c r="BB60">
        <v>2.5316455696202531E-2</v>
      </c>
      <c r="BC60">
        <v>5.0632911392405063E-2</v>
      </c>
      <c r="BD60">
        <v>6.7561769411880359</v>
      </c>
      <c r="BE60">
        <v>10</v>
      </c>
      <c r="BF60">
        <v>411.19834477643292</v>
      </c>
      <c r="BG60">
        <v>2</v>
      </c>
      <c r="BH60">
        <v>4.8638328081972049E-2</v>
      </c>
      <c r="BI60">
        <v>3.8703880000000002</v>
      </c>
      <c r="BJ60">
        <v>3.8703880000000002</v>
      </c>
      <c r="BK60">
        <v>27.45</v>
      </c>
      <c r="BL60">
        <v>0</v>
      </c>
      <c r="BM60">
        <v>0</v>
      </c>
      <c r="BO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755.64908999999989</v>
      </c>
      <c r="BY60">
        <v>5.2934623397746697E-2</v>
      </c>
      <c r="BZ60">
        <v>5</v>
      </c>
      <c r="CA60">
        <v>2.6467311698873348E-2</v>
      </c>
      <c r="CB60">
        <v>2.4319164040986021E-2</v>
      </c>
      <c r="CE60">
        <v>0.2443553945128093</v>
      </c>
      <c r="CH60">
        <v>0.26593966720944362</v>
      </c>
    </row>
    <row r="61" spans="1:86" x14ac:dyDescent="0.3">
      <c r="A61" s="1">
        <v>718</v>
      </c>
      <c r="B61" t="s">
        <v>1078</v>
      </c>
      <c r="C61" t="s">
        <v>1079</v>
      </c>
      <c r="E61" t="s">
        <v>404</v>
      </c>
      <c r="F61">
        <v>3.42</v>
      </c>
      <c r="G61" t="s">
        <v>1080</v>
      </c>
      <c r="H61">
        <v>-1</v>
      </c>
      <c r="I61">
        <v>-1</v>
      </c>
      <c r="J61">
        <v>1</v>
      </c>
      <c r="K61">
        <v>3.82</v>
      </c>
      <c r="L61">
        <v>3.82</v>
      </c>
      <c r="M61">
        <v>25.06</v>
      </c>
      <c r="N61" t="s">
        <v>1047</v>
      </c>
      <c r="O61">
        <v>25.06</v>
      </c>
      <c r="Q61" t="s">
        <v>87</v>
      </c>
      <c r="R61">
        <v>1273</v>
      </c>
      <c r="S61">
        <v>10</v>
      </c>
      <c r="T61" t="b">
        <v>0</v>
      </c>
      <c r="U61" t="s">
        <v>125</v>
      </c>
      <c r="V61" t="s">
        <v>126</v>
      </c>
      <c r="W61">
        <v>1</v>
      </c>
      <c r="Y61">
        <v>0.5</v>
      </c>
      <c r="Z61">
        <v>5</v>
      </c>
      <c r="AC61" t="s">
        <v>90</v>
      </c>
      <c r="AD61">
        <v>125</v>
      </c>
      <c r="AE61">
        <v>220</v>
      </c>
      <c r="AF61" t="s">
        <v>91</v>
      </c>
      <c r="AG61">
        <v>288</v>
      </c>
      <c r="AH61" s="3">
        <v>117000</v>
      </c>
      <c r="AI61" s="3">
        <f>AH61/(AD61*Y61*Z61)</f>
        <v>374.4</v>
      </c>
      <c r="AJ61" s="3">
        <f t="shared" si="0"/>
        <v>5.9253247446034365</v>
      </c>
      <c r="AK61" t="s">
        <v>153</v>
      </c>
      <c r="AL61" t="s">
        <v>153</v>
      </c>
      <c r="AN61" t="b">
        <v>1</v>
      </c>
      <c r="AO61" t="b">
        <v>1</v>
      </c>
      <c r="AP61" t="b">
        <v>0</v>
      </c>
      <c r="AQ61" t="b">
        <v>0</v>
      </c>
      <c r="AR61" t="s">
        <v>1016</v>
      </c>
      <c r="AS61" t="s">
        <v>1017</v>
      </c>
      <c r="AU61">
        <v>9.6290507068343683</v>
      </c>
      <c r="AV61">
        <v>1.75</v>
      </c>
      <c r="AW61">
        <v>2.5</v>
      </c>
      <c r="AX61">
        <v>0.75</v>
      </c>
      <c r="AY61">
        <v>0</v>
      </c>
      <c r="AZ61">
        <v>0.35</v>
      </c>
      <c r="BA61">
        <v>0.5</v>
      </c>
      <c r="BB61">
        <v>0.15</v>
      </c>
      <c r="BC61">
        <v>0</v>
      </c>
      <c r="BD61">
        <v>6.2395921087406876</v>
      </c>
      <c r="BE61">
        <v>20</v>
      </c>
      <c r="BF61">
        <v>242.1279024923125</v>
      </c>
      <c r="BG61">
        <v>1</v>
      </c>
      <c r="BH61">
        <v>8.2600971611006269E-2</v>
      </c>
      <c r="BI61">
        <v>3.950634</v>
      </c>
      <c r="BJ61">
        <v>3.950634</v>
      </c>
      <c r="BK61">
        <v>15.513552000000001</v>
      </c>
      <c r="BL61">
        <v>227.970829547178</v>
      </c>
      <c r="BM61">
        <v>1</v>
      </c>
      <c r="BN61">
        <v>8.7730522539775438E-2</v>
      </c>
      <c r="BO61">
        <v>3.8658999999999999</v>
      </c>
      <c r="BP61">
        <v>3.8658999999999999</v>
      </c>
      <c r="BQ61">
        <v>15.2538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248.16643999999999</v>
      </c>
      <c r="BY61">
        <v>8.0591074280631989E-2</v>
      </c>
      <c r="BZ61">
        <v>10</v>
      </c>
      <c r="CA61">
        <v>4.0295537140315987E-2</v>
      </c>
      <c r="CB61">
        <v>4.1300485805503127E-2</v>
      </c>
      <c r="CC61">
        <v>4.3865261269887719E-2</v>
      </c>
      <c r="CE61">
        <v>0.45027090848362911</v>
      </c>
      <c r="CF61">
        <v>0.47823289866077828</v>
      </c>
      <c r="CH61">
        <v>0.43931464151417537</v>
      </c>
    </row>
    <row r="62" spans="1:86" x14ac:dyDescent="0.3">
      <c r="A62" s="1">
        <v>636</v>
      </c>
      <c r="B62" t="s">
        <v>1115</v>
      </c>
      <c r="C62" t="s">
        <v>1116</v>
      </c>
      <c r="E62" t="s">
        <v>404</v>
      </c>
      <c r="F62">
        <v>3.58</v>
      </c>
      <c r="G62" t="s">
        <v>1080</v>
      </c>
      <c r="H62">
        <v>-1</v>
      </c>
      <c r="I62">
        <v>-1</v>
      </c>
      <c r="J62">
        <v>1</v>
      </c>
      <c r="K62">
        <v>3.802</v>
      </c>
      <c r="L62">
        <v>3.802</v>
      </c>
      <c r="M62">
        <v>24.7</v>
      </c>
      <c r="N62" t="s">
        <v>101</v>
      </c>
      <c r="O62">
        <v>24.7</v>
      </c>
      <c r="Q62" t="s">
        <v>87</v>
      </c>
      <c r="R62">
        <v>1273</v>
      </c>
      <c r="S62">
        <v>10</v>
      </c>
      <c r="T62" t="b">
        <v>0</v>
      </c>
      <c r="U62" t="s">
        <v>125</v>
      </c>
      <c r="V62" t="s">
        <v>126</v>
      </c>
      <c r="W62">
        <v>1</v>
      </c>
      <c r="Y62">
        <v>0.5</v>
      </c>
      <c r="Z62">
        <v>6</v>
      </c>
      <c r="AC62" t="s">
        <v>90</v>
      </c>
      <c r="AD62">
        <v>125</v>
      </c>
      <c r="AE62">
        <v>220</v>
      </c>
      <c r="AF62" t="s">
        <v>91</v>
      </c>
      <c r="AG62">
        <v>288</v>
      </c>
      <c r="AH62" s="3">
        <v>140000</v>
      </c>
      <c r="AI62" s="3">
        <f>AH62/(AD62*Y62*Z62)</f>
        <v>373.33333333333331</v>
      </c>
      <c r="AJ62" s="3">
        <f t="shared" si="0"/>
        <v>5.9224716756210301</v>
      </c>
      <c r="AK62" t="s">
        <v>144</v>
      </c>
      <c r="AL62" t="s">
        <v>144</v>
      </c>
      <c r="AN62" t="b">
        <v>1</v>
      </c>
      <c r="AO62" t="b">
        <v>1</v>
      </c>
      <c r="AP62" t="b">
        <v>0</v>
      </c>
      <c r="AQ62" t="b">
        <v>0</v>
      </c>
      <c r="AR62" t="s">
        <v>1018</v>
      </c>
      <c r="AS62" t="s">
        <v>1019</v>
      </c>
      <c r="AU62">
        <v>10.0690019910137</v>
      </c>
      <c r="AV62">
        <v>1.75</v>
      </c>
      <c r="AW62">
        <v>2.5</v>
      </c>
      <c r="AX62">
        <v>0.75</v>
      </c>
      <c r="AY62">
        <v>0</v>
      </c>
      <c r="AZ62">
        <v>0.35</v>
      </c>
      <c r="BA62">
        <v>0.5</v>
      </c>
      <c r="BB62">
        <v>0.15</v>
      </c>
      <c r="BC62">
        <v>0</v>
      </c>
      <c r="BD62">
        <v>6.2640154224906874</v>
      </c>
      <c r="BE62">
        <v>20</v>
      </c>
      <c r="BF62">
        <v>242.1279024923125</v>
      </c>
      <c r="BG62">
        <v>1</v>
      </c>
      <c r="BH62">
        <v>8.2600971611006269E-2</v>
      </c>
      <c r="BI62">
        <v>3.950634</v>
      </c>
      <c r="BJ62">
        <v>3.950634</v>
      </c>
      <c r="BK62">
        <v>15.513552000000001</v>
      </c>
      <c r="BL62">
        <v>227.970829547178</v>
      </c>
      <c r="BM62">
        <v>1</v>
      </c>
      <c r="BN62">
        <v>8.7730522539775438E-2</v>
      </c>
      <c r="BO62">
        <v>3.8658999999999999</v>
      </c>
      <c r="BP62">
        <v>3.8658999999999999</v>
      </c>
      <c r="BQ62">
        <v>15.2538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233.47839999999999</v>
      </c>
      <c r="BY62">
        <v>8.5661029028809524E-2</v>
      </c>
      <c r="BZ62">
        <v>10</v>
      </c>
      <c r="CA62">
        <v>4.2830514514404762E-2</v>
      </c>
      <c r="CB62">
        <v>4.1300485805503127E-2</v>
      </c>
      <c r="CC62">
        <v>4.3865261269887719E-2</v>
      </c>
      <c r="CE62">
        <v>0.42195359024583579</v>
      </c>
      <c r="CF62">
        <v>0.44815706447294301</v>
      </c>
      <c r="CH62">
        <v>0.43758539443188288</v>
      </c>
    </row>
    <row r="63" spans="1:86" x14ac:dyDescent="0.3">
      <c r="A63" s="1">
        <v>670</v>
      </c>
      <c r="B63" t="s">
        <v>140</v>
      </c>
      <c r="C63" t="s">
        <v>141</v>
      </c>
      <c r="E63" t="s">
        <v>106</v>
      </c>
      <c r="F63">
        <v>3.5</v>
      </c>
      <c r="G63" t="s">
        <v>142</v>
      </c>
      <c r="H63">
        <v>1522043</v>
      </c>
      <c r="I63">
        <v>-1</v>
      </c>
      <c r="J63">
        <v>2</v>
      </c>
      <c r="K63">
        <v>3.843</v>
      </c>
      <c r="L63">
        <v>3.843</v>
      </c>
      <c r="M63">
        <v>32.261000000000003</v>
      </c>
      <c r="N63" t="s">
        <v>1178</v>
      </c>
      <c r="O63">
        <v>16.130500000000001</v>
      </c>
      <c r="Q63" t="s">
        <v>87</v>
      </c>
      <c r="R63">
        <v>1373</v>
      </c>
      <c r="S63">
        <v>24</v>
      </c>
      <c r="T63" t="b">
        <v>0</v>
      </c>
      <c r="U63" t="s">
        <v>125</v>
      </c>
      <c r="V63" t="s">
        <v>126</v>
      </c>
      <c r="W63">
        <v>1</v>
      </c>
      <c r="Y63">
        <v>0.5</v>
      </c>
      <c r="Z63">
        <v>1</v>
      </c>
      <c r="AC63" t="s">
        <v>90</v>
      </c>
      <c r="AD63">
        <v>125</v>
      </c>
      <c r="AE63">
        <v>220</v>
      </c>
      <c r="AF63" t="s">
        <v>91</v>
      </c>
      <c r="AG63">
        <v>288</v>
      </c>
      <c r="AH63" s="3">
        <v>22289.93771055893</v>
      </c>
      <c r="AI63" s="3">
        <f>AH63/(AD63*Y63*Z63)</f>
        <v>356.63900336894289</v>
      </c>
      <c r="AJ63" s="3">
        <f t="shared" si="0"/>
        <v>5.876724075132036</v>
      </c>
      <c r="AK63" t="s">
        <v>153</v>
      </c>
      <c r="AL63" t="s">
        <v>153</v>
      </c>
      <c r="AN63" t="b">
        <v>1</v>
      </c>
      <c r="AO63" t="b">
        <v>1</v>
      </c>
      <c r="AP63" t="b">
        <v>0</v>
      </c>
      <c r="AQ63" t="b">
        <v>0</v>
      </c>
      <c r="AR63" t="s">
        <v>1020</v>
      </c>
      <c r="AS63" t="s">
        <v>1021</v>
      </c>
      <c r="AU63">
        <v>10.491274217438249</v>
      </c>
      <c r="AV63">
        <v>1.75</v>
      </c>
      <c r="AW63">
        <v>2.5</v>
      </c>
      <c r="AX63">
        <v>0.75</v>
      </c>
      <c r="AY63">
        <v>0</v>
      </c>
      <c r="AZ63">
        <v>0.35</v>
      </c>
      <c r="BA63">
        <v>0.5</v>
      </c>
      <c r="BB63">
        <v>0.15</v>
      </c>
      <c r="BC63">
        <v>0</v>
      </c>
      <c r="BD63">
        <v>6.2395921087406876</v>
      </c>
      <c r="BE63">
        <v>20</v>
      </c>
      <c r="BF63">
        <v>242.1279024923125</v>
      </c>
      <c r="BG63">
        <v>1</v>
      </c>
      <c r="BH63">
        <v>8.2600971611006269E-2</v>
      </c>
      <c r="BI63">
        <v>3.950634</v>
      </c>
      <c r="BJ63">
        <v>3.950634</v>
      </c>
      <c r="BK63">
        <v>15.513552000000001</v>
      </c>
      <c r="BL63">
        <v>227.970829547178</v>
      </c>
      <c r="BM63">
        <v>1</v>
      </c>
      <c r="BN63">
        <v>8.7730522539775438E-2</v>
      </c>
      <c r="BO63">
        <v>3.8658999999999999</v>
      </c>
      <c r="BP63">
        <v>3.8658999999999999</v>
      </c>
      <c r="BQ63">
        <v>15.2538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248.16643999999999</v>
      </c>
      <c r="BY63">
        <v>8.0591074280631989E-2</v>
      </c>
      <c r="BZ63">
        <v>10</v>
      </c>
      <c r="CA63">
        <v>4.0295537140315987E-2</v>
      </c>
      <c r="CB63">
        <v>4.1300485805503127E-2</v>
      </c>
      <c r="CC63">
        <v>4.3865261269887719E-2</v>
      </c>
      <c r="CE63">
        <v>0.45027090848362911</v>
      </c>
      <c r="CF63">
        <v>0.47823289866077828</v>
      </c>
      <c r="CH63">
        <v>0.43931464151417537</v>
      </c>
    </row>
    <row r="64" spans="1:86" x14ac:dyDescent="0.3">
      <c r="A64" s="1">
        <v>648</v>
      </c>
      <c r="B64" t="s">
        <v>1115</v>
      </c>
      <c r="C64" t="s">
        <v>1116</v>
      </c>
      <c r="E64" t="s">
        <v>404</v>
      </c>
      <c r="F64">
        <v>3.58</v>
      </c>
      <c r="G64" t="s">
        <v>1080</v>
      </c>
      <c r="H64">
        <v>-1</v>
      </c>
      <c r="I64">
        <v>-1</v>
      </c>
      <c r="J64">
        <v>1</v>
      </c>
      <c r="K64">
        <v>3.802</v>
      </c>
      <c r="L64">
        <v>3.802</v>
      </c>
      <c r="M64">
        <v>24.7</v>
      </c>
      <c r="N64" t="s">
        <v>101</v>
      </c>
      <c r="O64">
        <v>24.7</v>
      </c>
      <c r="Q64" t="s">
        <v>87</v>
      </c>
      <c r="R64">
        <v>1273</v>
      </c>
      <c r="S64">
        <v>10</v>
      </c>
      <c r="T64" t="b">
        <v>0</v>
      </c>
      <c r="U64" t="s">
        <v>125</v>
      </c>
      <c r="V64" t="s">
        <v>126</v>
      </c>
      <c r="W64">
        <v>1</v>
      </c>
      <c r="Y64">
        <v>2</v>
      </c>
      <c r="Z64">
        <v>1</v>
      </c>
      <c r="AC64" t="s">
        <v>90</v>
      </c>
      <c r="AD64">
        <v>125</v>
      </c>
      <c r="AE64">
        <v>220</v>
      </c>
      <c r="AF64" t="s">
        <v>91</v>
      </c>
      <c r="AG64">
        <v>288</v>
      </c>
      <c r="AH64" s="3">
        <v>84000</v>
      </c>
      <c r="AI64" s="3">
        <f>AH64/(AD64*Y64*Z64)</f>
        <v>336</v>
      </c>
      <c r="AJ64" s="3">
        <f t="shared" si="0"/>
        <v>5.8171111599632042</v>
      </c>
      <c r="AK64" t="s">
        <v>144</v>
      </c>
      <c r="AL64" t="s">
        <v>144</v>
      </c>
      <c r="AN64" t="b">
        <v>1</v>
      </c>
      <c r="AO64" t="b">
        <v>1</v>
      </c>
      <c r="AP64" t="b">
        <v>0</v>
      </c>
      <c r="AQ64" t="b">
        <v>0</v>
      </c>
      <c r="AR64" t="s">
        <v>1022</v>
      </c>
      <c r="AS64" t="s">
        <v>1023</v>
      </c>
      <c r="AU64">
        <v>10.534759329377991</v>
      </c>
      <c r="AV64">
        <v>1.75</v>
      </c>
      <c r="AW64">
        <v>2.5</v>
      </c>
      <c r="AX64">
        <v>0.75</v>
      </c>
      <c r="AY64">
        <v>0</v>
      </c>
      <c r="AZ64">
        <v>0.35</v>
      </c>
      <c r="BA64">
        <v>0.5</v>
      </c>
      <c r="BB64">
        <v>0.15</v>
      </c>
      <c r="BC64">
        <v>0</v>
      </c>
      <c r="BD64">
        <v>6.2640154224906874</v>
      </c>
      <c r="BE64">
        <v>20</v>
      </c>
      <c r="BF64">
        <v>242.1279024923125</v>
      </c>
      <c r="BG64">
        <v>1</v>
      </c>
      <c r="BH64">
        <v>8.2600971611006269E-2</v>
      </c>
      <c r="BI64">
        <v>3.950634</v>
      </c>
      <c r="BJ64">
        <v>3.950634</v>
      </c>
      <c r="BK64">
        <v>15.513552000000001</v>
      </c>
      <c r="BL64">
        <v>227.970829547178</v>
      </c>
      <c r="BM64">
        <v>1</v>
      </c>
      <c r="BN64">
        <v>8.7730522539775438E-2</v>
      </c>
      <c r="BO64">
        <v>3.8658999999999999</v>
      </c>
      <c r="BP64">
        <v>3.8658999999999999</v>
      </c>
      <c r="BQ64">
        <v>15.2538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233.47839999999999</v>
      </c>
      <c r="BY64">
        <v>8.5661029028809524E-2</v>
      </c>
      <c r="BZ64">
        <v>10</v>
      </c>
      <c r="CA64">
        <v>4.2830514514404762E-2</v>
      </c>
      <c r="CB64">
        <v>4.1300485805503127E-2</v>
      </c>
      <c r="CC64">
        <v>4.3865261269887719E-2</v>
      </c>
      <c r="CE64">
        <v>0.42195359024583579</v>
      </c>
      <c r="CF64">
        <v>0.44815706447294301</v>
      </c>
      <c r="CH64">
        <v>0.43758539443188288</v>
      </c>
    </row>
    <row r="65" spans="1:86" x14ac:dyDescent="0.3">
      <c r="A65" s="1">
        <v>695</v>
      </c>
      <c r="B65" t="s">
        <v>1106</v>
      </c>
      <c r="C65" t="s">
        <v>1107</v>
      </c>
      <c r="E65" t="s">
        <v>404</v>
      </c>
      <c r="F65">
        <v>3.26</v>
      </c>
      <c r="G65" t="s">
        <v>405</v>
      </c>
      <c r="H65">
        <v>-1</v>
      </c>
      <c r="I65">
        <v>-1</v>
      </c>
      <c r="J65">
        <v>2</v>
      </c>
      <c r="K65">
        <v>3.8</v>
      </c>
      <c r="L65">
        <v>3.8</v>
      </c>
      <c r="M65">
        <v>19.5</v>
      </c>
      <c r="O65">
        <v>9.75</v>
      </c>
      <c r="Q65" t="s">
        <v>87</v>
      </c>
      <c r="R65">
        <v>1373</v>
      </c>
      <c r="S65">
        <v>12</v>
      </c>
      <c r="T65" t="b">
        <v>0</v>
      </c>
      <c r="U65" t="s">
        <v>125</v>
      </c>
      <c r="V65" t="s">
        <v>126</v>
      </c>
      <c r="W65">
        <v>1</v>
      </c>
      <c r="X65">
        <v>15</v>
      </c>
      <c r="Y65">
        <v>0.5</v>
      </c>
      <c r="Z65">
        <v>1</v>
      </c>
      <c r="AC65" t="s">
        <v>90</v>
      </c>
      <c r="AD65">
        <v>125</v>
      </c>
      <c r="AE65">
        <v>220</v>
      </c>
      <c r="AF65" t="s">
        <v>91</v>
      </c>
      <c r="AG65">
        <v>288</v>
      </c>
      <c r="AH65" s="3">
        <v>20920</v>
      </c>
      <c r="AI65" s="3">
        <f>AH65/(AD65*Y65*Z65)</f>
        <v>334.72</v>
      </c>
      <c r="AJ65" s="3">
        <f t="shared" si="0"/>
        <v>5.8132943614365038</v>
      </c>
      <c r="AK65" t="s">
        <v>153</v>
      </c>
      <c r="AL65" t="s">
        <v>153</v>
      </c>
      <c r="AN65" t="b">
        <v>1</v>
      </c>
      <c r="AO65" t="b">
        <v>1</v>
      </c>
      <c r="AP65" t="b">
        <v>0</v>
      </c>
      <c r="AQ65" t="b">
        <v>0</v>
      </c>
      <c r="AR65" t="s">
        <v>1032</v>
      </c>
      <c r="AS65" t="s">
        <v>1033</v>
      </c>
      <c r="AU65">
        <v>4.2766661190160553</v>
      </c>
      <c r="AV65">
        <v>1.75</v>
      </c>
      <c r="AW65">
        <v>2.5</v>
      </c>
      <c r="AX65">
        <v>0.75</v>
      </c>
      <c r="AY65">
        <v>0</v>
      </c>
      <c r="AZ65">
        <v>0.35</v>
      </c>
      <c r="BA65">
        <v>0.5</v>
      </c>
      <c r="BB65">
        <v>0.15</v>
      </c>
      <c r="BC65">
        <v>0</v>
      </c>
      <c r="BD65">
        <v>6.2395921087406876</v>
      </c>
      <c r="BE65">
        <v>20</v>
      </c>
      <c r="BF65">
        <v>242.1279024923125</v>
      </c>
      <c r="BG65">
        <v>1</v>
      </c>
      <c r="BH65">
        <v>8.2600971611006269E-2</v>
      </c>
      <c r="BI65">
        <v>3.950634</v>
      </c>
      <c r="BJ65">
        <v>3.950634</v>
      </c>
      <c r="BK65">
        <v>15.513552000000001</v>
      </c>
      <c r="BL65">
        <v>227.970829547178</v>
      </c>
      <c r="BM65">
        <v>1</v>
      </c>
      <c r="BN65">
        <v>8.7730522539775438E-2</v>
      </c>
      <c r="BO65">
        <v>3.8658999999999999</v>
      </c>
      <c r="BP65">
        <v>3.8658999999999999</v>
      </c>
      <c r="BQ65">
        <v>15.2538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248.16643999999999</v>
      </c>
      <c r="BY65">
        <v>8.0591074280631989E-2</v>
      </c>
      <c r="BZ65">
        <v>10</v>
      </c>
      <c r="CA65">
        <v>4.0295537140315987E-2</v>
      </c>
      <c r="CB65">
        <v>4.1300485805503127E-2</v>
      </c>
      <c r="CC65">
        <v>4.3865261269887719E-2</v>
      </c>
      <c r="CE65">
        <v>0.45027090848362911</v>
      </c>
      <c r="CF65">
        <v>0.47823289866077828</v>
      </c>
      <c r="CH65">
        <v>0.43931464151417537</v>
      </c>
    </row>
    <row r="66" spans="1:86" x14ac:dyDescent="0.3">
      <c r="A66" s="1">
        <v>730</v>
      </c>
      <c r="B66" t="s">
        <v>1115</v>
      </c>
      <c r="C66" t="s">
        <v>1116</v>
      </c>
      <c r="E66" t="s">
        <v>404</v>
      </c>
      <c r="F66">
        <v>3.58</v>
      </c>
      <c r="G66" t="s">
        <v>1080</v>
      </c>
      <c r="H66">
        <v>-1</v>
      </c>
      <c r="I66">
        <v>-1</v>
      </c>
      <c r="J66">
        <v>1</v>
      </c>
      <c r="K66">
        <v>3.802</v>
      </c>
      <c r="L66">
        <v>3.802</v>
      </c>
      <c r="M66">
        <v>24.7</v>
      </c>
      <c r="N66" t="s">
        <v>101</v>
      </c>
      <c r="O66">
        <v>24.7</v>
      </c>
      <c r="Q66" t="s">
        <v>87</v>
      </c>
      <c r="R66">
        <v>1273</v>
      </c>
      <c r="S66">
        <v>10</v>
      </c>
      <c r="T66" t="b">
        <v>0</v>
      </c>
      <c r="U66" t="s">
        <v>125</v>
      </c>
      <c r="V66" t="s">
        <v>126</v>
      </c>
      <c r="W66">
        <v>1</v>
      </c>
      <c r="Y66">
        <v>0.5</v>
      </c>
      <c r="Z66">
        <v>10</v>
      </c>
      <c r="AC66" t="s">
        <v>90</v>
      </c>
      <c r="AD66">
        <v>125</v>
      </c>
      <c r="AE66">
        <v>220</v>
      </c>
      <c r="AF66" t="s">
        <v>91</v>
      </c>
      <c r="AG66">
        <v>288</v>
      </c>
      <c r="AH66" s="3">
        <v>156000</v>
      </c>
      <c r="AI66" s="3">
        <f>AH66/(AD66*Y66*Z66)</f>
        <v>249.6</v>
      </c>
      <c r="AJ66" s="3">
        <f t="shared" si="0"/>
        <v>5.5198596364952728</v>
      </c>
      <c r="AK66" t="s">
        <v>144</v>
      </c>
      <c r="AL66" t="s">
        <v>144</v>
      </c>
      <c r="AN66" t="b">
        <v>1</v>
      </c>
      <c r="AO66" t="b">
        <v>1</v>
      </c>
      <c r="AP66" t="b">
        <v>0</v>
      </c>
      <c r="AQ66" t="b">
        <v>0</v>
      </c>
      <c r="AR66" t="s">
        <v>1034</v>
      </c>
      <c r="AS66" t="s">
        <v>1035</v>
      </c>
      <c r="AU66">
        <v>6.0867747269123056</v>
      </c>
      <c r="AV66">
        <v>1.75</v>
      </c>
      <c r="AW66">
        <v>2.5</v>
      </c>
      <c r="AX66">
        <v>0.75</v>
      </c>
      <c r="AY66">
        <v>0</v>
      </c>
      <c r="AZ66">
        <v>0.35</v>
      </c>
      <c r="BA66">
        <v>0.5</v>
      </c>
      <c r="BB66">
        <v>0.15</v>
      </c>
      <c r="BC66">
        <v>0</v>
      </c>
      <c r="BD66">
        <v>6.2640154224906874</v>
      </c>
      <c r="BE66">
        <v>20</v>
      </c>
      <c r="BF66">
        <v>242.1279024923125</v>
      </c>
      <c r="BG66">
        <v>1</v>
      </c>
      <c r="BH66">
        <v>8.2600971611006269E-2</v>
      </c>
      <c r="BI66">
        <v>3.950634</v>
      </c>
      <c r="BJ66">
        <v>3.950634</v>
      </c>
      <c r="BK66">
        <v>15.513552000000001</v>
      </c>
      <c r="BL66">
        <v>227.970829547178</v>
      </c>
      <c r="BM66">
        <v>1</v>
      </c>
      <c r="BN66">
        <v>8.7730522539775438E-2</v>
      </c>
      <c r="BO66">
        <v>3.8658999999999999</v>
      </c>
      <c r="BP66">
        <v>3.8658999999999999</v>
      </c>
      <c r="BQ66">
        <v>15.2538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233.47839999999999</v>
      </c>
      <c r="BY66">
        <v>8.5661029028809524E-2</v>
      </c>
      <c r="BZ66">
        <v>10</v>
      </c>
      <c r="CA66">
        <v>4.2830514514404762E-2</v>
      </c>
      <c r="CB66">
        <v>4.1300485805503127E-2</v>
      </c>
      <c r="CC66">
        <v>4.3865261269887719E-2</v>
      </c>
      <c r="CE66">
        <v>0.42195359024583579</v>
      </c>
      <c r="CF66">
        <v>0.44815706447294301</v>
      </c>
      <c r="CH66">
        <v>0.43758539443188288</v>
      </c>
    </row>
    <row r="67" spans="1:86" x14ac:dyDescent="0.3">
      <c r="A67" s="1">
        <v>557</v>
      </c>
      <c r="B67" t="s">
        <v>151</v>
      </c>
      <c r="C67" t="s">
        <v>152</v>
      </c>
      <c r="E67" t="s">
        <v>106</v>
      </c>
      <c r="F67">
        <v>3.26</v>
      </c>
      <c r="G67" t="s">
        <v>142</v>
      </c>
      <c r="H67">
        <v>1522043</v>
      </c>
      <c r="I67">
        <v>-1</v>
      </c>
      <c r="J67">
        <v>1</v>
      </c>
      <c r="K67">
        <v>3.89</v>
      </c>
      <c r="L67">
        <v>3.89</v>
      </c>
      <c r="M67">
        <v>16.399999999999999</v>
      </c>
      <c r="O67">
        <v>16.399999999999999</v>
      </c>
      <c r="Q67" t="s">
        <v>87</v>
      </c>
      <c r="R67">
        <v>1573</v>
      </c>
      <c r="S67">
        <v>10</v>
      </c>
      <c r="T67" t="b">
        <v>0</v>
      </c>
      <c r="U67" t="s">
        <v>125</v>
      </c>
      <c r="V67" t="s">
        <v>126</v>
      </c>
      <c r="W67">
        <v>1</v>
      </c>
      <c r="X67">
        <v>3.1</v>
      </c>
      <c r="Y67">
        <v>0.5</v>
      </c>
      <c r="Z67">
        <v>1</v>
      </c>
      <c r="AC67" t="s">
        <v>90</v>
      </c>
      <c r="AD67">
        <v>125</v>
      </c>
      <c r="AE67">
        <v>220</v>
      </c>
      <c r="AF67" t="s">
        <v>91</v>
      </c>
      <c r="AG67">
        <v>288</v>
      </c>
      <c r="AH67" s="3">
        <v>15200</v>
      </c>
      <c r="AI67" s="3">
        <f>AH67/(AD67*Y67*Z67)</f>
        <v>243.2</v>
      </c>
      <c r="AJ67" s="3">
        <f t="shared" ref="AJ67:AJ130" si="1">LN(AI67)</f>
        <v>5.4938841500920121</v>
      </c>
      <c r="AK67" t="s">
        <v>153</v>
      </c>
      <c r="AL67" t="s">
        <v>153</v>
      </c>
      <c r="AN67" t="b">
        <v>1</v>
      </c>
      <c r="AO67" t="b">
        <v>1</v>
      </c>
      <c r="AP67" t="b">
        <v>0</v>
      </c>
      <c r="AQ67" t="b">
        <v>0</v>
      </c>
      <c r="AR67" t="s">
        <v>1036</v>
      </c>
      <c r="AS67" t="s">
        <v>1037</v>
      </c>
      <c r="AU67">
        <v>7.6009024595420822</v>
      </c>
      <c r="AV67">
        <v>1.75</v>
      </c>
      <c r="AW67">
        <v>2.5</v>
      </c>
      <c r="AX67">
        <v>0.75</v>
      </c>
      <c r="AY67">
        <v>0</v>
      </c>
      <c r="AZ67">
        <v>0.35</v>
      </c>
      <c r="BA67">
        <v>0.5</v>
      </c>
      <c r="BB67">
        <v>0.15</v>
      </c>
      <c r="BC67">
        <v>0</v>
      </c>
      <c r="BD67">
        <v>6.2395921087406876</v>
      </c>
      <c r="BE67">
        <v>20</v>
      </c>
      <c r="BF67">
        <v>242.1279024923125</v>
      </c>
      <c r="BG67">
        <v>1</v>
      </c>
      <c r="BH67">
        <v>8.2600971611006269E-2</v>
      </c>
      <c r="BI67">
        <v>3.950634</v>
      </c>
      <c r="BJ67">
        <v>3.950634</v>
      </c>
      <c r="BK67">
        <v>15.513552000000001</v>
      </c>
      <c r="BL67">
        <v>227.970829547178</v>
      </c>
      <c r="BM67">
        <v>1</v>
      </c>
      <c r="BN67">
        <v>8.7730522539775438E-2</v>
      </c>
      <c r="BO67">
        <v>3.8658999999999999</v>
      </c>
      <c r="BP67">
        <v>3.8658999999999999</v>
      </c>
      <c r="BQ67">
        <v>15.2538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248.16643999999999</v>
      </c>
      <c r="BY67">
        <v>8.0591074280631989E-2</v>
      </c>
      <c r="BZ67">
        <v>10</v>
      </c>
      <c r="CA67">
        <v>4.0295537140315987E-2</v>
      </c>
      <c r="CB67">
        <v>4.1300485805503127E-2</v>
      </c>
      <c r="CC67">
        <v>4.3865261269887719E-2</v>
      </c>
      <c r="CE67">
        <v>0.45027090848362911</v>
      </c>
      <c r="CF67">
        <v>0.47823289866077828</v>
      </c>
      <c r="CH67">
        <v>0.43931464151417537</v>
      </c>
    </row>
    <row r="68" spans="1:86" x14ac:dyDescent="0.3">
      <c r="A68" s="1">
        <v>637</v>
      </c>
      <c r="B68" t="s">
        <v>1115</v>
      </c>
      <c r="C68" t="s">
        <v>1116</v>
      </c>
      <c r="E68" t="s">
        <v>404</v>
      </c>
      <c r="F68">
        <v>3.58</v>
      </c>
      <c r="G68" t="s">
        <v>1080</v>
      </c>
      <c r="H68">
        <v>-1</v>
      </c>
      <c r="I68">
        <v>-1</v>
      </c>
      <c r="J68">
        <v>1</v>
      </c>
      <c r="K68">
        <v>3.802</v>
      </c>
      <c r="L68">
        <v>3.802</v>
      </c>
      <c r="M68">
        <v>24.7</v>
      </c>
      <c r="N68" t="s">
        <v>101</v>
      </c>
      <c r="O68">
        <v>24.7</v>
      </c>
      <c r="Q68" t="s">
        <v>87</v>
      </c>
      <c r="R68">
        <v>1273</v>
      </c>
      <c r="S68">
        <v>10</v>
      </c>
      <c r="T68" t="b">
        <v>0</v>
      </c>
      <c r="U68" t="s">
        <v>125</v>
      </c>
      <c r="V68" t="s">
        <v>126</v>
      </c>
      <c r="W68">
        <v>1</v>
      </c>
      <c r="Y68">
        <v>0.5</v>
      </c>
      <c r="Z68">
        <v>10</v>
      </c>
      <c r="AC68" t="s">
        <v>90</v>
      </c>
      <c r="AD68">
        <v>125</v>
      </c>
      <c r="AE68">
        <v>220</v>
      </c>
      <c r="AF68" t="s">
        <v>91</v>
      </c>
      <c r="AG68">
        <v>288</v>
      </c>
      <c r="AH68" s="3">
        <v>152000</v>
      </c>
      <c r="AI68" s="3">
        <f>AH68/(AD68*Y68*Z68)</f>
        <v>243.2</v>
      </c>
      <c r="AJ68" s="3">
        <f t="shared" si="1"/>
        <v>5.4938841500920121</v>
      </c>
      <c r="AK68" t="s">
        <v>144</v>
      </c>
      <c r="AL68" t="s">
        <v>144</v>
      </c>
      <c r="AN68" t="b">
        <v>1</v>
      </c>
      <c r="AO68" t="b">
        <v>1</v>
      </c>
      <c r="AP68" t="b">
        <v>0</v>
      </c>
      <c r="AQ68" t="b">
        <v>0</v>
      </c>
      <c r="AR68" t="s">
        <v>1038</v>
      </c>
      <c r="AS68" t="s">
        <v>1039</v>
      </c>
      <c r="AU68">
        <v>8.2940496401020276</v>
      </c>
      <c r="AV68">
        <v>1.75</v>
      </c>
      <c r="AW68">
        <v>2.5</v>
      </c>
      <c r="AX68">
        <v>0.75</v>
      </c>
      <c r="AY68">
        <v>0</v>
      </c>
      <c r="AZ68">
        <v>0.35</v>
      </c>
      <c r="BA68">
        <v>0.5</v>
      </c>
      <c r="BB68">
        <v>0.15</v>
      </c>
      <c r="BC68">
        <v>0</v>
      </c>
      <c r="BD68">
        <v>6.2640154224906874</v>
      </c>
      <c r="BE68">
        <v>20</v>
      </c>
      <c r="BF68">
        <v>242.1279024923125</v>
      </c>
      <c r="BG68">
        <v>1</v>
      </c>
      <c r="BH68">
        <v>8.2600971611006269E-2</v>
      </c>
      <c r="BI68">
        <v>3.950634</v>
      </c>
      <c r="BJ68">
        <v>3.950634</v>
      </c>
      <c r="BK68">
        <v>15.513552000000001</v>
      </c>
      <c r="BL68">
        <v>227.970829547178</v>
      </c>
      <c r="BM68">
        <v>1</v>
      </c>
      <c r="BN68">
        <v>8.7730522539775438E-2</v>
      </c>
      <c r="BO68">
        <v>3.8658999999999999</v>
      </c>
      <c r="BP68">
        <v>3.8658999999999999</v>
      </c>
      <c r="BQ68">
        <v>15.2538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233.47839999999999</v>
      </c>
      <c r="BY68">
        <v>8.5661029028809524E-2</v>
      </c>
      <c r="BZ68">
        <v>10</v>
      </c>
      <c r="CA68">
        <v>4.2830514514404762E-2</v>
      </c>
      <c r="CB68">
        <v>4.1300485805503127E-2</v>
      </c>
      <c r="CC68">
        <v>4.3865261269887719E-2</v>
      </c>
      <c r="CE68">
        <v>0.42195359024583579</v>
      </c>
      <c r="CF68">
        <v>0.44815706447294301</v>
      </c>
      <c r="CH68">
        <v>0.43758539443188288</v>
      </c>
    </row>
    <row r="69" spans="1:86" x14ac:dyDescent="0.3">
      <c r="A69" s="1">
        <v>719</v>
      </c>
      <c r="B69" t="s">
        <v>1078</v>
      </c>
      <c r="C69" t="s">
        <v>1079</v>
      </c>
      <c r="E69" t="s">
        <v>404</v>
      </c>
      <c r="F69">
        <v>3.42</v>
      </c>
      <c r="G69" t="s">
        <v>1080</v>
      </c>
      <c r="H69">
        <v>-1</v>
      </c>
      <c r="I69">
        <v>-1</v>
      </c>
      <c r="J69">
        <v>1</v>
      </c>
      <c r="K69">
        <v>3.82</v>
      </c>
      <c r="L69">
        <v>3.82</v>
      </c>
      <c r="M69">
        <v>25.06</v>
      </c>
      <c r="N69" t="s">
        <v>1047</v>
      </c>
      <c r="O69">
        <v>25.06</v>
      </c>
      <c r="Q69" t="s">
        <v>87</v>
      </c>
      <c r="R69">
        <v>1273</v>
      </c>
      <c r="S69">
        <v>10</v>
      </c>
      <c r="T69" t="b">
        <v>0</v>
      </c>
      <c r="U69" t="s">
        <v>125</v>
      </c>
      <c r="V69" t="s">
        <v>126</v>
      </c>
      <c r="W69">
        <v>1</v>
      </c>
      <c r="Y69">
        <v>0.5</v>
      </c>
      <c r="Z69">
        <v>10</v>
      </c>
      <c r="AC69" t="s">
        <v>90</v>
      </c>
      <c r="AD69">
        <v>125</v>
      </c>
      <c r="AE69">
        <v>220</v>
      </c>
      <c r="AF69" t="s">
        <v>91</v>
      </c>
      <c r="AG69">
        <v>288</v>
      </c>
      <c r="AH69" s="3">
        <v>132000</v>
      </c>
      <c r="AI69" s="3">
        <f>AH69/(AD69*Y69*Z69)</f>
        <v>211.2</v>
      </c>
      <c r="AJ69" s="3">
        <f t="shared" si="1"/>
        <v>5.3528055518321063</v>
      </c>
      <c r="AN69" t="b">
        <v>1</v>
      </c>
      <c r="AO69" t="b">
        <v>1</v>
      </c>
      <c r="AP69" t="b">
        <v>0</v>
      </c>
      <c r="AQ69" t="b">
        <v>0</v>
      </c>
      <c r="AR69" t="s">
        <v>108</v>
      </c>
      <c r="AS69" t="s">
        <v>109</v>
      </c>
      <c r="AU69">
        <v>5.7430031878094816</v>
      </c>
      <c r="AV69">
        <v>1.75</v>
      </c>
      <c r="AW69">
        <v>2.5</v>
      </c>
      <c r="AX69">
        <v>0.75</v>
      </c>
      <c r="AY69">
        <v>0</v>
      </c>
      <c r="AZ69">
        <v>0.35</v>
      </c>
      <c r="BA69">
        <v>0.5</v>
      </c>
      <c r="BB69">
        <v>0.15</v>
      </c>
      <c r="BC69">
        <v>0</v>
      </c>
      <c r="BD69">
        <v>5.9668120809374994</v>
      </c>
      <c r="BE69">
        <v>20</v>
      </c>
      <c r="BF69">
        <v>924.74694800021894</v>
      </c>
      <c r="BG69">
        <v>4</v>
      </c>
      <c r="BH69">
        <v>8.6510153045653584E-2</v>
      </c>
      <c r="BI69">
        <v>7.8084429999999996</v>
      </c>
      <c r="BJ69">
        <v>7.8548809999999998</v>
      </c>
      <c r="BK69">
        <v>15.19056011</v>
      </c>
      <c r="BL69">
        <v>883.22940750240002</v>
      </c>
      <c r="BM69">
        <v>4</v>
      </c>
      <c r="BN69">
        <v>9.0576694254581439E-2</v>
      </c>
      <c r="BO69">
        <v>3.8801999999999999</v>
      </c>
      <c r="BP69">
        <v>29.507999999999999</v>
      </c>
      <c r="BQ69">
        <v>7.7140000000000004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438.04824000000002</v>
      </c>
      <c r="BY69">
        <v>9.1314143848631832E-2</v>
      </c>
      <c r="BZ69">
        <v>10</v>
      </c>
      <c r="CA69">
        <v>4.5657071924315923E-2</v>
      </c>
      <c r="CB69">
        <v>4.3255076522826792E-2</v>
      </c>
      <c r="CC69">
        <v>4.5288347127290719E-2</v>
      </c>
      <c r="CE69">
        <v>0.50555206026575006</v>
      </c>
      <c r="CF69">
        <v>0.52931630311992839</v>
      </c>
      <c r="CH69">
        <v>0.53362584539316393</v>
      </c>
    </row>
    <row r="70" spans="1:86" x14ac:dyDescent="0.3">
      <c r="A70" s="1">
        <v>699</v>
      </c>
      <c r="B70" t="s">
        <v>402</v>
      </c>
      <c r="C70" t="s">
        <v>403</v>
      </c>
      <c r="E70" t="s">
        <v>404</v>
      </c>
      <c r="F70">
        <v>3.56</v>
      </c>
      <c r="G70" t="s">
        <v>405</v>
      </c>
      <c r="H70">
        <v>-1</v>
      </c>
      <c r="I70" t="s">
        <v>754</v>
      </c>
      <c r="Q70" t="s">
        <v>821</v>
      </c>
      <c r="T70" t="b">
        <v>0</v>
      </c>
      <c r="U70" t="s">
        <v>125</v>
      </c>
      <c r="V70" t="s">
        <v>126</v>
      </c>
      <c r="W70">
        <v>1</v>
      </c>
      <c r="Y70">
        <v>0.5</v>
      </c>
      <c r="Z70">
        <v>1</v>
      </c>
      <c r="AC70" t="s">
        <v>90</v>
      </c>
      <c r="AD70">
        <v>125</v>
      </c>
      <c r="AE70">
        <v>220</v>
      </c>
      <c r="AF70" t="s">
        <v>91</v>
      </c>
      <c r="AG70">
        <v>288</v>
      </c>
      <c r="AH70" s="3">
        <v>9880</v>
      </c>
      <c r="AI70" s="3">
        <f>AH70/(AD70*Y70*Z70)</f>
        <v>158.08000000000001</v>
      </c>
      <c r="AJ70" s="3">
        <f t="shared" si="1"/>
        <v>5.063101233999558</v>
      </c>
      <c r="AK70" t="s">
        <v>144</v>
      </c>
      <c r="AL70" t="s">
        <v>144</v>
      </c>
      <c r="AN70" t="b">
        <v>1</v>
      </c>
      <c r="AO70" t="b">
        <v>1</v>
      </c>
      <c r="AP70" t="b">
        <v>0</v>
      </c>
      <c r="AQ70" t="b">
        <v>0</v>
      </c>
      <c r="AR70" t="s">
        <v>1042</v>
      </c>
      <c r="AS70" t="s">
        <v>1043</v>
      </c>
      <c r="AU70">
        <v>10.06219924369095</v>
      </c>
      <c r="AV70">
        <v>1.75</v>
      </c>
      <c r="AW70">
        <v>2.5</v>
      </c>
      <c r="AX70">
        <v>0.75</v>
      </c>
      <c r="AY70">
        <v>0</v>
      </c>
      <c r="AZ70">
        <v>0.35</v>
      </c>
      <c r="BA70">
        <v>0.5</v>
      </c>
      <c r="BB70">
        <v>0.15</v>
      </c>
      <c r="BC70">
        <v>0</v>
      </c>
      <c r="BD70">
        <v>6.2640154224906874</v>
      </c>
      <c r="BE70">
        <v>20</v>
      </c>
      <c r="BF70">
        <v>242.1279024923125</v>
      </c>
      <c r="BG70">
        <v>1</v>
      </c>
      <c r="BH70">
        <v>8.2600971611006269E-2</v>
      </c>
      <c r="BI70">
        <v>3.950634</v>
      </c>
      <c r="BJ70">
        <v>3.950634</v>
      </c>
      <c r="BK70">
        <v>15.513552000000001</v>
      </c>
      <c r="BL70">
        <v>227.970829547178</v>
      </c>
      <c r="BM70">
        <v>1</v>
      </c>
      <c r="BN70">
        <v>8.7730522539775438E-2</v>
      </c>
      <c r="BO70">
        <v>3.8658999999999999</v>
      </c>
      <c r="BP70">
        <v>3.8658999999999999</v>
      </c>
      <c r="BQ70">
        <v>15.2538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233.47839999999999</v>
      </c>
      <c r="BY70">
        <v>8.5661029028809524E-2</v>
      </c>
      <c r="BZ70">
        <v>10</v>
      </c>
      <c r="CA70">
        <v>4.2830514514404762E-2</v>
      </c>
      <c r="CB70">
        <v>4.1300485805503127E-2</v>
      </c>
      <c r="CC70">
        <v>4.3865261269887719E-2</v>
      </c>
      <c r="CE70">
        <v>0.42195359024583579</v>
      </c>
      <c r="CF70">
        <v>0.44815706447294301</v>
      </c>
      <c r="CH70">
        <v>0.43758539443188288</v>
      </c>
    </row>
    <row r="71" spans="1:86" x14ac:dyDescent="0.3">
      <c r="A71" s="1">
        <v>731</v>
      </c>
      <c r="B71" t="s">
        <v>1115</v>
      </c>
      <c r="C71" t="s">
        <v>1116</v>
      </c>
      <c r="E71" t="s">
        <v>404</v>
      </c>
      <c r="F71">
        <v>3.58</v>
      </c>
      <c r="G71" t="s">
        <v>1080</v>
      </c>
      <c r="H71">
        <v>-1</v>
      </c>
      <c r="I71">
        <v>-1</v>
      </c>
      <c r="J71">
        <v>1</v>
      </c>
      <c r="K71">
        <v>3.802</v>
      </c>
      <c r="L71">
        <v>3.802</v>
      </c>
      <c r="M71">
        <v>24.7</v>
      </c>
      <c r="N71" t="s">
        <v>101</v>
      </c>
      <c r="O71">
        <v>24.7</v>
      </c>
      <c r="Q71" t="s">
        <v>87</v>
      </c>
      <c r="R71">
        <v>1273</v>
      </c>
      <c r="S71">
        <v>10</v>
      </c>
      <c r="T71" t="b">
        <v>0</v>
      </c>
      <c r="U71" t="s">
        <v>125</v>
      </c>
      <c r="V71" t="s">
        <v>126</v>
      </c>
      <c r="W71">
        <v>1</v>
      </c>
      <c r="Y71">
        <v>0.5</v>
      </c>
      <c r="Z71">
        <v>15</v>
      </c>
      <c r="AC71" t="s">
        <v>90</v>
      </c>
      <c r="AD71">
        <v>125</v>
      </c>
      <c r="AE71">
        <v>220</v>
      </c>
      <c r="AF71" t="s">
        <v>91</v>
      </c>
      <c r="AG71">
        <v>288</v>
      </c>
      <c r="AH71" s="3">
        <v>126000</v>
      </c>
      <c r="AI71" s="3">
        <f>AH71/(AD71*Y71*Z71)</f>
        <v>134.4</v>
      </c>
      <c r="AJ71" s="3">
        <f t="shared" si="1"/>
        <v>4.9008204280890491</v>
      </c>
      <c r="AK71" t="s">
        <v>136</v>
      </c>
      <c r="AN71" t="b">
        <v>1</v>
      </c>
      <c r="AO71" t="b">
        <v>0</v>
      </c>
      <c r="AP71" t="b">
        <v>0</v>
      </c>
      <c r="AQ71" t="b">
        <v>0</v>
      </c>
      <c r="AR71" t="s">
        <v>1136</v>
      </c>
      <c r="AS71">
        <v>-1</v>
      </c>
      <c r="AU71">
        <v>8.1327064896932644</v>
      </c>
      <c r="AV71">
        <v>1.882352941176471</v>
      </c>
      <c r="AW71">
        <v>2.3529411764705879</v>
      </c>
      <c r="AX71">
        <v>0.47058823529411759</v>
      </c>
      <c r="AY71">
        <v>0</v>
      </c>
      <c r="AZ71">
        <v>0.4</v>
      </c>
      <c r="BA71">
        <v>0.5</v>
      </c>
      <c r="BB71">
        <v>9.9999999999999992E-2</v>
      </c>
      <c r="BC71">
        <v>0</v>
      </c>
      <c r="BD71">
        <v>6.249318434394235</v>
      </c>
      <c r="BE71">
        <v>20</v>
      </c>
      <c r="BF71">
        <v>229.90248606119221</v>
      </c>
      <c r="BG71">
        <v>1</v>
      </c>
      <c r="BH71">
        <v>8.6993404650164072E-2</v>
      </c>
      <c r="BI71">
        <v>15.28115725</v>
      </c>
      <c r="BJ71">
        <v>15.28115725</v>
      </c>
      <c r="BK71">
        <v>15.28115725</v>
      </c>
      <c r="BL71">
        <v>0</v>
      </c>
      <c r="BM71">
        <v>0</v>
      </c>
      <c r="BO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390.70352000000003</v>
      </c>
      <c r="BY71">
        <v>0.10237942058981191</v>
      </c>
      <c r="BZ71">
        <v>10</v>
      </c>
      <c r="CA71">
        <v>5.1189710294905967E-2</v>
      </c>
      <c r="CB71">
        <v>4.3496702325082043E-2</v>
      </c>
      <c r="CE71">
        <v>0.44572942494581569</v>
      </c>
      <c r="CH71">
        <v>0.52456298784136168</v>
      </c>
    </row>
    <row r="72" spans="1:86" x14ac:dyDescent="0.3">
      <c r="A72" s="1">
        <v>692</v>
      </c>
      <c r="B72" t="s">
        <v>372</v>
      </c>
      <c r="C72" t="s">
        <v>944</v>
      </c>
      <c r="E72" t="s">
        <v>372</v>
      </c>
      <c r="F72">
        <v>3.4</v>
      </c>
      <c r="G72" t="s">
        <v>373</v>
      </c>
      <c r="H72">
        <v>-1</v>
      </c>
      <c r="I72" t="s">
        <v>901</v>
      </c>
      <c r="J72">
        <v>2</v>
      </c>
      <c r="K72">
        <v>3.7</v>
      </c>
      <c r="L72">
        <v>3.7</v>
      </c>
      <c r="M72">
        <v>14</v>
      </c>
      <c r="O72">
        <v>14</v>
      </c>
      <c r="Q72" t="s">
        <v>87</v>
      </c>
      <c r="R72">
        <v>1098</v>
      </c>
      <c r="S72">
        <v>12</v>
      </c>
      <c r="T72" t="b">
        <v>0</v>
      </c>
      <c r="U72" t="s">
        <v>125</v>
      </c>
      <c r="V72" t="s">
        <v>126</v>
      </c>
      <c r="W72">
        <v>1</v>
      </c>
      <c r="X72">
        <v>54</v>
      </c>
      <c r="Y72">
        <v>0.5</v>
      </c>
      <c r="Z72">
        <v>1</v>
      </c>
      <c r="AC72" t="s">
        <v>90</v>
      </c>
      <c r="AD72">
        <v>125</v>
      </c>
      <c r="AE72">
        <v>220</v>
      </c>
      <c r="AF72" t="s">
        <v>91</v>
      </c>
      <c r="AG72">
        <v>288</v>
      </c>
      <c r="AH72" s="3">
        <v>8360</v>
      </c>
      <c r="AI72" s="3">
        <f>AH72/(AD72*Y72*Z72)</f>
        <v>133.76</v>
      </c>
      <c r="AJ72" s="3">
        <f t="shared" si="1"/>
        <v>4.8960471493363915</v>
      </c>
      <c r="AK72" t="s">
        <v>136</v>
      </c>
      <c r="AN72" t="b">
        <v>1</v>
      </c>
      <c r="AO72" t="b">
        <v>0</v>
      </c>
      <c r="AP72" t="b">
        <v>0</v>
      </c>
      <c r="AQ72" t="b">
        <v>0</v>
      </c>
      <c r="AR72" t="s">
        <v>1137</v>
      </c>
      <c r="AS72">
        <v>-1</v>
      </c>
      <c r="AU72">
        <v>11.095590184291581</v>
      </c>
      <c r="AV72">
        <v>1.612903225806452</v>
      </c>
      <c r="AW72">
        <v>1.612903225806452</v>
      </c>
      <c r="AX72">
        <v>0.25806451612903231</v>
      </c>
      <c r="AY72">
        <v>0</v>
      </c>
      <c r="AZ72">
        <v>0.46296296296296291</v>
      </c>
      <c r="BA72">
        <v>0.46296296296296291</v>
      </c>
      <c r="BB72">
        <v>7.407407407407407E-2</v>
      </c>
      <c r="BC72">
        <v>0</v>
      </c>
      <c r="BD72">
        <v>6.6125194498132904</v>
      </c>
      <c r="BE72">
        <v>20</v>
      </c>
      <c r="BF72">
        <v>442.10225086560899</v>
      </c>
      <c r="BG72">
        <v>2</v>
      </c>
      <c r="BH72">
        <v>9.0476806941567164E-2</v>
      </c>
      <c r="BI72">
        <v>3.8530000000000002</v>
      </c>
      <c r="BJ72">
        <v>3.8530000000000002</v>
      </c>
      <c r="BK72">
        <v>29.780000999999999</v>
      </c>
      <c r="BL72">
        <v>0</v>
      </c>
      <c r="BM72">
        <v>0</v>
      </c>
      <c r="BO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538.34863000000007</v>
      </c>
      <c r="BY72">
        <v>7.4301294311829108E-2</v>
      </c>
      <c r="BZ72">
        <v>10</v>
      </c>
      <c r="CA72">
        <v>3.7150647155914547E-2</v>
      </c>
      <c r="CB72">
        <v>4.5238403470783582E-2</v>
      </c>
      <c r="CE72">
        <v>0.55176828120906396</v>
      </c>
      <c r="CH72">
        <v>0.45312272658476987</v>
      </c>
    </row>
    <row r="73" spans="1:86" x14ac:dyDescent="0.3">
      <c r="A73" s="1">
        <v>760</v>
      </c>
      <c r="B73" t="s">
        <v>1248</v>
      </c>
      <c r="C73" t="s">
        <v>1249</v>
      </c>
      <c r="E73" t="s">
        <v>404</v>
      </c>
      <c r="F73">
        <v>2.5499999999999998</v>
      </c>
      <c r="G73" t="s">
        <v>899</v>
      </c>
      <c r="H73" t="s">
        <v>900</v>
      </c>
      <c r="I73" t="s">
        <v>901</v>
      </c>
      <c r="J73">
        <v>2</v>
      </c>
      <c r="K73">
        <v>3.8</v>
      </c>
      <c r="L73">
        <v>3.8</v>
      </c>
      <c r="M73">
        <v>27.3</v>
      </c>
      <c r="N73" t="s">
        <v>206</v>
      </c>
      <c r="O73">
        <v>13.65</v>
      </c>
      <c r="Q73" t="s">
        <v>87</v>
      </c>
      <c r="R73">
        <v>1373</v>
      </c>
      <c r="S73">
        <v>12</v>
      </c>
      <c r="T73" t="b">
        <v>0</v>
      </c>
      <c r="U73" t="s">
        <v>125</v>
      </c>
      <c r="V73" t="s">
        <v>126</v>
      </c>
      <c r="W73">
        <v>1</v>
      </c>
      <c r="X73">
        <v>60</v>
      </c>
      <c r="Y73">
        <v>0.5</v>
      </c>
      <c r="Z73">
        <v>1</v>
      </c>
      <c r="AC73" t="s">
        <v>90</v>
      </c>
      <c r="AD73">
        <v>125</v>
      </c>
      <c r="AE73">
        <v>220</v>
      </c>
      <c r="AF73" t="s">
        <v>91</v>
      </c>
      <c r="AG73">
        <v>288</v>
      </c>
      <c r="AH73" s="3">
        <v>8160</v>
      </c>
      <c r="AI73" s="3">
        <f>AH73/(AD73*Y73*Z73)</f>
        <v>130.56</v>
      </c>
      <c r="AJ73" s="3">
        <f t="shared" si="1"/>
        <v>4.8718328912157967</v>
      </c>
      <c r="AK73" t="s">
        <v>136</v>
      </c>
      <c r="AN73" t="b">
        <v>1</v>
      </c>
      <c r="AO73" t="b">
        <v>0</v>
      </c>
      <c r="AP73" t="b">
        <v>0</v>
      </c>
      <c r="AQ73" t="b">
        <v>0</v>
      </c>
      <c r="AR73" t="s">
        <v>1138</v>
      </c>
      <c r="AS73">
        <v>-1</v>
      </c>
      <c r="AU73">
        <v>11.46583385743638</v>
      </c>
      <c r="AV73">
        <v>1.567567567567568</v>
      </c>
      <c r="AW73">
        <v>1.459459459459459</v>
      </c>
      <c r="AX73">
        <v>0.2162162162162162</v>
      </c>
      <c r="AY73">
        <v>0</v>
      </c>
      <c r="AZ73">
        <v>0.48333333333333328</v>
      </c>
      <c r="BA73">
        <v>0.45</v>
      </c>
      <c r="BB73">
        <v>6.6666666666666666E-2</v>
      </c>
      <c r="BC73">
        <v>0</v>
      </c>
      <c r="BD73">
        <v>6.6544803549896221</v>
      </c>
      <c r="BE73">
        <v>20</v>
      </c>
      <c r="BF73">
        <v>599.76260360000003</v>
      </c>
      <c r="BG73">
        <v>2</v>
      </c>
      <c r="BH73">
        <v>6.6693054485066267E-2</v>
      </c>
      <c r="BI73">
        <v>3.8530000000000002</v>
      </c>
      <c r="BJ73">
        <v>3.8530000000000002</v>
      </c>
      <c r="BK73">
        <v>40.4</v>
      </c>
      <c r="BL73">
        <v>0</v>
      </c>
      <c r="BM73">
        <v>0</v>
      </c>
      <c r="BO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294.76648</v>
      </c>
      <c r="BY73">
        <v>6.7850320022819419E-2</v>
      </c>
      <c r="BZ73">
        <v>10</v>
      </c>
      <c r="CA73">
        <v>3.3925160011409709E-2</v>
      </c>
      <c r="CB73">
        <v>3.3346527242533133E-2</v>
      </c>
      <c r="CE73">
        <v>0.40747898424566847</v>
      </c>
      <c r="CH73">
        <v>0.41454960635867683</v>
      </c>
    </row>
    <row r="74" spans="1:86" x14ac:dyDescent="0.3">
      <c r="A74" s="1">
        <v>720</v>
      </c>
      <c r="B74" t="s">
        <v>1078</v>
      </c>
      <c r="C74" t="s">
        <v>1079</v>
      </c>
      <c r="E74" t="s">
        <v>404</v>
      </c>
      <c r="F74">
        <v>3.42</v>
      </c>
      <c r="G74" t="s">
        <v>1080</v>
      </c>
      <c r="H74">
        <v>-1</v>
      </c>
      <c r="I74">
        <v>-1</v>
      </c>
      <c r="J74">
        <v>1</v>
      </c>
      <c r="K74">
        <v>3.82</v>
      </c>
      <c r="L74">
        <v>3.82</v>
      </c>
      <c r="M74">
        <v>25.06</v>
      </c>
      <c r="N74" t="s">
        <v>1047</v>
      </c>
      <c r="O74">
        <v>25.06</v>
      </c>
      <c r="Q74" t="s">
        <v>87</v>
      </c>
      <c r="R74">
        <v>1273</v>
      </c>
      <c r="S74">
        <v>10</v>
      </c>
      <c r="T74" t="b">
        <v>0</v>
      </c>
      <c r="U74" t="s">
        <v>125</v>
      </c>
      <c r="V74" t="s">
        <v>126</v>
      </c>
      <c r="W74">
        <v>1</v>
      </c>
      <c r="Y74">
        <v>0.5</v>
      </c>
      <c r="Z74">
        <v>15</v>
      </c>
      <c r="AC74" t="s">
        <v>90</v>
      </c>
      <c r="AD74">
        <v>125</v>
      </c>
      <c r="AE74">
        <v>220</v>
      </c>
      <c r="AF74" t="s">
        <v>91</v>
      </c>
      <c r="AG74">
        <v>288</v>
      </c>
      <c r="AH74" s="3">
        <v>117000</v>
      </c>
      <c r="AI74" s="3">
        <f>AH74/(AD74*Y74*Z74)</f>
        <v>124.8</v>
      </c>
      <c r="AJ74" s="3">
        <f t="shared" si="1"/>
        <v>4.8267124559353274</v>
      </c>
      <c r="AK74" t="s">
        <v>136</v>
      </c>
      <c r="AN74" t="b">
        <v>1</v>
      </c>
      <c r="AO74" t="b">
        <v>0</v>
      </c>
      <c r="AP74" t="b">
        <v>0</v>
      </c>
      <c r="AQ74" t="b">
        <v>0</v>
      </c>
      <c r="AR74" t="s">
        <v>1139</v>
      </c>
      <c r="AS74">
        <v>-1</v>
      </c>
      <c r="AU74">
        <v>11.376418220315569</v>
      </c>
      <c r="AV74">
        <v>1.510204081632653</v>
      </c>
      <c r="AW74">
        <v>1.2653061224489801</v>
      </c>
      <c r="AX74">
        <v>0.16326530612244899</v>
      </c>
      <c r="AY74">
        <v>0</v>
      </c>
      <c r="AZ74">
        <v>0.51388888888888884</v>
      </c>
      <c r="BA74">
        <v>0.43055555555555558</v>
      </c>
      <c r="BB74">
        <v>5.5555555555555552E-2</v>
      </c>
      <c r="BC74">
        <v>0</v>
      </c>
      <c r="BD74">
        <v>6.7075737452127342</v>
      </c>
      <c r="BE74">
        <v>20</v>
      </c>
      <c r="BF74">
        <v>733.37308460000008</v>
      </c>
      <c r="BG74">
        <v>2</v>
      </c>
      <c r="BH74">
        <v>5.4542497999932729E-2</v>
      </c>
      <c r="BI74">
        <v>3.8530000000000002</v>
      </c>
      <c r="BJ74">
        <v>3.8530000000000002</v>
      </c>
      <c r="BK74">
        <v>49.4</v>
      </c>
      <c r="BL74">
        <v>0</v>
      </c>
      <c r="BM74">
        <v>0</v>
      </c>
      <c r="BO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358.54766999999998</v>
      </c>
      <c r="BY74">
        <v>5.5780588394285201E-2</v>
      </c>
      <c r="BZ74">
        <v>10</v>
      </c>
      <c r="CA74">
        <v>2.78902941971426E-2</v>
      </c>
      <c r="CB74">
        <v>2.7271248999966361E-2</v>
      </c>
      <c r="CE74">
        <v>0.33447637567260352</v>
      </c>
      <c r="CH74">
        <v>0.34206884032023638</v>
      </c>
    </row>
    <row r="75" spans="1:86" x14ac:dyDescent="0.3">
      <c r="A75" s="1">
        <v>711</v>
      </c>
      <c r="B75" t="s">
        <v>1054</v>
      </c>
      <c r="C75" t="s">
        <v>1055</v>
      </c>
      <c r="E75" t="s">
        <v>404</v>
      </c>
      <c r="F75">
        <v>3.4112499999999999</v>
      </c>
      <c r="G75" t="s">
        <v>405</v>
      </c>
      <c r="H75">
        <v>-1</v>
      </c>
      <c r="I75" t="s">
        <v>1056</v>
      </c>
      <c r="J75">
        <v>2</v>
      </c>
      <c r="K75">
        <v>3.81</v>
      </c>
      <c r="L75">
        <v>3.81</v>
      </c>
      <c r="M75">
        <v>27.41</v>
      </c>
      <c r="N75" t="s">
        <v>1047</v>
      </c>
      <c r="O75">
        <v>13.705</v>
      </c>
      <c r="Q75" t="s">
        <v>87</v>
      </c>
      <c r="R75">
        <v>1273</v>
      </c>
      <c r="S75">
        <v>10</v>
      </c>
      <c r="T75" t="b">
        <v>0</v>
      </c>
      <c r="U75" t="s">
        <v>125</v>
      </c>
      <c r="V75" t="s">
        <v>126</v>
      </c>
      <c r="W75">
        <v>1</v>
      </c>
      <c r="Y75">
        <v>0.5</v>
      </c>
      <c r="Z75">
        <v>1</v>
      </c>
      <c r="AC75" t="s">
        <v>90</v>
      </c>
      <c r="AD75">
        <v>125</v>
      </c>
      <c r="AE75">
        <v>220</v>
      </c>
      <c r="AF75" t="s">
        <v>91</v>
      </c>
      <c r="AG75">
        <v>288</v>
      </c>
      <c r="AH75" s="3">
        <v>6000</v>
      </c>
      <c r="AI75" s="3">
        <f>AH75/(AD75*Y75*Z75)</f>
        <v>96</v>
      </c>
      <c r="AJ75" s="3">
        <f t="shared" si="1"/>
        <v>4.5643481914678361</v>
      </c>
      <c r="AK75" t="s">
        <v>136</v>
      </c>
      <c r="AN75" t="b">
        <v>1</v>
      </c>
      <c r="AO75" t="b">
        <v>0</v>
      </c>
      <c r="AP75" t="b">
        <v>0</v>
      </c>
      <c r="AQ75" t="b">
        <v>0</v>
      </c>
      <c r="AR75" t="s">
        <v>1140</v>
      </c>
      <c r="AS75">
        <v>-1</v>
      </c>
      <c r="AU75">
        <v>11.1004357419251</v>
      </c>
      <c r="AV75">
        <v>1.4754098360655741</v>
      </c>
      <c r="AW75">
        <v>1.1475409836065571</v>
      </c>
      <c r="AX75">
        <v>0.13114754098360659</v>
      </c>
      <c r="AY75">
        <v>0</v>
      </c>
      <c r="AZ75">
        <v>0.53571428571428581</v>
      </c>
      <c r="BA75">
        <v>0.41666666666666657</v>
      </c>
      <c r="BB75">
        <v>4.7619047619047623E-2</v>
      </c>
      <c r="BC75">
        <v>0</v>
      </c>
      <c r="BD75">
        <v>6.7397779327251151</v>
      </c>
      <c r="BE75">
        <v>20</v>
      </c>
      <c r="BF75">
        <v>872.92180919999998</v>
      </c>
      <c r="BG75">
        <v>2</v>
      </c>
      <c r="BH75">
        <v>4.5823119067970701E-2</v>
      </c>
      <c r="BI75">
        <v>3.8530000000000002</v>
      </c>
      <c r="BJ75">
        <v>3.8530000000000002</v>
      </c>
      <c r="BK75">
        <v>58.8</v>
      </c>
      <c r="BL75">
        <v>0</v>
      </c>
      <c r="BM75">
        <v>0</v>
      </c>
      <c r="BO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440.32085999999998</v>
      </c>
      <c r="BY75">
        <v>4.5421422914190351E-2</v>
      </c>
      <c r="BZ75">
        <v>10</v>
      </c>
      <c r="CA75">
        <v>2.2710711457095179E-2</v>
      </c>
      <c r="CB75">
        <v>2.291155953398535E-2</v>
      </c>
      <c r="CE75">
        <v>0.28204277130830302</v>
      </c>
      <c r="CH75">
        <v>0.2795703185652228</v>
      </c>
    </row>
    <row r="76" spans="1:86" x14ac:dyDescent="0.3">
      <c r="A76" s="1">
        <v>732</v>
      </c>
      <c r="B76" t="s">
        <v>1115</v>
      </c>
      <c r="C76" t="s">
        <v>1116</v>
      </c>
      <c r="E76" t="s">
        <v>404</v>
      </c>
      <c r="F76">
        <v>3.58</v>
      </c>
      <c r="G76" t="s">
        <v>1080</v>
      </c>
      <c r="H76">
        <v>-1</v>
      </c>
      <c r="I76">
        <v>-1</v>
      </c>
      <c r="J76">
        <v>1</v>
      </c>
      <c r="K76">
        <v>3.802</v>
      </c>
      <c r="L76">
        <v>3.802</v>
      </c>
      <c r="M76">
        <v>24.7</v>
      </c>
      <c r="N76" t="s">
        <v>101</v>
      </c>
      <c r="O76">
        <v>24.7</v>
      </c>
      <c r="Q76" t="s">
        <v>87</v>
      </c>
      <c r="R76">
        <v>1273</v>
      </c>
      <c r="S76">
        <v>10</v>
      </c>
      <c r="T76" t="b">
        <v>0</v>
      </c>
      <c r="U76" t="s">
        <v>125</v>
      </c>
      <c r="V76" t="s">
        <v>126</v>
      </c>
      <c r="W76">
        <v>1</v>
      </c>
      <c r="Y76">
        <v>0.5</v>
      </c>
      <c r="Z76">
        <v>20</v>
      </c>
      <c r="AC76" t="s">
        <v>90</v>
      </c>
      <c r="AD76">
        <v>125</v>
      </c>
      <c r="AE76">
        <v>220</v>
      </c>
      <c r="AF76" t="s">
        <v>91</v>
      </c>
      <c r="AG76">
        <v>288</v>
      </c>
      <c r="AH76" s="3">
        <v>114000</v>
      </c>
      <c r="AI76" s="3">
        <f>AH76/(AD76*Y76*Z76)</f>
        <v>91.2</v>
      </c>
      <c r="AJ76" s="3">
        <f t="shared" si="1"/>
        <v>4.513054897080286</v>
      </c>
      <c r="AK76" t="s">
        <v>136</v>
      </c>
      <c r="AN76" t="b">
        <v>1</v>
      </c>
      <c r="AO76" t="b">
        <v>0</v>
      </c>
      <c r="AP76" t="b">
        <v>0</v>
      </c>
      <c r="AQ76" t="b">
        <v>0</v>
      </c>
      <c r="AR76" t="s">
        <v>1141</v>
      </c>
      <c r="AS76">
        <v>-1</v>
      </c>
      <c r="AU76">
        <v>11.204224025294369</v>
      </c>
      <c r="AV76">
        <v>1.452054794520548</v>
      </c>
      <c r="AW76">
        <v>1.068493150684932</v>
      </c>
      <c r="AX76">
        <v>0.1095890410958904</v>
      </c>
      <c r="AY76">
        <v>0</v>
      </c>
      <c r="AZ76">
        <v>0.55208333333333337</v>
      </c>
      <c r="BA76">
        <v>0.40625000000000011</v>
      </c>
      <c r="BB76">
        <v>4.1666666666666657E-2</v>
      </c>
      <c r="BC76">
        <v>0</v>
      </c>
      <c r="BD76">
        <v>6.7613944421512322</v>
      </c>
      <c r="BE76">
        <v>20</v>
      </c>
      <c r="BF76">
        <v>1015.4396556</v>
      </c>
      <c r="BG76">
        <v>2</v>
      </c>
      <c r="BH76">
        <v>3.9391804111062523E-2</v>
      </c>
      <c r="BI76">
        <v>3.8530000000000002</v>
      </c>
      <c r="BJ76">
        <v>3.8530000000000002</v>
      </c>
      <c r="BK76">
        <v>68.400000000000006</v>
      </c>
      <c r="BL76">
        <v>0</v>
      </c>
      <c r="BM76">
        <v>0</v>
      </c>
      <c r="BO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506.92950000000008</v>
      </c>
      <c r="BY76">
        <v>3.9453217853764669E-2</v>
      </c>
      <c r="BZ76">
        <v>10</v>
      </c>
      <c r="CA76">
        <v>1.9726608926882331E-2</v>
      </c>
      <c r="CB76">
        <v>1.9695902055531261E-2</v>
      </c>
      <c r="CE76">
        <v>0.2433493705793833</v>
      </c>
      <c r="CH76">
        <v>0.2437287641098079</v>
      </c>
    </row>
    <row r="77" spans="1:86" x14ac:dyDescent="0.3">
      <c r="A77" s="1">
        <v>721</v>
      </c>
      <c r="B77" t="s">
        <v>1078</v>
      </c>
      <c r="C77" t="s">
        <v>1079</v>
      </c>
      <c r="E77" t="s">
        <v>404</v>
      </c>
      <c r="F77">
        <v>3.42</v>
      </c>
      <c r="G77" t="s">
        <v>1080</v>
      </c>
      <c r="H77">
        <v>-1</v>
      </c>
      <c r="I77">
        <v>-1</v>
      </c>
      <c r="J77">
        <v>1</v>
      </c>
      <c r="K77">
        <v>3.82</v>
      </c>
      <c r="L77">
        <v>3.82</v>
      </c>
      <c r="M77">
        <v>25.06</v>
      </c>
      <c r="N77" t="s">
        <v>1047</v>
      </c>
      <c r="O77">
        <v>25.06</v>
      </c>
      <c r="Q77" t="s">
        <v>87</v>
      </c>
      <c r="R77">
        <v>1273</v>
      </c>
      <c r="S77">
        <v>10</v>
      </c>
      <c r="T77" t="b">
        <v>0</v>
      </c>
      <c r="U77" t="s">
        <v>125</v>
      </c>
      <c r="V77" t="s">
        <v>126</v>
      </c>
      <c r="W77">
        <v>1</v>
      </c>
      <c r="Y77">
        <v>0.5</v>
      </c>
      <c r="Z77">
        <v>20</v>
      </c>
      <c r="AC77" t="s">
        <v>90</v>
      </c>
      <c r="AD77">
        <v>125</v>
      </c>
      <c r="AE77">
        <v>220</v>
      </c>
      <c r="AF77" t="s">
        <v>91</v>
      </c>
      <c r="AG77">
        <v>288</v>
      </c>
      <c r="AH77" s="3">
        <v>111000</v>
      </c>
      <c r="AI77" s="3">
        <f>AH77/(AD77*Y77*Z77)</f>
        <v>88.8</v>
      </c>
      <c r="AJ77" s="3">
        <f t="shared" si="1"/>
        <v>4.4863866499981242</v>
      </c>
      <c r="AK77" t="s">
        <v>136</v>
      </c>
      <c r="AN77" t="b">
        <v>1</v>
      </c>
      <c r="AO77" t="b">
        <v>0</v>
      </c>
      <c r="AP77" t="b">
        <v>0</v>
      </c>
      <c r="AQ77" t="b">
        <v>0</v>
      </c>
      <c r="AR77" t="s">
        <v>1142</v>
      </c>
      <c r="AS77">
        <v>-1</v>
      </c>
      <c r="AU77">
        <v>10.77728823278933</v>
      </c>
      <c r="AV77">
        <v>1.655172413793103</v>
      </c>
      <c r="AW77">
        <v>1.7931034482758621</v>
      </c>
      <c r="AX77">
        <v>0.27586206896551718</v>
      </c>
      <c r="AY77">
        <v>0</v>
      </c>
      <c r="AZ77">
        <v>0.44444444444444448</v>
      </c>
      <c r="BA77">
        <v>0.48148148148148151</v>
      </c>
      <c r="BB77">
        <v>7.407407407407407E-2</v>
      </c>
      <c r="BC77">
        <v>0</v>
      </c>
      <c r="BD77">
        <v>6.5948452115003446</v>
      </c>
      <c r="BE77">
        <v>24</v>
      </c>
      <c r="BF77">
        <v>442.10225086560899</v>
      </c>
      <c r="BG77">
        <v>2</v>
      </c>
      <c r="BH77">
        <v>0.10857216832988061</v>
      </c>
      <c r="BI77">
        <v>3.8530000000000002</v>
      </c>
      <c r="BJ77">
        <v>3.8530000000000002</v>
      </c>
      <c r="BK77">
        <v>29.780000999999999</v>
      </c>
      <c r="BL77">
        <v>0</v>
      </c>
      <c r="BM77">
        <v>0</v>
      </c>
      <c r="BO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509.51510999999999</v>
      </c>
      <c r="BY77">
        <v>9.4207215954792783E-2</v>
      </c>
      <c r="BZ77">
        <v>12</v>
      </c>
      <c r="CA77">
        <v>4.7103607977396392E-2</v>
      </c>
      <c r="CB77">
        <v>5.4286084164940303E-2</v>
      </c>
      <c r="CE77">
        <v>0.5404137898632555</v>
      </c>
      <c r="CH77">
        <v>0.46891279219836968</v>
      </c>
    </row>
    <row r="78" spans="1:86" x14ac:dyDescent="0.3">
      <c r="A78" s="1">
        <v>630</v>
      </c>
      <c r="B78" t="s">
        <v>1106</v>
      </c>
      <c r="C78" t="s">
        <v>1107</v>
      </c>
      <c r="E78" t="s">
        <v>404</v>
      </c>
      <c r="F78">
        <v>3.46</v>
      </c>
      <c r="G78" t="s">
        <v>405</v>
      </c>
      <c r="H78">
        <v>-1</v>
      </c>
      <c r="I78">
        <v>-1</v>
      </c>
      <c r="J78">
        <v>2</v>
      </c>
      <c r="K78">
        <v>3.7829999999999999</v>
      </c>
      <c r="L78">
        <v>3.7829999999999999</v>
      </c>
      <c r="M78">
        <v>27.18</v>
      </c>
      <c r="N78" t="s">
        <v>1047</v>
      </c>
      <c r="O78">
        <v>13.59</v>
      </c>
      <c r="Q78" t="s">
        <v>87</v>
      </c>
      <c r="R78">
        <v>1273</v>
      </c>
      <c r="S78">
        <v>10</v>
      </c>
      <c r="T78" t="b">
        <v>0</v>
      </c>
      <c r="U78" t="s">
        <v>125</v>
      </c>
      <c r="V78" t="s">
        <v>126</v>
      </c>
      <c r="W78">
        <v>1</v>
      </c>
      <c r="X78">
        <v>21</v>
      </c>
      <c r="Y78">
        <v>0.5</v>
      </c>
      <c r="Z78">
        <v>1</v>
      </c>
      <c r="AC78" t="s">
        <v>90</v>
      </c>
      <c r="AD78">
        <v>125</v>
      </c>
      <c r="AE78">
        <v>220</v>
      </c>
      <c r="AF78" t="s">
        <v>91</v>
      </c>
      <c r="AG78">
        <v>288</v>
      </c>
      <c r="AH78" s="3">
        <v>4800</v>
      </c>
      <c r="AI78" s="3">
        <f>AH78/(AD78*Y78*Z78)</f>
        <v>76.8</v>
      </c>
      <c r="AJ78" s="3">
        <f t="shared" si="1"/>
        <v>4.3412046401536264</v>
      </c>
      <c r="AK78" t="s">
        <v>136</v>
      </c>
      <c r="AN78" t="b">
        <v>1</v>
      </c>
      <c r="AO78" t="b">
        <v>0</v>
      </c>
      <c r="AP78" t="b">
        <v>0</v>
      </c>
      <c r="AQ78" t="b">
        <v>0</v>
      </c>
      <c r="AR78" t="s">
        <v>1143</v>
      </c>
      <c r="AS78">
        <v>-1</v>
      </c>
      <c r="AU78">
        <v>11.6942465214306</v>
      </c>
      <c r="AV78">
        <v>1.6</v>
      </c>
      <c r="AW78">
        <v>1.6</v>
      </c>
      <c r="AX78">
        <v>0.22857142857142859</v>
      </c>
      <c r="AY78">
        <v>0</v>
      </c>
      <c r="AZ78">
        <v>0.46666666666666667</v>
      </c>
      <c r="BA78">
        <v>0.46666666666666667</v>
      </c>
      <c r="BB78">
        <v>6.6666666666666666E-2</v>
      </c>
      <c r="BC78">
        <v>0</v>
      </c>
      <c r="BD78">
        <v>6.6422337521118289</v>
      </c>
      <c r="BE78">
        <v>24</v>
      </c>
      <c r="BF78">
        <v>599.76260360000003</v>
      </c>
      <c r="BG78">
        <v>2</v>
      </c>
      <c r="BH78">
        <v>8.0031665382079509E-2</v>
      </c>
      <c r="BI78">
        <v>3.8530000000000002</v>
      </c>
      <c r="BJ78">
        <v>3.8530000000000002</v>
      </c>
      <c r="BK78">
        <v>40.4</v>
      </c>
      <c r="BL78">
        <v>0</v>
      </c>
      <c r="BM78">
        <v>0</v>
      </c>
      <c r="BO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579.42155000000002</v>
      </c>
      <c r="BY78">
        <v>8.2841240544125422E-2</v>
      </c>
      <c r="BZ78">
        <v>12</v>
      </c>
      <c r="CA78">
        <v>4.1420620272062711E-2</v>
      </c>
      <c r="CB78">
        <v>4.0015832691039747E-2</v>
      </c>
      <c r="CE78">
        <v>0.3991092623735728</v>
      </c>
      <c r="CH78">
        <v>0.41312030994023191</v>
      </c>
    </row>
    <row r="79" spans="1:86" x14ac:dyDescent="0.3">
      <c r="A79" s="1">
        <v>540</v>
      </c>
      <c r="B79" t="s">
        <v>958</v>
      </c>
      <c r="C79" t="s">
        <v>959</v>
      </c>
      <c r="E79" t="s">
        <v>372</v>
      </c>
      <c r="F79">
        <v>3.47</v>
      </c>
      <c r="G79" t="s">
        <v>960</v>
      </c>
      <c r="H79">
        <v>-1</v>
      </c>
      <c r="I79">
        <v>-1</v>
      </c>
      <c r="J79">
        <v>4</v>
      </c>
      <c r="K79">
        <v>3.72</v>
      </c>
      <c r="L79">
        <v>3.72</v>
      </c>
      <c r="M79">
        <v>32.299999999999997</v>
      </c>
      <c r="N79" t="s">
        <v>529</v>
      </c>
      <c r="O79">
        <v>16.149999999999999</v>
      </c>
      <c r="Q79" t="s">
        <v>87</v>
      </c>
      <c r="R79">
        <v>1098</v>
      </c>
      <c r="S79">
        <v>12</v>
      </c>
      <c r="T79" t="b">
        <v>0</v>
      </c>
      <c r="U79" t="s">
        <v>125</v>
      </c>
      <c r="V79" t="s">
        <v>126</v>
      </c>
      <c r="W79">
        <v>1</v>
      </c>
      <c r="X79">
        <v>17</v>
      </c>
      <c r="Y79">
        <v>0.5</v>
      </c>
      <c r="Z79">
        <v>1</v>
      </c>
      <c r="AC79" t="s">
        <v>90</v>
      </c>
      <c r="AD79">
        <v>125</v>
      </c>
      <c r="AE79">
        <v>220</v>
      </c>
      <c r="AF79" t="s">
        <v>91</v>
      </c>
      <c r="AG79">
        <v>288</v>
      </c>
      <c r="AH79" s="3">
        <v>4000</v>
      </c>
      <c r="AI79" s="3">
        <f>AH79/(AD79*Y79*Z79)</f>
        <v>64</v>
      </c>
      <c r="AJ79" s="3">
        <f t="shared" si="1"/>
        <v>4.1588830833596715</v>
      </c>
      <c r="AK79" t="s">
        <v>136</v>
      </c>
      <c r="AN79" t="b">
        <v>1</v>
      </c>
      <c r="AO79" t="b">
        <v>0</v>
      </c>
      <c r="AP79" t="b">
        <v>0</v>
      </c>
      <c r="AQ79" t="b">
        <v>0</v>
      </c>
      <c r="AR79" t="s">
        <v>1144</v>
      </c>
      <c r="AS79">
        <v>-1</v>
      </c>
      <c r="AU79">
        <v>11.60859921503851</v>
      </c>
      <c r="AV79">
        <v>1.531914893617021</v>
      </c>
      <c r="AW79">
        <v>1.361702127659574</v>
      </c>
      <c r="AX79">
        <v>0.1702127659574468</v>
      </c>
      <c r="AY79">
        <v>0</v>
      </c>
      <c r="AZ79">
        <v>0.5</v>
      </c>
      <c r="BA79">
        <v>0.44444444444444442</v>
      </c>
      <c r="BB79">
        <v>5.5555555555555552E-2</v>
      </c>
      <c r="BC79">
        <v>0</v>
      </c>
      <c r="BD79">
        <v>6.7007132277600423</v>
      </c>
      <c r="BE79">
        <v>24</v>
      </c>
      <c r="BF79">
        <v>733.37308460000008</v>
      </c>
      <c r="BG79">
        <v>2</v>
      </c>
      <c r="BH79">
        <v>6.5450997599919278E-2</v>
      </c>
      <c r="BI79">
        <v>3.8530000000000002</v>
      </c>
      <c r="BJ79">
        <v>3.8530000000000002</v>
      </c>
      <c r="BK79">
        <v>49.4</v>
      </c>
      <c r="BL79">
        <v>0</v>
      </c>
      <c r="BM79">
        <v>0</v>
      </c>
      <c r="BO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707.73140000000001</v>
      </c>
      <c r="BY79">
        <v>6.7822340509407941E-2</v>
      </c>
      <c r="BZ79">
        <v>12</v>
      </c>
      <c r="CA79">
        <v>3.3911170254703971E-2</v>
      </c>
      <c r="CB79">
        <v>3.2725498799959639E-2</v>
      </c>
      <c r="CE79">
        <v>0.32763150191485713</v>
      </c>
      <c r="CH79">
        <v>0.33950185786787129</v>
      </c>
    </row>
    <row r="80" spans="1:86" x14ac:dyDescent="0.3">
      <c r="A80" s="1">
        <v>537</v>
      </c>
      <c r="B80" t="s">
        <v>949</v>
      </c>
      <c r="C80" t="s">
        <v>950</v>
      </c>
      <c r="E80" t="s">
        <v>372</v>
      </c>
      <c r="F80">
        <v>3.48</v>
      </c>
      <c r="G80" t="s">
        <v>951</v>
      </c>
      <c r="H80">
        <v>-1</v>
      </c>
      <c r="I80">
        <v>-1</v>
      </c>
      <c r="J80">
        <v>4</v>
      </c>
      <c r="K80">
        <v>3.75</v>
      </c>
      <c r="L80">
        <v>3.75</v>
      </c>
      <c r="M80">
        <v>37.299999999999997</v>
      </c>
      <c r="N80" t="s">
        <v>529</v>
      </c>
      <c r="O80">
        <v>18.649999999999999</v>
      </c>
      <c r="Q80" t="s">
        <v>87</v>
      </c>
      <c r="R80">
        <v>1098</v>
      </c>
      <c r="S80">
        <v>12</v>
      </c>
      <c r="T80" t="b">
        <v>0</v>
      </c>
      <c r="U80" t="s">
        <v>125</v>
      </c>
      <c r="V80" t="s">
        <v>126</v>
      </c>
      <c r="W80">
        <v>1</v>
      </c>
      <c r="Y80">
        <v>0.5</v>
      </c>
      <c r="Z80">
        <v>1</v>
      </c>
      <c r="AC80" t="s">
        <v>90</v>
      </c>
      <c r="AD80">
        <v>125</v>
      </c>
      <c r="AE80">
        <v>220</v>
      </c>
      <c r="AF80" t="s">
        <v>91</v>
      </c>
      <c r="AG80">
        <v>288</v>
      </c>
      <c r="AH80" s="3">
        <v>3920</v>
      </c>
      <c r="AI80" s="3">
        <f>AH80/(AD80*Y80*Z80)</f>
        <v>62.72</v>
      </c>
      <c r="AJ80" s="3">
        <f t="shared" si="1"/>
        <v>4.138680376042152</v>
      </c>
      <c r="AK80" t="s">
        <v>136</v>
      </c>
      <c r="AN80" t="b">
        <v>1</v>
      </c>
      <c r="AO80" t="b">
        <v>0</v>
      </c>
      <c r="AP80" t="b">
        <v>0</v>
      </c>
      <c r="AQ80" t="b">
        <v>0</v>
      </c>
      <c r="AR80" t="s">
        <v>1145</v>
      </c>
      <c r="AS80">
        <v>-1</v>
      </c>
      <c r="AU80">
        <v>11.64430454302661</v>
      </c>
      <c r="AV80">
        <v>1.491525423728814</v>
      </c>
      <c r="AW80">
        <v>1.220338983050848</v>
      </c>
      <c r="AX80">
        <v>0.13559322033898311</v>
      </c>
      <c r="AY80">
        <v>0</v>
      </c>
      <c r="AZ80">
        <v>0.52380952380952384</v>
      </c>
      <c r="BA80">
        <v>0.4285714285714286</v>
      </c>
      <c r="BB80">
        <v>4.7619047619047623E-2</v>
      </c>
      <c r="BC80">
        <v>0</v>
      </c>
      <c r="BD80">
        <v>6.7354044421276269</v>
      </c>
      <c r="BE80">
        <v>24</v>
      </c>
      <c r="BF80">
        <v>872.92180919999998</v>
      </c>
      <c r="BG80">
        <v>2</v>
      </c>
      <c r="BH80">
        <v>5.4987742881564841E-2</v>
      </c>
      <c r="BI80">
        <v>3.8530000000000002</v>
      </c>
      <c r="BJ80">
        <v>3.8530000000000002</v>
      </c>
      <c r="BK80">
        <v>58.8</v>
      </c>
      <c r="BL80">
        <v>0</v>
      </c>
      <c r="BM80">
        <v>0</v>
      </c>
      <c r="BO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426.09807999999998</v>
      </c>
      <c r="BY80">
        <v>5.6325060183326808E-2</v>
      </c>
      <c r="BZ80">
        <v>12</v>
      </c>
      <c r="CA80">
        <v>2.8162530091663401E-2</v>
      </c>
      <c r="CB80">
        <v>2.7493871440782421E-2</v>
      </c>
      <c r="CE80">
        <v>0.27629214607645491</v>
      </c>
      <c r="CH80">
        <v>0.28301164842236531</v>
      </c>
    </row>
    <row r="81" spans="1:86" x14ac:dyDescent="0.3">
      <c r="A81" s="1">
        <v>539</v>
      </c>
      <c r="B81" t="s">
        <v>955</v>
      </c>
      <c r="C81" t="s">
        <v>956</v>
      </c>
      <c r="E81" t="s">
        <v>372</v>
      </c>
      <c r="F81">
        <v>3.47</v>
      </c>
      <c r="G81" t="s">
        <v>957</v>
      </c>
      <c r="H81">
        <v>-1</v>
      </c>
      <c r="I81">
        <v>-1</v>
      </c>
      <c r="J81">
        <v>4</v>
      </c>
      <c r="K81">
        <v>3.76</v>
      </c>
      <c r="L81">
        <v>3.76</v>
      </c>
      <c r="M81">
        <v>54.9</v>
      </c>
      <c r="N81" t="s">
        <v>529</v>
      </c>
      <c r="O81">
        <v>27.45</v>
      </c>
      <c r="Q81" t="s">
        <v>87</v>
      </c>
      <c r="R81">
        <v>1098</v>
      </c>
      <c r="S81">
        <v>12</v>
      </c>
      <c r="T81" t="b">
        <v>0</v>
      </c>
      <c r="U81" t="s">
        <v>125</v>
      </c>
      <c r="V81" t="s">
        <v>126</v>
      </c>
      <c r="W81">
        <v>1</v>
      </c>
      <c r="Y81">
        <v>0.5</v>
      </c>
      <c r="Z81">
        <v>1</v>
      </c>
      <c r="AC81" t="s">
        <v>90</v>
      </c>
      <c r="AD81">
        <v>125</v>
      </c>
      <c r="AE81">
        <v>220</v>
      </c>
      <c r="AF81" t="s">
        <v>91</v>
      </c>
      <c r="AG81">
        <v>288</v>
      </c>
      <c r="AH81" s="3">
        <v>3640</v>
      </c>
      <c r="AI81" s="3">
        <f>AH81/(AD81*Y81*Z81)</f>
        <v>58.24</v>
      </c>
      <c r="AJ81" s="3">
        <f t="shared" si="1"/>
        <v>4.0645724038884303</v>
      </c>
      <c r="AK81" t="s">
        <v>972</v>
      </c>
      <c r="AN81" t="b">
        <v>1</v>
      </c>
      <c r="AO81" t="b">
        <v>0</v>
      </c>
      <c r="AP81" t="b">
        <v>0</v>
      </c>
      <c r="AQ81" t="b">
        <v>0</v>
      </c>
      <c r="AR81" t="s">
        <v>1146</v>
      </c>
      <c r="AS81">
        <v>-1</v>
      </c>
      <c r="AU81">
        <v>7.9229859587111946</v>
      </c>
      <c r="AV81">
        <v>1.882352941176471</v>
      </c>
      <c r="AW81">
        <v>2.3529411764705879</v>
      </c>
      <c r="AX81">
        <v>0.35294117647058831</v>
      </c>
      <c r="AY81">
        <v>0.47058823529411759</v>
      </c>
      <c r="AZ81">
        <v>0.37209302325581389</v>
      </c>
      <c r="BA81">
        <v>0.46511627906976749</v>
      </c>
      <c r="BB81">
        <v>6.9767441860465129E-2</v>
      </c>
      <c r="BC81">
        <v>9.3023255813953487E-2</v>
      </c>
      <c r="BD81">
        <v>6.2192035579236471</v>
      </c>
      <c r="BE81">
        <v>20</v>
      </c>
      <c r="BF81">
        <v>229.90248606119221</v>
      </c>
      <c r="BG81">
        <v>1</v>
      </c>
      <c r="BH81">
        <v>8.6993404650164072E-2</v>
      </c>
      <c r="BI81">
        <v>15.28115725</v>
      </c>
      <c r="BJ81">
        <v>15.28115725</v>
      </c>
      <c r="BK81">
        <v>15.28115725</v>
      </c>
      <c r="BL81">
        <v>0</v>
      </c>
      <c r="BM81">
        <v>0</v>
      </c>
      <c r="BO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388.64447999999999</v>
      </c>
      <c r="BY81">
        <v>0.1029218271670808</v>
      </c>
      <c r="BZ81">
        <v>10</v>
      </c>
      <c r="CA81">
        <v>5.1460913583540407E-2</v>
      </c>
      <c r="CB81">
        <v>4.3496702325082043E-2</v>
      </c>
      <c r="CE81">
        <v>0.43867496702406639</v>
      </c>
      <c r="CH81">
        <v>0.51899600113525035</v>
      </c>
    </row>
    <row r="82" spans="1:86" x14ac:dyDescent="0.3">
      <c r="A82" s="1">
        <v>609</v>
      </c>
      <c r="B82" t="s">
        <v>1054</v>
      </c>
      <c r="C82" t="s">
        <v>1055</v>
      </c>
      <c r="E82" t="s">
        <v>404</v>
      </c>
      <c r="F82">
        <v>3.44</v>
      </c>
      <c r="G82" t="s">
        <v>405</v>
      </c>
      <c r="H82">
        <v>-1</v>
      </c>
      <c r="I82">
        <v>-1</v>
      </c>
      <c r="J82">
        <v>2</v>
      </c>
      <c r="K82">
        <v>3.79</v>
      </c>
      <c r="L82">
        <v>3.79</v>
      </c>
      <c r="M82">
        <v>27.2</v>
      </c>
      <c r="N82" t="s">
        <v>529</v>
      </c>
      <c r="O82">
        <v>13.6</v>
      </c>
      <c r="Q82" t="s">
        <v>87</v>
      </c>
      <c r="R82">
        <v>1373</v>
      </c>
      <c r="S82">
        <v>12</v>
      </c>
      <c r="T82" t="b">
        <v>0</v>
      </c>
      <c r="U82" t="s">
        <v>125</v>
      </c>
      <c r="V82" t="s">
        <v>126</v>
      </c>
      <c r="W82">
        <v>1</v>
      </c>
      <c r="X82">
        <v>3.24</v>
      </c>
      <c r="Y82">
        <v>0.5</v>
      </c>
      <c r="Z82">
        <v>1</v>
      </c>
      <c r="AC82" t="s">
        <v>90</v>
      </c>
      <c r="AD82">
        <v>125</v>
      </c>
      <c r="AE82">
        <v>220</v>
      </c>
      <c r="AF82" t="s">
        <v>91</v>
      </c>
      <c r="AG82">
        <v>288</v>
      </c>
      <c r="AH82" s="3">
        <v>3404</v>
      </c>
      <c r="AI82" s="3">
        <f>AH82/(AD82*Y82*Z82)</f>
        <v>54.463999999999999</v>
      </c>
      <c r="AJ82" s="3">
        <f t="shared" si="1"/>
        <v>3.9975399329509087</v>
      </c>
      <c r="AK82" t="s">
        <v>972</v>
      </c>
      <c r="AN82" t="b">
        <v>1</v>
      </c>
      <c r="AO82" t="b">
        <v>0</v>
      </c>
      <c r="AP82" t="b">
        <v>0</v>
      </c>
      <c r="AQ82" t="b">
        <v>0</v>
      </c>
      <c r="AR82" t="s">
        <v>1147</v>
      </c>
      <c r="AS82">
        <v>-1</v>
      </c>
      <c r="AU82">
        <v>10.98597045927435</v>
      </c>
      <c r="AV82">
        <v>1.612903225806452</v>
      </c>
      <c r="AW82">
        <v>1.612903225806452</v>
      </c>
      <c r="AX82">
        <v>0.19354838709677419</v>
      </c>
      <c r="AY82">
        <v>0.25806451612903231</v>
      </c>
      <c r="AZ82">
        <v>0.43859649122807021</v>
      </c>
      <c r="BA82">
        <v>0.43859649122807021</v>
      </c>
      <c r="BB82">
        <v>5.2631578947368432E-2</v>
      </c>
      <c r="BC82">
        <v>7.0175438596491224E-2</v>
      </c>
      <c r="BD82">
        <v>6.5960048401358709</v>
      </c>
      <c r="BE82">
        <v>20</v>
      </c>
      <c r="BF82">
        <v>442.10225086560899</v>
      </c>
      <c r="BG82">
        <v>2</v>
      </c>
      <c r="BH82">
        <v>9.0476806941567164E-2</v>
      </c>
      <c r="BI82">
        <v>3.8530000000000002</v>
      </c>
      <c r="BJ82">
        <v>3.8530000000000002</v>
      </c>
      <c r="BK82">
        <v>29.780000999999999</v>
      </c>
      <c r="BL82">
        <v>0</v>
      </c>
      <c r="BM82">
        <v>0</v>
      </c>
      <c r="BO82">
        <v>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513.86993999999993</v>
      </c>
      <c r="BY82">
        <v>7.7840708098239814E-2</v>
      </c>
      <c r="BZ82">
        <v>10</v>
      </c>
      <c r="CA82">
        <v>3.8920354049119907E-2</v>
      </c>
      <c r="CB82">
        <v>4.5238403470783582E-2</v>
      </c>
      <c r="CE82">
        <v>0.54443134767909995</v>
      </c>
      <c r="CH82">
        <v>0.4683954158725982</v>
      </c>
    </row>
    <row r="83" spans="1:86" x14ac:dyDescent="0.3">
      <c r="A83" s="1">
        <v>690</v>
      </c>
      <c r="B83" t="s">
        <v>1054</v>
      </c>
      <c r="C83" t="s">
        <v>1055</v>
      </c>
      <c r="E83" t="s">
        <v>404</v>
      </c>
      <c r="F83">
        <v>3.45</v>
      </c>
      <c r="G83" t="s">
        <v>405</v>
      </c>
      <c r="H83">
        <v>-1</v>
      </c>
      <c r="I83" t="s">
        <v>1056</v>
      </c>
      <c r="J83">
        <v>1</v>
      </c>
      <c r="K83">
        <v>3.8</v>
      </c>
      <c r="L83">
        <v>3.8</v>
      </c>
      <c r="M83">
        <v>13.6</v>
      </c>
      <c r="O83">
        <v>13.6</v>
      </c>
      <c r="Q83" t="s">
        <v>87</v>
      </c>
      <c r="R83">
        <v>1373</v>
      </c>
      <c r="S83">
        <v>12</v>
      </c>
      <c r="T83" t="b">
        <v>0</v>
      </c>
      <c r="U83" t="s">
        <v>125</v>
      </c>
      <c r="V83" t="s">
        <v>126</v>
      </c>
      <c r="W83">
        <v>1</v>
      </c>
      <c r="X83">
        <v>3.2</v>
      </c>
      <c r="Y83">
        <v>0.5</v>
      </c>
      <c r="Z83">
        <v>1</v>
      </c>
      <c r="AC83" t="s">
        <v>90</v>
      </c>
      <c r="AD83">
        <v>125</v>
      </c>
      <c r="AE83">
        <v>220</v>
      </c>
      <c r="AF83" t="s">
        <v>91</v>
      </c>
      <c r="AG83">
        <v>288</v>
      </c>
      <c r="AH83" s="3">
        <v>3404</v>
      </c>
      <c r="AI83" s="3">
        <f>AH83/(AD83*Y83*Z83)</f>
        <v>54.463999999999999</v>
      </c>
      <c r="AJ83" s="3">
        <f t="shared" si="1"/>
        <v>3.9975399329509087</v>
      </c>
      <c r="AK83" t="s">
        <v>972</v>
      </c>
      <c r="AN83" t="b">
        <v>1</v>
      </c>
      <c r="AO83" t="b">
        <v>0</v>
      </c>
      <c r="AP83" t="b">
        <v>0</v>
      </c>
      <c r="AQ83" t="b">
        <v>0</v>
      </c>
      <c r="AR83" t="s">
        <v>1148</v>
      </c>
      <c r="AS83">
        <v>-1</v>
      </c>
      <c r="AU83">
        <v>10.99002725996997</v>
      </c>
      <c r="AV83">
        <v>1.567567567567568</v>
      </c>
      <c r="AW83">
        <v>1.459459459459459</v>
      </c>
      <c r="AX83">
        <v>0.1621621621621622</v>
      </c>
      <c r="AY83">
        <v>0.2162162162162162</v>
      </c>
      <c r="AZ83">
        <v>0.46031746031746029</v>
      </c>
      <c r="BA83">
        <v>0.4285714285714286</v>
      </c>
      <c r="BB83">
        <v>4.7619047619047623E-2</v>
      </c>
      <c r="BC83">
        <v>6.3492063492063502E-2</v>
      </c>
      <c r="BD83">
        <v>6.6406437901247566</v>
      </c>
      <c r="BE83">
        <v>20</v>
      </c>
      <c r="BF83">
        <v>599.76260360000003</v>
      </c>
      <c r="BG83">
        <v>2</v>
      </c>
      <c r="BH83">
        <v>6.6693054485066267E-2</v>
      </c>
      <c r="BI83">
        <v>3.8530000000000002</v>
      </c>
      <c r="BJ83">
        <v>3.8530000000000002</v>
      </c>
      <c r="BK83">
        <v>40.4</v>
      </c>
      <c r="BL83">
        <v>0</v>
      </c>
      <c r="BM83">
        <v>0</v>
      </c>
      <c r="BO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287.35599999999999</v>
      </c>
      <c r="BY83">
        <v>6.9600077952087308E-2</v>
      </c>
      <c r="BZ83">
        <v>10</v>
      </c>
      <c r="CA83">
        <v>3.4800038976043647E-2</v>
      </c>
      <c r="CB83">
        <v>3.3346527242533133E-2</v>
      </c>
      <c r="CE83">
        <v>0.40207071969469671</v>
      </c>
      <c r="CH83">
        <v>0.41959621806299002</v>
      </c>
    </row>
    <row r="84" spans="1:86" x14ac:dyDescent="0.3">
      <c r="A84" s="1">
        <v>722</v>
      </c>
      <c r="B84" t="s">
        <v>1078</v>
      </c>
      <c r="C84" t="s">
        <v>1079</v>
      </c>
      <c r="E84" t="s">
        <v>404</v>
      </c>
      <c r="F84">
        <v>3.42</v>
      </c>
      <c r="G84" t="s">
        <v>1080</v>
      </c>
      <c r="H84">
        <v>-1</v>
      </c>
      <c r="I84">
        <v>-1</v>
      </c>
      <c r="J84">
        <v>1</v>
      </c>
      <c r="K84">
        <v>3.82</v>
      </c>
      <c r="L84">
        <v>3.82</v>
      </c>
      <c r="M84">
        <v>25.06</v>
      </c>
      <c r="N84" t="s">
        <v>1047</v>
      </c>
      <c r="O84">
        <v>25.06</v>
      </c>
      <c r="Q84" t="s">
        <v>87</v>
      </c>
      <c r="R84">
        <v>1273</v>
      </c>
      <c r="S84">
        <v>10</v>
      </c>
      <c r="T84" t="b">
        <v>0</v>
      </c>
      <c r="U84" t="s">
        <v>125</v>
      </c>
      <c r="V84" t="s">
        <v>126</v>
      </c>
      <c r="W84">
        <v>1</v>
      </c>
      <c r="Y84">
        <v>0.5</v>
      </c>
      <c r="Z84">
        <v>30</v>
      </c>
      <c r="AC84" t="s">
        <v>90</v>
      </c>
      <c r="AD84">
        <v>125</v>
      </c>
      <c r="AE84">
        <v>220</v>
      </c>
      <c r="AF84" t="s">
        <v>91</v>
      </c>
      <c r="AG84">
        <v>288</v>
      </c>
      <c r="AH84" s="3">
        <v>90000</v>
      </c>
      <c r="AI84" s="3">
        <f>AH84/(AD84*Y84*Z84)</f>
        <v>48</v>
      </c>
      <c r="AJ84" s="3">
        <f t="shared" si="1"/>
        <v>3.8712010109078911</v>
      </c>
      <c r="AK84" t="s">
        <v>972</v>
      </c>
      <c r="AN84" t="b">
        <v>1</v>
      </c>
      <c r="AO84" t="b">
        <v>0</v>
      </c>
      <c r="AP84" t="b">
        <v>0</v>
      </c>
      <c r="AQ84" t="b">
        <v>0</v>
      </c>
      <c r="AR84" t="s">
        <v>1149</v>
      </c>
      <c r="AS84">
        <v>-1</v>
      </c>
      <c r="AU84">
        <v>11.328040625773109</v>
      </c>
      <c r="AV84">
        <v>1.510204081632653</v>
      </c>
      <c r="AW84">
        <v>1.2653061224489801</v>
      </c>
      <c r="AX84">
        <v>0.1224489795918367</v>
      </c>
      <c r="AY84">
        <v>0.16326530612244899</v>
      </c>
      <c r="AZ84">
        <v>0.49333333333333329</v>
      </c>
      <c r="BA84">
        <v>0.41333333333333339</v>
      </c>
      <c r="BB84">
        <v>0.04</v>
      </c>
      <c r="BC84">
        <v>5.333333333333333E-2</v>
      </c>
      <c r="BD84">
        <v>6.6971257268453872</v>
      </c>
      <c r="BE84">
        <v>20</v>
      </c>
      <c r="BF84">
        <v>733.37308460000008</v>
      </c>
      <c r="BG84">
        <v>2</v>
      </c>
      <c r="BH84">
        <v>5.4542497999932729E-2</v>
      </c>
      <c r="BI84">
        <v>3.8530000000000002</v>
      </c>
      <c r="BJ84">
        <v>3.8530000000000002</v>
      </c>
      <c r="BK84">
        <v>49.4</v>
      </c>
      <c r="BL84">
        <v>0</v>
      </c>
      <c r="BM84">
        <v>0</v>
      </c>
      <c r="BO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348.63695999999999</v>
      </c>
      <c r="BY84">
        <v>5.7366264322635217E-2</v>
      </c>
      <c r="BZ84">
        <v>10</v>
      </c>
      <c r="CA84">
        <v>2.8683132161317609E-2</v>
      </c>
      <c r="CB84">
        <v>2.7271248999966361E-2</v>
      </c>
      <c r="CE84">
        <v>0.33005342247707181</v>
      </c>
      <c r="CH84">
        <v>0.34714090055855978</v>
      </c>
    </row>
    <row r="85" spans="1:86" x14ac:dyDescent="0.3">
      <c r="A85" s="1">
        <v>619</v>
      </c>
      <c r="B85" t="s">
        <v>1106</v>
      </c>
      <c r="C85" t="s">
        <v>1107</v>
      </c>
      <c r="E85" t="s">
        <v>404</v>
      </c>
      <c r="F85">
        <v>3.47</v>
      </c>
      <c r="G85" t="s">
        <v>405</v>
      </c>
      <c r="H85">
        <v>-1</v>
      </c>
      <c r="I85">
        <v>-1</v>
      </c>
      <c r="J85">
        <v>2</v>
      </c>
      <c r="K85">
        <v>3.78</v>
      </c>
      <c r="L85">
        <v>3.78</v>
      </c>
      <c r="M85">
        <v>27.2</v>
      </c>
      <c r="N85" t="s">
        <v>529</v>
      </c>
      <c r="O85">
        <v>13.6</v>
      </c>
      <c r="Q85" t="s">
        <v>87</v>
      </c>
      <c r="R85">
        <v>1373</v>
      </c>
      <c r="S85">
        <v>12</v>
      </c>
      <c r="T85" t="b">
        <v>0</v>
      </c>
      <c r="U85" t="s">
        <v>125</v>
      </c>
      <c r="V85" t="s">
        <v>126</v>
      </c>
      <c r="W85">
        <v>1</v>
      </c>
      <c r="X85">
        <v>3.08</v>
      </c>
      <c r="Y85">
        <v>0.5</v>
      </c>
      <c r="Z85">
        <v>1</v>
      </c>
      <c r="AC85" t="s">
        <v>90</v>
      </c>
      <c r="AD85">
        <v>125</v>
      </c>
      <c r="AE85">
        <v>220</v>
      </c>
      <c r="AF85" t="s">
        <v>91</v>
      </c>
      <c r="AG85">
        <v>288</v>
      </c>
      <c r="AH85" s="3">
        <v>2760</v>
      </c>
      <c r="AI85" s="3">
        <f>AH85/(AD85*Y85*Z85)</f>
        <v>44.16</v>
      </c>
      <c r="AJ85" s="3">
        <f t="shared" si="1"/>
        <v>3.7878194019688398</v>
      </c>
      <c r="AK85" t="s">
        <v>972</v>
      </c>
      <c r="AN85" t="b">
        <v>1</v>
      </c>
      <c r="AO85" t="b">
        <v>0</v>
      </c>
      <c r="AP85" t="b">
        <v>0</v>
      </c>
      <c r="AQ85" t="b">
        <v>0</v>
      </c>
      <c r="AR85" t="s">
        <v>1150</v>
      </c>
      <c r="AS85">
        <v>-1</v>
      </c>
      <c r="AU85">
        <v>10.561007555452919</v>
      </c>
      <c r="AV85">
        <v>1.4754098360655741</v>
      </c>
      <c r="AW85">
        <v>1.1475409836065571</v>
      </c>
      <c r="AX85">
        <v>9.8360655737704916E-2</v>
      </c>
      <c r="AY85">
        <v>0.13114754098360659</v>
      </c>
      <c r="AZ85">
        <v>0.51724137931034486</v>
      </c>
      <c r="BA85">
        <v>0.4022988505747126</v>
      </c>
      <c r="BB85">
        <v>3.4482758620689648E-2</v>
      </c>
      <c r="BC85">
        <v>4.5977011494252873E-2</v>
      </c>
      <c r="BD85">
        <v>6.731385262233311</v>
      </c>
      <c r="BE85">
        <v>20</v>
      </c>
      <c r="BF85">
        <v>872.92180919999998</v>
      </c>
      <c r="BG85">
        <v>2</v>
      </c>
      <c r="BH85">
        <v>4.5823119067970701E-2</v>
      </c>
      <c r="BI85">
        <v>3.8530000000000002</v>
      </c>
      <c r="BJ85">
        <v>3.8530000000000002</v>
      </c>
      <c r="BK85">
        <v>58.8</v>
      </c>
      <c r="BL85">
        <v>0</v>
      </c>
      <c r="BM85">
        <v>0</v>
      </c>
      <c r="BO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421.64800000000002</v>
      </c>
      <c r="BY85">
        <v>4.7432929837210189E-2</v>
      </c>
      <c r="BZ85">
        <v>10</v>
      </c>
      <c r="CA85">
        <v>2.3716464918605091E-2</v>
      </c>
      <c r="CB85">
        <v>2.291155953398535E-2</v>
      </c>
      <c r="CE85">
        <v>0.27832688886171691</v>
      </c>
      <c r="CH85">
        <v>0.28810478334318818</v>
      </c>
    </row>
    <row r="86" spans="1:86" x14ac:dyDescent="0.3">
      <c r="A86" s="1">
        <v>691</v>
      </c>
      <c r="B86" t="s">
        <v>1106</v>
      </c>
      <c r="C86" t="s">
        <v>1107</v>
      </c>
      <c r="E86" t="s">
        <v>404</v>
      </c>
      <c r="F86">
        <v>3.47</v>
      </c>
      <c r="G86" t="s">
        <v>405</v>
      </c>
      <c r="H86">
        <v>-1</v>
      </c>
      <c r="I86">
        <v>-1</v>
      </c>
      <c r="J86">
        <v>1</v>
      </c>
      <c r="K86">
        <v>3.8</v>
      </c>
      <c r="L86">
        <v>3.8</v>
      </c>
      <c r="M86">
        <v>13.6</v>
      </c>
      <c r="O86">
        <v>13.6</v>
      </c>
      <c r="Q86" t="s">
        <v>87</v>
      </c>
      <c r="R86">
        <v>1373</v>
      </c>
      <c r="S86">
        <v>12</v>
      </c>
      <c r="T86" t="b">
        <v>0</v>
      </c>
      <c r="U86" t="s">
        <v>125</v>
      </c>
      <c r="V86" t="s">
        <v>126</v>
      </c>
      <c r="W86">
        <v>1</v>
      </c>
      <c r="X86">
        <v>3.1</v>
      </c>
      <c r="Y86">
        <v>0.5</v>
      </c>
      <c r="Z86">
        <v>1</v>
      </c>
      <c r="AC86" t="s">
        <v>90</v>
      </c>
      <c r="AD86">
        <v>125</v>
      </c>
      <c r="AE86">
        <v>220</v>
      </c>
      <c r="AF86" t="s">
        <v>91</v>
      </c>
      <c r="AG86">
        <v>288</v>
      </c>
      <c r="AH86" s="3">
        <v>2760</v>
      </c>
      <c r="AI86" s="3">
        <f>AH86/(AD86*Y86*Z86)</f>
        <v>44.16</v>
      </c>
      <c r="AJ86" s="3">
        <f t="shared" si="1"/>
        <v>3.7878194019688398</v>
      </c>
      <c r="AK86" t="s">
        <v>972</v>
      </c>
      <c r="AN86" t="b">
        <v>1</v>
      </c>
      <c r="AO86" t="b">
        <v>0</v>
      </c>
      <c r="AP86" t="b">
        <v>0</v>
      </c>
      <c r="AQ86" t="b">
        <v>0</v>
      </c>
      <c r="AR86" t="s">
        <v>1151</v>
      </c>
      <c r="AS86">
        <v>-1</v>
      </c>
      <c r="AU86">
        <v>10.623276664042489</v>
      </c>
      <c r="AV86">
        <v>1.452054794520548</v>
      </c>
      <c r="AW86">
        <v>1.068493150684932</v>
      </c>
      <c r="AX86">
        <v>8.2191780821917804E-2</v>
      </c>
      <c r="AY86">
        <v>0.1095890410958904</v>
      </c>
      <c r="AZ86">
        <v>0.53535353535353536</v>
      </c>
      <c r="BA86">
        <v>0.39393939393939392</v>
      </c>
      <c r="BB86">
        <v>3.03030303030303E-2</v>
      </c>
      <c r="BC86">
        <v>4.0404040404040401E-2</v>
      </c>
      <c r="BD86">
        <v>6.7543813887265749</v>
      </c>
      <c r="BE86">
        <v>20</v>
      </c>
      <c r="BF86">
        <v>1015.4396556</v>
      </c>
      <c r="BG86">
        <v>2</v>
      </c>
      <c r="BH86">
        <v>3.9391804111062523E-2</v>
      </c>
      <c r="BI86">
        <v>3.8530000000000002</v>
      </c>
      <c r="BJ86">
        <v>3.8530000000000002</v>
      </c>
      <c r="BK86">
        <v>68.400000000000006</v>
      </c>
      <c r="BL86">
        <v>0</v>
      </c>
      <c r="BM86">
        <v>0</v>
      </c>
      <c r="BO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482.29599999999988</v>
      </c>
      <c r="BY86">
        <v>4.1468309917561008E-2</v>
      </c>
      <c r="BZ86">
        <v>10</v>
      </c>
      <c r="CA86">
        <v>2.0734154958780501E-2</v>
      </c>
      <c r="CB86">
        <v>1.9695902055531261E-2</v>
      </c>
      <c r="CE86">
        <v>0.24015501549372151</v>
      </c>
      <c r="CH86">
        <v>0.25281458505104482</v>
      </c>
    </row>
    <row r="87" spans="1:86" x14ac:dyDescent="0.3">
      <c r="A87" s="1">
        <v>733</v>
      </c>
      <c r="B87" t="s">
        <v>1115</v>
      </c>
      <c r="C87" t="s">
        <v>1116</v>
      </c>
      <c r="E87" t="s">
        <v>404</v>
      </c>
      <c r="F87">
        <v>3.58</v>
      </c>
      <c r="G87" t="s">
        <v>1080</v>
      </c>
      <c r="H87">
        <v>-1</v>
      </c>
      <c r="I87">
        <v>-1</v>
      </c>
      <c r="J87">
        <v>1</v>
      </c>
      <c r="K87">
        <v>3.802</v>
      </c>
      <c r="L87">
        <v>3.802</v>
      </c>
      <c r="M87">
        <v>24.7</v>
      </c>
      <c r="N87" t="s">
        <v>101</v>
      </c>
      <c r="O87">
        <v>24.7</v>
      </c>
      <c r="Q87" t="s">
        <v>87</v>
      </c>
      <c r="R87">
        <v>1273</v>
      </c>
      <c r="S87">
        <v>10</v>
      </c>
      <c r="T87" t="b">
        <v>0</v>
      </c>
      <c r="U87" t="s">
        <v>125</v>
      </c>
      <c r="V87" t="s">
        <v>126</v>
      </c>
      <c r="W87">
        <v>1</v>
      </c>
      <c r="Y87">
        <v>0.5</v>
      </c>
      <c r="Z87">
        <v>30</v>
      </c>
      <c r="AC87" t="s">
        <v>90</v>
      </c>
      <c r="AD87">
        <v>125</v>
      </c>
      <c r="AE87">
        <v>220</v>
      </c>
      <c r="AF87" t="s">
        <v>91</v>
      </c>
      <c r="AG87">
        <v>288</v>
      </c>
      <c r="AH87" s="3">
        <v>81000</v>
      </c>
      <c r="AI87" s="3">
        <f>AH87/(AD87*Y87*Z87)</f>
        <v>43.2</v>
      </c>
      <c r="AJ87" s="3">
        <f t="shared" si="1"/>
        <v>3.7658404952500648</v>
      </c>
      <c r="AK87" t="s">
        <v>972</v>
      </c>
      <c r="AN87" t="b">
        <v>1</v>
      </c>
      <c r="AO87" t="b">
        <v>0</v>
      </c>
      <c r="AP87" t="b">
        <v>0</v>
      </c>
      <c r="AQ87" t="b">
        <v>0</v>
      </c>
      <c r="AR87" t="s">
        <v>1152</v>
      </c>
      <c r="AS87">
        <v>-1</v>
      </c>
      <c r="AU87">
        <v>11.177172969273361</v>
      </c>
      <c r="AV87">
        <v>1.655172413793103</v>
      </c>
      <c r="AW87">
        <v>1.7931034482758621</v>
      </c>
      <c r="AX87">
        <v>0.2068965517241379</v>
      </c>
      <c r="AY87">
        <v>0.27586206896551718</v>
      </c>
      <c r="AZ87">
        <v>0.4210526315789474</v>
      </c>
      <c r="BA87">
        <v>0.45614035087719301</v>
      </c>
      <c r="BB87">
        <v>5.2631578947368432E-2</v>
      </c>
      <c r="BC87">
        <v>7.0175438596491224E-2</v>
      </c>
      <c r="BD87">
        <v>6.5771916632244816</v>
      </c>
      <c r="BE87">
        <v>24</v>
      </c>
      <c r="BF87">
        <v>442.10225086560899</v>
      </c>
      <c r="BG87">
        <v>2</v>
      </c>
      <c r="BH87">
        <v>0.10857216832988061</v>
      </c>
      <c r="BI87">
        <v>3.8530000000000002</v>
      </c>
      <c r="BJ87">
        <v>3.8530000000000002</v>
      </c>
      <c r="BK87">
        <v>29.780000999999999</v>
      </c>
      <c r="BL87">
        <v>0</v>
      </c>
      <c r="BM87">
        <v>0</v>
      </c>
      <c r="BO87">
        <v>0</v>
      </c>
      <c r="BR87">
        <v>0</v>
      </c>
      <c r="BS87">
        <v>0</v>
      </c>
      <c r="BU87">
        <v>0</v>
      </c>
      <c r="BV87">
        <v>0</v>
      </c>
      <c r="BW87">
        <v>0</v>
      </c>
      <c r="BX87">
        <v>482.09215999999998</v>
      </c>
      <c r="BY87">
        <v>9.9566024886196036E-2</v>
      </c>
      <c r="BZ87">
        <v>12</v>
      </c>
      <c r="CA87">
        <v>4.9783012443098018E-2</v>
      </c>
      <c r="CB87">
        <v>5.4286084164940303E-2</v>
      </c>
      <c r="CE87">
        <v>0.53307685633329149</v>
      </c>
      <c r="CH87">
        <v>0.48885772809354761</v>
      </c>
    </row>
    <row r="88" spans="1:86" x14ac:dyDescent="0.3">
      <c r="A88" s="1">
        <v>538</v>
      </c>
      <c r="B88" t="s">
        <v>952</v>
      </c>
      <c r="C88" t="s">
        <v>953</v>
      </c>
      <c r="E88" t="s">
        <v>372</v>
      </c>
      <c r="F88">
        <v>3.61</v>
      </c>
      <c r="G88" t="s">
        <v>954</v>
      </c>
      <c r="H88">
        <v>-1</v>
      </c>
      <c r="I88">
        <v>-1</v>
      </c>
      <c r="J88">
        <v>4</v>
      </c>
      <c r="K88">
        <v>3.76</v>
      </c>
      <c r="L88">
        <v>3.76</v>
      </c>
      <c r="M88">
        <v>47.8</v>
      </c>
      <c r="N88" t="s">
        <v>529</v>
      </c>
      <c r="O88">
        <v>23.9</v>
      </c>
      <c r="Q88" t="s">
        <v>87</v>
      </c>
      <c r="R88">
        <v>1098</v>
      </c>
      <c r="S88">
        <v>12</v>
      </c>
      <c r="T88" t="b">
        <v>0</v>
      </c>
      <c r="U88" t="s">
        <v>125</v>
      </c>
      <c r="V88" t="s">
        <v>126</v>
      </c>
      <c r="W88">
        <v>1</v>
      </c>
      <c r="X88">
        <v>2.6</v>
      </c>
      <c r="Y88">
        <v>0.5</v>
      </c>
      <c r="Z88">
        <v>1</v>
      </c>
      <c r="AC88" t="s">
        <v>90</v>
      </c>
      <c r="AD88">
        <v>125</v>
      </c>
      <c r="AE88">
        <v>220</v>
      </c>
      <c r="AF88" t="s">
        <v>91</v>
      </c>
      <c r="AG88">
        <v>288</v>
      </c>
      <c r="AH88" s="3">
        <v>2280</v>
      </c>
      <c r="AI88" s="3">
        <f>AH88/(AD88*Y88*Z88)</f>
        <v>36.479999999999997</v>
      </c>
      <c r="AJ88" s="3">
        <f t="shared" si="1"/>
        <v>3.5967641652061304</v>
      </c>
      <c r="AK88" t="s">
        <v>972</v>
      </c>
      <c r="AN88" t="b">
        <v>1</v>
      </c>
      <c r="AO88" t="b">
        <v>0</v>
      </c>
      <c r="AP88" t="b">
        <v>0</v>
      </c>
      <c r="AQ88" t="b">
        <v>0</v>
      </c>
      <c r="AR88" t="s">
        <v>1153</v>
      </c>
      <c r="AS88">
        <v>-1</v>
      </c>
      <c r="AU88">
        <v>11.41553311896158</v>
      </c>
      <c r="AV88">
        <v>1.6</v>
      </c>
      <c r="AW88">
        <v>1.6</v>
      </c>
      <c r="AX88">
        <v>0.1714285714285714</v>
      </c>
      <c r="AY88">
        <v>0.22857142857142859</v>
      </c>
      <c r="AZ88">
        <v>0.44444444444444448</v>
      </c>
      <c r="BA88">
        <v>0.44444444444444448</v>
      </c>
      <c r="BB88">
        <v>4.7619047619047623E-2</v>
      </c>
      <c r="BC88">
        <v>6.3492063492063489E-2</v>
      </c>
      <c r="BD88">
        <v>6.6276065263975434</v>
      </c>
      <c r="BE88">
        <v>24</v>
      </c>
      <c r="BF88">
        <v>599.76260360000003</v>
      </c>
      <c r="BG88">
        <v>2</v>
      </c>
      <c r="BH88">
        <v>8.0031665382079509E-2</v>
      </c>
      <c r="BI88">
        <v>3.8530000000000002</v>
      </c>
      <c r="BJ88">
        <v>3.8530000000000002</v>
      </c>
      <c r="BK88">
        <v>40.4</v>
      </c>
      <c r="BL88">
        <v>0</v>
      </c>
      <c r="BM88">
        <v>0</v>
      </c>
      <c r="BO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581.30760999999995</v>
      </c>
      <c r="BY88">
        <v>8.2572461076158982E-2</v>
      </c>
      <c r="BZ88">
        <v>12</v>
      </c>
      <c r="CA88">
        <v>4.1286230538079491E-2</v>
      </c>
      <c r="CB88">
        <v>4.0015832691039747E-2</v>
      </c>
      <c r="CE88">
        <v>0.39370099782260098</v>
      </c>
      <c r="CH88">
        <v>0.40619997301256922</v>
      </c>
    </row>
    <row r="89" spans="1:86" x14ac:dyDescent="0.3">
      <c r="A89" s="1">
        <v>542</v>
      </c>
      <c r="B89" t="s">
        <v>964</v>
      </c>
      <c r="C89" t="s">
        <v>965</v>
      </c>
      <c r="E89" t="s">
        <v>372</v>
      </c>
      <c r="F89">
        <v>3.45</v>
      </c>
      <c r="G89" t="s">
        <v>966</v>
      </c>
      <c r="H89">
        <v>-1</v>
      </c>
      <c r="I89">
        <v>-1</v>
      </c>
      <c r="J89">
        <v>4</v>
      </c>
      <c r="K89">
        <v>3.73</v>
      </c>
      <c r="L89">
        <v>3.73</v>
      </c>
      <c r="M89">
        <v>45.6</v>
      </c>
      <c r="N89" t="s">
        <v>529</v>
      </c>
      <c r="O89">
        <v>22.8</v>
      </c>
      <c r="Q89" t="s">
        <v>87</v>
      </c>
      <c r="R89">
        <v>1098</v>
      </c>
      <c r="S89">
        <v>12</v>
      </c>
      <c r="T89" t="b">
        <v>0</v>
      </c>
      <c r="U89" t="s">
        <v>125</v>
      </c>
      <c r="V89" t="s">
        <v>126</v>
      </c>
      <c r="W89">
        <v>1</v>
      </c>
      <c r="X89">
        <v>1.6</v>
      </c>
      <c r="Y89">
        <v>0.5</v>
      </c>
      <c r="Z89">
        <v>1</v>
      </c>
      <c r="AC89" t="s">
        <v>90</v>
      </c>
      <c r="AD89">
        <v>125</v>
      </c>
      <c r="AE89">
        <v>220</v>
      </c>
      <c r="AF89" t="s">
        <v>91</v>
      </c>
      <c r="AG89">
        <v>288</v>
      </c>
      <c r="AH89" s="3">
        <v>2120</v>
      </c>
      <c r="AI89" s="3">
        <f>AH89/(AD89*Y89*Z89)</f>
        <v>33.92</v>
      </c>
      <c r="AJ89" s="3">
        <f t="shared" si="1"/>
        <v>3.5240048109237025</v>
      </c>
      <c r="AK89" t="s">
        <v>972</v>
      </c>
      <c r="AN89" t="b">
        <v>1</v>
      </c>
      <c r="AO89" t="b">
        <v>0</v>
      </c>
      <c r="AP89" t="b">
        <v>0</v>
      </c>
      <c r="AQ89" t="b">
        <v>0</v>
      </c>
      <c r="AR89" t="s">
        <v>1154</v>
      </c>
      <c r="AS89">
        <v>-1</v>
      </c>
      <c r="AU89">
        <v>11.545973319016429</v>
      </c>
      <c r="AV89">
        <v>1.531914893617021</v>
      </c>
      <c r="AW89">
        <v>1.361702127659574</v>
      </c>
      <c r="AX89">
        <v>0.1276595744680851</v>
      </c>
      <c r="AY89">
        <v>0.1702127659574468</v>
      </c>
      <c r="AZ89">
        <v>0.48</v>
      </c>
      <c r="BA89">
        <v>0.42666666666666658</v>
      </c>
      <c r="BB89">
        <v>0.04</v>
      </c>
      <c r="BC89">
        <v>5.333333333333333E-2</v>
      </c>
      <c r="BD89">
        <v>6.6898206128664253</v>
      </c>
      <c r="BE89">
        <v>24</v>
      </c>
      <c r="BF89">
        <v>733.37308460000008</v>
      </c>
      <c r="BG89">
        <v>2</v>
      </c>
      <c r="BH89">
        <v>6.5450997599919278E-2</v>
      </c>
      <c r="BI89">
        <v>3.8530000000000002</v>
      </c>
      <c r="BJ89">
        <v>3.8530000000000002</v>
      </c>
      <c r="BK89">
        <v>49.4</v>
      </c>
      <c r="BL89">
        <v>0</v>
      </c>
      <c r="BM89">
        <v>0</v>
      </c>
      <c r="BO89">
        <v>0</v>
      </c>
      <c r="BR89">
        <v>0</v>
      </c>
      <c r="BS89">
        <v>0</v>
      </c>
      <c r="BU89">
        <v>0</v>
      </c>
      <c r="BV89">
        <v>0</v>
      </c>
      <c r="BW89">
        <v>0</v>
      </c>
      <c r="BX89">
        <v>675.84131999999988</v>
      </c>
      <c r="BY89">
        <v>7.1022588556734004E-2</v>
      </c>
      <c r="BZ89">
        <v>12</v>
      </c>
      <c r="CA89">
        <v>3.5511294278367002E-2</v>
      </c>
      <c r="CB89">
        <v>3.2725498799959639E-2</v>
      </c>
      <c r="CE89">
        <v>0.32320854871932547</v>
      </c>
      <c r="CH89">
        <v>0.35072204573609261</v>
      </c>
    </row>
    <row r="90" spans="1:86" x14ac:dyDescent="0.3">
      <c r="A90" s="1">
        <v>536</v>
      </c>
      <c r="B90" t="s">
        <v>946</v>
      </c>
      <c r="C90" t="s">
        <v>947</v>
      </c>
      <c r="E90" t="s">
        <v>372</v>
      </c>
      <c r="F90">
        <v>3.58</v>
      </c>
      <c r="G90" t="s">
        <v>948</v>
      </c>
      <c r="H90">
        <v>-1</v>
      </c>
      <c r="I90">
        <v>-1</v>
      </c>
      <c r="J90">
        <v>4</v>
      </c>
      <c r="K90">
        <v>3.77</v>
      </c>
      <c r="L90">
        <v>3.77</v>
      </c>
      <c r="M90">
        <v>33.299999999999997</v>
      </c>
      <c r="N90" t="s">
        <v>529</v>
      </c>
      <c r="O90">
        <v>16.649999999999999</v>
      </c>
      <c r="Q90" t="s">
        <v>87</v>
      </c>
      <c r="R90">
        <v>1098</v>
      </c>
      <c r="S90">
        <v>12</v>
      </c>
      <c r="T90" t="b">
        <v>0</v>
      </c>
      <c r="U90" t="s">
        <v>125</v>
      </c>
      <c r="V90" t="s">
        <v>126</v>
      </c>
      <c r="W90">
        <v>1</v>
      </c>
      <c r="X90">
        <v>4</v>
      </c>
      <c r="Y90">
        <v>0.5</v>
      </c>
      <c r="Z90">
        <v>1</v>
      </c>
      <c r="AC90" t="s">
        <v>90</v>
      </c>
      <c r="AD90">
        <v>125</v>
      </c>
      <c r="AE90">
        <v>220</v>
      </c>
      <c r="AF90" t="s">
        <v>91</v>
      </c>
      <c r="AG90">
        <v>288</v>
      </c>
      <c r="AH90" s="3">
        <v>1920</v>
      </c>
      <c r="AI90" s="3">
        <f>AH90/(AD90*Y90*Z90)</f>
        <v>30.72</v>
      </c>
      <c r="AJ90" s="3">
        <f t="shared" si="1"/>
        <v>3.4249139082794713</v>
      </c>
      <c r="AK90" t="s">
        <v>972</v>
      </c>
      <c r="AN90" t="b">
        <v>1</v>
      </c>
      <c r="AO90" t="b">
        <v>0</v>
      </c>
      <c r="AP90" t="b">
        <v>0</v>
      </c>
      <c r="AQ90" t="b">
        <v>0</v>
      </c>
      <c r="AR90" t="s">
        <v>1155</v>
      </c>
      <c r="AS90">
        <v>-1</v>
      </c>
      <c r="AU90">
        <v>11.423000757442241</v>
      </c>
      <c r="AV90">
        <v>1.491525423728814</v>
      </c>
      <c r="AW90">
        <v>1.220338983050848</v>
      </c>
      <c r="AX90">
        <v>0.10169491525423729</v>
      </c>
      <c r="AY90">
        <v>0.13559322033898311</v>
      </c>
      <c r="AZ90">
        <v>0.50574712643678155</v>
      </c>
      <c r="BA90">
        <v>0.41379310344827591</v>
      </c>
      <c r="BB90">
        <v>3.4482758620689648E-2</v>
      </c>
      <c r="BC90">
        <v>4.5977011494252873E-2</v>
      </c>
      <c r="BD90">
        <v>6.7267272743310169</v>
      </c>
      <c r="BE90">
        <v>24</v>
      </c>
      <c r="BF90">
        <v>872.92180919999998</v>
      </c>
      <c r="BG90">
        <v>2</v>
      </c>
      <c r="BH90">
        <v>5.4987742881564841E-2</v>
      </c>
      <c r="BI90">
        <v>3.8530000000000002</v>
      </c>
      <c r="BJ90">
        <v>3.8530000000000002</v>
      </c>
      <c r="BK90">
        <v>58.8</v>
      </c>
      <c r="BL90">
        <v>0</v>
      </c>
      <c r="BM90">
        <v>0</v>
      </c>
      <c r="BO90">
        <v>0</v>
      </c>
      <c r="BR90">
        <v>0</v>
      </c>
      <c r="BS90">
        <v>0</v>
      </c>
      <c r="BU90">
        <v>0</v>
      </c>
      <c r="BV90">
        <v>0</v>
      </c>
      <c r="BW90">
        <v>0</v>
      </c>
      <c r="BX90">
        <v>410.80563000000001</v>
      </c>
      <c r="BY90">
        <v>5.8421789399526969E-2</v>
      </c>
      <c r="BZ90">
        <v>12</v>
      </c>
      <c r="CA90">
        <v>2.9210894699763481E-2</v>
      </c>
      <c r="CB90">
        <v>2.7493871440782421E-2</v>
      </c>
      <c r="CE90">
        <v>0.27257626362986881</v>
      </c>
      <c r="CH90">
        <v>0.28959895850594991</v>
      </c>
    </row>
    <row r="91" spans="1:86" x14ac:dyDescent="0.3">
      <c r="A91" s="1">
        <v>761</v>
      </c>
      <c r="B91" t="s">
        <v>1253</v>
      </c>
      <c r="C91" t="s">
        <v>1254</v>
      </c>
      <c r="E91" t="s">
        <v>404</v>
      </c>
      <c r="F91">
        <v>2.4500000000000002</v>
      </c>
      <c r="G91" t="s">
        <v>899</v>
      </c>
      <c r="H91" t="s">
        <v>900</v>
      </c>
      <c r="I91" t="s">
        <v>901</v>
      </c>
      <c r="J91">
        <v>2</v>
      </c>
      <c r="K91">
        <v>3.8</v>
      </c>
      <c r="L91">
        <v>3.8</v>
      </c>
      <c r="M91">
        <v>27.3</v>
      </c>
      <c r="N91" t="s">
        <v>206</v>
      </c>
      <c r="O91">
        <v>13.65</v>
      </c>
      <c r="Q91" t="s">
        <v>87</v>
      </c>
      <c r="R91">
        <v>1373</v>
      </c>
      <c r="S91">
        <v>12</v>
      </c>
      <c r="T91" t="b">
        <v>0</v>
      </c>
      <c r="U91" t="s">
        <v>125</v>
      </c>
      <c r="V91" t="s">
        <v>126</v>
      </c>
      <c r="W91">
        <v>1</v>
      </c>
      <c r="X91">
        <v>60</v>
      </c>
      <c r="Y91">
        <v>0.5</v>
      </c>
      <c r="Z91">
        <v>1</v>
      </c>
      <c r="AC91" t="s">
        <v>90</v>
      </c>
      <c r="AD91">
        <v>125</v>
      </c>
      <c r="AE91">
        <v>220</v>
      </c>
      <c r="AF91" t="s">
        <v>91</v>
      </c>
      <c r="AG91">
        <v>288</v>
      </c>
      <c r="AH91" s="3">
        <v>1920</v>
      </c>
      <c r="AI91" s="3">
        <f>AH91/(AD91*Y91*Z91)</f>
        <v>30.72</v>
      </c>
      <c r="AJ91" s="3">
        <f t="shared" si="1"/>
        <v>3.4249139082794713</v>
      </c>
      <c r="AK91" t="s">
        <v>972</v>
      </c>
      <c r="AN91" t="b">
        <v>1</v>
      </c>
      <c r="AO91" t="b">
        <v>0</v>
      </c>
      <c r="AP91" t="b">
        <v>0</v>
      </c>
      <c r="AQ91" t="b">
        <v>0</v>
      </c>
      <c r="AR91" t="s">
        <v>1157</v>
      </c>
      <c r="AS91">
        <v>-1</v>
      </c>
      <c r="AU91">
        <v>8.4763711968959825</v>
      </c>
      <c r="AV91">
        <v>1.882352941176471</v>
      </c>
      <c r="AW91">
        <v>2.3529411764705879</v>
      </c>
      <c r="AX91">
        <v>0.35294117647058831</v>
      </c>
      <c r="AY91">
        <v>0.47058823529411759</v>
      </c>
      <c r="AZ91">
        <v>0.37209302325581389</v>
      </c>
      <c r="BA91">
        <v>0.46511627906976749</v>
      </c>
      <c r="BB91">
        <v>6.9767441860465129E-2</v>
      </c>
      <c r="BC91">
        <v>9.3023255813953487E-2</v>
      </c>
      <c r="BD91">
        <v>6.2192035579236471</v>
      </c>
      <c r="BE91">
        <v>20</v>
      </c>
      <c r="BF91">
        <v>229.90248606119221</v>
      </c>
      <c r="BG91">
        <v>1</v>
      </c>
      <c r="BH91">
        <v>8.6993404650164072E-2</v>
      </c>
      <c r="BI91">
        <v>15.28115725</v>
      </c>
      <c r="BJ91">
        <v>15.28115725</v>
      </c>
      <c r="BK91">
        <v>15.28115725</v>
      </c>
      <c r="BL91">
        <v>0</v>
      </c>
      <c r="BM91">
        <v>0</v>
      </c>
      <c r="BO91">
        <v>0</v>
      </c>
      <c r="BR91">
        <v>0</v>
      </c>
      <c r="BS91">
        <v>0</v>
      </c>
      <c r="BU91">
        <v>0</v>
      </c>
      <c r="BV91">
        <v>0</v>
      </c>
      <c r="BW91">
        <v>0</v>
      </c>
      <c r="BX91">
        <v>388.97539902</v>
      </c>
      <c r="BY91">
        <v>0.102834266899083</v>
      </c>
      <c r="BZ91">
        <v>10</v>
      </c>
      <c r="CA91">
        <v>5.1417133449541519E-2</v>
      </c>
      <c r="CB91">
        <v>4.3496702325082043E-2</v>
      </c>
      <c r="CE91">
        <v>0.43867496702406639</v>
      </c>
      <c r="CH91">
        <v>0.51855446768991598</v>
      </c>
    </row>
    <row r="92" spans="1:86" x14ac:dyDescent="0.3">
      <c r="A92" s="1">
        <v>543</v>
      </c>
      <c r="B92" t="s">
        <v>967</v>
      </c>
      <c r="C92" t="s">
        <v>968</v>
      </c>
      <c r="E92" t="s">
        <v>372</v>
      </c>
      <c r="F92">
        <v>3.46</v>
      </c>
      <c r="G92" t="s">
        <v>969</v>
      </c>
      <c r="H92">
        <v>-1</v>
      </c>
      <c r="I92">
        <v>-1</v>
      </c>
      <c r="J92">
        <v>4</v>
      </c>
      <c r="K92">
        <v>3.74</v>
      </c>
      <c r="L92">
        <v>3.74</v>
      </c>
      <c r="M92">
        <v>55.4</v>
      </c>
      <c r="N92" t="s">
        <v>529</v>
      </c>
      <c r="O92">
        <v>27.7</v>
      </c>
      <c r="Q92" t="s">
        <v>87</v>
      </c>
      <c r="R92">
        <v>1098</v>
      </c>
      <c r="S92">
        <v>12</v>
      </c>
      <c r="T92" t="b">
        <v>0</v>
      </c>
      <c r="U92" t="s">
        <v>125</v>
      </c>
      <c r="V92" t="s">
        <v>126</v>
      </c>
      <c r="W92">
        <v>1</v>
      </c>
      <c r="Y92">
        <v>0.5</v>
      </c>
      <c r="Z92">
        <v>1</v>
      </c>
      <c r="AC92" t="s">
        <v>90</v>
      </c>
      <c r="AD92">
        <v>125</v>
      </c>
      <c r="AE92">
        <v>220</v>
      </c>
      <c r="AF92" t="s">
        <v>91</v>
      </c>
      <c r="AG92">
        <v>288</v>
      </c>
      <c r="AH92" s="3">
        <v>1880</v>
      </c>
      <c r="AI92" s="3">
        <f>AH92/(AD92*Y92*Z92)</f>
        <v>30.08</v>
      </c>
      <c r="AJ92" s="3">
        <f t="shared" si="1"/>
        <v>3.403860499081639</v>
      </c>
      <c r="AK92" t="s">
        <v>972</v>
      </c>
      <c r="AN92" t="b">
        <v>1</v>
      </c>
      <c r="AO92" t="b">
        <v>0</v>
      </c>
      <c r="AP92" t="b">
        <v>0</v>
      </c>
      <c r="AQ92" t="b">
        <v>0</v>
      </c>
      <c r="AR92" t="s">
        <v>1158</v>
      </c>
      <c r="AU92">
        <v>11.127262984158239</v>
      </c>
      <c r="AV92">
        <v>1.510204081632653</v>
      </c>
      <c r="AW92">
        <v>1.2653061224489801</v>
      </c>
      <c r="AX92">
        <v>0.1224489795918367</v>
      </c>
      <c r="AY92">
        <v>0.16326530612244899</v>
      </c>
      <c r="AZ92">
        <v>0.49333333333333329</v>
      </c>
      <c r="BA92">
        <v>0.41333333333333339</v>
      </c>
      <c r="BB92">
        <v>0.04</v>
      </c>
      <c r="BC92">
        <v>5.333333333333333E-2</v>
      </c>
      <c r="BD92">
        <v>6.6971257268453872</v>
      </c>
      <c r="BE92">
        <v>20</v>
      </c>
      <c r="BF92">
        <v>733.37308460000008</v>
      </c>
      <c r="BG92">
        <v>2</v>
      </c>
      <c r="BH92">
        <v>5.4542497999932729E-2</v>
      </c>
      <c r="BI92">
        <v>3.8530000000000002</v>
      </c>
      <c r="BJ92">
        <v>3.8530000000000002</v>
      </c>
      <c r="BK92">
        <v>49.4</v>
      </c>
      <c r="BL92">
        <v>0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357.04353880000002</v>
      </c>
      <c r="BY92">
        <v>5.6015577448113731E-2</v>
      </c>
      <c r="BZ92">
        <v>10</v>
      </c>
      <c r="CA92">
        <v>2.8007788724056869E-2</v>
      </c>
      <c r="CB92">
        <v>2.7271248999966361E-2</v>
      </c>
      <c r="CE92">
        <v>0.33005342247707181</v>
      </c>
      <c r="CH92">
        <v>0.33896747906196412</v>
      </c>
    </row>
    <row r="93" spans="1:86" x14ac:dyDescent="0.3">
      <c r="A93" s="1">
        <v>549</v>
      </c>
      <c r="B93" t="s">
        <v>986</v>
      </c>
      <c r="C93" t="s">
        <v>987</v>
      </c>
      <c r="E93" t="s">
        <v>372</v>
      </c>
      <c r="F93">
        <v>3.42</v>
      </c>
      <c r="G93" t="s">
        <v>960</v>
      </c>
      <c r="H93">
        <v>-1</v>
      </c>
      <c r="I93">
        <v>-1</v>
      </c>
      <c r="J93">
        <v>4</v>
      </c>
      <c r="K93">
        <v>3.71</v>
      </c>
      <c r="L93">
        <v>3.71</v>
      </c>
      <c r="M93">
        <v>32</v>
      </c>
      <c r="N93" t="s">
        <v>529</v>
      </c>
      <c r="O93">
        <v>16</v>
      </c>
      <c r="Q93" t="s">
        <v>87</v>
      </c>
      <c r="R93">
        <v>1098</v>
      </c>
      <c r="S93">
        <v>12</v>
      </c>
      <c r="T93" t="b">
        <v>0</v>
      </c>
      <c r="U93" t="s">
        <v>125</v>
      </c>
      <c r="V93" t="s">
        <v>126</v>
      </c>
      <c r="W93">
        <v>1</v>
      </c>
      <c r="X93">
        <v>5</v>
      </c>
      <c r="Y93">
        <v>0.5</v>
      </c>
      <c r="Z93">
        <v>1</v>
      </c>
      <c r="AC93" t="s">
        <v>90</v>
      </c>
      <c r="AD93">
        <v>125</v>
      </c>
      <c r="AE93">
        <v>220</v>
      </c>
      <c r="AF93" t="s">
        <v>91</v>
      </c>
      <c r="AG93">
        <v>288</v>
      </c>
      <c r="AH93" s="3">
        <v>1600</v>
      </c>
      <c r="AI93" s="3">
        <f>AH93/(AD93*Y93*Z93)</f>
        <v>25.6</v>
      </c>
      <c r="AJ93" s="3">
        <f t="shared" si="1"/>
        <v>3.2425923514855168</v>
      </c>
      <c r="AK93" t="s">
        <v>972</v>
      </c>
      <c r="AN93" t="b">
        <v>1</v>
      </c>
      <c r="AO93" t="b">
        <v>0</v>
      </c>
      <c r="AP93" t="b">
        <v>0</v>
      </c>
      <c r="AQ93" t="b">
        <v>0</v>
      </c>
      <c r="AR93" t="s">
        <v>1159</v>
      </c>
      <c r="AU93">
        <v>8.987196820661973</v>
      </c>
      <c r="AV93">
        <v>1.510204081632653</v>
      </c>
      <c r="AW93">
        <v>1.2653061224489801</v>
      </c>
      <c r="AX93">
        <v>0.1224489795918367</v>
      </c>
      <c r="AY93">
        <v>0.16326530612244899</v>
      </c>
      <c r="AZ93">
        <v>0.49333333333333329</v>
      </c>
      <c r="BA93">
        <v>0.41333333333333339</v>
      </c>
      <c r="BB93">
        <v>0.04</v>
      </c>
      <c r="BC93">
        <v>5.333333333333333E-2</v>
      </c>
      <c r="BD93">
        <v>6.6971257268453872</v>
      </c>
      <c r="BE93">
        <v>20</v>
      </c>
      <c r="BF93">
        <v>733.37308460000008</v>
      </c>
      <c r="BG93">
        <v>2</v>
      </c>
      <c r="BH93">
        <v>5.4542497999932729E-2</v>
      </c>
      <c r="BI93">
        <v>3.8530000000000002</v>
      </c>
      <c r="BJ93">
        <v>3.8530000000000002</v>
      </c>
      <c r="BK93">
        <v>49.4</v>
      </c>
      <c r="BL93">
        <v>0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U93">
        <v>0</v>
      </c>
      <c r="BV93">
        <v>0</v>
      </c>
      <c r="BW93">
        <v>0</v>
      </c>
      <c r="BX93">
        <v>357.04353880000002</v>
      </c>
      <c r="BY93">
        <v>5.6015577448113731E-2</v>
      </c>
      <c r="BZ93">
        <v>10</v>
      </c>
      <c r="CA93">
        <v>2.8007788724056869E-2</v>
      </c>
      <c r="CB93">
        <v>2.7271248999966361E-2</v>
      </c>
      <c r="CE93">
        <v>0.33005342247707181</v>
      </c>
      <c r="CH93">
        <v>0.33896747906196412</v>
      </c>
    </row>
    <row r="94" spans="1:86" x14ac:dyDescent="0.3">
      <c r="A94" s="1">
        <v>541</v>
      </c>
      <c r="B94" t="s">
        <v>961</v>
      </c>
      <c r="C94" t="s">
        <v>962</v>
      </c>
      <c r="E94" t="s">
        <v>372</v>
      </c>
      <c r="F94">
        <v>3.47</v>
      </c>
      <c r="G94" t="s">
        <v>963</v>
      </c>
      <c r="H94">
        <v>-1</v>
      </c>
      <c r="I94">
        <v>-1</v>
      </c>
      <c r="J94">
        <v>4</v>
      </c>
      <c r="K94">
        <v>3.72</v>
      </c>
      <c r="L94">
        <v>3.72</v>
      </c>
      <c r="M94">
        <v>36.6</v>
      </c>
      <c r="N94" t="s">
        <v>529</v>
      </c>
      <c r="O94">
        <v>18.3</v>
      </c>
      <c r="Q94" t="s">
        <v>87</v>
      </c>
      <c r="R94">
        <v>1098</v>
      </c>
      <c r="S94">
        <v>12</v>
      </c>
      <c r="T94" t="b">
        <v>0</v>
      </c>
      <c r="U94" t="s">
        <v>125</v>
      </c>
      <c r="V94" t="s">
        <v>126</v>
      </c>
      <c r="W94">
        <v>1</v>
      </c>
      <c r="Y94">
        <v>0.5</v>
      </c>
      <c r="Z94">
        <v>1</v>
      </c>
      <c r="AC94" t="s">
        <v>90</v>
      </c>
      <c r="AD94">
        <v>125</v>
      </c>
      <c r="AE94">
        <v>220</v>
      </c>
      <c r="AF94" t="s">
        <v>91</v>
      </c>
      <c r="AG94">
        <v>288</v>
      </c>
      <c r="AH94" s="3">
        <v>1520</v>
      </c>
      <c r="AI94" s="3">
        <f>AH94/(AD94*Y94*Z94)</f>
        <v>24.32</v>
      </c>
      <c r="AJ94" s="3">
        <f t="shared" si="1"/>
        <v>3.1912990570979662</v>
      </c>
      <c r="AK94" t="s">
        <v>972</v>
      </c>
      <c r="AN94" t="b">
        <v>1</v>
      </c>
      <c r="AO94" t="b">
        <v>0</v>
      </c>
      <c r="AP94" t="b">
        <v>0</v>
      </c>
      <c r="AQ94" t="b">
        <v>0</v>
      </c>
      <c r="AR94" t="s">
        <v>1160</v>
      </c>
      <c r="AU94">
        <v>9.9034875525361272</v>
      </c>
      <c r="AV94">
        <v>1.510204081632653</v>
      </c>
      <c r="AW94">
        <v>1.2653061224489801</v>
      </c>
      <c r="AX94">
        <v>0.1224489795918367</v>
      </c>
      <c r="AY94">
        <v>0.16326530612244899</v>
      </c>
      <c r="AZ94">
        <v>0.49333333333333329</v>
      </c>
      <c r="BA94">
        <v>0.41333333333333339</v>
      </c>
      <c r="BB94">
        <v>0.04</v>
      </c>
      <c r="BC94">
        <v>5.333333333333333E-2</v>
      </c>
      <c r="BD94">
        <v>6.6971257268453872</v>
      </c>
      <c r="BE94">
        <v>20</v>
      </c>
      <c r="BF94">
        <v>733.37308460000008</v>
      </c>
      <c r="BG94">
        <v>2</v>
      </c>
      <c r="BH94">
        <v>5.4542497999932729E-2</v>
      </c>
      <c r="BI94">
        <v>3.8530000000000002</v>
      </c>
      <c r="BJ94">
        <v>3.8530000000000002</v>
      </c>
      <c r="BK94">
        <v>49.4</v>
      </c>
      <c r="BL94">
        <v>0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U94">
        <v>0</v>
      </c>
      <c r="BV94">
        <v>0</v>
      </c>
      <c r="BW94">
        <v>0</v>
      </c>
      <c r="BX94">
        <v>357.04353880000002</v>
      </c>
      <c r="BY94">
        <v>5.6015577448113731E-2</v>
      </c>
      <c r="BZ94">
        <v>10</v>
      </c>
      <c r="CA94">
        <v>2.8007788724056869E-2</v>
      </c>
      <c r="CB94">
        <v>2.7271248999966361E-2</v>
      </c>
      <c r="CE94">
        <v>0.33005342247707181</v>
      </c>
      <c r="CH94">
        <v>0.33896747906196412</v>
      </c>
    </row>
    <row r="95" spans="1:86" x14ac:dyDescent="0.3">
      <c r="A95" s="1">
        <v>762</v>
      </c>
      <c r="B95" t="s">
        <v>1258</v>
      </c>
      <c r="C95" t="s">
        <v>1259</v>
      </c>
      <c r="E95" t="s">
        <v>404</v>
      </c>
      <c r="F95">
        <v>2.2999999999999998</v>
      </c>
      <c r="G95" t="s">
        <v>899</v>
      </c>
      <c r="H95" t="s">
        <v>900</v>
      </c>
      <c r="I95" t="s">
        <v>901</v>
      </c>
      <c r="J95">
        <v>2</v>
      </c>
      <c r="K95">
        <v>3.8</v>
      </c>
      <c r="L95">
        <v>3.8</v>
      </c>
      <c r="M95">
        <v>27.3</v>
      </c>
      <c r="N95" t="s">
        <v>206</v>
      </c>
      <c r="O95">
        <v>13.65</v>
      </c>
      <c r="Q95" t="s">
        <v>87</v>
      </c>
      <c r="R95">
        <v>1373</v>
      </c>
      <c r="S95">
        <v>12</v>
      </c>
      <c r="T95" t="b">
        <v>0</v>
      </c>
      <c r="U95" t="s">
        <v>125</v>
      </c>
      <c r="V95" t="s">
        <v>126</v>
      </c>
      <c r="W95">
        <v>1</v>
      </c>
      <c r="X95">
        <v>60</v>
      </c>
      <c r="Y95">
        <v>0.5</v>
      </c>
      <c r="Z95">
        <v>1</v>
      </c>
      <c r="AC95" t="s">
        <v>90</v>
      </c>
      <c r="AD95">
        <v>125</v>
      </c>
      <c r="AE95">
        <v>220</v>
      </c>
      <c r="AF95" t="s">
        <v>91</v>
      </c>
      <c r="AG95">
        <v>288</v>
      </c>
      <c r="AH95" s="3">
        <v>1360</v>
      </c>
      <c r="AI95" s="3">
        <f>AH95/(AD95*Y95*Z95)</f>
        <v>21.76</v>
      </c>
      <c r="AJ95" s="3">
        <f t="shared" si="1"/>
        <v>3.0800734219877421</v>
      </c>
      <c r="AK95" t="s">
        <v>972</v>
      </c>
      <c r="AN95" t="b">
        <v>1</v>
      </c>
      <c r="AO95" t="b">
        <v>0</v>
      </c>
      <c r="AP95" t="b">
        <v>0</v>
      </c>
      <c r="AQ95" t="b">
        <v>0</v>
      </c>
      <c r="AR95" t="s">
        <v>1161</v>
      </c>
      <c r="AU95">
        <v>10.85899899756356</v>
      </c>
      <c r="AV95">
        <v>1.510204081632653</v>
      </c>
      <c r="AW95">
        <v>1.2653061224489801</v>
      </c>
      <c r="AX95">
        <v>0.1224489795918367</v>
      </c>
      <c r="AY95">
        <v>0.16326530612244899</v>
      </c>
      <c r="AZ95">
        <v>0.49333333333333329</v>
      </c>
      <c r="BA95">
        <v>0.41333333333333339</v>
      </c>
      <c r="BB95">
        <v>0.04</v>
      </c>
      <c r="BC95">
        <v>5.333333333333333E-2</v>
      </c>
      <c r="BD95">
        <v>6.6971257268453872</v>
      </c>
      <c r="BE95">
        <v>20</v>
      </c>
      <c r="BF95">
        <v>733.37308460000008</v>
      </c>
      <c r="BG95">
        <v>2</v>
      </c>
      <c r="BH95">
        <v>5.4542497999932729E-2</v>
      </c>
      <c r="BI95">
        <v>3.8530000000000002</v>
      </c>
      <c r="BJ95">
        <v>3.8530000000000002</v>
      </c>
      <c r="BK95">
        <v>49.4</v>
      </c>
      <c r="BL95">
        <v>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U95">
        <v>0</v>
      </c>
      <c r="BV95">
        <v>0</v>
      </c>
      <c r="BW95">
        <v>0</v>
      </c>
      <c r="BX95">
        <v>357.04353880000002</v>
      </c>
      <c r="BY95">
        <v>5.6015577448113731E-2</v>
      </c>
      <c r="BZ95">
        <v>10</v>
      </c>
      <c r="CA95">
        <v>2.8007788724056869E-2</v>
      </c>
      <c r="CB95">
        <v>2.7271248999966361E-2</v>
      </c>
      <c r="CE95">
        <v>0.33005342247707181</v>
      </c>
      <c r="CH95">
        <v>0.33896747906196412</v>
      </c>
    </row>
    <row r="96" spans="1:86" x14ac:dyDescent="0.3">
      <c r="A96" s="1">
        <v>763</v>
      </c>
      <c r="B96" t="s">
        <v>1263</v>
      </c>
      <c r="C96" t="s">
        <v>1264</v>
      </c>
      <c r="E96" t="s">
        <v>404</v>
      </c>
      <c r="F96">
        <v>2.15</v>
      </c>
      <c r="G96" t="s">
        <v>899</v>
      </c>
      <c r="H96" t="s">
        <v>900</v>
      </c>
      <c r="I96" t="s">
        <v>901</v>
      </c>
      <c r="J96">
        <v>2</v>
      </c>
      <c r="K96">
        <v>3.8</v>
      </c>
      <c r="L96">
        <v>3.8</v>
      </c>
      <c r="M96">
        <v>27.7</v>
      </c>
      <c r="N96" t="s">
        <v>206</v>
      </c>
      <c r="O96">
        <v>13.85</v>
      </c>
      <c r="Q96" t="s">
        <v>87</v>
      </c>
      <c r="R96">
        <v>1373</v>
      </c>
      <c r="S96">
        <v>12</v>
      </c>
      <c r="T96" t="b">
        <v>0</v>
      </c>
      <c r="U96" t="s">
        <v>125</v>
      </c>
      <c r="V96" t="s">
        <v>126</v>
      </c>
      <c r="W96">
        <v>1</v>
      </c>
      <c r="X96">
        <v>60</v>
      </c>
      <c r="Y96">
        <v>0.5</v>
      </c>
      <c r="Z96">
        <v>1</v>
      </c>
      <c r="AC96" t="s">
        <v>90</v>
      </c>
      <c r="AD96">
        <v>125</v>
      </c>
      <c r="AE96">
        <v>220</v>
      </c>
      <c r="AF96" t="s">
        <v>91</v>
      </c>
      <c r="AG96">
        <v>288</v>
      </c>
      <c r="AH96" s="3">
        <v>1170</v>
      </c>
      <c r="AI96" s="3">
        <f>AH96/(AD96*Y96*Z96)</f>
        <v>18.72</v>
      </c>
      <c r="AJ96" s="3">
        <f t="shared" si="1"/>
        <v>2.9295924710494461</v>
      </c>
      <c r="AK96" t="s">
        <v>972</v>
      </c>
      <c r="AN96" t="b">
        <v>1</v>
      </c>
      <c r="AO96" t="b">
        <v>0</v>
      </c>
      <c r="AP96" t="b">
        <v>0</v>
      </c>
      <c r="AQ96" t="b">
        <v>0</v>
      </c>
      <c r="AR96" t="s">
        <v>1162</v>
      </c>
      <c r="AU96">
        <v>11.51292546497023</v>
      </c>
      <c r="AV96">
        <v>1.510204081632653</v>
      </c>
      <c r="AW96">
        <v>1.2653061224489801</v>
      </c>
      <c r="AX96">
        <v>0.1224489795918367</v>
      </c>
      <c r="AY96">
        <v>0.16326530612244899</v>
      </c>
      <c r="AZ96">
        <v>0.49333333333333329</v>
      </c>
      <c r="BA96">
        <v>0.41333333333333339</v>
      </c>
      <c r="BB96">
        <v>0.04</v>
      </c>
      <c r="BC96">
        <v>5.333333333333333E-2</v>
      </c>
      <c r="BD96">
        <v>6.6971257268453872</v>
      </c>
      <c r="BE96">
        <v>20</v>
      </c>
      <c r="BF96">
        <v>733.37308460000008</v>
      </c>
      <c r="BG96">
        <v>2</v>
      </c>
      <c r="BH96">
        <v>5.4542497999932729E-2</v>
      </c>
      <c r="BI96">
        <v>3.8530000000000002</v>
      </c>
      <c r="BJ96">
        <v>3.8530000000000002</v>
      </c>
      <c r="BK96">
        <v>49.4</v>
      </c>
      <c r="BL96">
        <v>0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>
        <v>0</v>
      </c>
      <c r="BV96">
        <v>0</v>
      </c>
      <c r="BW96">
        <v>0</v>
      </c>
      <c r="BX96">
        <v>357.04353880000002</v>
      </c>
      <c r="BY96">
        <v>5.6015577448113731E-2</v>
      </c>
      <c r="BZ96">
        <v>10</v>
      </c>
      <c r="CA96">
        <v>2.8007788724056869E-2</v>
      </c>
      <c r="CB96">
        <v>2.7271248999966361E-2</v>
      </c>
      <c r="CE96">
        <v>0.33005342247707181</v>
      </c>
      <c r="CH96">
        <v>0.33896747906196412</v>
      </c>
    </row>
    <row r="97" spans="1:86" x14ac:dyDescent="0.3">
      <c r="A97" s="1">
        <v>551</v>
      </c>
      <c r="B97" t="s">
        <v>992</v>
      </c>
      <c r="C97" t="s">
        <v>993</v>
      </c>
      <c r="E97" t="s">
        <v>372</v>
      </c>
      <c r="F97">
        <v>3.45</v>
      </c>
      <c r="G97" t="s">
        <v>966</v>
      </c>
      <c r="H97">
        <v>-1</v>
      </c>
      <c r="I97">
        <v>-1</v>
      </c>
      <c r="J97">
        <v>4</v>
      </c>
      <c r="K97">
        <v>3.71</v>
      </c>
      <c r="L97">
        <v>3.71</v>
      </c>
      <c r="M97">
        <v>44.5</v>
      </c>
      <c r="N97" t="s">
        <v>529</v>
      </c>
      <c r="O97">
        <v>22.25</v>
      </c>
      <c r="Q97" t="s">
        <v>87</v>
      </c>
      <c r="R97">
        <v>1098</v>
      </c>
      <c r="S97">
        <v>12</v>
      </c>
      <c r="T97" t="b">
        <v>0</v>
      </c>
      <c r="U97" t="s">
        <v>125</v>
      </c>
      <c r="V97" t="s">
        <v>126</v>
      </c>
      <c r="W97">
        <v>1</v>
      </c>
      <c r="X97">
        <v>4</v>
      </c>
      <c r="Y97">
        <v>0.5</v>
      </c>
      <c r="Z97">
        <v>1</v>
      </c>
      <c r="AC97" t="s">
        <v>90</v>
      </c>
      <c r="AD97">
        <v>125</v>
      </c>
      <c r="AE97">
        <v>220</v>
      </c>
      <c r="AF97" t="s">
        <v>91</v>
      </c>
      <c r="AG97">
        <v>288</v>
      </c>
      <c r="AH97" s="3">
        <v>1080</v>
      </c>
      <c r="AI97" s="3">
        <f>AH97/(AD97*Y97*Z97)</f>
        <v>17.28</v>
      </c>
      <c r="AJ97" s="3">
        <f t="shared" si="1"/>
        <v>2.8495497633759097</v>
      </c>
      <c r="AK97" t="s">
        <v>972</v>
      </c>
      <c r="AN97" t="b">
        <v>1</v>
      </c>
      <c r="AO97" t="b">
        <v>0</v>
      </c>
      <c r="AP97" t="b">
        <v>0</v>
      </c>
      <c r="AQ97" t="b">
        <v>0</v>
      </c>
      <c r="AR97" t="s">
        <v>1163</v>
      </c>
      <c r="AU97">
        <v>11.849397701591441</v>
      </c>
      <c r="AV97">
        <v>1.510204081632653</v>
      </c>
      <c r="AW97">
        <v>1.2653061224489801</v>
      </c>
      <c r="AX97">
        <v>0.1224489795918367</v>
      </c>
      <c r="AY97">
        <v>0.16326530612244899</v>
      </c>
      <c r="AZ97">
        <v>0.49333333333333329</v>
      </c>
      <c r="BA97">
        <v>0.41333333333333339</v>
      </c>
      <c r="BB97">
        <v>0.04</v>
      </c>
      <c r="BC97">
        <v>5.333333333333333E-2</v>
      </c>
      <c r="BD97">
        <v>6.6971257268453872</v>
      </c>
      <c r="BE97">
        <v>20</v>
      </c>
      <c r="BF97">
        <v>733.37308460000008</v>
      </c>
      <c r="BG97">
        <v>2</v>
      </c>
      <c r="BH97">
        <v>5.4542497999932729E-2</v>
      </c>
      <c r="BI97">
        <v>3.8530000000000002</v>
      </c>
      <c r="BJ97">
        <v>3.8530000000000002</v>
      </c>
      <c r="BK97">
        <v>49.4</v>
      </c>
      <c r="BL97">
        <v>0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U97">
        <v>0</v>
      </c>
      <c r="BV97">
        <v>0</v>
      </c>
      <c r="BW97">
        <v>0</v>
      </c>
      <c r="BX97">
        <v>357.04353880000002</v>
      </c>
      <c r="BY97">
        <v>5.6015577448113731E-2</v>
      </c>
      <c r="BZ97">
        <v>10</v>
      </c>
      <c r="CA97">
        <v>2.8007788724056869E-2</v>
      </c>
      <c r="CB97">
        <v>2.7271248999966361E-2</v>
      </c>
      <c r="CE97">
        <v>0.33005342247707181</v>
      </c>
      <c r="CH97">
        <v>0.33896747906196412</v>
      </c>
    </row>
    <row r="98" spans="1:86" x14ac:dyDescent="0.3">
      <c r="A98" s="1">
        <v>177</v>
      </c>
      <c r="B98" t="s">
        <v>128</v>
      </c>
      <c r="C98" t="s">
        <v>129</v>
      </c>
      <c r="E98" t="s">
        <v>130</v>
      </c>
      <c r="F98">
        <v>3</v>
      </c>
      <c r="G98" t="s">
        <v>131</v>
      </c>
      <c r="H98" t="s">
        <v>132</v>
      </c>
      <c r="I98">
        <v>-1</v>
      </c>
      <c r="O98">
        <v>0</v>
      </c>
      <c r="Q98" t="s">
        <v>248</v>
      </c>
      <c r="T98" t="b">
        <v>0</v>
      </c>
      <c r="U98" t="s">
        <v>172</v>
      </c>
      <c r="V98" t="s">
        <v>126</v>
      </c>
      <c r="W98">
        <v>1.1200000000000001</v>
      </c>
      <c r="X98">
        <v>49</v>
      </c>
      <c r="Y98">
        <v>2</v>
      </c>
      <c r="Z98">
        <v>10</v>
      </c>
      <c r="AC98" t="s">
        <v>90</v>
      </c>
      <c r="AD98">
        <v>100</v>
      </c>
      <c r="AE98">
        <v>290</v>
      </c>
      <c r="AF98" t="s">
        <v>91</v>
      </c>
      <c r="AG98">
        <v>333</v>
      </c>
      <c r="AH98" s="3">
        <v>30134</v>
      </c>
      <c r="AI98" s="3">
        <f>AH98/(AD98*Y98*Z98)</f>
        <v>15.067</v>
      </c>
      <c r="AJ98" s="3">
        <f t="shared" si="1"/>
        <v>2.7125069218191515</v>
      </c>
      <c r="AK98" t="s">
        <v>972</v>
      </c>
      <c r="AN98" t="b">
        <v>1</v>
      </c>
      <c r="AO98" t="b">
        <v>0</v>
      </c>
      <c r="AP98" t="b">
        <v>0</v>
      </c>
      <c r="AQ98" t="b">
        <v>0</v>
      </c>
      <c r="AR98" t="s">
        <v>1164</v>
      </c>
      <c r="AU98">
        <v>11.93163579982841</v>
      </c>
      <c r="AV98">
        <v>1.510204081632653</v>
      </c>
      <c r="AW98">
        <v>1.2653061224489801</v>
      </c>
      <c r="AX98">
        <v>0.1224489795918367</v>
      </c>
      <c r="AY98">
        <v>0.16326530612244899</v>
      </c>
      <c r="AZ98">
        <v>0.49333333333333329</v>
      </c>
      <c r="BA98">
        <v>0.41333333333333339</v>
      </c>
      <c r="BB98">
        <v>0.04</v>
      </c>
      <c r="BC98">
        <v>5.333333333333333E-2</v>
      </c>
      <c r="BD98">
        <v>6.6971257268453872</v>
      </c>
      <c r="BE98">
        <v>20</v>
      </c>
      <c r="BF98">
        <v>733.37308460000008</v>
      </c>
      <c r="BG98">
        <v>2</v>
      </c>
      <c r="BH98">
        <v>5.4542497999932729E-2</v>
      </c>
      <c r="BI98">
        <v>3.8530000000000002</v>
      </c>
      <c r="BJ98">
        <v>3.8530000000000002</v>
      </c>
      <c r="BK98">
        <v>49.4</v>
      </c>
      <c r="BL98">
        <v>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>
        <v>0</v>
      </c>
      <c r="BV98">
        <v>0</v>
      </c>
      <c r="BW98">
        <v>0</v>
      </c>
      <c r="BX98">
        <v>357.04353880000002</v>
      </c>
      <c r="BY98">
        <v>5.6015577448113731E-2</v>
      </c>
      <c r="BZ98">
        <v>10</v>
      </c>
      <c r="CA98">
        <v>2.8007788724056869E-2</v>
      </c>
      <c r="CB98">
        <v>2.7271248999966361E-2</v>
      </c>
      <c r="CE98">
        <v>0.33005342247707181</v>
      </c>
      <c r="CH98">
        <v>0.33896747906196412</v>
      </c>
    </row>
    <row r="99" spans="1:86" x14ac:dyDescent="0.3">
      <c r="A99" s="1">
        <v>548</v>
      </c>
      <c r="B99" t="s">
        <v>983</v>
      </c>
      <c r="C99" t="s">
        <v>984</v>
      </c>
      <c r="E99" t="s">
        <v>372</v>
      </c>
      <c r="F99">
        <v>3.42</v>
      </c>
      <c r="G99" t="s">
        <v>957</v>
      </c>
      <c r="H99">
        <v>-1</v>
      </c>
      <c r="I99">
        <v>-1</v>
      </c>
      <c r="J99">
        <v>4</v>
      </c>
      <c r="K99">
        <v>3.72</v>
      </c>
      <c r="L99">
        <v>3.72</v>
      </c>
      <c r="M99">
        <v>54</v>
      </c>
      <c r="N99" t="s">
        <v>529</v>
      </c>
      <c r="O99">
        <v>27</v>
      </c>
      <c r="Q99" t="s">
        <v>87</v>
      </c>
      <c r="R99">
        <v>1098</v>
      </c>
      <c r="S99">
        <v>12</v>
      </c>
      <c r="T99" t="b">
        <v>0</v>
      </c>
      <c r="U99" t="s">
        <v>125</v>
      </c>
      <c r="V99" t="s">
        <v>126</v>
      </c>
      <c r="W99">
        <v>1</v>
      </c>
      <c r="Y99">
        <v>0.5</v>
      </c>
      <c r="Z99">
        <v>1</v>
      </c>
      <c r="AC99" t="s">
        <v>90</v>
      </c>
      <c r="AD99">
        <v>125</v>
      </c>
      <c r="AE99">
        <v>220</v>
      </c>
      <c r="AF99" t="s">
        <v>91</v>
      </c>
      <c r="AG99">
        <v>288</v>
      </c>
      <c r="AH99" s="3">
        <v>880</v>
      </c>
      <c r="AI99" s="3">
        <f>AH99/(AD99*Y99*Z99)</f>
        <v>14.08</v>
      </c>
      <c r="AJ99" s="3">
        <f t="shared" si="1"/>
        <v>2.6447553507298962</v>
      </c>
      <c r="AK99" t="s">
        <v>972</v>
      </c>
      <c r="AN99" t="b">
        <v>1</v>
      </c>
      <c r="AO99" t="b">
        <v>0</v>
      </c>
      <c r="AP99" t="b">
        <v>0</v>
      </c>
      <c r="AQ99" t="b">
        <v>0</v>
      </c>
      <c r="AR99" t="s">
        <v>1171</v>
      </c>
      <c r="AU99">
        <v>10.308952660644289</v>
      </c>
      <c r="AV99">
        <v>1.510204081632653</v>
      </c>
      <c r="AW99">
        <v>1.2653061224489801</v>
      </c>
      <c r="AX99">
        <v>0.1224489795918367</v>
      </c>
      <c r="AY99">
        <v>0.16326530612244899</v>
      </c>
      <c r="AZ99">
        <v>0.49333333333333329</v>
      </c>
      <c r="BA99">
        <v>0.41333333333333339</v>
      </c>
      <c r="BB99">
        <v>0.04</v>
      </c>
      <c r="BC99">
        <v>5.333333333333333E-2</v>
      </c>
      <c r="BD99">
        <v>6.6971257268453872</v>
      </c>
      <c r="BE99">
        <v>20</v>
      </c>
      <c r="BF99">
        <v>733.37308460000008</v>
      </c>
      <c r="BG99">
        <v>2</v>
      </c>
      <c r="BH99">
        <v>5.4542497999932729E-2</v>
      </c>
      <c r="BI99">
        <v>3.8530000000000002</v>
      </c>
      <c r="BJ99">
        <v>3.8530000000000002</v>
      </c>
      <c r="BK99">
        <v>49.4</v>
      </c>
      <c r="BL99">
        <v>0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U99">
        <v>0</v>
      </c>
      <c r="BV99">
        <v>0</v>
      </c>
      <c r="BW99">
        <v>0</v>
      </c>
      <c r="BX99">
        <v>357.04353880000002</v>
      </c>
      <c r="BY99">
        <v>5.6015577448113731E-2</v>
      </c>
      <c r="BZ99">
        <v>10</v>
      </c>
      <c r="CA99">
        <v>2.8007788724056869E-2</v>
      </c>
      <c r="CB99">
        <v>2.7271248999966361E-2</v>
      </c>
      <c r="CE99">
        <v>0.33005342247707181</v>
      </c>
      <c r="CH99">
        <v>0.33896747906196412</v>
      </c>
    </row>
    <row r="100" spans="1:86" x14ac:dyDescent="0.3">
      <c r="A100" s="1">
        <v>552</v>
      </c>
      <c r="B100" t="s">
        <v>995</v>
      </c>
      <c r="C100" t="s">
        <v>996</v>
      </c>
      <c r="E100" t="s">
        <v>372</v>
      </c>
      <c r="F100">
        <v>3.41</v>
      </c>
      <c r="G100" t="s">
        <v>969</v>
      </c>
      <c r="H100">
        <v>-1</v>
      </c>
      <c r="I100">
        <v>-1</v>
      </c>
      <c r="J100">
        <v>4</v>
      </c>
      <c r="K100">
        <v>3.71</v>
      </c>
      <c r="L100">
        <v>3.71</v>
      </c>
      <c r="M100">
        <v>54.9</v>
      </c>
      <c r="N100" t="s">
        <v>529</v>
      </c>
      <c r="O100">
        <v>27.45</v>
      </c>
      <c r="Q100" t="s">
        <v>87</v>
      </c>
      <c r="R100">
        <v>1098</v>
      </c>
      <c r="S100">
        <v>12</v>
      </c>
      <c r="T100" t="b">
        <v>0</v>
      </c>
      <c r="U100" t="s">
        <v>125</v>
      </c>
      <c r="V100" t="s">
        <v>126</v>
      </c>
      <c r="W100">
        <v>1</v>
      </c>
      <c r="Y100">
        <v>0.5</v>
      </c>
      <c r="Z100">
        <v>1</v>
      </c>
      <c r="AC100" t="s">
        <v>90</v>
      </c>
      <c r="AD100">
        <v>125</v>
      </c>
      <c r="AE100">
        <v>220</v>
      </c>
      <c r="AF100" t="s">
        <v>91</v>
      </c>
      <c r="AG100">
        <v>288</v>
      </c>
      <c r="AH100" s="3">
        <v>840</v>
      </c>
      <c r="AI100" s="3">
        <f>AH100/(AD100*Y100*Z100)</f>
        <v>13.44</v>
      </c>
      <c r="AJ100" s="3">
        <f t="shared" si="1"/>
        <v>2.5982353350950036</v>
      </c>
      <c r="AK100" t="s">
        <v>972</v>
      </c>
      <c r="AN100" t="b">
        <v>1</v>
      </c>
      <c r="AO100" t="b">
        <v>0</v>
      </c>
      <c r="AP100" t="b">
        <v>0</v>
      </c>
      <c r="AQ100" t="b">
        <v>0</v>
      </c>
      <c r="AR100" t="s">
        <v>1172</v>
      </c>
      <c r="AU100">
        <v>11.066638362341809</v>
      </c>
      <c r="AV100">
        <v>1.510204081632653</v>
      </c>
      <c r="AW100">
        <v>1.2653061224489801</v>
      </c>
      <c r="AX100">
        <v>0.1224489795918367</v>
      </c>
      <c r="AY100">
        <v>0.16326530612244899</v>
      </c>
      <c r="AZ100">
        <v>0.49333333333333329</v>
      </c>
      <c r="BA100">
        <v>0.41333333333333339</v>
      </c>
      <c r="BB100">
        <v>0.04</v>
      </c>
      <c r="BC100">
        <v>5.333333333333333E-2</v>
      </c>
      <c r="BD100">
        <v>6.6971257268453872</v>
      </c>
      <c r="BE100">
        <v>20</v>
      </c>
      <c r="BF100">
        <v>733.37308460000008</v>
      </c>
      <c r="BG100">
        <v>2</v>
      </c>
      <c r="BH100">
        <v>5.4542497999932729E-2</v>
      </c>
      <c r="BI100">
        <v>3.8530000000000002</v>
      </c>
      <c r="BJ100">
        <v>3.8530000000000002</v>
      </c>
      <c r="BK100">
        <v>49.4</v>
      </c>
      <c r="BL100">
        <v>0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U100">
        <v>0</v>
      </c>
      <c r="BV100">
        <v>0</v>
      </c>
      <c r="BW100">
        <v>0</v>
      </c>
      <c r="BX100">
        <v>357.04353880000002</v>
      </c>
      <c r="BY100">
        <v>5.6015577448113731E-2</v>
      </c>
      <c r="BZ100">
        <v>10</v>
      </c>
      <c r="CA100">
        <v>2.8007788724056869E-2</v>
      </c>
      <c r="CB100">
        <v>2.7271248999966361E-2</v>
      </c>
      <c r="CE100">
        <v>0.33005342247707181</v>
      </c>
      <c r="CH100">
        <v>0.33896747906196412</v>
      </c>
    </row>
    <row r="101" spans="1:86" x14ac:dyDescent="0.3">
      <c r="A101" s="1">
        <v>737</v>
      </c>
      <c r="B101" t="s">
        <v>140</v>
      </c>
      <c r="C101" t="s">
        <v>141</v>
      </c>
      <c r="E101" t="s">
        <v>106</v>
      </c>
      <c r="F101">
        <v>3.49</v>
      </c>
      <c r="G101" t="s">
        <v>142</v>
      </c>
      <c r="H101">
        <v>1522043</v>
      </c>
      <c r="I101">
        <v>-1</v>
      </c>
      <c r="J101">
        <v>1</v>
      </c>
      <c r="K101">
        <v>3.82</v>
      </c>
      <c r="L101">
        <v>3.82</v>
      </c>
      <c r="M101">
        <v>15.99</v>
      </c>
      <c r="O101">
        <v>15.99</v>
      </c>
      <c r="Q101" t="s">
        <v>87</v>
      </c>
      <c r="R101">
        <v>1373</v>
      </c>
      <c r="S101">
        <v>24</v>
      </c>
      <c r="T101" t="b">
        <v>0</v>
      </c>
      <c r="U101" t="s">
        <v>125</v>
      </c>
      <c r="V101" t="s">
        <v>126</v>
      </c>
      <c r="W101">
        <v>1</v>
      </c>
      <c r="X101">
        <v>5.56</v>
      </c>
      <c r="Y101">
        <v>0.5</v>
      </c>
      <c r="Z101">
        <v>30</v>
      </c>
      <c r="AC101" t="s">
        <v>90</v>
      </c>
      <c r="AD101">
        <v>125</v>
      </c>
      <c r="AE101">
        <v>220</v>
      </c>
      <c r="AF101" t="s">
        <v>91</v>
      </c>
      <c r="AG101">
        <v>288</v>
      </c>
      <c r="AH101" s="3">
        <v>24800</v>
      </c>
      <c r="AI101" s="3">
        <f>AH101/(AD101*Y101*Z101)</f>
        <v>13.226666666666667</v>
      </c>
      <c r="AJ101" s="3">
        <f t="shared" si="1"/>
        <v>2.5822349937485622</v>
      </c>
      <c r="AK101" t="s">
        <v>972</v>
      </c>
      <c r="AN101" t="b">
        <v>1</v>
      </c>
      <c r="AO101" t="b">
        <v>0</v>
      </c>
      <c r="AP101" t="b">
        <v>0</v>
      </c>
      <c r="AQ101" t="b">
        <v>0</v>
      </c>
      <c r="AR101" t="s">
        <v>1173</v>
      </c>
      <c r="AU101">
        <v>11.38509209346034</v>
      </c>
      <c r="AV101">
        <v>1.510204081632653</v>
      </c>
      <c r="AW101">
        <v>1.2653061224489801</v>
      </c>
      <c r="AX101">
        <v>0.1224489795918367</v>
      </c>
      <c r="AY101">
        <v>0.16326530612244899</v>
      </c>
      <c r="AZ101">
        <v>0.49333333333333329</v>
      </c>
      <c r="BA101">
        <v>0.41333333333333339</v>
      </c>
      <c r="BB101">
        <v>0.04</v>
      </c>
      <c r="BC101">
        <v>5.333333333333333E-2</v>
      </c>
      <c r="BD101">
        <v>6.6971257268453872</v>
      </c>
      <c r="BE101">
        <v>20</v>
      </c>
      <c r="BF101">
        <v>733.37308460000008</v>
      </c>
      <c r="BG101">
        <v>2</v>
      </c>
      <c r="BH101">
        <v>5.4542497999932729E-2</v>
      </c>
      <c r="BI101">
        <v>3.8530000000000002</v>
      </c>
      <c r="BJ101">
        <v>3.8530000000000002</v>
      </c>
      <c r="BK101">
        <v>49.4</v>
      </c>
      <c r="BL101">
        <v>0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U101">
        <v>0</v>
      </c>
      <c r="BV101">
        <v>0</v>
      </c>
      <c r="BW101">
        <v>0</v>
      </c>
      <c r="BX101">
        <v>357.04353880000002</v>
      </c>
      <c r="BY101">
        <v>5.6015577448113731E-2</v>
      </c>
      <c r="BZ101">
        <v>10</v>
      </c>
      <c r="CA101">
        <v>2.8007788724056869E-2</v>
      </c>
      <c r="CB101">
        <v>2.7271248999966361E-2</v>
      </c>
      <c r="CE101">
        <v>0.33005342247707181</v>
      </c>
      <c r="CH101">
        <v>0.33896747906196412</v>
      </c>
    </row>
    <row r="102" spans="1:86" x14ac:dyDescent="0.3">
      <c r="A102" s="1">
        <v>545</v>
      </c>
      <c r="B102" t="s">
        <v>974</v>
      </c>
      <c r="C102" t="s">
        <v>975</v>
      </c>
      <c r="E102" t="s">
        <v>372</v>
      </c>
      <c r="F102">
        <v>3.41</v>
      </c>
      <c r="G102" t="s">
        <v>948</v>
      </c>
      <c r="H102">
        <v>-1</v>
      </c>
      <c r="I102">
        <v>-1</v>
      </c>
      <c r="J102">
        <v>4</v>
      </c>
      <c r="K102">
        <v>3.74</v>
      </c>
      <c r="L102">
        <v>3.74</v>
      </c>
      <c r="M102">
        <v>33.1</v>
      </c>
      <c r="N102" t="s">
        <v>529</v>
      </c>
      <c r="O102">
        <v>16.55</v>
      </c>
      <c r="Q102" t="s">
        <v>87</v>
      </c>
      <c r="R102">
        <v>1098</v>
      </c>
      <c r="S102">
        <v>12</v>
      </c>
      <c r="T102" t="b">
        <v>0</v>
      </c>
      <c r="U102" t="s">
        <v>125</v>
      </c>
      <c r="V102" t="s">
        <v>126</v>
      </c>
      <c r="W102">
        <v>1</v>
      </c>
      <c r="X102">
        <v>5.6</v>
      </c>
      <c r="Y102">
        <v>0.5</v>
      </c>
      <c r="Z102">
        <v>1</v>
      </c>
      <c r="AC102" t="s">
        <v>90</v>
      </c>
      <c r="AD102">
        <v>125</v>
      </c>
      <c r="AE102">
        <v>220</v>
      </c>
      <c r="AF102" t="s">
        <v>91</v>
      </c>
      <c r="AG102">
        <v>288</v>
      </c>
      <c r="AH102" s="3">
        <v>640</v>
      </c>
      <c r="AI102" s="3">
        <f>AH102/(AD102*Y102*Z102)</f>
        <v>10.24</v>
      </c>
      <c r="AJ102" s="3">
        <f t="shared" si="1"/>
        <v>2.3263016196113617</v>
      </c>
      <c r="AK102" t="s">
        <v>972</v>
      </c>
      <c r="AN102" t="b">
        <v>1</v>
      </c>
      <c r="AO102" t="b">
        <v>0</v>
      </c>
      <c r="AP102" t="b">
        <v>0</v>
      </c>
      <c r="AQ102" t="b">
        <v>0</v>
      </c>
      <c r="AR102" t="s">
        <v>1174</v>
      </c>
      <c r="AU102">
        <v>11.33857207782545</v>
      </c>
      <c r="AV102">
        <v>1.510204081632653</v>
      </c>
      <c r="AW102">
        <v>1.2653061224489801</v>
      </c>
      <c r="AX102">
        <v>0.1224489795918367</v>
      </c>
      <c r="AY102">
        <v>0.16326530612244899</v>
      </c>
      <c r="AZ102">
        <v>0.49333333333333329</v>
      </c>
      <c r="BA102">
        <v>0.41333333333333339</v>
      </c>
      <c r="BB102">
        <v>0.04</v>
      </c>
      <c r="BC102">
        <v>5.333333333333333E-2</v>
      </c>
      <c r="BD102">
        <v>6.6971257268453872</v>
      </c>
      <c r="BE102">
        <v>20</v>
      </c>
      <c r="BF102">
        <v>733.37308460000008</v>
      </c>
      <c r="BG102">
        <v>2</v>
      </c>
      <c r="BH102">
        <v>5.4542497999932729E-2</v>
      </c>
      <c r="BI102">
        <v>3.8530000000000002</v>
      </c>
      <c r="BJ102">
        <v>3.8530000000000002</v>
      </c>
      <c r="BK102">
        <v>49.4</v>
      </c>
      <c r="BL102">
        <v>0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>
        <v>0</v>
      </c>
      <c r="BV102">
        <v>0</v>
      </c>
      <c r="BW102">
        <v>0</v>
      </c>
      <c r="BX102">
        <v>357.04353880000002</v>
      </c>
      <c r="BY102">
        <v>5.6015577448113731E-2</v>
      </c>
      <c r="BZ102">
        <v>10</v>
      </c>
      <c r="CA102">
        <v>2.8007788724056869E-2</v>
      </c>
      <c r="CB102">
        <v>2.7271248999966361E-2</v>
      </c>
      <c r="CE102">
        <v>0.33005342247707181</v>
      </c>
      <c r="CH102">
        <v>0.33896747906196412</v>
      </c>
    </row>
    <row r="103" spans="1:86" x14ac:dyDescent="0.3">
      <c r="A103" s="1">
        <v>550</v>
      </c>
      <c r="B103" t="s">
        <v>989</v>
      </c>
      <c r="C103" t="s">
        <v>990</v>
      </c>
      <c r="E103" t="s">
        <v>372</v>
      </c>
      <c r="F103">
        <v>3.39</v>
      </c>
      <c r="G103" t="s">
        <v>963</v>
      </c>
      <c r="H103">
        <v>-1</v>
      </c>
      <c r="I103">
        <v>-1</v>
      </c>
      <c r="J103">
        <v>4</v>
      </c>
      <c r="K103">
        <v>3.7</v>
      </c>
      <c r="L103">
        <v>3.7</v>
      </c>
      <c r="M103">
        <v>36.4</v>
      </c>
      <c r="N103" t="s">
        <v>529</v>
      </c>
      <c r="O103">
        <v>18.2</v>
      </c>
      <c r="Q103" t="s">
        <v>87</v>
      </c>
      <c r="R103">
        <v>1098</v>
      </c>
      <c r="S103">
        <v>12</v>
      </c>
      <c r="T103" t="b">
        <v>0</v>
      </c>
      <c r="U103" t="s">
        <v>125</v>
      </c>
      <c r="V103" t="s">
        <v>126</v>
      </c>
      <c r="W103">
        <v>1</v>
      </c>
      <c r="Y103">
        <v>0.5</v>
      </c>
      <c r="Z103">
        <v>1</v>
      </c>
      <c r="AC103" t="s">
        <v>90</v>
      </c>
      <c r="AD103">
        <v>125</v>
      </c>
      <c r="AE103">
        <v>220</v>
      </c>
      <c r="AF103" t="s">
        <v>91</v>
      </c>
      <c r="AG103">
        <v>288</v>
      </c>
      <c r="AH103" s="3">
        <v>640</v>
      </c>
      <c r="AI103" s="3">
        <f>AH103/(AD103*Y103*Z103)</f>
        <v>10.24</v>
      </c>
      <c r="AJ103" s="3">
        <f t="shared" si="1"/>
        <v>2.3263016196113617</v>
      </c>
      <c r="AK103" t="s">
        <v>144</v>
      </c>
      <c r="AL103" t="s">
        <v>144</v>
      </c>
      <c r="AN103" t="b">
        <v>1</v>
      </c>
      <c r="AO103" t="b">
        <v>1</v>
      </c>
      <c r="AP103" t="b">
        <v>0</v>
      </c>
      <c r="AQ103" t="b">
        <v>0</v>
      </c>
      <c r="AR103" t="s">
        <v>1179</v>
      </c>
      <c r="AS103" t="s">
        <v>1180</v>
      </c>
      <c r="AU103">
        <v>10.01189063187439</v>
      </c>
      <c r="AV103">
        <v>1.75</v>
      </c>
      <c r="AW103">
        <v>2.5</v>
      </c>
      <c r="AX103">
        <v>0.75</v>
      </c>
      <c r="AY103">
        <v>0</v>
      </c>
      <c r="AZ103">
        <v>0.35</v>
      </c>
      <c r="BA103">
        <v>0.5</v>
      </c>
      <c r="BB103">
        <v>0.15</v>
      </c>
      <c r="BC103">
        <v>0</v>
      </c>
      <c r="BD103">
        <v>6.2640154224906874</v>
      </c>
      <c r="BE103">
        <v>20</v>
      </c>
      <c r="BF103">
        <v>242.1279024923125</v>
      </c>
      <c r="BG103">
        <v>1</v>
      </c>
      <c r="BH103">
        <v>8.2600971611006269E-2</v>
      </c>
      <c r="BI103">
        <v>3.950634</v>
      </c>
      <c r="BJ103">
        <v>3.950634</v>
      </c>
      <c r="BK103">
        <v>15.513552000000001</v>
      </c>
      <c r="BL103">
        <v>227.970829547178</v>
      </c>
      <c r="BM103">
        <v>1</v>
      </c>
      <c r="BN103">
        <v>8.7730522539775438E-2</v>
      </c>
      <c r="BO103">
        <v>3.8658999999999999</v>
      </c>
      <c r="BP103">
        <v>3.8658999999999999</v>
      </c>
      <c r="BQ103">
        <v>15.2538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476.45138538900011</v>
      </c>
      <c r="BY103">
        <v>8.3954000820759267E-2</v>
      </c>
      <c r="BZ103">
        <v>10</v>
      </c>
      <c r="CA103">
        <v>4.1977000410379627E-2</v>
      </c>
      <c r="CB103">
        <v>4.1300485805503127E-2</v>
      </c>
      <c r="CC103">
        <v>4.3865261269887719E-2</v>
      </c>
      <c r="CE103">
        <v>0.42195359024583579</v>
      </c>
      <c r="CF103">
        <v>0.44815706447294301</v>
      </c>
      <c r="CH103">
        <v>0.42886531926824228</v>
      </c>
    </row>
    <row r="104" spans="1:86" x14ac:dyDescent="0.3">
      <c r="A104" s="1">
        <v>688</v>
      </c>
      <c r="B104" t="s">
        <v>372</v>
      </c>
      <c r="C104" t="s">
        <v>944</v>
      </c>
      <c r="E104" t="s">
        <v>372</v>
      </c>
      <c r="F104">
        <v>3.45</v>
      </c>
      <c r="G104" t="s">
        <v>373</v>
      </c>
      <c r="H104">
        <v>-1</v>
      </c>
      <c r="I104" t="s">
        <v>901</v>
      </c>
      <c r="J104">
        <v>2</v>
      </c>
      <c r="K104">
        <v>3.7</v>
      </c>
      <c r="L104">
        <v>3.7</v>
      </c>
      <c r="M104">
        <v>12.2</v>
      </c>
      <c r="O104">
        <v>12.2</v>
      </c>
      <c r="Q104" t="s">
        <v>87</v>
      </c>
      <c r="R104">
        <v>1098</v>
      </c>
      <c r="S104">
        <v>12</v>
      </c>
      <c r="T104" t="b">
        <v>0</v>
      </c>
      <c r="U104" t="s">
        <v>125</v>
      </c>
      <c r="V104" t="s">
        <v>126</v>
      </c>
      <c r="W104">
        <v>1</v>
      </c>
      <c r="X104">
        <v>9.6999999999999993</v>
      </c>
      <c r="Y104">
        <v>0.5</v>
      </c>
      <c r="Z104">
        <v>1</v>
      </c>
      <c r="AC104" t="s">
        <v>90</v>
      </c>
      <c r="AD104">
        <v>125</v>
      </c>
      <c r="AE104">
        <v>220</v>
      </c>
      <c r="AF104" t="s">
        <v>91</v>
      </c>
      <c r="AG104">
        <v>288</v>
      </c>
      <c r="AH104" s="3">
        <v>567.99999999999989</v>
      </c>
      <c r="AI104" s="3">
        <f>AH104/(AD104*Y104*Z104)</f>
        <v>9.0879999999999974</v>
      </c>
      <c r="AJ104" s="3">
        <f t="shared" si="1"/>
        <v>2.2069548619787951</v>
      </c>
      <c r="AN104" t="b">
        <v>0</v>
      </c>
      <c r="AO104" t="b">
        <v>0</v>
      </c>
      <c r="AP104" t="b">
        <v>1</v>
      </c>
      <c r="AQ104" t="b">
        <v>0</v>
      </c>
      <c r="AR104">
        <v>-1</v>
      </c>
      <c r="AS104">
        <v>-1</v>
      </c>
      <c r="AT104" t="s">
        <v>251</v>
      </c>
      <c r="AU104">
        <v>4.8913611557053054</v>
      </c>
      <c r="AV104">
        <v>1.714285714285714</v>
      </c>
      <c r="AW104">
        <v>2.8571428571428572</v>
      </c>
      <c r="AX104">
        <v>1.142857142857143</v>
      </c>
      <c r="AY104">
        <v>0</v>
      </c>
      <c r="AZ104">
        <v>0.3</v>
      </c>
      <c r="BA104">
        <v>0.5</v>
      </c>
      <c r="BB104">
        <v>0.2</v>
      </c>
      <c r="BC104">
        <v>0</v>
      </c>
      <c r="BD104">
        <v>6.4820252782142864</v>
      </c>
      <c r="BE104">
        <v>10</v>
      </c>
      <c r="BF104">
        <v>0</v>
      </c>
      <c r="BG104">
        <v>0</v>
      </c>
      <c r="BI104">
        <v>0</v>
      </c>
      <c r="BL104">
        <v>0</v>
      </c>
      <c r="BM104">
        <v>0</v>
      </c>
      <c r="BO104">
        <v>0</v>
      </c>
      <c r="BR104">
        <v>1351.782831723561</v>
      </c>
      <c r="BS104">
        <v>14</v>
      </c>
      <c r="BT104">
        <v>0.10356693154735221</v>
      </c>
      <c r="BU104">
        <v>19.329999999999998</v>
      </c>
      <c r="BV104">
        <v>3.823</v>
      </c>
      <c r="BW104">
        <v>20.322500000000002</v>
      </c>
      <c r="BZ104">
        <v>5</v>
      </c>
      <c r="CD104">
        <v>5.1783465773676103E-2</v>
      </c>
      <c r="CG104">
        <v>0.47507575040644112</v>
      </c>
    </row>
    <row r="105" spans="1:86" x14ac:dyDescent="0.3">
      <c r="A105" s="1">
        <v>535</v>
      </c>
      <c r="B105" t="s">
        <v>372</v>
      </c>
      <c r="C105" t="s">
        <v>944</v>
      </c>
      <c r="E105" t="s">
        <v>372</v>
      </c>
      <c r="F105">
        <v>3.45</v>
      </c>
      <c r="G105" t="s">
        <v>373</v>
      </c>
      <c r="H105">
        <v>-1</v>
      </c>
      <c r="I105">
        <v>-1</v>
      </c>
      <c r="J105">
        <v>2</v>
      </c>
      <c r="K105">
        <v>3.71</v>
      </c>
      <c r="L105">
        <v>3.71</v>
      </c>
      <c r="M105">
        <v>12.2</v>
      </c>
      <c r="N105" t="s">
        <v>529</v>
      </c>
      <c r="O105">
        <v>12.2</v>
      </c>
      <c r="Q105" t="s">
        <v>87</v>
      </c>
      <c r="R105">
        <v>1098</v>
      </c>
      <c r="S105">
        <v>12</v>
      </c>
      <c r="T105" t="b">
        <v>0</v>
      </c>
      <c r="U105" t="s">
        <v>125</v>
      </c>
      <c r="V105" t="s">
        <v>126</v>
      </c>
      <c r="W105">
        <v>1</v>
      </c>
      <c r="X105">
        <v>9.6999999999999993</v>
      </c>
      <c r="Y105">
        <v>0.5</v>
      </c>
      <c r="Z105">
        <v>1</v>
      </c>
      <c r="AC105" t="s">
        <v>90</v>
      </c>
      <c r="AD105">
        <v>125</v>
      </c>
      <c r="AE105">
        <v>220</v>
      </c>
      <c r="AF105" t="s">
        <v>91</v>
      </c>
      <c r="AG105">
        <v>288</v>
      </c>
      <c r="AH105" s="3">
        <v>560</v>
      </c>
      <c r="AI105" s="3">
        <f>AH105/(AD105*Y105*Z105)</f>
        <v>8.9600000000000009</v>
      </c>
      <c r="AJ105" s="3">
        <f t="shared" si="1"/>
        <v>2.192770226986839</v>
      </c>
      <c r="AK105" t="s">
        <v>136</v>
      </c>
      <c r="AN105" t="b">
        <v>1</v>
      </c>
      <c r="AO105" t="b">
        <v>0</v>
      </c>
      <c r="AP105" t="b">
        <v>0</v>
      </c>
      <c r="AQ105" t="b">
        <v>0</v>
      </c>
      <c r="AR105" t="s">
        <v>1189</v>
      </c>
      <c r="AT105" t="s">
        <v>901</v>
      </c>
      <c r="AU105">
        <v>6.3421214187211508</v>
      </c>
      <c r="AV105">
        <v>1.857142857142857</v>
      </c>
      <c r="AW105">
        <v>2.285714285714286</v>
      </c>
      <c r="AX105">
        <v>0.42857142857142849</v>
      </c>
      <c r="AY105">
        <v>0</v>
      </c>
      <c r="AZ105">
        <v>0.40625000000000011</v>
      </c>
      <c r="BA105">
        <v>0.5</v>
      </c>
      <c r="BB105">
        <v>9.375E-2</v>
      </c>
      <c r="BC105">
        <v>0</v>
      </c>
      <c r="BD105">
        <v>6.2648152075501429</v>
      </c>
      <c r="BE105">
        <v>8</v>
      </c>
      <c r="BF105">
        <v>203.79933701026059</v>
      </c>
      <c r="BG105">
        <v>2</v>
      </c>
      <c r="BH105">
        <v>7.8508596910668346E-2</v>
      </c>
      <c r="BI105">
        <v>3.8703880000000002</v>
      </c>
      <c r="BJ105">
        <v>3.8703880000000002</v>
      </c>
      <c r="BK105">
        <v>13.604850000000001</v>
      </c>
      <c r="BL105">
        <v>0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U105">
        <v>0</v>
      </c>
      <c r="BV105">
        <v>0</v>
      </c>
      <c r="BW105">
        <v>0</v>
      </c>
      <c r="BX105">
        <v>167.018</v>
      </c>
      <c r="BY105">
        <v>9.579805769438024E-2</v>
      </c>
      <c r="BZ105">
        <v>4</v>
      </c>
      <c r="CA105">
        <v>4.789902884719012E-2</v>
      </c>
      <c r="CB105">
        <v>3.9254298455334173E-2</v>
      </c>
      <c r="CE105">
        <v>0.41209139981608062</v>
      </c>
      <c r="CH105">
        <v>0.50284372983838532</v>
      </c>
    </row>
    <row r="106" spans="1:86" x14ac:dyDescent="0.3">
      <c r="A106" s="1">
        <v>746</v>
      </c>
      <c r="B106" t="s">
        <v>1237</v>
      </c>
      <c r="C106" t="s">
        <v>1238</v>
      </c>
      <c r="E106" t="s">
        <v>404</v>
      </c>
      <c r="F106">
        <v>2.9</v>
      </c>
      <c r="G106" t="s">
        <v>899</v>
      </c>
      <c r="H106" t="s">
        <v>900</v>
      </c>
      <c r="I106" t="s">
        <v>901</v>
      </c>
      <c r="J106">
        <v>2</v>
      </c>
      <c r="K106">
        <v>3.8</v>
      </c>
      <c r="L106">
        <v>3.8</v>
      </c>
      <c r="M106">
        <v>27.3</v>
      </c>
      <c r="N106" t="s">
        <v>206</v>
      </c>
      <c r="O106">
        <v>13.65</v>
      </c>
      <c r="Q106" t="s">
        <v>87</v>
      </c>
      <c r="R106">
        <v>1373</v>
      </c>
      <c r="S106">
        <v>12</v>
      </c>
      <c r="T106" t="b">
        <v>0</v>
      </c>
      <c r="U106" t="s">
        <v>125</v>
      </c>
      <c r="V106" t="s">
        <v>126</v>
      </c>
      <c r="W106">
        <v>1</v>
      </c>
      <c r="X106">
        <v>3.2</v>
      </c>
      <c r="Y106">
        <v>0.5</v>
      </c>
      <c r="Z106">
        <v>1</v>
      </c>
      <c r="AC106" t="s">
        <v>90</v>
      </c>
      <c r="AD106">
        <v>125</v>
      </c>
      <c r="AE106">
        <v>220</v>
      </c>
      <c r="AF106" t="s">
        <v>91</v>
      </c>
      <c r="AG106">
        <v>288</v>
      </c>
      <c r="AH106" s="3">
        <v>536</v>
      </c>
      <c r="AI106" s="3">
        <f>AH106/(AD106*Y106*Z106)</f>
        <v>8.5760000000000005</v>
      </c>
      <c r="AJ106" s="3">
        <f t="shared" si="1"/>
        <v>2.1489676043284462</v>
      </c>
      <c r="AK106" t="s">
        <v>972</v>
      </c>
      <c r="AN106" t="b">
        <v>1</v>
      </c>
      <c r="AO106" t="b">
        <v>0</v>
      </c>
      <c r="AP106" t="b">
        <v>0</v>
      </c>
      <c r="AQ106" t="b">
        <v>0</v>
      </c>
      <c r="AR106" t="s">
        <v>1190</v>
      </c>
      <c r="AT106" t="s">
        <v>754</v>
      </c>
      <c r="AU106">
        <v>5.518255786913298</v>
      </c>
      <c r="AV106">
        <v>1.857142857142857</v>
      </c>
      <c r="AW106">
        <v>2.285714285714286</v>
      </c>
      <c r="AX106">
        <v>0.2857142857142857</v>
      </c>
      <c r="AY106">
        <v>0.5714285714285714</v>
      </c>
      <c r="AZ106">
        <v>0.37142857142857139</v>
      </c>
      <c r="BA106">
        <v>0.45714285714285707</v>
      </c>
      <c r="BB106">
        <v>5.7142857142857141E-2</v>
      </c>
      <c r="BC106">
        <v>0.1142857142857143</v>
      </c>
      <c r="BD106">
        <v>6.2282471432644284</v>
      </c>
      <c r="BE106">
        <v>8</v>
      </c>
      <c r="BF106">
        <v>203.79933701026059</v>
      </c>
      <c r="BG106">
        <v>2</v>
      </c>
      <c r="BH106">
        <v>7.8508596910668346E-2</v>
      </c>
      <c r="BI106">
        <v>3.8703880000000002</v>
      </c>
      <c r="BJ106">
        <v>3.8703880000000002</v>
      </c>
      <c r="BK106">
        <v>13.604850000000001</v>
      </c>
      <c r="BL106">
        <v>0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U106">
        <v>0</v>
      </c>
      <c r="BV106">
        <v>0</v>
      </c>
      <c r="BW106">
        <v>0</v>
      </c>
      <c r="BX106">
        <v>165.649</v>
      </c>
      <c r="BY106">
        <v>9.658977717945777E-2</v>
      </c>
      <c r="BZ106">
        <v>4</v>
      </c>
      <c r="CA106">
        <v>4.8294888589728878E-2</v>
      </c>
      <c r="CB106">
        <v>3.9254298455334173E-2</v>
      </c>
      <c r="CE106">
        <v>0.40413338857906378</v>
      </c>
      <c r="CH106">
        <v>0.49720865599021552</v>
      </c>
    </row>
    <row r="107" spans="1:86" x14ac:dyDescent="0.3">
      <c r="A107" s="1">
        <v>547</v>
      </c>
      <c r="B107" t="s">
        <v>980</v>
      </c>
      <c r="C107" t="s">
        <v>981</v>
      </c>
      <c r="E107" t="s">
        <v>372</v>
      </c>
      <c r="F107">
        <v>3.5</v>
      </c>
      <c r="G107" t="s">
        <v>954</v>
      </c>
      <c r="H107">
        <v>-1</v>
      </c>
      <c r="I107">
        <v>-1</v>
      </c>
      <c r="J107">
        <v>4</v>
      </c>
      <c r="K107">
        <v>3.74</v>
      </c>
      <c r="L107">
        <v>3.74</v>
      </c>
      <c r="M107">
        <v>47.7</v>
      </c>
      <c r="N107" t="s">
        <v>529</v>
      </c>
      <c r="O107">
        <v>23.85</v>
      </c>
      <c r="Q107" t="s">
        <v>87</v>
      </c>
      <c r="R107">
        <v>1098</v>
      </c>
      <c r="S107">
        <v>12</v>
      </c>
      <c r="T107" t="b">
        <v>0</v>
      </c>
      <c r="U107" t="s">
        <v>125</v>
      </c>
      <c r="V107" t="s">
        <v>126</v>
      </c>
      <c r="W107">
        <v>1</v>
      </c>
      <c r="X107">
        <v>5.6</v>
      </c>
      <c r="Y107">
        <v>0.5</v>
      </c>
      <c r="Z107">
        <v>1</v>
      </c>
      <c r="AC107" t="s">
        <v>90</v>
      </c>
      <c r="AD107">
        <v>125</v>
      </c>
      <c r="AE107">
        <v>220</v>
      </c>
      <c r="AF107" t="s">
        <v>91</v>
      </c>
      <c r="AG107">
        <v>288</v>
      </c>
      <c r="AH107" s="3">
        <v>480</v>
      </c>
      <c r="AI107" s="3">
        <f>AH107/(AD107*Y107*Z107)</f>
        <v>7.68</v>
      </c>
      <c r="AJ107" s="3">
        <f t="shared" si="1"/>
        <v>2.0386195471595809</v>
      </c>
      <c r="AK107" t="s">
        <v>136</v>
      </c>
      <c r="AN107" t="b">
        <v>1</v>
      </c>
      <c r="AO107" t="b">
        <v>0</v>
      </c>
      <c r="AP107" t="b">
        <v>0</v>
      </c>
      <c r="AQ107" t="b">
        <v>0</v>
      </c>
      <c r="AR107" t="s">
        <v>1191</v>
      </c>
      <c r="AT107" t="s">
        <v>1056</v>
      </c>
      <c r="AU107">
        <v>8.1327064896932644</v>
      </c>
      <c r="AV107">
        <v>1.882352941176471</v>
      </c>
      <c r="AW107">
        <v>2.3529411764705879</v>
      </c>
      <c r="AX107">
        <v>0.47058823529411759</v>
      </c>
      <c r="AY107">
        <v>0</v>
      </c>
      <c r="AZ107">
        <v>0.4</v>
      </c>
      <c r="BA107">
        <v>0.5</v>
      </c>
      <c r="BB107">
        <v>9.9999999999999992E-2</v>
      </c>
      <c r="BC107">
        <v>0</v>
      </c>
      <c r="BD107">
        <v>6.249318434394235</v>
      </c>
      <c r="BE107">
        <v>20</v>
      </c>
      <c r="BF107">
        <v>229.90248606119221</v>
      </c>
      <c r="BG107">
        <v>1</v>
      </c>
      <c r="BH107">
        <v>8.6993404650164072E-2</v>
      </c>
      <c r="BI107">
        <v>15.28115725</v>
      </c>
      <c r="BJ107">
        <v>15.28115725</v>
      </c>
      <c r="BK107">
        <v>15.28115725</v>
      </c>
      <c r="BL107">
        <v>0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U107">
        <v>0</v>
      </c>
      <c r="BV107">
        <v>0</v>
      </c>
      <c r="BW107">
        <v>0</v>
      </c>
      <c r="BX107">
        <v>196.38399999999999</v>
      </c>
      <c r="BY107">
        <v>0.1018412905328336</v>
      </c>
      <c r="BZ107">
        <v>10</v>
      </c>
      <c r="CA107">
        <v>5.092064526641682E-2</v>
      </c>
      <c r="CB107">
        <v>4.3496702325082043E-2</v>
      </c>
      <c r="CE107">
        <v>0.44572942494581569</v>
      </c>
      <c r="CH107">
        <v>0.52180576271828982</v>
      </c>
    </row>
    <row r="108" spans="1:86" x14ac:dyDescent="0.3">
      <c r="A108" s="1">
        <v>747</v>
      </c>
      <c r="B108" t="s">
        <v>1243</v>
      </c>
      <c r="C108" t="s">
        <v>1244</v>
      </c>
      <c r="E108" t="s">
        <v>404</v>
      </c>
      <c r="F108">
        <v>2.65</v>
      </c>
      <c r="G108" t="s">
        <v>899</v>
      </c>
      <c r="H108" t="s">
        <v>900</v>
      </c>
      <c r="I108" t="s">
        <v>901</v>
      </c>
      <c r="J108">
        <v>2</v>
      </c>
      <c r="K108">
        <v>3.8</v>
      </c>
      <c r="L108">
        <v>3.8</v>
      </c>
      <c r="M108">
        <v>27.3</v>
      </c>
      <c r="N108" t="s">
        <v>206</v>
      </c>
      <c r="O108">
        <v>13.65</v>
      </c>
      <c r="Q108" t="s">
        <v>87</v>
      </c>
      <c r="R108">
        <v>1373</v>
      </c>
      <c r="S108">
        <v>12</v>
      </c>
      <c r="T108" t="b">
        <v>0</v>
      </c>
      <c r="U108" t="s">
        <v>125</v>
      </c>
      <c r="V108" t="s">
        <v>126</v>
      </c>
      <c r="W108">
        <v>1</v>
      </c>
      <c r="X108">
        <v>3.2</v>
      </c>
      <c r="Y108">
        <v>0.5</v>
      </c>
      <c r="Z108">
        <v>1</v>
      </c>
      <c r="AC108" t="s">
        <v>90</v>
      </c>
      <c r="AD108">
        <v>125</v>
      </c>
      <c r="AE108">
        <v>220</v>
      </c>
      <c r="AF108" t="s">
        <v>91</v>
      </c>
      <c r="AG108">
        <v>288</v>
      </c>
      <c r="AH108" s="3">
        <v>480</v>
      </c>
      <c r="AI108" s="3">
        <f>AH108/(AD108*Y108*Z108)</f>
        <v>7.68</v>
      </c>
      <c r="AJ108" s="3">
        <f t="shared" si="1"/>
        <v>2.0386195471595809</v>
      </c>
      <c r="AK108" t="s">
        <v>972</v>
      </c>
      <c r="AN108" t="b">
        <v>1</v>
      </c>
      <c r="AO108" t="b">
        <v>0</v>
      </c>
      <c r="AP108" t="b">
        <v>0</v>
      </c>
      <c r="AQ108" t="b">
        <v>0</v>
      </c>
      <c r="AR108" t="s">
        <v>1192</v>
      </c>
      <c r="AS108">
        <v>-1</v>
      </c>
      <c r="AU108">
        <v>7.9229859587111946</v>
      </c>
      <c r="AV108">
        <v>1.882352941176471</v>
      </c>
      <c r="AW108">
        <v>2.3529411764705879</v>
      </c>
      <c r="AX108">
        <v>0.35294117647058831</v>
      </c>
      <c r="AY108">
        <v>0.47058823529411759</v>
      </c>
      <c r="AZ108">
        <v>0.37209302325581389</v>
      </c>
      <c r="BA108">
        <v>0.46511627906976749</v>
      </c>
      <c r="BB108">
        <v>6.9767441860465129E-2</v>
      </c>
      <c r="BC108">
        <v>9.3023255813953487E-2</v>
      </c>
      <c r="BD108">
        <v>6.2192035579236471</v>
      </c>
      <c r="BE108">
        <v>20</v>
      </c>
      <c r="BF108">
        <v>229.90248606119221</v>
      </c>
      <c r="BG108">
        <v>1</v>
      </c>
      <c r="BH108">
        <v>8.6993404650164072E-2</v>
      </c>
      <c r="BI108">
        <v>15.28115725</v>
      </c>
      <c r="BJ108">
        <v>15.28115725</v>
      </c>
      <c r="BK108">
        <v>15.28115725</v>
      </c>
      <c r="BL108">
        <v>0</v>
      </c>
      <c r="BM108">
        <v>0</v>
      </c>
      <c r="BO108">
        <v>0</v>
      </c>
      <c r="BR108">
        <v>0</v>
      </c>
      <c r="BS108">
        <v>0</v>
      </c>
      <c r="BU108">
        <v>0</v>
      </c>
      <c r="BV108">
        <v>0</v>
      </c>
      <c r="BW108">
        <v>0</v>
      </c>
      <c r="BX108">
        <v>196.38399999999999</v>
      </c>
      <c r="BY108">
        <v>0.1018412905328336</v>
      </c>
      <c r="BZ108">
        <v>10</v>
      </c>
      <c r="CA108">
        <v>5.092064526641682E-2</v>
      </c>
      <c r="CB108">
        <v>4.3496702325082043E-2</v>
      </c>
      <c r="CE108">
        <v>0.43867496702406639</v>
      </c>
      <c r="CH108">
        <v>0.51354726195435674</v>
      </c>
    </row>
    <row r="109" spans="1:86" x14ac:dyDescent="0.3">
      <c r="A109" s="1">
        <v>546</v>
      </c>
      <c r="B109" t="s">
        <v>977</v>
      </c>
      <c r="C109" t="s">
        <v>978</v>
      </c>
      <c r="E109" t="s">
        <v>372</v>
      </c>
      <c r="F109">
        <v>3.5</v>
      </c>
      <c r="G109" t="s">
        <v>951</v>
      </c>
      <c r="H109">
        <v>-1</v>
      </c>
      <c r="I109">
        <v>-1</v>
      </c>
      <c r="J109">
        <v>4</v>
      </c>
      <c r="K109">
        <v>3.74</v>
      </c>
      <c r="L109">
        <v>3.74</v>
      </c>
      <c r="M109">
        <v>37.6</v>
      </c>
      <c r="N109" t="s">
        <v>529</v>
      </c>
      <c r="O109">
        <v>18.8</v>
      </c>
      <c r="Q109" t="s">
        <v>87</v>
      </c>
      <c r="R109">
        <v>1098</v>
      </c>
      <c r="S109">
        <v>12</v>
      </c>
      <c r="T109" t="b">
        <v>0</v>
      </c>
      <c r="U109" t="s">
        <v>125</v>
      </c>
      <c r="V109" t="s">
        <v>126</v>
      </c>
      <c r="W109">
        <v>1</v>
      </c>
      <c r="Y109">
        <v>0.5</v>
      </c>
      <c r="Z109">
        <v>1</v>
      </c>
      <c r="AC109" t="s">
        <v>90</v>
      </c>
      <c r="AD109">
        <v>125</v>
      </c>
      <c r="AE109">
        <v>220</v>
      </c>
      <c r="AF109" t="s">
        <v>91</v>
      </c>
      <c r="AG109">
        <v>288</v>
      </c>
      <c r="AH109" s="3">
        <v>440</v>
      </c>
      <c r="AI109" s="3">
        <f>AH109/(AD109*Y109*Z109)</f>
        <v>7.04</v>
      </c>
      <c r="AJ109" s="3">
        <f t="shared" si="1"/>
        <v>1.951608170169951</v>
      </c>
      <c r="AK109" t="s">
        <v>136</v>
      </c>
      <c r="AN109" t="b">
        <v>1</v>
      </c>
      <c r="AO109" t="b">
        <v>0</v>
      </c>
      <c r="AP109" t="b">
        <v>0</v>
      </c>
      <c r="AQ109" t="b">
        <v>0</v>
      </c>
      <c r="AR109" t="s">
        <v>1193</v>
      </c>
      <c r="AT109" t="s">
        <v>901</v>
      </c>
      <c r="AU109">
        <v>9.0312137060787467</v>
      </c>
      <c r="AV109">
        <v>1.857142857142857</v>
      </c>
      <c r="AW109">
        <v>2.285714285714286</v>
      </c>
      <c r="AX109">
        <v>0.42857142857142849</v>
      </c>
      <c r="AY109">
        <v>0</v>
      </c>
      <c r="AZ109">
        <v>0.40625000000000011</v>
      </c>
      <c r="BA109">
        <v>0.5</v>
      </c>
      <c r="BB109">
        <v>9.375E-2</v>
      </c>
      <c r="BC109">
        <v>0</v>
      </c>
      <c r="BD109">
        <v>6.2648152075501429</v>
      </c>
      <c r="BE109">
        <v>8</v>
      </c>
      <c r="BF109">
        <v>203.79933701026059</v>
      </c>
      <c r="BG109">
        <v>2</v>
      </c>
      <c r="BH109">
        <v>7.8508596910668346E-2</v>
      </c>
      <c r="BI109">
        <v>3.8703880000000002</v>
      </c>
      <c r="BJ109">
        <v>3.8703880000000002</v>
      </c>
      <c r="BK109">
        <v>13.604850000000001</v>
      </c>
      <c r="BL109">
        <v>0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U109">
        <v>0</v>
      </c>
      <c r="BV109">
        <v>0</v>
      </c>
      <c r="BW109">
        <v>0</v>
      </c>
      <c r="BX109">
        <v>191.66</v>
      </c>
      <c r="BY109">
        <v>8.3481164562245636E-2</v>
      </c>
      <c r="BZ109">
        <v>4</v>
      </c>
      <c r="CA109">
        <v>4.1740582281122818E-2</v>
      </c>
      <c r="CB109">
        <v>3.9254298455334173E-2</v>
      </c>
      <c r="CE109">
        <v>0.41209139981608062</v>
      </c>
      <c r="CH109">
        <v>0.43819239314487862</v>
      </c>
    </row>
    <row r="110" spans="1:86" x14ac:dyDescent="0.3">
      <c r="A110" s="1">
        <v>693</v>
      </c>
      <c r="B110" t="s">
        <v>970</v>
      </c>
      <c r="C110" t="s">
        <v>971</v>
      </c>
      <c r="E110" t="s">
        <v>372</v>
      </c>
      <c r="F110">
        <v>3.22</v>
      </c>
      <c r="G110" t="s">
        <v>373</v>
      </c>
      <c r="H110">
        <v>-1</v>
      </c>
      <c r="I110" t="s">
        <v>754</v>
      </c>
      <c r="J110">
        <v>2</v>
      </c>
      <c r="K110">
        <v>3.7</v>
      </c>
      <c r="L110">
        <v>3.7</v>
      </c>
      <c r="M110">
        <v>16</v>
      </c>
      <c r="O110">
        <v>16</v>
      </c>
      <c r="Q110" t="s">
        <v>87</v>
      </c>
      <c r="R110">
        <v>1098</v>
      </c>
      <c r="S110">
        <v>12</v>
      </c>
      <c r="T110" t="b">
        <v>0</v>
      </c>
      <c r="U110" t="s">
        <v>125</v>
      </c>
      <c r="V110" t="s">
        <v>126</v>
      </c>
      <c r="W110">
        <v>1</v>
      </c>
      <c r="X110">
        <v>64</v>
      </c>
      <c r="Y110">
        <v>0.5</v>
      </c>
      <c r="Z110">
        <v>1</v>
      </c>
      <c r="AC110" t="s">
        <v>90</v>
      </c>
      <c r="AD110">
        <v>125</v>
      </c>
      <c r="AE110">
        <v>220</v>
      </c>
      <c r="AF110" t="s">
        <v>91</v>
      </c>
      <c r="AG110">
        <v>288</v>
      </c>
      <c r="AH110" s="3">
        <v>396.4</v>
      </c>
      <c r="AI110" s="3">
        <f>AH110/(AD110*Y110*Z110)</f>
        <v>6.3423999999999996</v>
      </c>
      <c r="AJ110" s="3">
        <f t="shared" si="1"/>
        <v>1.847257245713477</v>
      </c>
      <c r="AK110" t="s">
        <v>972</v>
      </c>
      <c r="AN110" t="b">
        <v>1</v>
      </c>
      <c r="AO110" t="b">
        <v>0</v>
      </c>
      <c r="AP110" t="b">
        <v>0</v>
      </c>
      <c r="AQ110" t="b">
        <v>0</v>
      </c>
      <c r="AR110" t="s">
        <v>1194</v>
      </c>
      <c r="AT110" t="s">
        <v>754</v>
      </c>
      <c r="AU110">
        <v>5.9824238024558332</v>
      </c>
      <c r="AV110">
        <v>1.857142857142857</v>
      </c>
      <c r="AW110">
        <v>2.285714285714286</v>
      </c>
      <c r="AX110">
        <v>0.2857142857142857</v>
      </c>
      <c r="AY110">
        <v>0.5714285714285714</v>
      </c>
      <c r="AZ110">
        <v>0.37142857142857139</v>
      </c>
      <c r="BA110">
        <v>0.45714285714285707</v>
      </c>
      <c r="BB110">
        <v>5.7142857142857141E-2</v>
      </c>
      <c r="BC110">
        <v>0.1142857142857143</v>
      </c>
      <c r="BD110">
        <v>6.2282471432644284</v>
      </c>
      <c r="BE110">
        <v>8</v>
      </c>
      <c r="BF110">
        <v>203.79933701026059</v>
      </c>
      <c r="BG110">
        <v>2</v>
      </c>
      <c r="BH110">
        <v>7.8508596910668346E-2</v>
      </c>
      <c r="BI110">
        <v>3.8703880000000002</v>
      </c>
      <c r="BJ110">
        <v>3.8703880000000002</v>
      </c>
      <c r="BK110">
        <v>13.604850000000001</v>
      </c>
      <c r="BL110">
        <v>0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U110">
        <v>0</v>
      </c>
      <c r="BV110">
        <v>0</v>
      </c>
      <c r="BW110">
        <v>0</v>
      </c>
      <c r="BX110">
        <v>219.04</v>
      </c>
      <c r="BY110">
        <v>7.3046018991964931E-2</v>
      </c>
      <c r="BZ110">
        <v>4</v>
      </c>
      <c r="CA110">
        <v>3.6523009495982472E-2</v>
      </c>
      <c r="CB110">
        <v>3.9254298455334173E-2</v>
      </c>
      <c r="CE110">
        <v>0.40413338857906378</v>
      </c>
      <c r="CH110">
        <v>0.37601404609260042</v>
      </c>
    </row>
    <row r="111" spans="1:86" x14ac:dyDescent="0.3">
      <c r="A111" s="1">
        <v>745</v>
      </c>
      <c r="B111" t="s">
        <v>1233</v>
      </c>
      <c r="C111" t="s">
        <v>1234</v>
      </c>
      <c r="E111" t="s">
        <v>404</v>
      </c>
      <c r="F111">
        <v>3.2</v>
      </c>
      <c r="G111" t="s">
        <v>899</v>
      </c>
      <c r="H111" t="s">
        <v>900</v>
      </c>
      <c r="I111" t="s">
        <v>901</v>
      </c>
      <c r="J111">
        <v>2</v>
      </c>
      <c r="K111">
        <v>3.8</v>
      </c>
      <c r="L111">
        <v>3.8</v>
      </c>
      <c r="M111">
        <v>27.3</v>
      </c>
      <c r="N111" t="s">
        <v>206</v>
      </c>
      <c r="O111">
        <v>13.65</v>
      </c>
      <c r="Q111" t="s">
        <v>87</v>
      </c>
      <c r="R111">
        <v>1373</v>
      </c>
      <c r="S111">
        <v>12</v>
      </c>
      <c r="T111" t="b">
        <v>0</v>
      </c>
      <c r="U111" t="s">
        <v>125</v>
      </c>
      <c r="V111" t="s">
        <v>126</v>
      </c>
      <c r="W111">
        <v>1</v>
      </c>
      <c r="X111">
        <v>3.2</v>
      </c>
      <c r="Y111">
        <v>0.5</v>
      </c>
      <c r="Z111">
        <v>1</v>
      </c>
      <c r="AC111" t="s">
        <v>90</v>
      </c>
      <c r="AD111">
        <v>125</v>
      </c>
      <c r="AE111">
        <v>220</v>
      </c>
      <c r="AF111" t="s">
        <v>91</v>
      </c>
      <c r="AG111">
        <v>288</v>
      </c>
      <c r="AH111" s="3">
        <v>390</v>
      </c>
      <c r="AI111" s="3">
        <f>AH111/(AD111*Y111*Z111)</f>
        <v>6.24</v>
      </c>
      <c r="AJ111" s="3">
        <f t="shared" si="1"/>
        <v>1.8309801823813363</v>
      </c>
      <c r="AK111" t="s">
        <v>136</v>
      </c>
      <c r="AN111" t="b">
        <v>1</v>
      </c>
      <c r="AO111" t="b">
        <v>0</v>
      </c>
      <c r="AP111" t="b">
        <v>0</v>
      </c>
      <c r="AQ111" t="b">
        <v>0</v>
      </c>
      <c r="AR111" t="s">
        <v>1195</v>
      </c>
      <c r="AT111" t="s">
        <v>1056</v>
      </c>
      <c r="AU111">
        <v>10.77058804021951</v>
      </c>
      <c r="AV111">
        <v>1.882352941176471</v>
      </c>
      <c r="AW111">
        <v>2.3529411764705879</v>
      </c>
      <c r="AX111">
        <v>0.47058823529411759</v>
      </c>
      <c r="AY111">
        <v>0</v>
      </c>
      <c r="AZ111">
        <v>0.4</v>
      </c>
      <c r="BA111">
        <v>0.5</v>
      </c>
      <c r="BB111">
        <v>9.9999999999999992E-2</v>
      </c>
      <c r="BC111">
        <v>0</v>
      </c>
      <c r="BD111">
        <v>6.249318434394235</v>
      </c>
      <c r="BE111">
        <v>20</v>
      </c>
      <c r="BF111">
        <v>229.90248606119221</v>
      </c>
      <c r="BG111">
        <v>1</v>
      </c>
      <c r="BH111">
        <v>8.6993404650164072E-2</v>
      </c>
      <c r="BI111">
        <v>15.28115725</v>
      </c>
      <c r="BJ111">
        <v>15.28115725</v>
      </c>
      <c r="BK111">
        <v>15.28115725</v>
      </c>
      <c r="BL111">
        <v>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U111">
        <v>0</v>
      </c>
      <c r="BV111">
        <v>0</v>
      </c>
      <c r="BW111">
        <v>0</v>
      </c>
      <c r="BX111">
        <v>346.56</v>
      </c>
      <c r="BY111">
        <v>0.11542012927054481</v>
      </c>
      <c r="BZ111">
        <v>10</v>
      </c>
      <c r="CA111">
        <v>5.7710064635272389E-2</v>
      </c>
      <c r="CB111">
        <v>4.3496702325082043E-2</v>
      </c>
      <c r="CE111">
        <v>0.44572942494581569</v>
      </c>
      <c r="CH111">
        <v>0.59137986441406176</v>
      </c>
    </row>
    <row r="112" spans="1:86" x14ac:dyDescent="0.3">
      <c r="A112" s="1">
        <v>234</v>
      </c>
      <c r="B112" t="s">
        <v>604</v>
      </c>
      <c r="C112" t="s">
        <v>605</v>
      </c>
      <c r="E112" t="s">
        <v>106</v>
      </c>
      <c r="F112">
        <v>3.74</v>
      </c>
      <c r="G112" t="s">
        <v>142</v>
      </c>
      <c r="H112">
        <v>1522043</v>
      </c>
      <c r="I112">
        <v>-1</v>
      </c>
      <c r="J112">
        <v>8</v>
      </c>
      <c r="K112">
        <v>7.76</v>
      </c>
      <c r="L112">
        <v>7.76</v>
      </c>
      <c r="M112">
        <v>33.08</v>
      </c>
      <c r="O112">
        <v>16.54</v>
      </c>
      <c r="Q112" t="s">
        <v>87</v>
      </c>
      <c r="R112">
        <v>1423</v>
      </c>
      <c r="S112">
        <v>24</v>
      </c>
      <c r="T112" t="b">
        <v>0</v>
      </c>
      <c r="U112" t="s">
        <v>172</v>
      </c>
      <c r="V112" t="s">
        <v>126</v>
      </c>
      <c r="W112">
        <v>4</v>
      </c>
      <c r="X112">
        <v>11.25</v>
      </c>
      <c r="Y112">
        <v>2</v>
      </c>
      <c r="Z112">
        <v>10</v>
      </c>
      <c r="AC112" t="s">
        <v>90</v>
      </c>
      <c r="AD112">
        <v>100</v>
      </c>
      <c r="AE112">
        <v>400</v>
      </c>
      <c r="AF112" t="s">
        <v>407</v>
      </c>
      <c r="AG112">
        <v>333</v>
      </c>
      <c r="AH112" s="3">
        <v>9285.7142857142862</v>
      </c>
      <c r="AI112" s="3">
        <f>AH112/(AD112*Y112*Z112)</f>
        <v>4.6428571428571432</v>
      </c>
      <c r="AJ112" s="3">
        <f t="shared" si="1"/>
        <v>1.5353299402803786</v>
      </c>
      <c r="AK112" t="s">
        <v>972</v>
      </c>
      <c r="AN112" t="b">
        <v>1</v>
      </c>
      <c r="AO112" t="b">
        <v>0</v>
      </c>
      <c r="AP112" t="b">
        <v>0</v>
      </c>
      <c r="AQ112" t="b">
        <v>0</v>
      </c>
      <c r="AR112" t="s">
        <v>1196</v>
      </c>
      <c r="AS112">
        <v>-1</v>
      </c>
      <c r="AU112">
        <v>9.9484609181788599</v>
      </c>
      <c r="AV112">
        <v>1.882352941176471</v>
      </c>
      <c r="AW112">
        <v>2.3529411764705879</v>
      </c>
      <c r="AX112">
        <v>0.35294117647058831</v>
      </c>
      <c r="AY112">
        <v>0.47058823529411759</v>
      </c>
      <c r="AZ112">
        <v>0.37209302325581389</v>
      </c>
      <c r="BA112">
        <v>0.46511627906976749</v>
      </c>
      <c r="BB112">
        <v>6.9767441860465129E-2</v>
      </c>
      <c r="BC112">
        <v>9.3023255813953487E-2</v>
      </c>
      <c r="BD112">
        <v>6.2192035579236471</v>
      </c>
      <c r="BE112">
        <v>20</v>
      </c>
      <c r="BF112">
        <v>229.90248606119221</v>
      </c>
      <c r="BG112">
        <v>1</v>
      </c>
      <c r="BH112">
        <v>8.6993404650164072E-2</v>
      </c>
      <c r="BI112">
        <v>15.28115725</v>
      </c>
      <c r="BJ112">
        <v>15.28115725</v>
      </c>
      <c r="BK112">
        <v>15.28115725</v>
      </c>
      <c r="BL112">
        <v>0</v>
      </c>
      <c r="BM112">
        <v>0</v>
      </c>
      <c r="BO112">
        <v>0</v>
      </c>
      <c r="BR112">
        <v>0</v>
      </c>
      <c r="BS112">
        <v>0</v>
      </c>
      <c r="BU112">
        <v>0</v>
      </c>
      <c r="BV112">
        <v>0</v>
      </c>
      <c r="BW112">
        <v>0</v>
      </c>
      <c r="BX112">
        <v>281.58</v>
      </c>
      <c r="BY112">
        <v>0.1420555437175936</v>
      </c>
      <c r="BZ112">
        <v>10</v>
      </c>
      <c r="CA112">
        <v>7.1027771858796787E-2</v>
      </c>
      <c r="CB112">
        <v>4.3496702325082043E-2</v>
      </c>
      <c r="CE112">
        <v>0.43867496702406639</v>
      </c>
      <c r="CH112">
        <v>0.71633259103376934</v>
      </c>
    </row>
    <row r="113" spans="1:86" x14ac:dyDescent="0.3">
      <c r="A113" s="1">
        <v>473</v>
      </c>
      <c r="B113" t="s">
        <v>889</v>
      </c>
      <c r="C113" t="s">
        <v>890</v>
      </c>
      <c r="E113" t="s">
        <v>106</v>
      </c>
      <c r="F113">
        <v>2.8</v>
      </c>
      <c r="G113" t="s">
        <v>891</v>
      </c>
      <c r="H113" t="s">
        <v>892</v>
      </c>
      <c r="I113">
        <v>-1</v>
      </c>
      <c r="J113">
        <v>1</v>
      </c>
      <c r="K113">
        <v>3.97</v>
      </c>
      <c r="L113">
        <v>3.97</v>
      </c>
      <c r="M113">
        <v>15.56</v>
      </c>
      <c r="N113" t="s">
        <v>529</v>
      </c>
      <c r="O113">
        <v>15.56</v>
      </c>
      <c r="Q113" t="s">
        <v>87</v>
      </c>
      <c r="T113" t="b">
        <v>0</v>
      </c>
      <c r="U113" t="s">
        <v>125</v>
      </c>
      <c r="V113" t="s">
        <v>126</v>
      </c>
      <c r="W113">
        <v>1</v>
      </c>
      <c r="Y113">
        <v>0.5</v>
      </c>
      <c r="Z113">
        <v>1</v>
      </c>
      <c r="AC113" t="s">
        <v>90</v>
      </c>
      <c r="AD113">
        <v>125</v>
      </c>
      <c r="AE113">
        <v>220</v>
      </c>
      <c r="AF113" t="s">
        <v>91</v>
      </c>
      <c r="AH113" s="3">
        <v>270</v>
      </c>
      <c r="AI113" s="3">
        <f>AH113/(AD113*Y113*Z113)</f>
        <v>4.32</v>
      </c>
      <c r="AJ113" s="3">
        <f t="shared" si="1"/>
        <v>1.4632554022560189</v>
      </c>
      <c r="AN113" t="b">
        <v>1</v>
      </c>
      <c r="AO113" t="b">
        <v>0</v>
      </c>
      <c r="AP113" t="b">
        <v>0</v>
      </c>
      <c r="AQ113" t="b">
        <v>0</v>
      </c>
      <c r="AR113" t="s">
        <v>405</v>
      </c>
      <c r="AT113" t="s">
        <v>754</v>
      </c>
      <c r="AU113">
        <v>10.727662995502479</v>
      </c>
      <c r="AV113">
        <v>1.882352941176471</v>
      </c>
      <c r="AW113">
        <v>2.3529411764705879</v>
      </c>
      <c r="AX113">
        <v>0.47058823529411759</v>
      </c>
      <c r="AY113">
        <v>0</v>
      </c>
      <c r="AZ113">
        <v>0.4</v>
      </c>
      <c r="BA113">
        <v>0.5</v>
      </c>
      <c r="BB113">
        <v>9.9999999999999992E-2</v>
      </c>
      <c r="BC113">
        <v>0</v>
      </c>
      <c r="BD113">
        <v>5.6898768502941177</v>
      </c>
      <c r="BE113">
        <v>20</v>
      </c>
      <c r="BF113">
        <v>229.90248606119221</v>
      </c>
      <c r="BG113">
        <v>1</v>
      </c>
      <c r="BH113">
        <v>8.6993404650164072E-2</v>
      </c>
      <c r="BI113">
        <v>15.28115725</v>
      </c>
      <c r="BJ113">
        <v>15.28115725</v>
      </c>
      <c r="BK113">
        <v>15.28115725</v>
      </c>
      <c r="BL113">
        <v>0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U113">
        <v>0</v>
      </c>
      <c r="BV113">
        <v>0</v>
      </c>
      <c r="BW113">
        <v>0</v>
      </c>
      <c r="BZ113">
        <v>10</v>
      </c>
      <c r="CB113">
        <v>4.3496702325082043E-2</v>
      </c>
      <c r="CE113">
        <v>0.57369840599679478</v>
      </c>
    </row>
    <row r="114" spans="1:86" x14ac:dyDescent="0.3">
      <c r="A114" s="1">
        <v>748</v>
      </c>
      <c r="B114" t="s">
        <v>1248</v>
      </c>
      <c r="C114" t="s">
        <v>1249</v>
      </c>
      <c r="E114" t="s">
        <v>404</v>
      </c>
      <c r="F114">
        <v>2.5499999999999998</v>
      </c>
      <c r="G114" t="s">
        <v>899</v>
      </c>
      <c r="H114" t="s">
        <v>900</v>
      </c>
      <c r="I114" t="s">
        <v>901</v>
      </c>
      <c r="J114">
        <v>2</v>
      </c>
      <c r="K114">
        <v>3.8</v>
      </c>
      <c r="L114">
        <v>3.8</v>
      </c>
      <c r="M114">
        <v>27.3</v>
      </c>
      <c r="N114" t="s">
        <v>206</v>
      </c>
      <c r="O114">
        <v>13.65</v>
      </c>
      <c r="Q114" t="s">
        <v>87</v>
      </c>
      <c r="R114">
        <v>1373</v>
      </c>
      <c r="S114">
        <v>12</v>
      </c>
      <c r="T114" t="b">
        <v>0</v>
      </c>
      <c r="U114" t="s">
        <v>125</v>
      </c>
      <c r="V114" t="s">
        <v>126</v>
      </c>
      <c r="W114">
        <v>1</v>
      </c>
      <c r="X114">
        <v>3.2</v>
      </c>
      <c r="Y114">
        <v>0.5</v>
      </c>
      <c r="Z114">
        <v>1</v>
      </c>
      <c r="AC114" t="s">
        <v>90</v>
      </c>
      <c r="AD114">
        <v>125</v>
      </c>
      <c r="AE114">
        <v>220</v>
      </c>
      <c r="AF114" t="s">
        <v>91</v>
      </c>
      <c r="AG114">
        <v>288</v>
      </c>
      <c r="AH114" s="3">
        <v>262</v>
      </c>
      <c r="AI114" s="3">
        <f>AH114/(AD114*Y114*Z114)</f>
        <v>4.1920000000000002</v>
      </c>
      <c r="AJ114" s="3">
        <f t="shared" si="1"/>
        <v>1.4331779470187411</v>
      </c>
      <c r="AN114" t="b">
        <v>1</v>
      </c>
      <c r="AO114" t="b">
        <v>0</v>
      </c>
      <c r="AP114" t="b">
        <v>0</v>
      </c>
      <c r="AQ114" t="b">
        <v>0</v>
      </c>
      <c r="AR114" t="s">
        <v>405</v>
      </c>
      <c r="AT114" t="s">
        <v>754</v>
      </c>
      <c r="AU114">
        <v>9.1982677907419141</v>
      </c>
      <c r="AV114">
        <v>1.882352941176471</v>
      </c>
      <c r="AW114">
        <v>2.3529411764705879</v>
      </c>
      <c r="AX114">
        <v>0.47058823529411759</v>
      </c>
      <c r="AY114">
        <v>0</v>
      </c>
      <c r="AZ114">
        <v>0.4</v>
      </c>
      <c r="BA114">
        <v>0.5</v>
      </c>
      <c r="BB114">
        <v>9.9999999999999992E-2</v>
      </c>
      <c r="BC114">
        <v>0</v>
      </c>
      <c r="BD114">
        <v>5.6898768502941177</v>
      </c>
      <c r="BE114">
        <v>20</v>
      </c>
      <c r="BF114">
        <v>229.90248606119221</v>
      </c>
      <c r="BG114">
        <v>1</v>
      </c>
      <c r="BH114">
        <v>8.6993404650164072E-2</v>
      </c>
      <c r="BI114">
        <v>15.28115725</v>
      </c>
      <c r="BJ114">
        <v>15.28115725</v>
      </c>
      <c r="BK114">
        <v>15.28115725</v>
      </c>
      <c r="BL114">
        <v>0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U114">
        <v>0</v>
      </c>
      <c r="BV114">
        <v>0</v>
      </c>
      <c r="BW114">
        <v>0</v>
      </c>
      <c r="BZ114">
        <v>10</v>
      </c>
      <c r="CB114">
        <v>4.3496702325082043E-2</v>
      </c>
      <c r="CE114">
        <v>0.57369840599679478</v>
      </c>
    </row>
    <row r="115" spans="1:86" x14ac:dyDescent="0.3">
      <c r="A115" s="1">
        <v>689</v>
      </c>
      <c r="B115" t="s">
        <v>970</v>
      </c>
      <c r="C115" t="s">
        <v>971</v>
      </c>
      <c r="E115" t="s">
        <v>372</v>
      </c>
      <c r="F115">
        <v>3.48</v>
      </c>
      <c r="G115" t="s">
        <v>373</v>
      </c>
      <c r="H115">
        <v>-1</v>
      </c>
      <c r="I115" t="s">
        <v>754</v>
      </c>
      <c r="J115">
        <v>2</v>
      </c>
      <c r="K115">
        <v>3.7</v>
      </c>
      <c r="L115">
        <v>3.7</v>
      </c>
      <c r="M115">
        <v>12.1</v>
      </c>
      <c r="O115">
        <v>12.1</v>
      </c>
      <c r="Q115" t="s">
        <v>87</v>
      </c>
      <c r="R115">
        <v>1098</v>
      </c>
      <c r="S115">
        <v>12</v>
      </c>
      <c r="T115" t="b">
        <v>0</v>
      </c>
      <c r="U115" t="s">
        <v>125</v>
      </c>
      <c r="V115" t="s">
        <v>126</v>
      </c>
      <c r="W115">
        <v>1</v>
      </c>
      <c r="X115">
        <v>8.6</v>
      </c>
      <c r="Y115">
        <v>0.5</v>
      </c>
      <c r="Z115">
        <v>1</v>
      </c>
      <c r="AC115" t="s">
        <v>90</v>
      </c>
      <c r="AD115">
        <v>125</v>
      </c>
      <c r="AE115">
        <v>220</v>
      </c>
      <c r="AF115" t="s">
        <v>91</v>
      </c>
      <c r="AG115">
        <v>288</v>
      </c>
      <c r="AH115" s="3">
        <v>249.2</v>
      </c>
      <c r="AI115" s="3">
        <f>AH115/(AD115*Y115*Z115)</f>
        <v>3.9871999999999996</v>
      </c>
      <c r="AJ115" s="3">
        <f t="shared" si="1"/>
        <v>1.3830892301709421</v>
      </c>
      <c r="AK115" t="s">
        <v>136</v>
      </c>
      <c r="AN115" t="b">
        <v>1</v>
      </c>
      <c r="AO115" t="b">
        <v>0</v>
      </c>
      <c r="AP115" t="b">
        <v>0</v>
      </c>
      <c r="AQ115" t="b">
        <v>0</v>
      </c>
      <c r="AR115" t="s">
        <v>1208</v>
      </c>
      <c r="AT115" t="s">
        <v>1056</v>
      </c>
      <c r="AU115">
        <v>8.6995147482101913</v>
      </c>
      <c r="AV115">
        <v>1.882352941176471</v>
      </c>
      <c r="AW115">
        <v>2.3529411764705879</v>
      </c>
      <c r="AX115">
        <v>0.47058823529411759</v>
      </c>
      <c r="AY115">
        <v>0</v>
      </c>
      <c r="AZ115">
        <v>0.4</v>
      </c>
      <c r="BA115">
        <v>0.5</v>
      </c>
      <c r="BB115">
        <v>9.9999999999999992E-2</v>
      </c>
      <c r="BC115">
        <v>0</v>
      </c>
      <c r="BD115">
        <v>6.249318434394235</v>
      </c>
      <c r="BE115">
        <v>20</v>
      </c>
      <c r="BF115">
        <v>229.90248606119221</v>
      </c>
      <c r="BG115">
        <v>1</v>
      </c>
      <c r="BH115">
        <v>8.6993404650164072E-2</v>
      </c>
      <c r="BI115">
        <v>15.28115725</v>
      </c>
      <c r="BJ115">
        <v>15.28115725</v>
      </c>
      <c r="BK115">
        <v>15.28115725</v>
      </c>
      <c r="BL115">
        <v>0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U115">
        <v>0</v>
      </c>
      <c r="BV115">
        <v>0</v>
      </c>
      <c r="BW115">
        <v>0</v>
      </c>
      <c r="BX115">
        <v>397.886301</v>
      </c>
      <c r="BY115">
        <v>0.10053123191089711</v>
      </c>
      <c r="BZ115">
        <v>10</v>
      </c>
      <c r="CA115">
        <v>5.0265615955448539E-2</v>
      </c>
      <c r="CB115">
        <v>4.3496702325082043E-2</v>
      </c>
      <c r="CE115">
        <v>0.44572942494581569</v>
      </c>
      <c r="CH115">
        <v>0.51509339551586431</v>
      </c>
    </row>
    <row r="116" spans="1:86" x14ac:dyDescent="0.3">
      <c r="A116" s="1">
        <v>544</v>
      </c>
      <c r="B116" t="s">
        <v>970</v>
      </c>
      <c r="C116" t="s">
        <v>971</v>
      </c>
      <c r="E116" t="s">
        <v>372</v>
      </c>
      <c r="F116">
        <v>3.48</v>
      </c>
      <c r="G116" t="s">
        <v>373</v>
      </c>
      <c r="H116">
        <v>-1</v>
      </c>
      <c r="I116" t="s">
        <v>754</v>
      </c>
      <c r="J116">
        <v>2</v>
      </c>
      <c r="K116">
        <v>3.68</v>
      </c>
      <c r="L116">
        <v>3.68</v>
      </c>
      <c r="M116">
        <v>12.1</v>
      </c>
      <c r="N116" t="s">
        <v>529</v>
      </c>
      <c r="O116">
        <v>12.1</v>
      </c>
      <c r="Q116" t="s">
        <v>87</v>
      </c>
      <c r="R116">
        <v>1098</v>
      </c>
      <c r="S116">
        <v>12</v>
      </c>
      <c r="T116" t="b">
        <v>0</v>
      </c>
      <c r="U116" t="s">
        <v>125</v>
      </c>
      <c r="V116" t="s">
        <v>126</v>
      </c>
      <c r="W116">
        <v>1</v>
      </c>
      <c r="X116">
        <v>8.5</v>
      </c>
      <c r="Y116">
        <v>0.5</v>
      </c>
      <c r="Z116">
        <v>1</v>
      </c>
      <c r="AC116" t="s">
        <v>90</v>
      </c>
      <c r="AD116">
        <v>125</v>
      </c>
      <c r="AE116">
        <v>220</v>
      </c>
      <c r="AF116" t="s">
        <v>91</v>
      </c>
      <c r="AG116">
        <v>288</v>
      </c>
      <c r="AH116" s="3">
        <v>248</v>
      </c>
      <c r="AI116" s="3">
        <f>AH116/(AD116*Y116*Z116)</f>
        <v>3.968</v>
      </c>
      <c r="AJ116" s="3">
        <f t="shared" si="1"/>
        <v>1.3782621894226263</v>
      </c>
      <c r="AK116" t="s">
        <v>136</v>
      </c>
      <c r="AN116" t="b">
        <v>1</v>
      </c>
      <c r="AO116" t="b">
        <v>0</v>
      </c>
      <c r="AP116" t="b">
        <v>0</v>
      </c>
      <c r="AQ116" t="b">
        <v>0</v>
      </c>
      <c r="AR116" t="s">
        <v>1209</v>
      </c>
      <c r="AU116">
        <v>11.09741002100856</v>
      </c>
      <c r="AV116">
        <v>1.510204081632653</v>
      </c>
      <c r="AW116">
        <v>1.2653061224489801</v>
      </c>
      <c r="AX116">
        <v>0.16326530612244899</v>
      </c>
      <c r="AY116">
        <v>0</v>
      </c>
      <c r="AZ116">
        <v>0.51388888888888884</v>
      </c>
      <c r="BA116">
        <v>0.43055555555555558</v>
      </c>
      <c r="BB116">
        <v>5.5555555555555552E-2</v>
      </c>
      <c r="BC116">
        <v>0</v>
      </c>
      <c r="BD116">
        <v>6.7075737452127342</v>
      </c>
      <c r="BE116">
        <v>20</v>
      </c>
      <c r="BF116">
        <v>733.37308460000008</v>
      </c>
      <c r="BG116">
        <v>2</v>
      </c>
      <c r="BH116">
        <v>5.4542497999932729E-2</v>
      </c>
      <c r="BI116">
        <v>3.8530000000000002</v>
      </c>
      <c r="BJ116">
        <v>3.8530000000000002</v>
      </c>
      <c r="BK116">
        <v>49.4</v>
      </c>
      <c r="BL116">
        <v>0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U116">
        <v>0</v>
      </c>
      <c r="BV116">
        <v>0</v>
      </c>
      <c r="BW116">
        <v>0</v>
      </c>
      <c r="BX116">
        <v>365.68554399999999</v>
      </c>
      <c r="BY116">
        <v>5.4691798262607831E-2</v>
      </c>
      <c r="BZ116">
        <v>10</v>
      </c>
      <c r="CA116">
        <v>2.7345899131303919E-2</v>
      </c>
      <c r="CB116">
        <v>2.7271248999966361E-2</v>
      </c>
      <c r="CE116">
        <v>0.33447637567260352</v>
      </c>
      <c r="CH116">
        <v>0.33539194449650661</v>
      </c>
    </row>
    <row r="117" spans="1:86" x14ac:dyDescent="0.3">
      <c r="A117" s="1">
        <v>334</v>
      </c>
      <c r="B117" t="s">
        <v>94</v>
      </c>
      <c r="C117" t="s">
        <v>138</v>
      </c>
      <c r="E117" t="s">
        <v>94</v>
      </c>
      <c r="F117">
        <v>3.1</v>
      </c>
      <c r="G117" t="s">
        <v>139</v>
      </c>
      <c r="H117">
        <v>-1</v>
      </c>
      <c r="I117">
        <v>-1</v>
      </c>
      <c r="J117">
        <v>1</v>
      </c>
      <c r="K117">
        <v>3.8860000000000001</v>
      </c>
      <c r="L117">
        <v>3.8860000000000001</v>
      </c>
      <c r="M117">
        <v>10.548299999999999</v>
      </c>
      <c r="N117" t="s">
        <v>757</v>
      </c>
      <c r="O117">
        <v>10.548299999999999</v>
      </c>
      <c r="Q117" t="s">
        <v>87</v>
      </c>
      <c r="R117">
        <v>1423</v>
      </c>
      <c r="S117">
        <v>24</v>
      </c>
      <c r="T117" t="b">
        <v>0</v>
      </c>
      <c r="U117" t="s">
        <v>88</v>
      </c>
      <c r="V117" t="s">
        <v>126</v>
      </c>
      <c r="W117">
        <v>1.34</v>
      </c>
      <c r="X117">
        <v>4.18</v>
      </c>
      <c r="Y117">
        <v>2</v>
      </c>
      <c r="Z117">
        <v>10</v>
      </c>
      <c r="AC117" t="s">
        <v>90</v>
      </c>
      <c r="AD117">
        <v>100</v>
      </c>
      <c r="AE117">
        <v>290</v>
      </c>
      <c r="AF117" t="s">
        <v>407</v>
      </c>
      <c r="AG117">
        <v>333</v>
      </c>
      <c r="AH117" s="3">
        <v>7723.2142857142862</v>
      </c>
      <c r="AI117" s="3">
        <f>AH117/(AD117*Y117*Z117)</f>
        <v>3.8616071428571432</v>
      </c>
      <c r="AJ117" s="3">
        <f t="shared" si="1"/>
        <v>1.3510834550768396</v>
      </c>
      <c r="AK117" t="s">
        <v>136</v>
      </c>
      <c r="AN117" t="b">
        <v>1</v>
      </c>
      <c r="AO117" t="b">
        <v>0</v>
      </c>
      <c r="AP117" t="b">
        <v>0</v>
      </c>
      <c r="AQ117" t="b">
        <v>0</v>
      </c>
      <c r="AR117" t="s">
        <v>1210</v>
      </c>
      <c r="AU117">
        <v>9.1049798563183568</v>
      </c>
      <c r="AV117">
        <v>1.510204081632653</v>
      </c>
      <c r="AW117">
        <v>1.2653061224489801</v>
      </c>
      <c r="AX117">
        <v>0.16326530612244899</v>
      </c>
      <c r="AY117">
        <v>0</v>
      </c>
      <c r="AZ117">
        <v>0.51388888888888884</v>
      </c>
      <c r="BA117">
        <v>0.43055555555555558</v>
      </c>
      <c r="BB117">
        <v>5.5555555555555552E-2</v>
      </c>
      <c r="BC117">
        <v>0</v>
      </c>
      <c r="BD117">
        <v>6.7075737452127342</v>
      </c>
      <c r="BE117">
        <v>20</v>
      </c>
      <c r="BF117">
        <v>733.37308460000008</v>
      </c>
      <c r="BG117">
        <v>2</v>
      </c>
      <c r="BH117">
        <v>5.4542497999932729E-2</v>
      </c>
      <c r="BI117">
        <v>3.8530000000000002</v>
      </c>
      <c r="BJ117">
        <v>3.8530000000000002</v>
      </c>
      <c r="BK117">
        <v>49.4</v>
      </c>
      <c r="BL117">
        <v>0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U117">
        <v>0</v>
      </c>
      <c r="BV117">
        <v>0</v>
      </c>
      <c r="BW117">
        <v>0</v>
      </c>
      <c r="BX117">
        <v>365.68554399999999</v>
      </c>
      <c r="BY117">
        <v>5.4691798262607831E-2</v>
      </c>
      <c r="BZ117">
        <v>10</v>
      </c>
      <c r="CA117">
        <v>2.7345899131303919E-2</v>
      </c>
      <c r="CB117">
        <v>2.7271248999966361E-2</v>
      </c>
      <c r="CE117">
        <v>0.33447637567260352</v>
      </c>
      <c r="CH117">
        <v>0.33539194449650661</v>
      </c>
    </row>
    <row r="118" spans="1:86" x14ac:dyDescent="0.3">
      <c r="A118" s="1">
        <v>233</v>
      </c>
      <c r="B118" t="s">
        <v>151</v>
      </c>
      <c r="C118" t="s">
        <v>152</v>
      </c>
      <c r="E118" t="s">
        <v>106</v>
      </c>
      <c r="F118">
        <v>3.35</v>
      </c>
      <c r="G118" t="s">
        <v>142</v>
      </c>
      <c r="H118">
        <v>1522043</v>
      </c>
      <c r="I118">
        <v>-1</v>
      </c>
      <c r="J118">
        <v>8</v>
      </c>
      <c r="K118">
        <v>7.76</v>
      </c>
      <c r="L118">
        <v>7.76</v>
      </c>
      <c r="M118">
        <v>33</v>
      </c>
      <c r="O118">
        <v>16.5</v>
      </c>
      <c r="Q118" t="s">
        <v>87</v>
      </c>
      <c r="R118">
        <v>1423</v>
      </c>
      <c r="S118">
        <v>24</v>
      </c>
      <c r="T118" t="b">
        <v>0</v>
      </c>
      <c r="U118" t="s">
        <v>172</v>
      </c>
      <c r="V118" t="s">
        <v>126</v>
      </c>
      <c r="W118">
        <v>4</v>
      </c>
      <c r="X118">
        <v>11.84</v>
      </c>
      <c r="Y118">
        <v>2</v>
      </c>
      <c r="Z118">
        <v>10</v>
      </c>
      <c r="AC118" t="s">
        <v>90</v>
      </c>
      <c r="AD118">
        <v>100</v>
      </c>
      <c r="AE118">
        <v>400</v>
      </c>
      <c r="AF118" t="s">
        <v>407</v>
      </c>
      <c r="AG118">
        <v>333</v>
      </c>
      <c r="AH118" s="3">
        <v>6785.7142857142862</v>
      </c>
      <c r="AI118" s="3">
        <f>AH118/(AD118*Y118*Z118)</f>
        <v>3.3928571428571432</v>
      </c>
      <c r="AJ118" s="3">
        <f t="shared" si="1"/>
        <v>1.221672381425337</v>
      </c>
      <c r="AK118" t="s">
        <v>136</v>
      </c>
      <c r="AN118" t="b">
        <v>1</v>
      </c>
      <c r="AO118" t="b">
        <v>0</v>
      </c>
      <c r="AP118" t="b">
        <v>0</v>
      </c>
      <c r="AQ118" t="b">
        <v>0</v>
      </c>
      <c r="AR118" t="s">
        <v>1211</v>
      </c>
      <c r="AU118">
        <v>10.5320962119585</v>
      </c>
      <c r="AV118">
        <v>1.510204081632653</v>
      </c>
      <c r="AW118">
        <v>1.2653061224489801</v>
      </c>
      <c r="AX118">
        <v>0.16326530612244899</v>
      </c>
      <c r="AY118">
        <v>0</v>
      </c>
      <c r="AZ118">
        <v>0.51388888888888884</v>
      </c>
      <c r="BA118">
        <v>0.43055555555555558</v>
      </c>
      <c r="BB118">
        <v>5.5555555555555552E-2</v>
      </c>
      <c r="BC118">
        <v>0</v>
      </c>
      <c r="BD118">
        <v>6.7075737452127342</v>
      </c>
      <c r="BE118">
        <v>20</v>
      </c>
      <c r="BF118">
        <v>733.37308460000008</v>
      </c>
      <c r="BG118">
        <v>2</v>
      </c>
      <c r="BH118">
        <v>5.4542497999932729E-2</v>
      </c>
      <c r="BI118">
        <v>3.8530000000000002</v>
      </c>
      <c r="BJ118">
        <v>3.8530000000000002</v>
      </c>
      <c r="BK118">
        <v>49.4</v>
      </c>
      <c r="BL118">
        <v>0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U118">
        <v>0</v>
      </c>
      <c r="BV118">
        <v>0</v>
      </c>
      <c r="BW118">
        <v>0</v>
      </c>
      <c r="BX118">
        <v>365.68554399999999</v>
      </c>
      <c r="BY118">
        <v>5.4691798262607831E-2</v>
      </c>
      <c r="BZ118">
        <v>10</v>
      </c>
      <c r="CA118">
        <v>2.7345899131303919E-2</v>
      </c>
      <c r="CB118">
        <v>2.7271248999966361E-2</v>
      </c>
      <c r="CE118">
        <v>0.33447637567260352</v>
      </c>
      <c r="CH118">
        <v>0.33539194449650661</v>
      </c>
    </row>
    <row r="119" spans="1:86" x14ac:dyDescent="0.3">
      <c r="A119" s="1">
        <v>385</v>
      </c>
      <c r="B119" t="s">
        <v>94</v>
      </c>
      <c r="C119" t="s">
        <v>138</v>
      </c>
      <c r="E119" t="s">
        <v>94</v>
      </c>
      <c r="F119">
        <v>3.1</v>
      </c>
      <c r="G119" t="s">
        <v>139</v>
      </c>
      <c r="H119">
        <v>-1</v>
      </c>
      <c r="I119">
        <v>-1</v>
      </c>
      <c r="J119">
        <v>1</v>
      </c>
      <c r="K119">
        <v>3.8849999999999998</v>
      </c>
      <c r="L119">
        <v>3.8849999999999998</v>
      </c>
      <c r="M119">
        <v>10.989000000000001</v>
      </c>
      <c r="O119">
        <v>10.989000000000001</v>
      </c>
      <c r="Q119" t="s">
        <v>87</v>
      </c>
      <c r="R119">
        <v>1423</v>
      </c>
      <c r="S119">
        <v>24</v>
      </c>
      <c r="T119" t="b">
        <v>0</v>
      </c>
      <c r="U119" t="s">
        <v>125</v>
      </c>
      <c r="V119" t="s">
        <v>126</v>
      </c>
      <c r="W119">
        <v>0.74</v>
      </c>
      <c r="X119">
        <v>7.67</v>
      </c>
      <c r="Y119">
        <v>2</v>
      </c>
      <c r="Z119">
        <v>10</v>
      </c>
      <c r="AC119" t="s">
        <v>90</v>
      </c>
      <c r="AD119">
        <v>100</v>
      </c>
      <c r="AE119">
        <v>290</v>
      </c>
      <c r="AF119" t="s">
        <v>91</v>
      </c>
      <c r="AG119">
        <v>333</v>
      </c>
      <c r="AH119" s="3">
        <v>5133.9285714285716</v>
      </c>
      <c r="AI119" s="3">
        <f>AH119/(AD119*Y119*Z119)</f>
        <v>2.5669642857142856</v>
      </c>
      <c r="AJ119" s="3">
        <f t="shared" si="1"/>
        <v>0.94272398894231058</v>
      </c>
      <c r="AK119" t="s">
        <v>136</v>
      </c>
      <c r="AN119" t="b">
        <v>1</v>
      </c>
      <c r="AO119" t="b">
        <v>0</v>
      </c>
      <c r="AP119" t="b">
        <v>0</v>
      </c>
      <c r="AQ119" t="b">
        <v>0</v>
      </c>
      <c r="AR119" t="s">
        <v>1212</v>
      </c>
      <c r="AU119">
        <v>11.05089000537367</v>
      </c>
      <c r="AV119">
        <v>1.510204081632653</v>
      </c>
      <c r="AW119">
        <v>1.2653061224489801</v>
      </c>
      <c r="AX119">
        <v>0.16326530612244899</v>
      </c>
      <c r="AY119">
        <v>0</v>
      </c>
      <c r="AZ119">
        <v>0.51388888888888884</v>
      </c>
      <c r="BA119">
        <v>0.43055555555555558</v>
      </c>
      <c r="BB119">
        <v>5.5555555555555552E-2</v>
      </c>
      <c r="BC119">
        <v>0</v>
      </c>
      <c r="BD119">
        <v>6.7075737452127342</v>
      </c>
      <c r="BE119">
        <v>20</v>
      </c>
      <c r="BF119">
        <v>733.37308460000008</v>
      </c>
      <c r="BG119">
        <v>2</v>
      </c>
      <c r="BH119">
        <v>5.4542497999932729E-2</v>
      </c>
      <c r="BI119">
        <v>3.8530000000000002</v>
      </c>
      <c r="BJ119">
        <v>3.8530000000000002</v>
      </c>
      <c r="BK119">
        <v>49.4</v>
      </c>
      <c r="BL119">
        <v>0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U119">
        <v>0</v>
      </c>
      <c r="BV119">
        <v>0</v>
      </c>
      <c r="BW119">
        <v>0</v>
      </c>
      <c r="BX119">
        <v>365.68554399999999</v>
      </c>
      <c r="BY119">
        <v>5.4691798262607831E-2</v>
      </c>
      <c r="BZ119">
        <v>10</v>
      </c>
      <c r="CA119">
        <v>2.7345899131303919E-2</v>
      </c>
      <c r="CB119">
        <v>2.7271248999966361E-2</v>
      </c>
      <c r="CE119">
        <v>0.33447637567260352</v>
      </c>
      <c r="CH119">
        <v>0.33539194449650661</v>
      </c>
    </row>
    <row r="120" spans="1:86" x14ac:dyDescent="0.3">
      <c r="A120" s="1">
        <v>33</v>
      </c>
      <c r="B120" t="s">
        <v>151</v>
      </c>
      <c r="C120" t="s">
        <v>152</v>
      </c>
      <c r="E120" t="s">
        <v>106</v>
      </c>
      <c r="F120">
        <v>3.16</v>
      </c>
      <c r="G120" t="s">
        <v>142</v>
      </c>
      <c r="H120">
        <v>1522043</v>
      </c>
      <c r="I120">
        <v>-1</v>
      </c>
      <c r="J120">
        <v>4</v>
      </c>
      <c r="K120">
        <v>7.8310000000000004</v>
      </c>
      <c r="L120">
        <v>7.8010000000000002</v>
      </c>
      <c r="M120">
        <v>15.05</v>
      </c>
      <c r="N120" t="s">
        <v>122</v>
      </c>
      <c r="O120">
        <v>15.05</v>
      </c>
      <c r="P120">
        <v>3</v>
      </c>
      <c r="Q120" t="s">
        <v>87</v>
      </c>
      <c r="R120">
        <v>1473</v>
      </c>
      <c r="S120">
        <v>48</v>
      </c>
      <c r="T120" t="b">
        <v>0</v>
      </c>
      <c r="U120" t="s">
        <v>125</v>
      </c>
      <c r="V120" t="s">
        <v>126</v>
      </c>
      <c r="W120">
        <v>0.1</v>
      </c>
      <c r="Y120">
        <v>2.85</v>
      </c>
      <c r="Z120">
        <v>14.3</v>
      </c>
      <c r="AC120" t="s">
        <v>90</v>
      </c>
      <c r="AD120">
        <v>450</v>
      </c>
      <c r="AF120" t="s">
        <v>91</v>
      </c>
      <c r="AH120" s="3">
        <v>43000</v>
      </c>
      <c r="AI120" s="3">
        <f>AH120/(AD120*Y120*Z120)</f>
        <v>2.3446339235812919</v>
      </c>
      <c r="AJ120" s="3">
        <f t="shared" si="1"/>
        <v>0.8521292803649132</v>
      </c>
      <c r="AK120" t="s">
        <v>136</v>
      </c>
      <c r="AN120" t="b">
        <v>1</v>
      </c>
      <c r="AO120" t="b">
        <v>0</v>
      </c>
      <c r="AP120" t="b">
        <v>0</v>
      </c>
      <c r="AQ120" t="b">
        <v>0</v>
      </c>
      <c r="AR120" t="s">
        <v>1213</v>
      </c>
      <c r="AU120">
        <v>11.44035477213539</v>
      </c>
      <c r="AV120">
        <v>1.510204081632653</v>
      </c>
      <c r="AW120">
        <v>1.2653061224489801</v>
      </c>
      <c r="AX120">
        <v>0.16326530612244899</v>
      </c>
      <c r="AY120">
        <v>0</v>
      </c>
      <c r="AZ120">
        <v>0.51388888888888884</v>
      </c>
      <c r="BA120">
        <v>0.43055555555555558</v>
      </c>
      <c r="BB120">
        <v>5.5555555555555552E-2</v>
      </c>
      <c r="BC120">
        <v>0</v>
      </c>
      <c r="BD120">
        <v>6.7075737452127342</v>
      </c>
      <c r="BE120">
        <v>20</v>
      </c>
      <c r="BF120">
        <v>733.37308460000008</v>
      </c>
      <c r="BG120">
        <v>2</v>
      </c>
      <c r="BH120">
        <v>5.4542497999932729E-2</v>
      </c>
      <c r="BI120">
        <v>3.8530000000000002</v>
      </c>
      <c r="BJ120">
        <v>3.8530000000000002</v>
      </c>
      <c r="BK120">
        <v>49.4</v>
      </c>
      <c r="BL120">
        <v>0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U120">
        <v>0</v>
      </c>
      <c r="BV120">
        <v>0</v>
      </c>
      <c r="BW120">
        <v>0</v>
      </c>
      <c r="BX120">
        <v>365.68554399999999</v>
      </c>
      <c r="BY120">
        <v>5.4691798262607831E-2</v>
      </c>
      <c r="BZ120">
        <v>10</v>
      </c>
      <c r="CA120">
        <v>2.7345899131303919E-2</v>
      </c>
      <c r="CB120">
        <v>2.7271248999966361E-2</v>
      </c>
      <c r="CE120">
        <v>0.33447637567260352</v>
      </c>
      <c r="CH120">
        <v>0.33539194449650661</v>
      </c>
    </row>
    <row r="121" spans="1:86" x14ac:dyDescent="0.3">
      <c r="A121" s="1">
        <v>672</v>
      </c>
      <c r="B121" t="s">
        <v>249</v>
      </c>
      <c r="C121" t="s">
        <v>250</v>
      </c>
      <c r="E121" t="s">
        <v>130</v>
      </c>
      <c r="F121">
        <v>3</v>
      </c>
      <c r="G121">
        <v>-1</v>
      </c>
      <c r="H121">
        <v>-1</v>
      </c>
      <c r="I121" t="s">
        <v>251</v>
      </c>
      <c r="Q121" t="s">
        <v>248</v>
      </c>
      <c r="T121" t="b">
        <v>0</v>
      </c>
      <c r="U121" t="s">
        <v>125</v>
      </c>
      <c r="V121" t="s">
        <v>126</v>
      </c>
      <c r="W121">
        <v>1</v>
      </c>
      <c r="Y121">
        <v>0.5</v>
      </c>
      <c r="Z121">
        <v>1</v>
      </c>
      <c r="AC121" t="s">
        <v>90</v>
      </c>
      <c r="AD121">
        <v>125</v>
      </c>
      <c r="AE121">
        <v>220</v>
      </c>
      <c r="AF121" t="s">
        <v>91</v>
      </c>
      <c r="AG121">
        <v>288</v>
      </c>
      <c r="AH121" s="3">
        <v>133.13466778756961</v>
      </c>
      <c r="AI121" s="3">
        <f>AH121/(AD121*Y121*Z121)</f>
        <v>2.1301546846011137</v>
      </c>
      <c r="AJ121" s="3">
        <f t="shared" si="1"/>
        <v>0.75619459896294994</v>
      </c>
      <c r="AK121" t="s">
        <v>136</v>
      </c>
      <c r="AN121" t="b">
        <v>1</v>
      </c>
      <c r="AO121" t="b">
        <v>0</v>
      </c>
      <c r="AP121" t="b">
        <v>0</v>
      </c>
      <c r="AQ121" t="b">
        <v>0</v>
      </c>
      <c r="AR121" t="s">
        <v>1214</v>
      </c>
      <c r="AU121">
        <v>11.66992921377989</v>
      </c>
      <c r="AV121">
        <v>1.510204081632653</v>
      </c>
      <c r="AW121">
        <v>1.2653061224489801</v>
      </c>
      <c r="AX121">
        <v>0.16326530612244899</v>
      </c>
      <c r="AY121">
        <v>0</v>
      </c>
      <c r="AZ121">
        <v>0.51388888888888884</v>
      </c>
      <c r="BA121">
        <v>0.43055555555555558</v>
      </c>
      <c r="BB121">
        <v>5.5555555555555552E-2</v>
      </c>
      <c r="BC121">
        <v>0</v>
      </c>
      <c r="BD121">
        <v>6.7075737452127342</v>
      </c>
      <c r="BE121">
        <v>20</v>
      </c>
      <c r="BF121">
        <v>733.37308460000008</v>
      </c>
      <c r="BG121">
        <v>2</v>
      </c>
      <c r="BH121">
        <v>5.4542497999932729E-2</v>
      </c>
      <c r="BI121">
        <v>3.8530000000000002</v>
      </c>
      <c r="BJ121">
        <v>3.8530000000000002</v>
      </c>
      <c r="BK121">
        <v>49.4</v>
      </c>
      <c r="BL121">
        <v>0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U121">
        <v>0</v>
      </c>
      <c r="BV121">
        <v>0</v>
      </c>
      <c r="BW121">
        <v>0</v>
      </c>
      <c r="BX121">
        <v>365.68554399999999</v>
      </c>
      <c r="BY121">
        <v>5.4691798262607831E-2</v>
      </c>
      <c r="BZ121">
        <v>10</v>
      </c>
      <c r="CA121">
        <v>2.7345899131303919E-2</v>
      </c>
      <c r="CB121">
        <v>2.7271248999966361E-2</v>
      </c>
      <c r="CE121">
        <v>0.33447637567260352</v>
      </c>
      <c r="CH121">
        <v>0.33539194449650661</v>
      </c>
    </row>
    <row r="122" spans="1:86" x14ac:dyDescent="0.3">
      <c r="A122" s="1">
        <v>749</v>
      </c>
      <c r="B122" t="s">
        <v>1253</v>
      </c>
      <c r="C122" t="s">
        <v>1254</v>
      </c>
      <c r="E122" t="s">
        <v>404</v>
      </c>
      <c r="F122">
        <v>2.4500000000000002</v>
      </c>
      <c r="G122" t="s">
        <v>899</v>
      </c>
      <c r="H122" t="s">
        <v>900</v>
      </c>
      <c r="I122" t="s">
        <v>901</v>
      </c>
      <c r="J122">
        <v>2</v>
      </c>
      <c r="K122">
        <v>3.8</v>
      </c>
      <c r="L122">
        <v>3.8</v>
      </c>
      <c r="M122">
        <v>27.3</v>
      </c>
      <c r="N122" t="s">
        <v>206</v>
      </c>
      <c r="O122">
        <v>13.65</v>
      </c>
      <c r="Q122" t="s">
        <v>87</v>
      </c>
      <c r="R122">
        <v>1373</v>
      </c>
      <c r="S122">
        <v>12</v>
      </c>
      <c r="T122" t="b">
        <v>0</v>
      </c>
      <c r="U122" t="s">
        <v>125</v>
      </c>
      <c r="V122" t="s">
        <v>126</v>
      </c>
      <c r="W122">
        <v>1</v>
      </c>
      <c r="X122">
        <v>3.2</v>
      </c>
      <c r="Y122">
        <v>0.5</v>
      </c>
      <c r="Z122">
        <v>1</v>
      </c>
      <c r="AC122" t="s">
        <v>90</v>
      </c>
      <c r="AD122">
        <v>125</v>
      </c>
      <c r="AE122">
        <v>220</v>
      </c>
      <c r="AF122" t="s">
        <v>91</v>
      </c>
      <c r="AG122">
        <v>288</v>
      </c>
      <c r="AH122" s="3">
        <v>91.2</v>
      </c>
      <c r="AI122" s="3">
        <f>AH122/(AD122*Y122*Z122)</f>
        <v>1.4592000000000001</v>
      </c>
      <c r="AJ122" s="3">
        <f t="shared" si="1"/>
        <v>0.37788834033792995</v>
      </c>
      <c r="AK122" t="s">
        <v>136</v>
      </c>
      <c r="AN122" t="b">
        <v>1</v>
      </c>
      <c r="AO122" t="b">
        <v>0</v>
      </c>
      <c r="AP122" t="b">
        <v>0</v>
      </c>
      <c r="AQ122" t="b">
        <v>0</v>
      </c>
      <c r="AR122" t="s">
        <v>1215</v>
      </c>
      <c r="AU122">
        <v>11.790557201568509</v>
      </c>
      <c r="AV122">
        <v>1.510204081632653</v>
      </c>
      <c r="AW122">
        <v>1.2653061224489801</v>
      </c>
      <c r="AX122">
        <v>0.16326530612244899</v>
      </c>
      <c r="AY122">
        <v>0</v>
      </c>
      <c r="AZ122">
        <v>0.51388888888888884</v>
      </c>
      <c r="BA122">
        <v>0.43055555555555558</v>
      </c>
      <c r="BB122">
        <v>5.5555555555555552E-2</v>
      </c>
      <c r="BC122">
        <v>0</v>
      </c>
      <c r="BD122">
        <v>6.7075737452127342</v>
      </c>
      <c r="BE122">
        <v>20</v>
      </c>
      <c r="BF122">
        <v>733.37308460000008</v>
      </c>
      <c r="BG122">
        <v>2</v>
      </c>
      <c r="BH122">
        <v>5.4542497999932729E-2</v>
      </c>
      <c r="BI122">
        <v>3.8530000000000002</v>
      </c>
      <c r="BJ122">
        <v>3.8530000000000002</v>
      </c>
      <c r="BK122">
        <v>49.4</v>
      </c>
      <c r="BL122">
        <v>0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U122">
        <v>0</v>
      </c>
      <c r="BV122">
        <v>0</v>
      </c>
      <c r="BW122">
        <v>0</v>
      </c>
      <c r="BX122">
        <v>365.68554399999999</v>
      </c>
      <c r="BY122">
        <v>5.4691798262607831E-2</v>
      </c>
      <c r="BZ122">
        <v>10</v>
      </c>
      <c r="CA122">
        <v>2.7345899131303919E-2</v>
      </c>
      <c r="CB122">
        <v>2.7271248999966361E-2</v>
      </c>
      <c r="CE122">
        <v>0.33447637567260352</v>
      </c>
      <c r="CH122">
        <v>0.33539194449650661</v>
      </c>
    </row>
    <row r="123" spans="1:86" x14ac:dyDescent="0.3">
      <c r="A123" s="1">
        <v>782</v>
      </c>
      <c r="B123" t="s">
        <v>1237</v>
      </c>
      <c r="C123" t="s">
        <v>1238</v>
      </c>
      <c r="E123" t="s">
        <v>404</v>
      </c>
      <c r="F123">
        <v>2.9</v>
      </c>
      <c r="G123" t="s">
        <v>899</v>
      </c>
      <c r="H123" t="s">
        <v>900</v>
      </c>
      <c r="I123" t="s">
        <v>901</v>
      </c>
      <c r="J123">
        <v>2</v>
      </c>
      <c r="K123">
        <v>3.8</v>
      </c>
      <c r="L123">
        <v>3.8</v>
      </c>
      <c r="M123">
        <v>27.3</v>
      </c>
      <c r="N123" t="s">
        <v>206</v>
      </c>
      <c r="O123">
        <v>13.65</v>
      </c>
      <c r="Q123" t="s">
        <v>87</v>
      </c>
      <c r="R123">
        <v>1373</v>
      </c>
      <c r="S123">
        <v>12</v>
      </c>
      <c r="T123" t="b">
        <v>0</v>
      </c>
      <c r="U123" t="s">
        <v>125</v>
      </c>
      <c r="V123" t="s">
        <v>126</v>
      </c>
      <c r="W123">
        <v>1</v>
      </c>
      <c r="X123">
        <v>60</v>
      </c>
      <c r="Y123">
        <v>0.5</v>
      </c>
      <c r="Z123">
        <v>1</v>
      </c>
      <c r="AC123" t="s">
        <v>893</v>
      </c>
      <c r="AD123">
        <v>100</v>
      </c>
      <c r="AE123">
        <v>425</v>
      </c>
      <c r="AF123" t="s">
        <v>91</v>
      </c>
      <c r="AG123">
        <v>288</v>
      </c>
      <c r="AH123" s="3">
        <v>72</v>
      </c>
      <c r="AI123" s="3">
        <f>AH123/(AD123*Y123*Z123)</f>
        <v>1.44</v>
      </c>
      <c r="AJ123" s="3">
        <f t="shared" si="1"/>
        <v>0.36464311358790924</v>
      </c>
      <c r="AK123" t="s">
        <v>136</v>
      </c>
      <c r="AN123" t="b">
        <v>1</v>
      </c>
      <c r="AO123" t="b">
        <v>0</v>
      </c>
      <c r="AP123" t="b">
        <v>0</v>
      </c>
      <c r="AQ123" t="b">
        <v>0</v>
      </c>
      <c r="AR123" t="s">
        <v>1216</v>
      </c>
      <c r="AU123">
        <v>11.66992921377989</v>
      </c>
      <c r="AV123">
        <v>1.510204081632653</v>
      </c>
      <c r="AW123">
        <v>1.2653061224489801</v>
      </c>
      <c r="AX123">
        <v>0.16326530612244899</v>
      </c>
      <c r="AY123">
        <v>0</v>
      </c>
      <c r="AZ123">
        <v>0.51388888888888884</v>
      </c>
      <c r="BA123">
        <v>0.43055555555555558</v>
      </c>
      <c r="BB123">
        <v>5.5555555555555552E-2</v>
      </c>
      <c r="BC123">
        <v>0</v>
      </c>
      <c r="BD123">
        <v>6.7075737452127342</v>
      </c>
      <c r="BE123">
        <v>20</v>
      </c>
      <c r="BF123">
        <v>733.37308460000008</v>
      </c>
      <c r="BG123">
        <v>2</v>
      </c>
      <c r="BH123">
        <v>5.4542497999932729E-2</v>
      </c>
      <c r="BI123">
        <v>3.8530000000000002</v>
      </c>
      <c r="BJ123">
        <v>3.8530000000000002</v>
      </c>
      <c r="BK123">
        <v>49.4</v>
      </c>
      <c r="BL123">
        <v>0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U123">
        <v>0</v>
      </c>
      <c r="BV123">
        <v>0</v>
      </c>
      <c r="BW123">
        <v>0</v>
      </c>
      <c r="BX123">
        <v>365.68554399999999</v>
      </c>
      <c r="BY123">
        <v>5.4691798262607831E-2</v>
      </c>
      <c r="BZ123">
        <v>10</v>
      </c>
      <c r="CA123">
        <v>2.7345899131303919E-2</v>
      </c>
      <c r="CB123">
        <v>2.7271248999966361E-2</v>
      </c>
      <c r="CE123">
        <v>0.33447637567260352</v>
      </c>
      <c r="CH123">
        <v>0.33539194449650661</v>
      </c>
    </row>
    <row r="124" spans="1:86" x14ac:dyDescent="0.3">
      <c r="A124" s="1">
        <v>235</v>
      </c>
      <c r="B124" t="s">
        <v>609</v>
      </c>
      <c r="C124" t="s">
        <v>610</v>
      </c>
      <c r="E124" t="s">
        <v>106</v>
      </c>
      <c r="F124">
        <v>3.74</v>
      </c>
      <c r="G124" t="s">
        <v>142</v>
      </c>
      <c r="H124">
        <v>1522043</v>
      </c>
      <c r="I124">
        <v>-1</v>
      </c>
      <c r="J124">
        <v>8</v>
      </c>
      <c r="K124">
        <v>7.76</v>
      </c>
      <c r="L124">
        <v>7.76</v>
      </c>
      <c r="M124">
        <v>33.24</v>
      </c>
      <c r="O124">
        <v>16.62</v>
      </c>
      <c r="Q124" t="s">
        <v>87</v>
      </c>
      <c r="R124">
        <v>1423</v>
      </c>
      <c r="S124">
        <v>24</v>
      </c>
      <c r="T124" t="b">
        <v>0</v>
      </c>
      <c r="U124" t="s">
        <v>172</v>
      </c>
      <c r="V124" t="s">
        <v>126</v>
      </c>
      <c r="W124">
        <v>4</v>
      </c>
      <c r="X124">
        <v>10.97</v>
      </c>
      <c r="Y124">
        <v>2</v>
      </c>
      <c r="Z124">
        <v>10</v>
      </c>
      <c r="AC124" t="s">
        <v>90</v>
      </c>
      <c r="AD124">
        <v>100</v>
      </c>
      <c r="AE124">
        <v>400</v>
      </c>
      <c r="AF124" t="s">
        <v>407</v>
      </c>
      <c r="AG124">
        <v>333</v>
      </c>
      <c r="AH124" s="3">
        <v>2767.8571428571431</v>
      </c>
      <c r="AI124" s="3">
        <f>AH124/(AD124*Y124*Z124)</f>
        <v>1.3839285714285716</v>
      </c>
      <c r="AJ124" s="3">
        <f t="shared" si="1"/>
        <v>0.32492624562415223</v>
      </c>
      <c r="AK124" t="s">
        <v>136</v>
      </c>
      <c r="AN124" t="b">
        <v>1</v>
      </c>
      <c r="AO124" t="b">
        <v>0</v>
      </c>
      <c r="AP124" t="b">
        <v>0</v>
      </c>
      <c r="AQ124" t="b">
        <v>0</v>
      </c>
      <c r="AR124" t="s">
        <v>1217</v>
      </c>
      <c r="AU124">
        <v>11.61728548029447</v>
      </c>
      <c r="AV124">
        <v>1.510204081632653</v>
      </c>
      <c r="AW124">
        <v>1.2653061224489801</v>
      </c>
      <c r="AX124">
        <v>0.16326530612244899</v>
      </c>
      <c r="AY124">
        <v>0</v>
      </c>
      <c r="AZ124">
        <v>0.51388888888888884</v>
      </c>
      <c r="BA124">
        <v>0.43055555555555558</v>
      </c>
      <c r="BB124">
        <v>5.5555555555555552E-2</v>
      </c>
      <c r="BC124">
        <v>0</v>
      </c>
      <c r="BD124">
        <v>6.7075737452127342</v>
      </c>
      <c r="BE124">
        <v>20</v>
      </c>
      <c r="BF124">
        <v>733.37308460000008</v>
      </c>
      <c r="BG124">
        <v>2</v>
      </c>
      <c r="BH124">
        <v>5.4542497999932729E-2</v>
      </c>
      <c r="BI124">
        <v>3.8530000000000002</v>
      </c>
      <c r="BJ124">
        <v>3.8530000000000002</v>
      </c>
      <c r="BK124">
        <v>49.4</v>
      </c>
      <c r="BL124">
        <v>0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U124">
        <v>0</v>
      </c>
      <c r="BV124">
        <v>0</v>
      </c>
      <c r="BW124">
        <v>0</v>
      </c>
      <c r="BX124">
        <v>365.68554399999999</v>
      </c>
      <c r="BY124">
        <v>5.4691798262607831E-2</v>
      </c>
      <c r="BZ124">
        <v>10</v>
      </c>
      <c r="CA124">
        <v>2.7345899131303919E-2</v>
      </c>
      <c r="CB124">
        <v>2.7271248999966361E-2</v>
      </c>
      <c r="CE124">
        <v>0.33447637567260352</v>
      </c>
      <c r="CH124">
        <v>0.33539194449650661</v>
      </c>
    </row>
    <row r="125" spans="1:86" x14ac:dyDescent="0.3">
      <c r="A125" s="1">
        <v>783</v>
      </c>
      <c r="B125" t="s">
        <v>1243</v>
      </c>
      <c r="C125" t="s">
        <v>1244</v>
      </c>
      <c r="E125" t="s">
        <v>404</v>
      </c>
      <c r="F125">
        <v>2.65</v>
      </c>
      <c r="G125" t="s">
        <v>899</v>
      </c>
      <c r="H125" t="s">
        <v>900</v>
      </c>
      <c r="I125" t="s">
        <v>901</v>
      </c>
      <c r="J125">
        <v>2</v>
      </c>
      <c r="K125">
        <v>3.8</v>
      </c>
      <c r="L125">
        <v>3.8</v>
      </c>
      <c r="M125">
        <v>27.3</v>
      </c>
      <c r="N125" t="s">
        <v>206</v>
      </c>
      <c r="O125">
        <v>13.65</v>
      </c>
      <c r="Q125" t="s">
        <v>87</v>
      </c>
      <c r="R125">
        <v>1373</v>
      </c>
      <c r="S125">
        <v>12</v>
      </c>
      <c r="T125" t="b">
        <v>0</v>
      </c>
      <c r="U125" t="s">
        <v>125</v>
      </c>
      <c r="V125" t="s">
        <v>126</v>
      </c>
      <c r="W125">
        <v>1</v>
      </c>
      <c r="X125">
        <v>60</v>
      </c>
      <c r="Y125">
        <v>0.5</v>
      </c>
      <c r="Z125">
        <v>1</v>
      </c>
      <c r="AC125" t="s">
        <v>893</v>
      </c>
      <c r="AD125">
        <v>100</v>
      </c>
      <c r="AE125">
        <v>425</v>
      </c>
      <c r="AF125" t="s">
        <v>91</v>
      </c>
      <c r="AG125">
        <v>288</v>
      </c>
      <c r="AH125" s="3">
        <v>56</v>
      </c>
      <c r="AI125" s="3">
        <f>AH125/(AD125*Y125*Z125)</f>
        <v>1.1200000000000001</v>
      </c>
      <c r="AJ125" s="3">
        <f t="shared" si="1"/>
        <v>0.11332868530700327</v>
      </c>
      <c r="AK125" t="s">
        <v>136</v>
      </c>
      <c r="AN125" t="b">
        <v>1</v>
      </c>
      <c r="AO125" t="b">
        <v>0</v>
      </c>
      <c r="AP125" t="b">
        <v>0</v>
      </c>
      <c r="AQ125" t="b">
        <v>0</v>
      </c>
      <c r="AR125" t="s">
        <v>1218</v>
      </c>
      <c r="AU125">
        <v>11.4075649493124</v>
      </c>
      <c r="AV125">
        <v>1.510204081632653</v>
      </c>
      <c r="AW125">
        <v>1.2653061224489801</v>
      </c>
      <c r="AX125">
        <v>0.16326530612244899</v>
      </c>
      <c r="AY125">
        <v>0</v>
      </c>
      <c r="AZ125">
        <v>0.51388888888888884</v>
      </c>
      <c r="BA125">
        <v>0.43055555555555558</v>
      </c>
      <c r="BB125">
        <v>5.5555555555555552E-2</v>
      </c>
      <c r="BC125">
        <v>0</v>
      </c>
      <c r="BD125">
        <v>6.7075737452127342</v>
      </c>
      <c r="BE125">
        <v>20</v>
      </c>
      <c r="BF125">
        <v>733.37308460000008</v>
      </c>
      <c r="BG125">
        <v>2</v>
      </c>
      <c r="BH125">
        <v>5.4542497999932729E-2</v>
      </c>
      <c r="BI125">
        <v>3.8530000000000002</v>
      </c>
      <c r="BJ125">
        <v>3.8530000000000002</v>
      </c>
      <c r="BK125">
        <v>49.4</v>
      </c>
      <c r="BL125">
        <v>0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U125">
        <v>0</v>
      </c>
      <c r="BV125">
        <v>0</v>
      </c>
      <c r="BW125">
        <v>0</v>
      </c>
      <c r="BX125">
        <v>365.68554399999999</v>
      </c>
      <c r="BY125">
        <v>5.4691798262607831E-2</v>
      </c>
      <c r="BZ125">
        <v>10</v>
      </c>
      <c r="CA125">
        <v>2.7345899131303919E-2</v>
      </c>
      <c r="CB125">
        <v>2.7271248999966361E-2</v>
      </c>
      <c r="CE125">
        <v>0.33447637567260352</v>
      </c>
      <c r="CH125">
        <v>0.33539194449650661</v>
      </c>
    </row>
    <row r="126" spans="1:86" x14ac:dyDescent="0.3">
      <c r="A126" s="1">
        <v>30</v>
      </c>
      <c r="B126" t="s">
        <v>140</v>
      </c>
      <c r="C126" t="s">
        <v>141</v>
      </c>
      <c r="E126" t="s">
        <v>106</v>
      </c>
      <c r="F126">
        <v>3.35</v>
      </c>
      <c r="G126" t="s">
        <v>142</v>
      </c>
      <c r="H126">
        <v>1522043</v>
      </c>
      <c r="I126">
        <v>-1</v>
      </c>
      <c r="K126">
        <v>7.7270000000000003</v>
      </c>
      <c r="L126">
        <v>7.7270000000000003</v>
      </c>
      <c r="M126">
        <v>29.466000000000001</v>
      </c>
      <c r="N126" t="s">
        <v>110</v>
      </c>
      <c r="O126">
        <v>14.733000000000001</v>
      </c>
      <c r="P126">
        <v>3</v>
      </c>
      <c r="Q126" t="s">
        <v>87</v>
      </c>
      <c r="R126">
        <v>1473</v>
      </c>
      <c r="S126">
        <v>48</v>
      </c>
      <c r="T126" t="b">
        <v>0</v>
      </c>
      <c r="U126" t="s">
        <v>125</v>
      </c>
      <c r="V126" t="s">
        <v>126</v>
      </c>
      <c r="W126">
        <v>0.1</v>
      </c>
      <c r="Y126">
        <v>2.85</v>
      </c>
      <c r="Z126">
        <v>14.3</v>
      </c>
      <c r="AC126" t="s">
        <v>90</v>
      </c>
      <c r="AD126">
        <v>450</v>
      </c>
      <c r="AF126" t="s">
        <v>91</v>
      </c>
      <c r="AH126" s="3">
        <v>19000</v>
      </c>
      <c r="AI126" s="3">
        <f>AH126/(AD126*Y126*Z126)</f>
        <v>1.0360010360010361</v>
      </c>
      <c r="AJ126" s="3">
        <f t="shared" si="1"/>
        <v>3.5368143837791417E-2</v>
      </c>
      <c r="AK126" t="s">
        <v>972</v>
      </c>
      <c r="AN126" t="b">
        <v>1</v>
      </c>
      <c r="AO126" t="b">
        <v>0</v>
      </c>
      <c r="AP126" t="b">
        <v>0</v>
      </c>
      <c r="AQ126" t="b">
        <v>0</v>
      </c>
      <c r="AR126" t="s">
        <v>1219</v>
      </c>
      <c r="AU126">
        <v>9.9522777167055594</v>
      </c>
      <c r="AV126">
        <v>1.510204081632653</v>
      </c>
      <c r="AW126">
        <v>1.2653061224489801</v>
      </c>
      <c r="AX126">
        <v>0.1224489795918367</v>
      </c>
      <c r="AY126">
        <v>0.16326530612244899</v>
      </c>
      <c r="AZ126">
        <v>0.49333333333333329</v>
      </c>
      <c r="BA126">
        <v>0.41333333333333339</v>
      </c>
      <c r="BB126">
        <v>0.04</v>
      </c>
      <c r="BC126">
        <v>5.333333333333333E-2</v>
      </c>
      <c r="BD126">
        <v>6.6971257268453872</v>
      </c>
      <c r="BE126">
        <v>20</v>
      </c>
      <c r="BF126">
        <v>733.37308460000008</v>
      </c>
      <c r="BG126">
        <v>2</v>
      </c>
      <c r="BH126">
        <v>5.4542497999932729E-2</v>
      </c>
      <c r="BI126">
        <v>3.8530000000000002</v>
      </c>
      <c r="BJ126">
        <v>3.8530000000000002</v>
      </c>
      <c r="BK126">
        <v>49.4</v>
      </c>
      <c r="BL126">
        <v>0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U126">
        <v>0</v>
      </c>
      <c r="BV126">
        <v>0</v>
      </c>
      <c r="BW126">
        <v>0</v>
      </c>
      <c r="BX126">
        <v>357.04353880000002</v>
      </c>
      <c r="BY126">
        <v>5.6015577448113731E-2</v>
      </c>
      <c r="BZ126">
        <v>10</v>
      </c>
      <c r="CA126">
        <v>2.8007788724056869E-2</v>
      </c>
      <c r="CB126">
        <v>2.7271248999966361E-2</v>
      </c>
      <c r="CE126">
        <v>0.33005342247707181</v>
      </c>
      <c r="CH126">
        <v>0.33896747906196412</v>
      </c>
    </row>
    <row r="127" spans="1:86" x14ac:dyDescent="0.3">
      <c r="A127" s="1">
        <v>31</v>
      </c>
      <c r="B127" t="s">
        <v>140</v>
      </c>
      <c r="C127" t="s">
        <v>141</v>
      </c>
      <c r="E127" t="s">
        <v>106</v>
      </c>
      <c r="F127">
        <v>3.5</v>
      </c>
      <c r="G127" t="s">
        <v>142</v>
      </c>
      <c r="H127">
        <v>1522043</v>
      </c>
      <c r="I127">
        <v>-1</v>
      </c>
      <c r="K127">
        <v>7.7249999999999996</v>
      </c>
      <c r="L127">
        <v>7.7249999999999996</v>
      </c>
      <c r="M127">
        <v>14.909000000000001</v>
      </c>
      <c r="N127" t="s">
        <v>115</v>
      </c>
      <c r="O127">
        <v>14.909000000000001</v>
      </c>
      <c r="P127">
        <v>3</v>
      </c>
      <c r="Q127" t="s">
        <v>87</v>
      </c>
      <c r="R127">
        <v>1473</v>
      </c>
      <c r="S127">
        <v>48</v>
      </c>
      <c r="T127" t="b">
        <v>0</v>
      </c>
      <c r="U127" t="s">
        <v>125</v>
      </c>
      <c r="V127" t="s">
        <v>126</v>
      </c>
      <c r="W127">
        <v>0.1</v>
      </c>
      <c r="Y127">
        <v>2.85</v>
      </c>
      <c r="Z127">
        <v>14.3</v>
      </c>
      <c r="AC127" t="s">
        <v>90</v>
      </c>
      <c r="AD127">
        <v>450</v>
      </c>
      <c r="AF127" t="s">
        <v>91</v>
      </c>
      <c r="AH127" s="3">
        <v>17000</v>
      </c>
      <c r="AI127" s="3">
        <f>AH127/(AD127*Y127*Z127)</f>
        <v>0.92694829536934797</v>
      </c>
      <c r="AJ127" s="3">
        <f t="shared" si="1"/>
        <v>-7.5857491272433089E-2</v>
      </c>
      <c r="AK127" t="s">
        <v>972</v>
      </c>
      <c r="AN127" t="b">
        <v>1</v>
      </c>
      <c r="AO127" t="b">
        <v>0</v>
      </c>
      <c r="AP127" t="b">
        <v>0</v>
      </c>
      <c r="AQ127" t="b">
        <v>0</v>
      </c>
      <c r="AR127" t="s">
        <v>1220</v>
      </c>
      <c r="AU127">
        <v>10.491274217438249</v>
      </c>
      <c r="AV127">
        <v>1.510204081632653</v>
      </c>
      <c r="AW127">
        <v>1.2653061224489801</v>
      </c>
      <c r="AX127">
        <v>0.1224489795918367</v>
      </c>
      <c r="AY127">
        <v>0.16326530612244899</v>
      </c>
      <c r="AZ127">
        <v>0.49333333333333329</v>
      </c>
      <c r="BA127">
        <v>0.41333333333333339</v>
      </c>
      <c r="BB127">
        <v>0.04</v>
      </c>
      <c r="BC127">
        <v>5.333333333333333E-2</v>
      </c>
      <c r="BD127">
        <v>6.6971257268453872</v>
      </c>
      <c r="BE127">
        <v>20</v>
      </c>
      <c r="BF127">
        <v>733.37308460000008</v>
      </c>
      <c r="BG127">
        <v>2</v>
      </c>
      <c r="BH127">
        <v>5.4542497999932729E-2</v>
      </c>
      <c r="BI127">
        <v>3.8530000000000002</v>
      </c>
      <c r="BJ127">
        <v>3.8530000000000002</v>
      </c>
      <c r="BK127">
        <v>49.4</v>
      </c>
      <c r="BL127">
        <v>0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U127">
        <v>0</v>
      </c>
      <c r="BV127">
        <v>0</v>
      </c>
      <c r="BW127">
        <v>0</v>
      </c>
      <c r="BX127">
        <v>357.04353880000002</v>
      </c>
      <c r="BY127">
        <v>5.6015577448113731E-2</v>
      </c>
      <c r="BZ127">
        <v>10</v>
      </c>
      <c r="CA127">
        <v>2.8007788724056869E-2</v>
      </c>
      <c r="CB127">
        <v>2.7271248999966361E-2</v>
      </c>
      <c r="CE127">
        <v>0.33005342247707181</v>
      </c>
      <c r="CH127">
        <v>0.33896747906196412</v>
      </c>
    </row>
    <row r="128" spans="1:86" x14ac:dyDescent="0.3">
      <c r="A128" s="1">
        <v>784</v>
      </c>
      <c r="B128" t="s">
        <v>1248</v>
      </c>
      <c r="C128" t="s">
        <v>1249</v>
      </c>
      <c r="E128" t="s">
        <v>404</v>
      </c>
      <c r="F128">
        <v>2.5499999999999998</v>
      </c>
      <c r="G128" t="s">
        <v>899</v>
      </c>
      <c r="H128" t="s">
        <v>900</v>
      </c>
      <c r="I128" t="s">
        <v>901</v>
      </c>
      <c r="J128">
        <v>2</v>
      </c>
      <c r="K128">
        <v>3.8</v>
      </c>
      <c r="L128">
        <v>3.8</v>
      </c>
      <c r="M128">
        <v>27.3</v>
      </c>
      <c r="N128" t="s">
        <v>206</v>
      </c>
      <c r="O128">
        <v>13.65</v>
      </c>
      <c r="Q128" t="s">
        <v>87</v>
      </c>
      <c r="R128">
        <v>1373</v>
      </c>
      <c r="S128">
        <v>12</v>
      </c>
      <c r="T128" t="b">
        <v>0</v>
      </c>
      <c r="U128" t="s">
        <v>125</v>
      </c>
      <c r="V128" t="s">
        <v>126</v>
      </c>
      <c r="W128">
        <v>1</v>
      </c>
      <c r="X128">
        <v>60</v>
      </c>
      <c r="Y128">
        <v>0.5</v>
      </c>
      <c r="Z128">
        <v>1</v>
      </c>
      <c r="AC128" t="s">
        <v>893</v>
      </c>
      <c r="AD128">
        <v>100</v>
      </c>
      <c r="AE128">
        <v>425</v>
      </c>
      <c r="AF128" t="s">
        <v>91</v>
      </c>
      <c r="AG128">
        <v>288</v>
      </c>
      <c r="AH128" s="3">
        <v>40</v>
      </c>
      <c r="AI128" s="3">
        <f>AH128/(AD128*Y128*Z128)</f>
        <v>0.8</v>
      </c>
      <c r="AJ128" s="3">
        <f t="shared" si="1"/>
        <v>-0.22314355131420971</v>
      </c>
      <c r="AK128" t="s">
        <v>972</v>
      </c>
      <c r="AN128" t="b">
        <v>1</v>
      </c>
      <c r="AO128" t="b">
        <v>0</v>
      </c>
      <c r="AP128" t="b">
        <v>0</v>
      </c>
      <c r="AQ128" t="b">
        <v>0</v>
      </c>
      <c r="AR128" t="s">
        <v>1221</v>
      </c>
      <c r="AU128">
        <v>10.89673932554641</v>
      </c>
      <c r="AV128">
        <v>1.510204081632653</v>
      </c>
      <c r="AW128">
        <v>1.2653061224489801</v>
      </c>
      <c r="AX128">
        <v>0.1224489795918367</v>
      </c>
      <c r="AY128">
        <v>0.16326530612244899</v>
      </c>
      <c r="AZ128">
        <v>0.49333333333333329</v>
      </c>
      <c r="BA128">
        <v>0.41333333333333339</v>
      </c>
      <c r="BB128">
        <v>0.04</v>
      </c>
      <c r="BC128">
        <v>5.333333333333333E-2</v>
      </c>
      <c r="BD128">
        <v>6.6971257268453872</v>
      </c>
      <c r="BE128">
        <v>20</v>
      </c>
      <c r="BF128">
        <v>733.37308460000008</v>
      </c>
      <c r="BG128">
        <v>2</v>
      </c>
      <c r="BH128">
        <v>5.4542497999932729E-2</v>
      </c>
      <c r="BI128">
        <v>3.8530000000000002</v>
      </c>
      <c r="BJ128">
        <v>3.8530000000000002</v>
      </c>
      <c r="BK128">
        <v>49.4</v>
      </c>
      <c r="BL128">
        <v>0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U128">
        <v>0</v>
      </c>
      <c r="BV128">
        <v>0</v>
      </c>
      <c r="BW128">
        <v>0</v>
      </c>
      <c r="BX128">
        <v>357.04353880000002</v>
      </c>
      <c r="BY128">
        <v>5.6015577448113731E-2</v>
      </c>
      <c r="BZ128">
        <v>10</v>
      </c>
      <c r="CA128">
        <v>2.8007788724056869E-2</v>
      </c>
      <c r="CB128">
        <v>2.7271248999966361E-2</v>
      </c>
      <c r="CE128">
        <v>0.33005342247707181</v>
      </c>
      <c r="CH128">
        <v>0.33896747906196412</v>
      </c>
    </row>
    <row r="129" spans="1:86" x14ac:dyDescent="0.3">
      <c r="A129" s="1">
        <v>764</v>
      </c>
      <c r="B129" t="s">
        <v>1268</v>
      </c>
      <c r="C129" t="s">
        <v>1269</v>
      </c>
      <c r="E129" t="s">
        <v>404</v>
      </c>
      <c r="F129">
        <v>1.95</v>
      </c>
      <c r="G129" t="s">
        <v>899</v>
      </c>
      <c r="H129" t="s">
        <v>900</v>
      </c>
      <c r="I129" t="s">
        <v>901</v>
      </c>
      <c r="J129">
        <v>2</v>
      </c>
      <c r="K129">
        <v>3.8</v>
      </c>
      <c r="L129">
        <v>3.8</v>
      </c>
      <c r="M129">
        <v>28</v>
      </c>
      <c r="N129" t="s">
        <v>206</v>
      </c>
      <c r="O129">
        <v>14</v>
      </c>
      <c r="Q129" t="s">
        <v>87</v>
      </c>
      <c r="R129">
        <v>1373</v>
      </c>
      <c r="S129">
        <v>12</v>
      </c>
      <c r="T129" t="b">
        <v>0</v>
      </c>
      <c r="U129" t="s">
        <v>125</v>
      </c>
      <c r="V129" t="s">
        <v>126</v>
      </c>
      <c r="W129">
        <v>1</v>
      </c>
      <c r="X129">
        <v>60</v>
      </c>
      <c r="Y129">
        <v>0.5</v>
      </c>
      <c r="Z129">
        <v>1</v>
      </c>
      <c r="AC129" t="s">
        <v>90</v>
      </c>
      <c r="AD129">
        <v>125</v>
      </c>
      <c r="AE129">
        <v>220</v>
      </c>
      <c r="AF129" t="s">
        <v>91</v>
      </c>
      <c r="AG129">
        <v>288</v>
      </c>
      <c r="AH129" s="3">
        <v>47</v>
      </c>
      <c r="AI129" s="3">
        <f>AH129/(AD129*Y129*Z129)</f>
        <v>0.752</v>
      </c>
      <c r="AJ129" s="3">
        <f t="shared" si="1"/>
        <v>-0.28501895503229724</v>
      </c>
      <c r="AK129" t="s">
        <v>972</v>
      </c>
      <c r="AN129" t="b">
        <v>1</v>
      </c>
      <c r="AO129" t="b">
        <v>0</v>
      </c>
      <c r="AP129" t="b">
        <v>0</v>
      </c>
      <c r="AQ129" t="b">
        <v>0</v>
      </c>
      <c r="AR129" t="s">
        <v>1222</v>
      </c>
      <c r="AU129">
        <v>11.264464105671729</v>
      </c>
      <c r="AV129">
        <v>1.510204081632653</v>
      </c>
      <c r="AW129">
        <v>1.2653061224489801</v>
      </c>
      <c r="AX129">
        <v>0.1224489795918367</v>
      </c>
      <c r="AY129">
        <v>0.16326530612244899</v>
      </c>
      <c r="AZ129">
        <v>0.49333333333333329</v>
      </c>
      <c r="BA129">
        <v>0.41333333333333339</v>
      </c>
      <c r="BB129">
        <v>0.04</v>
      </c>
      <c r="BC129">
        <v>5.333333333333333E-2</v>
      </c>
      <c r="BD129">
        <v>6.6971257268453872</v>
      </c>
      <c r="BE129">
        <v>20</v>
      </c>
      <c r="BF129">
        <v>733.37308460000008</v>
      </c>
      <c r="BG129">
        <v>2</v>
      </c>
      <c r="BH129">
        <v>5.4542497999932729E-2</v>
      </c>
      <c r="BI129">
        <v>3.8530000000000002</v>
      </c>
      <c r="BJ129">
        <v>3.8530000000000002</v>
      </c>
      <c r="BK129">
        <v>49.4</v>
      </c>
      <c r="BL129">
        <v>0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U129">
        <v>0</v>
      </c>
      <c r="BV129">
        <v>0</v>
      </c>
      <c r="BW129">
        <v>0</v>
      </c>
      <c r="BX129">
        <v>357.04353880000002</v>
      </c>
      <c r="BY129">
        <v>5.6015577448113731E-2</v>
      </c>
      <c r="BZ129">
        <v>10</v>
      </c>
      <c r="CA129">
        <v>2.8007788724056869E-2</v>
      </c>
      <c r="CB129">
        <v>2.7271248999966361E-2</v>
      </c>
      <c r="CE129">
        <v>0.33005342247707181</v>
      </c>
      <c r="CH129">
        <v>0.33896747906196412</v>
      </c>
    </row>
    <row r="130" spans="1:86" x14ac:dyDescent="0.3">
      <c r="A130" s="1">
        <v>236</v>
      </c>
      <c r="B130" t="s">
        <v>614</v>
      </c>
      <c r="C130" t="s">
        <v>615</v>
      </c>
      <c r="E130" t="s">
        <v>106</v>
      </c>
      <c r="F130">
        <v>3.78</v>
      </c>
      <c r="G130" t="s">
        <v>142</v>
      </c>
      <c r="H130">
        <v>1522043</v>
      </c>
      <c r="I130">
        <v>-1</v>
      </c>
      <c r="J130">
        <v>8</v>
      </c>
      <c r="K130">
        <v>7.76</v>
      </c>
      <c r="L130">
        <v>7.76</v>
      </c>
      <c r="M130">
        <v>33</v>
      </c>
      <c r="O130">
        <v>16.5</v>
      </c>
      <c r="Q130" t="s">
        <v>87</v>
      </c>
      <c r="R130">
        <v>1423</v>
      </c>
      <c r="S130">
        <v>24</v>
      </c>
      <c r="T130" t="b">
        <v>0</v>
      </c>
      <c r="U130" t="s">
        <v>172</v>
      </c>
      <c r="V130" t="s">
        <v>126</v>
      </c>
      <c r="W130">
        <v>4</v>
      </c>
      <c r="X130">
        <v>11.41</v>
      </c>
      <c r="Y130">
        <v>2</v>
      </c>
      <c r="Z130">
        <v>10</v>
      </c>
      <c r="AC130" t="s">
        <v>90</v>
      </c>
      <c r="AD130">
        <v>100</v>
      </c>
      <c r="AE130">
        <v>400</v>
      </c>
      <c r="AF130" t="s">
        <v>407</v>
      </c>
      <c r="AG130">
        <v>333</v>
      </c>
      <c r="AH130" s="3">
        <v>1473.214285714286</v>
      </c>
      <c r="AI130" s="3">
        <f>AH130/(AD130*Y130*Z130)</f>
        <v>0.73660714285714302</v>
      </c>
      <c r="AJ130" s="3">
        <f t="shared" si="1"/>
        <v>-0.30570057795445904</v>
      </c>
      <c r="AK130" t="s">
        <v>972</v>
      </c>
      <c r="AN130" t="b">
        <v>1</v>
      </c>
      <c r="AO130" t="b">
        <v>0</v>
      </c>
      <c r="AP130" t="b">
        <v>0</v>
      </c>
      <c r="AQ130" t="b">
        <v>0</v>
      </c>
      <c r="AR130" t="s">
        <v>1223</v>
      </c>
      <c r="AU130">
        <v>11.502875129116729</v>
      </c>
      <c r="AV130">
        <v>1.510204081632653</v>
      </c>
      <c r="AW130">
        <v>1.2653061224489801</v>
      </c>
      <c r="AX130">
        <v>0.1224489795918367</v>
      </c>
      <c r="AY130">
        <v>0.16326530612244899</v>
      </c>
      <c r="AZ130">
        <v>0.49333333333333329</v>
      </c>
      <c r="BA130">
        <v>0.41333333333333339</v>
      </c>
      <c r="BB130">
        <v>0.04</v>
      </c>
      <c r="BC130">
        <v>5.333333333333333E-2</v>
      </c>
      <c r="BD130">
        <v>6.6971257268453872</v>
      </c>
      <c r="BE130">
        <v>20</v>
      </c>
      <c r="BF130">
        <v>733.37308460000008</v>
      </c>
      <c r="BG130">
        <v>2</v>
      </c>
      <c r="BH130">
        <v>5.4542497999932729E-2</v>
      </c>
      <c r="BI130">
        <v>3.8530000000000002</v>
      </c>
      <c r="BJ130">
        <v>3.8530000000000002</v>
      </c>
      <c r="BK130">
        <v>49.4</v>
      </c>
      <c r="BL130">
        <v>0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U130">
        <v>0</v>
      </c>
      <c r="BV130">
        <v>0</v>
      </c>
      <c r="BW130">
        <v>0</v>
      </c>
      <c r="BX130">
        <v>357.04353880000002</v>
      </c>
      <c r="BY130">
        <v>5.6015577448113731E-2</v>
      </c>
      <c r="BZ130">
        <v>10</v>
      </c>
      <c r="CA130">
        <v>2.8007788724056869E-2</v>
      </c>
      <c r="CB130">
        <v>2.7271248999966361E-2</v>
      </c>
      <c r="CE130">
        <v>0.33005342247707181</v>
      </c>
      <c r="CH130">
        <v>0.33896747906196412</v>
      </c>
    </row>
    <row r="131" spans="1:86" x14ac:dyDescent="0.3">
      <c r="A131" s="1">
        <v>770</v>
      </c>
      <c r="B131" t="s">
        <v>1237</v>
      </c>
      <c r="C131" t="s">
        <v>1238</v>
      </c>
      <c r="E131" t="s">
        <v>404</v>
      </c>
      <c r="F131">
        <v>2.9</v>
      </c>
      <c r="G131" t="s">
        <v>899</v>
      </c>
      <c r="H131" t="s">
        <v>900</v>
      </c>
      <c r="I131" t="s">
        <v>901</v>
      </c>
      <c r="J131">
        <v>2</v>
      </c>
      <c r="K131">
        <v>3.8</v>
      </c>
      <c r="L131">
        <v>3.8</v>
      </c>
      <c r="M131">
        <v>27.3</v>
      </c>
      <c r="N131" t="s">
        <v>206</v>
      </c>
      <c r="O131">
        <v>13.65</v>
      </c>
      <c r="Q131" t="s">
        <v>87</v>
      </c>
      <c r="R131">
        <v>1373</v>
      </c>
      <c r="S131">
        <v>12</v>
      </c>
      <c r="T131" t="b">
        <v>0</v>
      </c>
      <c r="U131" t="s">
        <v>125</v>
      </c>
      <c r="V131" t="s">
        <v>126</v>
      </c>
      <c r="W131">
        <v>1</v>
      </c>
      <c r="X131">
        <v>3.2</v>
      </c>
      <c r="Y131">
        <v>0.5</v>
      </c>
      <c r="Z131">
        <v>1</v>
      </c>
      <c r="AC131" t="s">
        <v>893</v>
      </c>
      <c r="AD131">
        <v>100</v>
      </c>
      <c r="AE131">
        <v>425</v>
      </c>
      <c r="AF131" t="s">
        <v>91</v>
      </c>
      <c r="AG131">
        <v>288</v>
      </c>
      <c r="AH131" s="3">
        <v>36</v>
      </c>
      <c r="AI131" s="3">
        <f>AH131/(AD131*Y131*Z131)</f>
        <v>0.72</v>
      </c>
      <c r="AJ131" s="3">
        <f t="shared" ref="AJ131:AJ194" si="2">LN(AI131)</f>
        <v>-0.3285040669720361</v>
      </c>
      <c r="AK131" t="s">
        <v>972</v>
      </c>
      <c r="AN131" t="b">
        <v>1</v>
      </c>
      <c r="AO131" t="b">
        <v>0</v>
      </c>
      <c r="AP131" t="b">
        <v>0</v>
      </c>
      <c r="AQ131" t="b">
        <v>0</v>
      </c>
      <c r="AR131" t="s">
        <v>1224</v>
      </c>
      <c r="AU131">
        <v>11.856515169360311</v>
      </c>
      <c r="AV131">
        <v>1.510204081632653</v>
      </c>
      <c r="AW131">
        <v>1.2653061224489801</v>
      </c>
      <c r="AX131">
        <v>0.1224489795918367</v>
      </c>
      <c r="AY131">
        <v>0.16326530612244899</v>
      </c>
      <c r="AZ131">
        <v>0.49333333333333329</v>
      </c>
      <c r="BA131">
        <v>0.41333333333333339</v>
      </c>
      <c r="BB131">
        <v>0.04</v>
      </c>
      <c r="BC131">
        <v>5.333333333333333E-2</v>
      </c>
      <c r="BD131">
        <v>6.6971257268453872</v>
      </c>
      <c r="BE131">
        <v>20</v>
      </c>
      <c r="BF131">
        <v>733.37308460000008</v>
      </c>
      <c r="BG131">
        <v>2</v>
      </c>
      <c r="BH131">
        <v>5.4542497999932729E-2</v>
      </c>
      <c r="BI131">
        <v>3.8530000000000002</v>
      </c>
      <c r="BJ131">
        <v>3.8530000000000002</v>
      </c>
      <c r="BK131">
        <v>49.4</v>
      </c>
      <c r="BL131">
        <v>0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U131">
        <v>0</v>
      </c>
      <c r="BV131">
        <v>0</v>
      </c>
      <c r="BW131">
        <v>0</v>
      </c>
      <c r="BX131">
        <v>357.04353880000002</v>
      </c>
      <c r="BY131">
        <v>5.6015577448113731E-2</v>
      </c>
      <c r="BZ131">
        <v>10</v>
      </c>
      <c r="CA131">
        <v>2.8007788724056869E-2</v>
      </c>
      <c r="CB131">
        <v>2.7271248999966361E-2</v>
      </c>
      <c r="CE131">
        <v>0.33005342247707181</v>
      </c>
      <c r="CH131">
        <v>0.33896747906196412</v>
      </c>
    </row>
    <row r="132" spans="1:86" x14ac:dyDescent="0.3">
      <c r="A132" s="1">
        <v>771</v>
      </c>
      <c r="B132" t="s">
        <v>1243</v>
      </c>
      <c r="C132" t="s">
        <v>1244</v>
      </c>
      <c r="E132" t="s">
        <v>404</v>
      </c>
      <c r="F132">
        <v>2.65</v>
      </c>
      <c r="G132" t="s">
        <v>899</v>
      </c>
      <c r="H132" t="s">
        <v>900</v>
      </c>
      <c r="I132" t="s">
        <v>901</v>
      </c>
      <c r="J132">
        <v>2</v>
      </c>
      <c r="K132">
        <v>3.8</v>
      </c>
      <c r="L132">
        <v>3.8</v>
      </c>
      <c r="M132">
        <v>27.3</v>
      </c>
      <c r="N132" t="s">
        <v>206</v>
      </c>
      <c r="O132">
        <v>13.65</v>
      </c>
      <c r="Q132" t="s">
        <v>87</v>
      </c>
      <c r="R132">
        <v>1373</v>
      </c>
      <c r="S132">
        <v>12</v>
      </c>
      <c r="T132" t="b">
        <v>0</v>
      </c>
      <c r="U132" t="s">
        <v>125</v>
      </c>
      <c r="V132" t="s">
        <v>126</v>
      </c>
      <c r="W132">
        <v>1</v>
      </c>
      <c r="X132">
        <v>3.2</v>
      </c>
      <c r="Y132">
        <v>0.5</v>
      </c>
      <c r="Z132">
        <v>1</v>
      </c>
      <c r="AC132" t="s">
        <v>893</v>
      </c>
      <c r="AD132">
        <v>100</v>
      </c>
      <c r="AE132">
        <v>425</v>
      </c>
      <c r="AF132" t="s">
        <v>91</v>
      </c>
      <c r="AG132">
        <v>288</v>
      </c>
      <c r="AH132" s="3">
        <v>28</v>
      </c>
      <c r="AI132" s="3">
        <f>AH132/(AD132*Y132*Z132)</f>
        <v>0.56000000000000005</v>
      </c>
      <c r="AJ132" s="3">
        <f t="shared" si="2"/>
        <v>-0.57981849525294205</v>
      </c>
      <c r="AK132" t="s">
        <v>972</v>
      </c>
      <c r="AN132" t="b">
        <v>1</v>
      </c>
      <c r="AO132" t="b">
        <v>0</v>
      </c>
      <c r="AP132" t="b">
        <v>0</v>
      </c>
      <c r="AQ132" t="b">
        <v>0</v>
      </c>
      <c r="AR132" t="s">
        <v>1225</v>
      </c>
      <c r="AU132">
        <v>11.957611286231669</v>
      </c>
      <c r="AV132">
        <v>1.510204081632653</v>
      </c>
      <c r="AW132">
        <v>1.2653061224489801</v>
      </c>
      <c r="AX132">
        <v>0.1224489795918367</v>
      </c>
      <c r="AY132">
        <v>0.16326530612244899</v>
      </c>
      <c r="AZ132">
        <v>0.49333333333333329</v>
      </c>
      <c r="BA132">
        <v>0.41333333333333339</v>
      </c>
      <c r="BB132">
        <v>0.04</v>
      </c>
      <c r="BC132">
        <v>5.333333333333333E-2</v>
      </c>
      <c r="BD132">
        <v>6.6971257268453872</v>
      </c>
      <c r="BE132">
        <v>20</v>
      </c>
      <c r="BF132">
        <v>733.37308460000008</v>
      </c>
      <c r="BG132">
        <v>2</v>
      </c>
      <c r="BH132">
        <v>5.4542497999932729E-2</v>
      </c>
      <c r="BI132">
        <v>3.8530000000000002</v>
      </c>
      <c r="BJ132">
        <v>3.8530000000000002</v>
      </c>
      <c r="BK132">
        <v>49.4</v>
      </c>
      <c r="BL132">
        <v>0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U132">
        <v>0</v>
      </c>
      <c r="BV132">
        <v>0</v>
      </c>
      <c r="BW132">
        <v>0</v>
      </c>
      <c r="BX132">
        <v>357.04353880000002</v>
      </c>
      <c r="BY132">
        <v>5.6015577448113731E-2</v>
      </c>
      <c r="BZ132">
        <v>10</v>
      </c>
      <c r="CA132">
        <v>2.8007788724056869E-2</v>
      </c>
      <c r="CB132">
        <v>2.7271248999966361E-2</v>
      </c>
      <c r="CE132">
        <v>0.33005342247707181</v>
      </c>
      <c r="CH132">
        <v>0.33896747906196412</v>
      </c>
    </row>
    <row r="133" spans="1:86" x14ac:dyDescent="0.3">
      <c r="A133" s="1">
        <v>32</v>
      </c>
      <c r="B133" t="s">
        <v>140</v>
      </c>
      <c r="C133" t="s">
        <v>141</v>
      </c>
      <c r="E133" t="s">
        <v>106</v>
      </c>
      <c r="F133">
        <v>3.5</v>
      </c>
      <c r="G133" t="s">
        <v>142</v>
      </c>
      <c r="H133">
        <v>1522043</v>
      </c>
      <c r="I133">
        <v>-1</v>
      </c>
      <c r="K133">
        <v>7.7270000000000003</v>
      </c>
      <c r="L133">
        <v>7.7270000000000003</v>
      </c>
      <c r="M133">
        <v>30.175999999999998</v>
      </c>
      <c r="N133" t="s">
        <v>110</v>
      </c>
      <c r="O133">
        <v>15.087999999999999</v>
      </c>
      <c r="P133">
        <v>3</v>
      </c>
      <c r="Q133" t="s">
        <v>87</v>
      </c>
      <c r="R133">
        <v>1473</v>
      </c>
      <c r="S133">
        <v>48</v>
      </c>
      <c r="T133" t="b">
        <v>0</v>
      </c>
      <c r="U133" t="s">
        <v>125</v>
      </c>
      <c r="V133" t="s">
        <v>126</v>
      </c>
      <c r="W133">
        <v>0.1</v>
      </c>
      <c r="Y133">
        <v>2.85</v>
      </c>
      <c r="Z133">
        <v>14.3</v>
      </c>
      <c r="AC133" t="s">
        <v>90</v>
      </c>
      <c r="AD133">
        <v>450</v>
      </c>
      <c r="AF133" t="s">
        <v>91</v>
      </c>
      <c r="AH133" s="3">
        <v>8300</v>
      </c>
      <c r="AI133" s="3">
        <f>AH133/(AD133*Y133*Z133)</f>
        <v>0.45256887362150522</v>
      </c>
      <c r="AJ133" s="3">
        <f t="shared" si="2"/>
        <v>-0.79281532052609682</v>
      </c>
      <c r="AK133" t="s">
        <v>972</v>
      </c>
      <c r="AN133" t="b">
        <v>1</v>
      </c>
      <c r="AO133" t="b">
        <v>0</v>
      </c>
      <c r="AP133" t="b">
        <v>0</v>
      </c>
      <c r="AQ133" t="b">
        <v>0</v>
      </c>
      <c r="AR133" t="s">
        <v>1226</v>
      </c>
      <c r="AU133">
        <v>11.744037185933619</v>
      </c>
      <c r="AV133">
        <v>1.510204081632653</v>
      </c>
      <c r="AW133">
        <v>1.2653061224489801</v>
      </c>
      <c r="AX133">
        <v>0.1224489795918367</v>
      </c>
      <c r="AY133">
        <v>0.16326530612244899</v>
      </c>
      <c r="AZ133">
        <v>0.49333333333333329</v>
      </c>
      <c r="BA133">
        <v>0.41333333333333339</v>
      </c>
      <c r="BB133">
        <v>0.04</v>
      </c>
      <c r="BC133">
        <v>5.333333333333333E-2</v>
      </c>
      <c r="BD133">
        <v>6.6971257268453872</v>
      </c>
      <c r="BE133">
        <v>20</v>
      </c>
      <c r="BF133">
        <v>733.37308460000008</v>
      </c>
      <c r="BG133">
        <v>2</v>
      </c>
      <c r="BH133">
        <v>5.4542497999932729E-2</v>
      </c>
      <c r="BI133">
        <v>3.8530000000000002</v>
      </c>
      <c r="BJ133">
        <v>3.8530000000000002</v>
      </c>
      <c r="BK133">
        <v>49.4</v>
      </c>
      <c r="BL133">
        <v>0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U133">
        <v>0</v>
      </c>
      <c r="BV133">
        <v>0</v>
      </c>
      <c r="BW133">
        <v>0</v>
      </c>
      <c r="BX133">
        <v>357.04353880000002</v>
      </c>
      <c r="BY133">
        <v>5.6015577448113731E-2</v>
      </c>
      <c r="BZ133">
        <v>10</v>
      </c>
      <c r="CA133">
        <v>2.8007788724056869E-2</v>
      </c>
      <c r="CB133">
        <v>2.7271248999966361E-2</v>
      </c>
      <c r="CE133">
        <v>0.33005342247707181</v>
      </c>
      <c r="CH133">
        <v>0.33896747906196412</v>
      </c>
    </row>
    <row r="134" spans="1:86" x14ac:dyDescent="0.3">
      <c r="A134" s="1">
        <v>750</v>
      </c>
      <c r="B134" t="s">
        <v>1258</v>
      </c>
      <c r="C134" t="s">
        <v>1259</v>
      </c>
      <c r="E134" t="s">
        <v>404</v>
      </c>
      <c r="F134">
        <v>2.2999999999999998</v>
      </c>
      <c r="G134" t="s">
        <v>899</v>
      </c>
      <c r="H134" t="s">
        <v>900</v>
      </c>
      <c r="I134" t="s">
        <v>901</v>
      </c>
      <c r="J134">
        <v>2</v>
      </c>
      <c r="K134">
        <v>3.8</v>
      </c>
      <c r="L134">
        <v>3.8</v>
      </c>
      <c r="M134">
        <v>27.3</v>
      </c>
      <c r="N134" t="s">
        <v>206</v>
      </c>
      <c r="O134">
        <v>13.65</v>
      </c>
      <c r="Q134" t="s">
        <v>87</v>
      </c>
      <c r="R134">
        <v>1373</v>
      </c>
      <c r="S134">
        <v>12</v>
      </c>
      <c r="T134" t="b">
        <v>0</v>
      </c>
      <c r="U134" t="s">
        <v>125</v>
      </c>
      <c r="V134" t="s">
        <v>126</v>
      </c>
      <c r="W134">
        <v>1</v>
      </c>
      <c r="X134">
        <v>3.2</v>
      </c>
      <c r="Y134">
        <v>0.5</v>
      </c>
      <c r="Z134">
        <v>1</v>
      </c>
      <c r="AC134" t="s">
        <v>90</v>
      </c>
      <c r="AD134">
        <v>125</v>
      </c>
      <c r="AE134">
        <v>220</v>
      </c>
      <c r="AF134" t="s">
        <v>91</v>
      </c>
      <c r="AG134">
        <v>288</v>
      </c>
      <c r="AH134" s="3">
        <v>26</v>
      </c>
      <c r="AI134" s="3">
        <f>AH134/(AD134*Y134*Z134)</f>
        <v>0.41599999999999998</v>
      </c>
      <c r="AJ134" s="3">
        <f t="shared" si="2"/>
        <v>-0.87707001872087387</v>
      </c>
      <c r="AK134" t="s">
        <v>972</v>
      </c>
      <c r="AN134" t="b">
        <v>1</v>
      </c>
      <c r="AO134" t="b">
        <v>0</v>
      </c>
      <c r="AP134" t="b">
        <v>0</v>
      </c>
      <c r="AQ134" t="b">
        <v>0</v>
      </c>
      <c r="AR134" t="s">
        <v>1227</v>
      </c>
      <c r="AU134">
        <v>11.64395372737663</v>
      </c>
      <c r="AV134">
        <v>1.510204081632653</v>
      </c>
      <c r="AW134">
        <v>1.2653061224489801</v>
      </c>
      <c r="AX134">
        <v>0.1224489795918367</v>
      </c>
      <c r="AY134">
        <v>0.16326530612244899</v>
      </c>
      <c r="AZ134">
        <v>0.49333333333333329</v>
      </c>
      <c r="BA134">
        <v>0.41333333333333339</v>
      </c>
      <c r="BB134">
        <v>0.04</v>
      </c>
      <c r="BC134">
        <v>5.333333333333333E-2</v>
      </c>
      <c r="BD134">
        <v>6.6971257268453872</v>
      </c>
      <c r="BE134">
        <v>20</v>
      </c>
      <c r="BF134">
        <v>733.37308460000008</v>
      </c>
      <c r="BG134">
        <v>2</v>
      </c>
      <c r="BH134">
        <v>5.4542497999932729E-2</v>
      </c>
      <c r="BI134">
        <v>3.8530000000000002</v>
      </c>
      <c r="BJ134">
        <v>3.8530000000000002</v>
      </c>
      <c r="BK134">
        <v>49.4</v>
      </c>
      <c r="BL134">
        <v>0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U134">
        <v>0</v>
      </c>
      <c r="BV134">
        <v>0</v>
      </c>
      <c r="BW134">
        <v>0</v>
      </c>
      <c r="BX134">
        <v>357.04353880000002</v>
      </c>
      <c r="BY134">
        <v>5.6015577448113731E-2</v>
      </c>
      <c r="BZ134">
        <v>10</v>
      </c>
      <c r="CA134">
        <v>2.8007788724056869E-2</v>
      </c>
      <c r="CB134">
        <v>2.7271248999966361E-2</v>
      </c>
      <c r="CE134">
        <v>0.33005342247707181</v>
      </c>
      <c r="CH134">
        <v>0.33896747906196412</v>
      </c>
    </row>
    <row r="135" spans="1:86" x14ac:dyDescent="0.3">
      <c r="A135" s="1">
        <v>755</v>
      </c>
      <c r="B135" t="s">
        <v>1283</v>
      </c>
      <c r="C135" t="s">
        <v>1284</v>
      </c>
      <c r="E135" t="s">
        <v>404</v>
      </c>
      <c r="F135">
        <v>1.4</v>
      </c>
      <c r="G135" t="s">
        <v>899</v>
      </c>
      <c r="H135" t="s">
        <v>900</v>
      </c>
      <c r="I135" t="s">
        <v>901</v>
      </c>
      <c r="J135">
        <v>2</v>
      </c>
      <c r="K135">
        <v>3.8</v>
      </c>
      <c r="L135">
        <v>3.8</v>
      </c>
      <c r="M135">
        <v>27.3</v>
      </c>
      <c r="N135" t="s">
        <v>206</v>
      </c>
      <c r="O135">
        <v>13.65</v>
      </c>
      <c r="Q135" t="s">
        <v>87</v>
      </c>
      <c r="R135">
        <v>1373</v>
      </c>
      <c r="S135">
        <v>12</v>
      </c>
      <c r="T135" t="b">
        <v>0</v>
      </c>
      <c r="U135" t="s">
        <v>125</v>
      </c>
      <c r="V135" t="s">
        <v>126</v>
      </c>
      <c r="W135">
        <v>1</v>
      </c>
      <c r="X135">
        <v>3.2</v>
      </c>
      <c r="Y135">
        <v>0.5</v>
      </c>
      <c r="Z135">
        <v>1</v>
      </c>
      <c r="AC135" t="s">
        <v>90</v>
      </c>
      <c r="AD135">
        <v>125</v>
      </c>
      <c r="AE135">
        <v>220</v>
      </c>
      <c r="AF135" t="s">
        <v>91</v>
      </c>
      <c r="AG135">
        <v>288</v>
      </c>
      <c r="AH135" s="3">
        <v>26</v>
      </c>
      <c r="AI135" s="3">
        <f>AH135/(AD135*Y135*Z135)</f>
        <v>0.41599999999999998</v>
      </c>
      <c r="AJ135" s="3">
        <f t="shared" si="2"/>
        <v>-0.87707001872087387</v>
      </c>
      <c r="AK135" t="s">
        <v>972</v>
      </c>
      <c r="AN135" t="b">
        <v>1</v>
      </c>
      <c r="AO135" t="b">
        <v>0</v>
      </c>
      <c r="AP135" t="b">
        <v>0</v>
      </c>
      <c r="AQ135" t="b">
        <v>0</v>
      </c>
      <c r="AR135" t="s">
        <v>1228</v>
      </c>
      <c r="AU135">
        <v>11.30220443365458</v>
      </c>
      <c r="AV135">
        <v>1.510204081632653</v>
      </c>
      <c r="AW135">
        <v>1.2653061224489801</v>
      </c>
      <c r="AX135">
        <v>0.1224489795918367</v>
      </c>
      <c r="AY135">
        <v>0.16326530612244899</v>
      </c>
      <c r="AZ135">
        <v>0.49333333333333329</v>
      </c>
      <c r="BA135">
        <v>0.41333333333333339</v>
      </c>
      <c r="BB135">
        <v>0.04</v>
      </c>
      <c r="BC135">
        <v>5.333333333333333E-2</v>
      </c>
      <c r="BD135">
        <v>6.6971257268453872</v>
      </c>
      <c r="BE135">
        <v>20</v>
      </c>
      <c r="BF135">
        <v>733.37308460000008</v>
      </c>
      <c r="BG135">
        <v>2</v>
      </c>
      <c r="BH135">
        <v>5.4542497999932729E-2</v>
      </c>
      <c r="BI135">
        <v>3.8530000000000002</v>
      </c>
      <c r="BJ135">
        <v>3.8530000000000002</v>
      </c>
      <c r="BK135">
        <v>49.4</v>
      </c>
      <c r="BL135">
        <v>0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U135">
        <v>0</v>
      </c>
      <c r="BV135">
        <v>0</v>
      </c>
      <c r="BW135">
        <v>0</v>
      </c>
      <c r="BX135">
        <v>357.04353880000002</v>
      </c>
      <c r="BY135">
        <v>5.6015577448113731E-2</v>
      </c>
      <c r="BZ135">
        <v>10</v>
      </c>
      <c r="CA135">
        <v>2.8007788724056869E-2</v>
      </c>
      <c r="CB135">
        <v>2.7271248999966361E-2</v>
      </c>
      <c r="CE135">
        <v>0.33005342247707181</v>
      </c>
      <c r="CH135">
        <v>0.33896747906196412</v>
      </c>
    </row>
    <row r="136" spans="1:86" x14ac:dyDescent="0.3">
      <c r="A136" s="1">
        <v>492</v>
      </c>
      <c r="B136" t="s">
        <v>934</v>
      </c>
      <c r="C136" t="s">
        <v>935</v>
      </c>
      <c r="E136" t="s">
        <v>106</v>
      </c>
      <c r="F136">
        <v>3.26</v>
      </c>
      <c r="G136" t="s">
        <v>108</v>
      </c>
      <c r="H136" t="s">
        <v>109</v>
      </c>
      <c r="I136">
        <v>-1</v>
      </c>
      <c r="J136">
        <v>1</v>
      </c>
      <c r="K136">
        <v>3.86</v>
      </c>
      <c r="L136">
        <v>3.86</v>
      </c>
      <c r="M136">
        <v>14.90953814274822</v>
      </c>
      <c r="O136">
        <v>14.90953814274822</v>
      </c>
      <c r="Q136" t="s">
        <v>467</v>
      </c>
      <c r="R136">
        <v>1273</v>
      </c>
      <c r="S136">
        <v>2</v>
      </c>
      <c r="T136" t="b">
        <v>0</v>
      </c>
      <c r="U136" t="s">
        <v>125</v>
      </c>
      <c r="V136" t="s">
        <v>126</v>
      </c>
      <c r="W136">
        <v>0.5</v>
      </c>
      <c r="X136">
        <v>39</v>
      </c>
      <c r="Y136">
        <v>0.25</v>
      </c>
      <c r="Z136">
        <v>10</v>
      </c>
      <c r="AC136" t="s">
        <v>165</v>
      </c>
      <c r="AD136">
        <v>300</v>
      </c>
      <c r="AE136">
        <v>300</v>
      </c>
      <c r="AF136" t="s">
        <v>407</v>
      </c>
      <c r="AG136">
        <v>293</v>
      </c>
      <c r="AH136" s="3">
        <v>312</v>
      </c>
      <c r="AI136" s="3">
        <f>AH136/(AD136*Y136*Z136)</f>
        <v>0.41599999999999998</v>
      </c>
      <c r="AJ136" s="3">
        <f t="shared" si="2"/>
        <v>-0.87707001872087387</v>
      </c>
      <c r="AN136" t="b">
        <v>1</v>
      </c>
      <c r="AO136" t="b">
        <v>1</v>
      </c>
      <c r="AP136" t="b">
        <v>0</v>
      </c>
      <c r="AQ136" t="b">
        <v>0</v>
      </c>
      <c r="AR136" t="s">
        <v>108</v>
      </c>
      <c r="AS136" t="s">
        <v>109</v>
      </c>
      <c r="AU136">
        <v>5.2983173665480363</v>
      </c>
      <c r="AV136">
        <v>1.75</v>
      </c>
      <c r="AW136">
        <v>2.5</v>
      </c>
      <c r="AX136">
        <v>0.75</v>
      </c>
      <c r="AY136">
        <v>0</v>
      </c>
      <c r="AZ136">
        <v>0.35</v>
      </c>
      <c r="BA136">
        <v>0.5</v>
      </c>
      <c r="BB136">
        <v>0.15</v>
      </c>
      <c r="BC136">
        <v>0</v>
      </c>
      <c r="BD136">
        <v>5.9668120809374994</v>
      </c>
      <c r="BE136">
        <v>20</v>
      </c>
      <c r="BF136">
        <v>924.74694800021894</v>
      </c>
      <c r="BG136">
        <v>4</v>
      </c>
      <c r="BH136">
        <v>8.6510153045653584E-2</v>
      </c>
      <c r="BI136">
        <v>7.8084429999999996</v>
      </c>
      <c r="BJ136">
        <v>7.8548809999999998</v>
      </c>
      <c r="BK136">
        <v>15.19056011</v>
      </c>
      <c r="BL136">
        <v>883.22940750240002</v>
      </c>
      <c r="BM136">
        <v>4</v>
      </c>
      <c r="BN136">
        <v>9.0576694254581439E-2</v>
      </c>
      <c r="BO136">
        <v>3.8801999999999999</v>
      </c>
      <c r="BP136">
        <v>29.507999999999999</v>
      </c>
      <c r="BQ136">
        <v>7.7140000000000004</v>
      </c>
      <c r="BR136">
        <v>0</v>
      </c>
      <c r="BS136">
        <v>0</v>
      </c>
      <c r="BU136">
        <v>0</v>
      </c>
      <c r="BV136">
        <v>0</v>
      </c>
      <c r="BW136">
        <v>0</v>
      </c>
      <c r="BZ136">
        <v>10</v>
      </c>
      <c r="CB136">
        <v>4.3255076522826792E-2</v>
      </c>
      <c r="CC136">
        <v>4.5288347127290719E-2</v>
      </c>
      <c r="CE136">
        <v>0.50555206026575006</v>
      </c>
      <c r="CF136">
        <v>0.52931630311992839</v>
      </c>
    </row>
    <row r="137" spans="1:86" x14ac:dyDescent="0.3">
      <c r="A137" s="1">
        <v>261</v>
      </c>
      <c r="B137" t="s">
        <v>659</v>
      </c>
      <c r="C137" t="s">
        <v>660</v>
      </c>
      <c r="E137" t="s">
        <v>106</v>
      </c>
      <c r="F137">
        <v>3.14</v>
      </c>
      <c r="G137" t="s">
        <v>113</v>
      </c>
      <c r="H137" t="s">
        <v>114</v>
      </c>
      <c r="I137">
        <v>-1</v>
      </c>
      <c r="Q137" t="s">
        <v>87</v>
      </c>
      <c r="R137">
        <v>1373</v>
      </c>
      <c r="S137">
        <v>50</v>
      </c>
      <c r="T137" t="b">
        <v>0</v>
      </c>
      <c r="U137" t="s">
        <v>125</v>
      </c>
      <c r="V137" t="s">
        <v>126</v>
      </c>
      <c r="W137">
        <v>1</v>
      </c>
      <c r="X137">
        <v>2.1</v>
      </c>
      <c r="Y137">
        <v>1.67</v>
      </c>
      <c r="Z137">
        <v>20</v>
      </c>
      <c r="AC137" t="s">
        <v>165</v>
      </c>
      <c r="AD137">
        <v>1000</v>
      </c>
      <c r="AE137">
        <v>230</v>
      </c>
      <c r="AF137" t="s">
        <v>653</v>
      </c>
      <c r="AH137" s="3">
        <v>13616</v>
      </c>
      <c r="AI137" s="3">
        <f>AH137/(AD137*Y137*Z137)</f>
        <v>0.40766467065868262</v>
      </c>
      <c r="AJ137" s="3">
        <f t="shared" si="2"/>
        <v>-0.89731032815163647</v>
      </c>
      <c r="AK137" t="s">
        <v>144</v>
      </c>
      <c r="AL137" t="s">
        <v>144</v>
      </c>
      <c r="AN137" t="b">
        <v>1</v>
      </c>
      <c r="AO137" t="b">
        <v>1</v>
      </c>
      <c r="AP137" t="b">
        <v>0</v>
      </c>
      <c r="AQ137" t="b">
        <v>0</v>
      </c>
      <c r="AR137" t="s">
        <v>1231</v>
      </c>
      <c r="AS137" t="s">
        <v>1232</v>
      </c>
      <c r="AU137">
        <v>10.11859893215307</v>
      </c>
      <c r="AV137">
        <v>1.75</v>
      </c>
      <c r="AW137">
        <v>2.5</v>
      </c>
      <c r="AX137">
        <v>0.75</v>
      </c>
      <c r="AY137">
        <v>0</v>
      </c>
      <c r="AZ137">
        <v>0.35</v>
      </c>
      <c r="BA137">
        <v>0.5</v>
      </c>
      <c r="BB137">
        <v>0.15</v>
      </c>
      <c r="BC137">
        <v>0</v>
      </c>
      <c r="BD137">
        <v>6.2640154224906874</v>
      </c>
      <c r="BE137">
        <v>20</v>
      </c>
      <c r="BF137">
        <v>242.1279024923125</v>
      </c>
      <c r="BG137">
        <v>1</v>
      </c>
      <c r="BH137">
        <v>8.2600971611006269E-2</v>
      </c>
      <c r="BI137">
        <v>3.950634</v>
      </c>
      <c r="BJ137">
        <v>3.950634</v>
      </c>
      <c r="BK137">
        <v>15.513552000000001</v>
      </c>
      <c r="BL137">
        <v>227.970829547178</v>
      </c>
      <c r="BM137">
        <v>1</v>
      </c>
      <c r="BN137">
        <v>8.7730522539775438E-2</v>
      </c>
      <c r="BO137">
        <v>3.8658999999999999</v>
      </c>
      <c r="BP137">
        <v>3.8658999999999999</v>
      </c>
      <c r="BQ137">
        <v>15.2538</v>
      </c>
      <c r="BR137">
        <v>0</v>
      </c>
      <c r="BS137">
        <v>0</v>
      </c>
      <c r="BU137">
        <v>0</v>
      </c>
      <c r="BV137">
        <v>0</v>
      </c>
      <c r="BW137">
        <v>0</v>
      </c>
      <c r="BX137">
        <v>233.33247600000001</v>
      </c>
      <c r="BY137">
        <v>8.5714600654218404E-2</v>
      </c>
      <c r="BZ137">
        <v>10</v>
      </c>
      <c r="CA137">
        <v>4.2857300327109202E-2</v>
      </c>
      <c r="CB137">
        <v>4.1300485805503127E-2</v>
      </c>
      <c r="CC137">
        <v>4.3865261269887719E-2</v>
      </c>
      <c r="CE137">
        <v>0.42195359024583579</v>
      </c>
      <c r="CF137">
        <v>0.44815706447294301</v>
      </c>
      <c r="CH137">
        <v>0.43785905634209682</v>
      </c>
    </row>
    <row r="138" spans="1:86" x14ac:dyDescent="0.3">
      <c r="A138" s="1">
        <v>17</v>
      </c>
      <c r="B138" t="s">
        <v>128</v>
      </c>
      <c r="C138" t="s">
        <v>129</v>
      </c>
      <c r="E138" t="s">
        <v>130</v>
      </c>
      <c r="F138">
        <v>3</v>
      </c>
      <c r="G138" t="s">
        <v>131</v>
      </c>
      <c r="H138" t="s">
        <v>132</v>
      </c>
      <c r="I138">
        <v>-1</v>
      </c>
      <c r="O138">
        <v>0</v>
      </c>
      <c r="P138" t="s">
        <v>133</v>
      </c>
      <c r="Q138" t="s">
        <v>87</v>
      </c>
      <c r="T138" t="b">
        <v>0</v>
      </c>
      <c r="U138" t="s">
        <v>125</v>
      </c>
      <c r="V138" t="s">
        <v>126</v>
      </c>
      <c r="W138">
        <v>0.1</v>
      </c>
      <c r="Y138">
        <v>2.85</v>
      </c>
      <c r="Z138">
        <v>14.3</v>
      </c>
      <c r="AC138" t="s">
        <v>90</v>
      </c>
      <c r="AD138">
        <v>450</v>
      </c>
      <c r="AF138" t="s">
        <v>91</v>
      </c>
      <c r="AH138" s="3">
        <v>7400</v>
      </c>
      <c r="AI138" s="3">
        <f>AH138/(AD138*Y138*Z138)</f>
        <v>0.40349514033724559</v>
      </c>
      <c r="AJ138" s="3">
        <f t="shared" si="2"/>
        <v>-0.90759083511852512</v>
      </c>
      <c r="AK138" t="s">
        <v>1235</v>
      </c>
      <c r="AN138" t="b">
        <v>1</v>
      </c>
      <c r="AO138" t="b">
        <v>0</v>
      </c>
      <c r="AP138" t="b">
        <v>0</v>
      </c>
      <c r="AQ138" t="b">
        <v>0</v>
      </c>
      <c r="AR138" t="s">
        <v>1236</v>
      </c>
      <c r="AS138" t="s">
        <v>900</v>
      </c>
      <c r="AT138" t="s">
        <v>901</v>
      </c>
      <c r="AU138">
        <v>5.9661467391236922</v>
      </c>
      <c r="AV138">
        <v>1.882352941176471</v>
      </c>
      <c r="AW138">
        <v>2.3529411764705879</v>
      </c>
      <c r="AX138">
        <v>0.47058823529411759</v>
      </c>
      <c r="AY138">
        <v>0</v>
      </c>
      <c r="AZ138">
        <v>0.4</v>
      </c>
      <c r="BA138">
        <v>0.5</v>
      </c>
      <c r="BB138">
        <v>9.9999999999999992E-2</v>
      </c>
      <c r="BC138">
        <v>0</v>
      </c>
      <c r="BD138">
        <v>6.096395612399494</v>
      </c>
      <c r="BE138">
        <v>20</v>
      </c>
      <c r="BF138">
        <v>216.40687730768099</v>
      </c>
      <c r="BG138">
        <v>1</v>
      </c>
      <c r="BH138">
        <v>9.2418504665009241E-2</v>
      </c>
      <c r="BI138">
        <v>14.696413339999999</v>
      </c>
      <c r="BJ138">
        <v>14.696413339999999</v>
      </c>
      <c r="BK138">
        <v>14.696413339999999</v>
      </c>
      <c r="BL138">
        <v>420.30120210079798</v>
      </c>
      <c r="BM138">
        <v>2</v>
      </c>
      <c r="BN138">
        <v>9.516984438794697E-2</v>
      </c>
      <c r="BO138">
        <v>3.83528</v>
      </c>
      <c r="BP138">
        <v>3.83528</v>
      </c>
      <c r="BQ138">
        <v>28.573699999999999</v>
      </c>
      <c r="BR138">
        <v>0</v>
      </c>
      <c r="BS138">
        <v>0</v>
      </c>
      <c r="BU138">
        <v>0</v>
      </c>
      <c r="BV138">
        <v>0</v>
      </c>
      <c r="BW138">
        <v>0</v>
      </c>
      <c r="BX138">
        <v>394.21199999999999</v>
      </c>
      <c r="BY138">
        <v>0.10146824551256679</v>
      </c>
      <c r="BZ138">
        <v>10</v>
      </c>
      <c r="CA138">
        <v>5.0734122756283417E-2</v>
      </c>
      <c r="CB138">
        <v>4.620925233250462E-2</v>
      </c>
      <c r="CC138">
        <v>4.7584922193973478E-2</v>
      </c>
      <c r="CE138">
        <v>0.4916537018067928</v>
      </c>
      <c r="CF138">
        <v>0.50629044976775128</v>
      </c>
      <c r="CH138">
        <v>0.53979707530349053</v>
      </c>
    </row>
    <row r="139" spans="1:86" x14ac:dyDescent="0.3">
      <c r="A139" s="1">
        <v>491</v>
      </c>
      <c r="B139" t="s">
        <v>929</v>
      </c>
      <c r="C139" t="s">
        <v>930</v>
      </c>
      <c r="E139" t="s">
        <v>106</v>
      </c>
      <c r="F139">
        <v>3.65</v>
      </c>
      <c r="G139" t="s">
        <v>108</v>
      </c>
      <c r="H139" t="s">
        <v>109</v>
      </c>
      <c r="I139">
        <v>-1</v>
      </c>
      <c r="J139">
        <v>1</v>
      </c>
      <c r="K139">
        <v>3.86</v>
      </c>
      <c r="L139">
        <v>3.86</v>
      </c>
      <c r="M139">
        <v>14.582394405034419</v>
      </c>
      <c r="O139">
        <v>14.582394405034419</v>
      </c>
      <c r="Q139" t="s">
        <v>467</v>
      </c>
      <c r="R139">
        <v>1273</v>
      </c>
      <c r="S139">
        <v>2</v>
      </c>
      <c r="T139" t="b">
        <v>0</v>
      </c>
      <c r="U139" t="s">
        <v>125</v>
      </c>
      <c r="V139" t="s">
        <v>126</v>
      </c>
      <c r="W139">
        <v>0.5</v>
      </c>
      <c r="X139">
        <v>48</v>
      </c>
      <c r="Y139">
        <v>0.25</v>
      </c>
      <c r="Z139">
        <v>10</v>
      </c>
      <c r="AC139" t="s">
        <v>165</v>
      </c>
      <c r="AD139">
        <v>300</v>
      </c>
      <c r="AE139">
        <v>300</v>
      </c>
      <c r="AF139" t="s">
        <v>407</v>
      </c>
      <c r="AG139">
        <v>293</v>
      </c>
      <c r="AH139" s="3">
        <v>283.99999999999989</v>
      </c>
      <c r="AI139" s="3">
        <f>AH139/(AD139*Y139*Z139)</f>
        <v>0.37866666666666654</v>
      </c>
      <c r="AJ139" s="3">
        <f t="shared" si="2"/>
        <v>-0.97109896836915044</v>
      </c>
      <c r="AK139" t="s">
        <v>1239</v>
      </c>
      <c r="AL139" t="s">
        <v>1239</v>
      </c>
      <c r="AM139" t="s">
        <v>1239</v>
      </c>
      <c r="AN139" t="b">
        <v>1</v>
      </c>
      <c r="AO139" t="b">
        <v>1</v>
      </c>
      <c r="AP139" t="b">
        <v>0</v>
      </c>
      <c r="AQ139" t="b">
        <v>0</v>
      </c>
      <c r="AR139" t="s">
        <v>1240</v>
      </c>
      <c r="AS139" t="s">
        <v>1241</v>
      </c>
      <c r="AT139" t="s">
        <v>1242</v>
      </c>
      <c r="AU139">
        <v>6.2841341610708019</v>
      </c>
      <c r="AV139">
        <v>1.882352941176471</v>
      </c>
      <c r="AW139">
        <v>2.3529411764705879</v>
      </c>
      <c r="AX139">
        <v>0.47094117647058831</v>
      </c>
      <c r="AY139">
        <v>0</v>
      </c>
      <c r="AZ139">
        <v>0.39997000224983131</v>
      </c>
      <c r="BA139">
        <v>0.4999625028122891</v>
      </c>
      <c r="BB139">
        <v>0.1000674949378797</v>
      </c>
      <c r="BC139">
        <v>0</v>
      </c>
      <c r="BD139">
        <v>6.0963962225759643</v>
      </c>
      <c r="BE139">
        <v>20</v>
      </c>
      <c r="BF139">
        <v>216.40687730768099</v>
      </c>
      <c r="BG139">
        <v>1</v>
      </c>
      <c r="BH139">
        <v>9.2418504665009241E-2</v>
      </c>
      <c r="BI139">
        <v>14.696413339999999</v>
      </c>
      <c r="BJ139">
        <v>14.696413339999999</v>
      </c>
      <c r="BK139">
        <v>14.696413339999999</v>
      </c>
      <c r="BL139">
        <v>420.30120210079798</v>
      </c>
      <c r="BM139">
        <v>1</v>
      </c>
      <c r="BN139">
        <v>4.7584922193973478E-2</v>
      </c>
      <c r="BO139">
        <v>3.83528</v>
      </c>
      <c r="BP139">
        <v>3.83528</v>
      </c>
      <c r="BQ139">
        <v>28.573699999999999</v>
      </c>
      <c r="BR139">
        <v>0</v>
      </c>
      <c r="BS139">
        <v>0</v>
      </c>
      <c r="BU139">
        <v>0</v>
      </c>
      <c r="BV139">
        <v>0</v>
      </c>
      <c r="BW139">
        <v>0</v>
      </c>
      <c r="BX139">
        <v>394.21199999999999</v>
      </c>
      <c r="BY139">
        <v>0.10146824551256679</v>
      </c>
      <c r="BZ139">
        <v>10</v>
      </c>
      <c r="CA139">
        <v>5.0734122756283417E-2</v>
      </c>
      <c r="CB139">
        <v>4.620925233250462E-2</v>
      </c>
      <c r="CC139">
        <v>2.3792461096986739E-2</v>
      </c>
      <c r="CE139">
        <v>0.4916730261249701</v>
      </c>
      <c r="CF139">
        <v>0.25315517468970999</v>
      </c>
      <c r="CH139">
        <v>0.53981829188417729</v>
      </c>
    </row>
    <row r="140" spans="1:86" x14ac:dyDescent="0.3">
      <c r="A140" s="1">
        <v>753</v>
      </c>
      <c r="B140" t="s">
        <v>1273</v>
      </c>
      <c r="C140" t="s">
        <v>1274</v>
      </c>
      <c r="E140" t="s">
        <v>404</v>
      </c>
      <c r="F140">
        <v>1.55</v>
      </c>
      <c r="G140" t="s">
        <v>899</v>
      </c>
      <c r="H140" t="s">
        <v>900</v>
      </c>
      <c r="I140" t="s">
        <v>901</v>
      </c>
      <c r="J140">
        <v>2</v>
      </c>
      <c r="K140">
        <v>3.8</v>
      </c>
      <c r="L140">
        <v>3.8</v>
      </c>
      <c r="M140">
        <v>27.8</v>
      </c>
      <c r="N140" t="s">
        <v>206</v>
      </c>
      <c r="O140">
        <v>13.9</v>
      </c>
      <c r="Q140" t="s">
        <v>87</v>
      </c>
      <c r="R140">
        <v>1373</v>
      </c>
      <c r="S140">
        <v>12</v>
      </c>
      <c r="T140" t="b">
        <v>0</v>
      </c>
      <c r="U140" t="s">
        <v>125</v>
      </c>
      <c r="V140" t="s">
        <v>126</v>
      </c>
      <c r="W140">
        <v>1</v>
      </c>
      <c r="X140">
        <v>3.2</v>
      </c>
      <c r="Y140">
        <v>0.5</v>
      </c>
      <c r="Z140">
        <v>1</v>
      </c>
      <c r="AC140" t="s">
        <v>90</v>
      </c>
      <c r="AD140">
        <v>125</v>
      </c>
      <c r="AE140">
        <v>220</v>
      </c>
      <c r="AF140" t="s">
        <v>91</v>
      </c>
      <c r="AG140">
        <v>288</v>
      </c>
      <c r="AH140" s="3">
        <v>22</v>
      </c>
      <c r="AI140" s="3">
        <f>AH140/(AD140*Y140*Z140)</f>
        <v>0.35199999999999998</v>
      </c>
      <c r="AJ140" s="3">
        <f t="shared" si="2"/>
        <v>-1.04412410338404</v>
      </c>
      <c r="AK140" t="s">
        <v>1245</v>
      </c>
      <c r="AL140" t="s">
        <v>1245</v>
      </c>
      <c r="AM140" t="s">
        <v>1245</v>
      </c>
      <c r="AN140" t="b">
        <v>1</v>
      </c>
      <c r="AO140" t="b">
        <v>1</v>
      </c>
      <c r="AP140" t="b">
        <v>0</v>
      </c>
      <c r="AQ140" t="b">
        <v>0</v>
      </c>
      <c r="AR140" t="s">
        <v>1246</v>
      </c>
      <c r="AS140" t="s">
        <v>1247</v>
      </c>
      <c r="AT140" t="s">
        <v>1242</v>
      </c>
      <c r="AU140">
        <v>6.1737861039019366</v>
      </c>
      <c r="AV140">
        <v>1.882352941176471</v>
      </c>
      <c r="AW140">
        <v>2.3529411764705879</v>
      </c>
      <c r="AX140">
        <v>0.47147058823529409</v>
      </c>
      <c r="AY140">
        <v>0</v>
      </c>
      <c r="AZ140">
        <v>0.39992501405986369</v>
      </c>
      <c r="BA140">
        <v>0.4999062675748297</v>
      </c>
      <c r="BB140">
        <v>0.1001687183653065</v>
      </c>
      <c r="BC140">
        <v>0</v>
      </c>
      <c r="BD140">
        <v>6.0963971378406701</v>
      </c>
      <c r="BE140">
        <v>20</v>
      </c>
      <c r="BF140">
        <v>216.40687730768099</v>
      </c>
      <c r="BG140">
        <v>1</v>
      </c>
      <c r="BH140">
        <v>9.2418504665009241E-2</v>
      </c>
      <c r="BI140">
        <v>14.696413339999999</v>
      </c>
      <c r="BJ140">
        <v>14.696413339999999</v>
      </c>
      <c r="BK140">
        <v>14.696413339999999</v>
      </c>
      <c r="BL140">
        <v>420.30120210079798</v>
      </c>
      <c r="BM140">
        <v>1</v>
      </c>
      <c r="BN140">
        <v>4.7584922193973478E-2</v>
      </c>
      <c r="BO140">
        <v>3.83528</v>
      </c>
      <c r="BP140">
        <v>3.83528</v>
      </c>
      <c r="BQ140">
        <v>28.573699999999999</v>
      </c>
      <c r="BR140">
        <v>0</v>
      </c>
      <c r="BS140">
        <v>0</v>
      </c>
      <c r="BU140">
        <v>0</v>
      </c>
      <c r="BV140">
        <v>0</v>
      </c>
      <c r="BW140">
        <v>0</v>
      </c>
      <c r="BX140">
        <v>394.21199999999999</v>
      </c>
      <c r="BY140">
        <v>0.10146824551256679</v>
      </c>
      <c r="BZ140">
        <v>10</v>
      </c>
      <c r="CA140">
        <v>5.0734122756283417E-2</v>
      </c>
      <c r="CB140">
        <v>4.620925233250462E-2</v>
      </c>
      <c r="CC140">
        <v>2.3792461096986739E-2</v>
      </c>
      <c r="CE140">
        <v>0.49170201260223612</v>
      </c>
      <c r="CF140">
        <v>0.25317009939846158</v>
      </c>
      <c r="CH140">
        <v>0.53985011675520755</v>
      </c>
    </row>
    <row r="141" spans="1:86" x14ac:dyDescent="0.3">
      <c r="A141" s="1">
        <v>493</v>
      </c>
      <c r="B141" t="s">
        <v>939</v>
      </c>
      <c r="C141" t="s">
        <v>940</v>
      </c>
      <c r="E141" t="s">
        <v>106</v>
      </c>
      <c r="F141">
        <v>3.2</v>
      </c>
      <c r="G141" t="s">
        <v>108</v>
      </c>
      <c r="H141" t="s">
        <v>109</v>
      </c>
      <c r="I141">
        <v>-1</v>
      </c>
      <c r="J141">
        <v>1</v>
      </c>
      <c r="K141">
        <v>3.86</v>
      </c>
      <c r="L141">
        <v>3.86</v>
      </c>
      <c r="M141">
        <v>15.0133716126793</v>
      </c>
      <c r="O141">
        <v>15.0133716126793</v>
      </c>
      <c r="Q141" t="s">
        <v>467</v>
      </c>
      <c r="R141">
        <v>1273</v>
      </c>
      <c r="S141">
        <v>2</v>
      </c>
      <c r="T141" t="b">
        <v>0</v>
      </c>
      <c r="U141" t="s">
        <v>125</v>
      </c>
      <c r="V141" t="s">
        <v>126</v>
      </c>
      <c r="W141">
        <v>0.5</v>
      </c>
      <c r="X141">
        <v>29</v>
      </c>
      <c r="Y141">
        <v>0.25</v>
      </c>
      <c r="Z141">
        <v>10</v>
      </c>
      <c r="AC141" t="s">
        <v>165</v>
      </c>
      <c r="AD141">
        <v>300</v>
      </c>
      <c r="AE141">
        <v>300</v>
      </c>
      <c r="AF141" t="s">
        <v>407</v>
      </c>
      <c r="AG141">
        <v>293</v>
      </c>
      <c r="AH141" s="3">
        <v>260</v>
      </c>
      <c r="AI141" s="3">
        <f>AH141/(AD141*Y141*Z141)</f>
        <v>0.34666666666666668</v>
      </c>
      <c r="AJ141" s="3">
        <f t="shared" si="2"/>
        <v>-1.0593915755148284</v>
      </c>
      <c r="AK141" t="s">
        <v>1250</v>
      </c>
      <c r="AL141" t="s">
        <v>1250</v>
      </c>
      <c r="AM141" t="s">
        <v>1250</v>
      </c>
      <c r="AN141" t="b">
        <v>1</v>
      </c>
      <c r="AO141" t="b">
        <v>1</v>
      </c>
      <c r="AP141" t="b">
        <v>0</v>
      </c>
      <c r="AQ141" t="b">
        <v>0</v>
      </c>
      <c r="AR141" t="s">
        <v>1251</v>
      </c>
      <c r="AS141" t="s">
        <v>1252</v>
      </c>
      <c r="AT141" t="s">
        <v>1242</v>
      </c>
      <c r="AU141">
        <v>5.5683445037610966</v>
      </c>
      <c r="AV141">
        <v>1.882352941176471</v>
      </c>
      <c r="AW141">
        <v>2.3529411764705879</v>
      </c>
      <c r="AX141">
        <v>0.47235294117647059</v>
      </c>
      <c r="AY141">
        <v>0</v>
      </c>
      <c r="AZ141">
        <v>0.39985005622891412</v>
      </c>
      <c r="BA141">
        <v>0.49981257028614268</v>
      </c>
      <c r="BB141">
        <v>0.10033737348494309</v>
      </c>
      <c r="BC141">
        <v>0</v>
      </c>
      <c r="BD141">
        <v>6.096398663281847</v>
      </c>
      <c r="BE141">
        <v>20</v>
      </c>
      <c r="BF141">
        <v>216.40687730768099</v>
      </c>
      <c r="BG141">
        <v>1</v>
      </c>
      <c r="BH141">
        <v>9.2418504665009241E-2</v>
      </c>
      <c r="BI141">
        <v>14.696413339999999</v>
      </c>
      <c r="BJ141">
        <v>14.696413339999999</v>
      </c>
      <c r="BK141">
        <v>14.696413339999999</v>
      </c>
      <c r="BL141">
        <v>420.30120210079798</v>
      </c>
      <c r="BM141">
        <v>1</v>
      </c>
      <c r="BN141">
        <v>4.7584922193973478E-2</v>
      </c>
      <c r="BO141">
        <v>3.83528</v>
      </c>
      <c r="BP141">
        <v>3.83528</v>
      </c>
      <c r="BQ141">
        <v>28.573699999999999</v>
      </c>
      <c r="BR141">
        <v>0</v>
      </c>
      <c r="BS141">
        <v>0</v>
      </c>
      <c r="BU141">
        <v>0</v>
      </c>
      <c r="BV141">
        <v>0</v>
      </c>
      <c r="BW141">
        <v>0</v>
      </c>
      <c r="BX141">
        <v>394.21199999999999</v>
      </c>
      <c r="BY141">
        <v>0.10146824551256679</v>
      </c>
      <c r="BZ141">
        <v>10</v>
      </c>
      <c r="CA141">
        <v>5.0734122756283417E-2</v>
      </c>
      <c r="CB141">
        <v>4.620925233250462E-2</v>
      </c>
      <c r="CC141">
        <v>2.3792461096986739E-2</v>
      </c>
      <c r="CE141">
        <v>0.49175032339767949</v>
      </c>
      <c r="CF141">
        <v>0.25319497391304763</v>
      </c>
      <c r="CH141">
        <v>0.53990315820692469</v>
      </c>
    </row>
    <row r="142" spans="1:86" x14ac:dyDescent="0.3">
      <c r="A142" s="1">
        <v>369</v>
      </c>
      <c r="B142" t="s">
        <v>807</v>
      </c>
      <c r="C142" t="s">
        <v>808</v>
      </c>
      <c r="F142">
        <v>2.2999999999999998</v>
      </c>
      <c r="G142" t="s">
        <v>287</v>
      </c>
      <c r="H142" t="s">
        <v>288</v>
      </c>
      <c r="I142">
        <v>-1</v>
      </c>
      <c r="O142">
        <v>0</v>
      </c>
      <c r="Q142" t="s">
        <v>87</v>
      </c>
      <c r="R142">
        <v>1373</v>
      </c>
      <c r="S142">
        <v>32</v>
      </c>
      <c r="T142">
        <v>1</v>
      </c>
      <c r="U142" t="s">
        <v>172</v>
      </c>
      <c r="V142" t="s">
        <v>126</v>
      </c>
      <c r="W142">
        <v>0.5</v>
      </c>
      <c r="Y142">
        <v>1</v>
      </c>
      <c r="Z142">
        <v>20</v>
      </c>
      <c r="AC142" t="s">
        <v>165</v>
      </c>
      <c r="AD142">
        <v>300</v>
      </c>
      <c r="AF142" t="s">
        <v>91</v>
      </c>
      <c r="AH142" s="3">
        <v>1950</v>
      </c>
      <c r="AI142" s="3">
        <f>AH142/(AD142*Y142*Z142)</f>
        <v>0.32500000000000001</v>
      </c>
      <c r="AJ142" s="3">
        <f t="shared" si="2"/>
        <v>-1.1239300966523995</v>
      </c>
      <c r="AK142" t="s">
        <v>1255</v>
      </c>
      <c r="AL142" t="s">
        <v>1255</v>
      </c>
      <c r="AM142" t="s">
        <v>1255</v>
      </c>
      <c r="AN142" t="b">
        <v>1</v>
      </c>
      <c r="AO142" t="b">
        <v>1</v>
      </c>
      <c r="AP142" t="b">
        <v>0</v>
      </c>
      <c r="AQ142" t="b">
        <v>0</v>
      </c>
      <c r="AR142" t="s">
        <v>1256</v>
      </c>
      <c r="AS142" t="s">
        <v>1257</v>
      </c>
      <c r="AT142" t="s">
        <v>1242</v>
      </c>
      <c r="AU142">
        <v>4.513054897080286</v>
      </c>
      <c r="AV142">
        <v>1.882352941176471</v>
      </c>
      <c r="AW142">
        <v>2.3529411764705879</v>
      </c>
      <c r="AX142">
        <v>0.47499999999999998</v>
      </c>
      <c r="AY142">
        <v>0</v>
      </c>
      <c r="AZ142">
        <v>0.3996253512332188</v>
      </c>
      <c r="BA142">
        <v>0.49953168904152351</v>
      </c>
      <c r="BB142">
        <v>0.1008429597252576</v>
      </c>
      <c r="BC142">
        <v>0</v>
      </c>
      <c r="BD142">
        <v>6.096403239605376</v>
      </c>
      <c r="BE142">
        <v>20</v>
      </c>
      <c r="BF142">
        <v>216.40687730768099</v>
      </c>
      <c r="BG142">
        <v>1</v>
      </c>
      <c r="BH142">
        <v>9.2418504665009241E-2</v>
      </c>
      <c r="BI142">
        <v>14.696413339999999</v>
      </c>
      <c r="BJ142">
        <v>14.696413339999999</v>
      </c>
      <c r="BK142">
        <v>14.696413339999999</v>
      </c>
      <c r="BL142">
        <v>420.30120210079798</v>
      </c>
      <c r="BM142">
        <v>1</v>
      </c>
      <c r="BN142">
        <v>4.7584922193973478E-2</v>
      </c>
      <c r="BO142">
        <v>3.83528</v>
      </c>
      <c r="BP142">
        <v>3.83528</v>
      </c>
      <c r="BQ142">
        <v>28.573699999999999</v>
      </c>
      <c r="BR142">
        <v>0</v>
      </c>
      <c r="BS142">
        <v>0</v>
      </c>
      <c r="BU142">
        <v>0</v>
      </c>
      <c r="BV142">
        <v>0</v>
      </c>
      <c r="BW142">
        <v>0</v>
      </c>
      <c r="BX142">
        <v>394.21199999999999</v>
      </c>
      <c r="BY142">
        <v>0.10146824551256679</v>
      </c>
      <c r="BZ142">
        <v>10</v>
      </c>
      <c r="CA142">
        <v>5.0734122756283417E-2</v>
      </c>
      <c r="CB142">
        <v>4.620925233250462E-2</v>
      </c>
      <c r="CC142">
        <v>2.3792461096986739E-2</v>
      </c>
      <c r="CE142">
        <v>0.49189525578400978</v>
      </c>
      <c r="CF142">
        <v>0.2532695974568055</v>
      </c>
      <c r="CH142">
        <v>0.54006228256207611</v>
      </c>
    </row>
    <row r="143" spans="1:86" x14ac:dyDescent="0.3">
      <c r="A143" s="1">
        <v>772</v>
      </c>
      <c r="B143" t="s">
        <v>1248</v>
      </c>
      <c r="C143" t="s">
        <v>1249</v>
      </c>
      <c r="E143" t="s">
        <v>404</v>
      </c>
      <c r="F143">
        <v>2.5499999999999998</v>
      </c>
      <c r="G143" t="s">
        <v>899</v>
      </c>
      <c r="H143" t="s">
        <v>900</v>
      </c>
      <c r="I143" t="s">
        <v>901</v>
      </c>
      <c r="J143">
        <v>2</v>
      </c>
      <c r="K143">
        <v>3.8</v>
      </c>
      <c r="L143">
        <v>3.8</v>
      </c>
      <c r="M143">
        <v>27.3</v>
      </c>
      <c r="N143" t="s">
        <v>206</v>
      </c>
      <c r="O143">
        <v>13.65</v>
      </c>
      <c r="Q143" t="s">
        <v>87</v>
      </c>
      <c r="R143">
        <v>1373</v>
      </c>
      <c r="S143">
        <v>12</v>
      </c>
      <c r="T143" t="b">
        <v>0</v>
      </c>
      <c r="U143" t="s">
        <v>125</v>
      </c>
      <c r="V143" t="s">
        <v>126</v>
      </c>
      <c r="W143">
        <v>1</v>
      </c>
      <c r="X143">
        <v>3.2</v>
      </c>
      <c r="Y143">
        <v>0.5</v>
      </c>
      <c r="Z143">
        <v>1</v>
      </c>
      <c r="AC143" t="s">
        <v>893</v>
      </c>
      <c r="AD143">
        <v>100</v>
      </c>
      <c r="AE143">
        <v>425</v>
      </c>
      <c r="AF143" t="s">
        <v>91</v>
      </c>
      <c r="AG143">
        <v>288</v>
      </c>
      <c r="AH143" s="3">
        <v>16</v>
      </c>
      <c r="AI143" s="3">
        <f>AH143/(AD143*Y143*Z143)</f>
        <v>0.32</v>
      </c>
      <c r="AJ143" s="3">
        <f t="shared" si="2"/>
        <v>-1.1394342831883648</v>
      </c>
      <c r="AK143" t="s">
        <v>1260</v>
      </c>
      <c r="AL143" t="s">
        <v>1260</v>
      </c>
      <c r="AM143" t="s">
        <v>1260</v>
      </c>
      <c r="AN143" t="b">
        <v>1</v>
      </c>
      <c r="AO143" t="b">
        <v>1</v>
      </c>
      <c r="AP143" t="b">
        <v>0</v>
      </c>
      <c r="AQ143" t="b">
        <v>0</v>
      </c>
      <c r="AR143" t="s">
        <v>1261</v>
      </c>
      <c r="AS143" t="s">
        <v>1262</v>
      </c>
      <c r="AT143" t="s">
        <v>1242</v>
      </c>
      <c r="AU143">
        <v>3.2580965380214821</v>
      </c>
      <c r="AV143">
        <v>1.882352941176471</v>
      </c>
      <c r="AW143">
        <v>2.3529411764705879</v>
      </c>
      <c r="AX143">
        <v>0.47941176470588243</v>
      </c>
      <c r="AY143">
        <v>0</v>
      </c>
      <c r="AZ143">
        <v>0.39925140361821582</v>
      </c>
      <c r="BA143">
        <v>0.49906425452276981</v>
      </c>
      <c r="BB143">
        <v>0.1016843418590143</v>
      </c>
      <c r="BC143">
        <v>0</v>
      </c>
      <c r="BD143">
        <v>6.0964108668112589</v>
      </c>
      <c r="BE143">
        <v>20</v>
      </c>
      <c r="BF143">
        <v>216.40687730768099</v>
      </c>
      <c r="BG143">
        <v>1</v>
      </c>
      <c r="BH143">
        <v>9.2418504665009241E-2</v>
      </c>
      <c r="BI143">
        <v>14.696413339999999</v>
      </c>
      <c r="BJ143">
        <v>14.696413339999999</v>
      </c>
      <c r="BK143">
        <v>14.696413339999999</v>
      </c>
      <c r="BL143">
        <v>420.30120210079798</v>
      </c>
      <c r="BM143">
        <v>1</v>
      </c>
      <c r="BN143">
        <v>4.7584922193973478E-2</v>
      </c>
      <c r="BO143">
        <v>3.83528</v>
      </c>
      <c r="BP143">
        <v>3.83528</v>
      </c>
      <c r="BQ143">
        <v>28.573699999999999</v>
      </c>
      <c r="BR143">
        <v>0</v>
      </c>
      <c r="BS143">
        <v>0</v>
      </c>
      <c r="BU143">
        <v>0</v>
      </c>
      <c r="BV143">
        <v>0</v>
      </c>
      <c r="BW143">
        <v>0</v>
      </c>
      <c r="BX143">
        <v>394.21199999999999</v>
      </c>
      <c r="BY143">
        <v>0.10146824551256679</v>
      </c>
      <c r="BZ143">
        <v>10</v>
      </c>
      <c r="CA143">
        <v>5.0734122756283417E-2</v>
      </c>
      <c r="CB143">
        <v>4.620925233250462E-2</v>
      </c>
      <c r="CC143">
        <v>2.3792461096986739E-2</v>
      </c>
      <c r="CE143">
        <v>0.49213680976122681</v>
      </c>
      <c r="CF143">
        <v>0.25339397002973529</v>
      </c>
      <c r="CH143">
        <v>0.54032748982066181</v>
      </c>
    </row>
    <row r="144" spans="1:86" x14ac:dyDescent="0.3">
      <c r="A144" s="1">
        <v>486</v>
      </c>
      <c r="B144" t="s">
        <v>140</v>
      </c>
      <c r="C144" t="s">
        <v>141</v>
      </c>
      <c r="E144" t="s">
        <v>106</v>
      </c>
      <c r="F144">
        <v>3.59</v>
      </c>
      <c r="G144" t="s">
        <v>108</v>
      </c>
      <c r="H144" t="s">
        <v>109</v>
      </c>
      <c r="I144" t="s">
        <v>143</v>
      </c>
      <c r="J144">
        <v>1</v>
      </c>
      <c r="K144">
        <v>3.86</v>
      </c>
      <c r="L144">
        <v>3.86</v>
      </c>
      <c r="M144">
        <v>14.995541551467481</v>
      </c>
      <c r="O144">
        <v>14.995541551467481</v>
      </c>
      <c r="Q144" t="s">
        <v>467</v>
      </c>
      <c r="R144">
        <v>1273</v>
      </c>
      <c r="S144">
        <v>2</v>
      </c>
      <c r="T144" t="b">
        <v>0</v>
      </c>
      <c r="U144" t="s">
        <v>125</v>
      </c>
      <c r="V144" t="s">
        <v>126</v>
      </c>
      <c r="W144">
        <v>0.5</v>
      </c>
      <c r="X144">
        <v>48</v>
      </c>
      <c r="Y144">
        <v>0.25</v>
      </c>
      <c r="Z144">
        <v>10</v>
      </c>
      <c r="AC144" t="s">
        <v>165</v>
      </c>
      <c r="AD144">
        <v>300</v>
      </c>
      <c r="AE144">
        <v>300</v>
      </c>
      <c r="AF144" t="s">
        <v>407</v>
      </c>
      <c r="AG144">
        <v>293</v>
      </c>
      <c r="AH144" s="3">
        <v>240</v>
      </c>
      <c r="AI144" s="3">
        <f>AH144/(AD144*Y144*Z144)</f>
        <v>0.32</v>
      </c>
      <c r="AJ144" s="3">
        <f t="shared" si="2"/>
        <v>-1.1394342831883648</v>
      </c>
      <c r="AK144" t="s">
        <v>1265</v>
      </c>
      <c r="AL144" t="s">
        <v>1265</v>
      </c>
      <c r="AM144" t="s">
        <v>1265</v>
      </c>
      <c r="AN144" t="b">
        <v>1</v>
      </c>
      <c r="AO144" t="b">
        <v>1</v>
      </c>
      <c r="AP144" t="b">
        <v>0</v>
      </c>
      <c r="AQ144" t="b">
        <v>0</v>
      </c>
      <c r="AR144" t="s">
        <v>1266</v>
      </c>
      <c r="AS144" t="s">
        <v>1267</v>
      </c>
      <c r="AT144" t="s">
        <v>1242</v>
      </c>
      <c r="AU144">
        <v>2.8332133440562162</v>
      </c>
      <c r="AV144">
        <v>1.882352941176471</v>
      </c>
      <c r="AW144">
        <v>2.3529411764705879</v>
      </c>
      <c r="AX144">
        <v>0.4882352941176471</v>
      </c>
      <c r="AY144">
        <v>0</v>
      </c>
      <c r="AZ144">
        <v>0.39850560398505602</v>
      </c>
      <c r="BA144">
        <v>0.49813200498131999</v>
      </c>
      <c r="BB144">
        <v>0.10336239103362389</v>
      </c>
      <c r="BC144">
        <v>0</v>
      </c>
      <c r="BD144">
        <v>6.0964261212230237</v>
      </c>
      <c r="BE144">
        <v>20</v>
      </c>
      <c r="BF144">
        <v>216.40687730768099</v>
      </c>
      <c r="BG144">
        <v>1</v>
      </c>
      <c r="BH144">
        <v>9.2418504665009241E-2</v>
      </c>
      <c r="BI144">
        <v>14.696413339999999</v>
      </c>
      <c r="BJ144">
        <v>14.696413339999999</v>
      </c>
      <c r="BK144">
        <v>14.696413339999999</v>
      </c>
      <c r="BL144">
        <v>420.30120210079798</v>
      </c>
      <c r="BM144">
        <v>1</v>
      </c>
      <c r="BN144">
        <v>4.7584922193973478E-2</v>
      </c>
      <c r="BO144">
        <v>3.83528</v>
      </c>
      <c r="BP144">
        <v>3.83528</v>
      </c>
      <c r="BQ144">
        <v>28.573699999999999</v>
      </c>
      <c r="BR144">
        <v>0</v>
      </c>
      <c r="BS144">
        <v>0</v>
      </c>
      <c r="BU144">
        <v>0</v>
      </c>
      <c r="BV144">
        <v>0</v>
      </c>
      <c r="BW144">
        <v>0</v>
      </c>
      <c r="BX144">
        <v>399.988</v>
      </c>
      <c r="BY144">
        <v>0.10000300009000269</v>
      </c>
      <c r="BZ144">
        <v>10</v>
      </c>
      <c r="CA144">
        <v>5.0001500045001347E-2</v>
      </c>
      <c r="CB144">
        <v>4.620925233250462E-2</v>
      </c>
      <c r="CC144">
        <v>2.3792461096986739E-2</v>
      </c>
      <c r="CE144">
        <v>0.49261991771566083</v>
      </c>
      <c r="CF144">
        <v>0.25364271517559511</v>
      </c>
      <c r="CH144">
        <v>0.53304768189252139</v>
      </c>
    </row>
    <row r="145" spans="1:86" x14ac:dyDescent="0.3">
      <c r="A145" s="1">
        <v>758</v>
      </c>
      <c r="B145" t="s">
        <v>1237</v>
      </c>
      <c r="C145" t="s">
        <v>1238</v>
      </c>
      <c r="E145" t="s">
        <v>404</v>
      </c>
      <c r="F145">
        <v>2.9</v>
      </c>
      <c r="G145" t="s">
        <v>899</v>
      </c>
      <c r="H145" t="s">
        <v>900</v>
      </c>
      <c r="I145" t="s">
        <v>901</v>
      </c>
      <c r="J145">
        <v>2</v>
      </c>
      <c r="K145">
        <v>3.8</v>
      </c>
      <c r="L145">
        <v>3.8</v>
      </c>
      <c r="M145">
        <v>27.3</v>
      </c>
      <c r="N145" t="s">
        <v>206</v>
      </c>
      <c r="O145">
        <v>13.65</v>
      </c>
      <c r="Q145" t="s">
        <v>87</v>
      </c>
      <c r="R145">
        <v>1373</v>
      </c>
      <c r="S145">
        <v>12</v>
      </c>
      <c r="T145" t="b">
        <v>0</v>
      </c>
      <c r="U145" t="s">
        <v>125</v>
      </c>
      <c r="V145" t="s">
        <v>126</v>
      </c>
      <c r="W145">
        <v>1</v>
      </c>
      <c r="X145">
        <v>60</v>
      </c>
      <c r="Y145">
        <v>0.5</v>
      </c>
      <c r="Z145">
        <v>1</v>
      </c>
      <c r="AC145" t="s">
        <v>90</v>
      </c>
      <c r="AD145">
        <v>125</v>
      </c>
      <c r="AE145">
        <v>220</v>
      </c>
      <c r="AF145" t="s">
        <v>91</v>
      </c>
      <c r="AG145">
        <v>288</v>
      </c>
      <c r="AH145" s="3">
        <v>17.920000000000002</v>
      </c>
      <c r="AI145" s="3">
        <f>AH145/(AD145*Y145*Z145)</f>
        <v>0.28672000000000003</v>
      </c>
      <c r="AJ145" s="3">
        <f t="shared" si="2"/>
        <v>-1.2492491491955713</v>
      </c>
      <c r="AK145" t="s">
        <v>1270</v>
      </c>
      <c r="AL145" t="s">
        <v>1270</v>
      </c>
      <c r="AM145" t="s">
        <v>1270</v>
      </c>
      <c r="AN145" t="b">
        <v>1</v>
      </c>
      <c r="AO145" t="b">
        <v>1</v>
      </c>
      <c r="AP145" t="b">
        <v>0</v>
      </c>
      <c r="AQ145" t="b">
        <v>0</v>
      </c>
      <c r="AR145" t="s">
        <v>1271</v>
      </c>
      <c r="AS145" t="s">
        <v>1272</v>
      </c>
      <c r="AT145" t="s">
        <v>1242</v>
      </c>
      <c r="AU145">
        <v>2.5649493574615372</v>
      </c>
      <c r="AV145">
        <v>1.882352941176471</v>
      </c>
      <c r="AW145">
        <v>2.3529411764705879</v>
      </c>
      <c r="AX145">
        <v>0.52352941176470591</v>
      </c>
      <c r="AY145">
        <v>0</v>
      </c>
      <c r="AZ145">
        <v>0.39555006180469721</v>
      </c>
      <c r="BA145">
        <v>0.49443757725587151</v>
      </c>
      <c r="BB145">
        <v>0.1100123609394314</v>
      </c>
      <c r="BC145">
        <v>0</v>
      </c>
      <c r="BD145">
        <v>6.1474614128683296</v>
      </c>
      <c r="BE145">
        <v>20</v>
      </c>
      <c r="BF145">
        <v>216.40687730768099</v>
      </c>
      <c r="BG145">
        <v>1</v>
      </c>
      <c r="BH145">
        <v>9.2418504665009241E-2</v>
      </c>
      <c r="BI145">
        <v>14.696413339999999</v>
      </c>
      <c r="BJ145">
        <v>14.696413339999999</v>
      </c>
      <c r="BK145">
        <v>14.696413339999999</v>
      </c>
      <c r="BL145">
        <v>420.30120210079798</v>
      </c>
      <c r="BM145">
        <v>1</v>
      </c>
      <c r="BN145">
        <v>4.7584922193973478E-2</v>
      </c>
      <c r="BO145">
        <v>3.83528</v>
      </c>
      <c r="BP145">
        <v>3.83528</v>
      </c>
      <c r="BQ145">
        <v>28.573699999999999</v>
      </c>
      <c r="BR145">
        <v>0</v>
      </c>
      <c r="BS145">
        <v>0</v>
      </c>
      <c r="BU145">
        <v>0</v>
      </c>
      <c r="BV145">
        <v>0</v>
      </c>
      <c r="BW145">
        <v>0</v>
      </c>
      <c r="BX145">
        <v>404.32</v>
      </c>
      <c r="BY145">
        <v>9.8931539374752672E-2</v>
      </c>
      <c r="BZ145">
        <v>10</v>
      </c>
      <c r="CA145">
        <v>4.9465769687376343E-2</v>
      </c>
      <c r="CB145">
        <v>4.620925233250462E-2</v>
      </c>
      <c r="CC145">
        <v>2.3792461096986739E-2</v>
      </c>
      <c r="CE145">
        <v>0.48850981294998441</v>
      </c>
      <c r="CF145">
        <v>0.25152648297520719</v>
      </c>
      <c r="CH145">
        <v>0.52293669941959575</v>
      </c>
    </row>
    <row r="146" spans="1:86" x14ac:dyDescent="0.3">
      <c r="A146" s="1">
        <v>751</v>
      </c>
      <c r="B146" t="s">
        <v>1263</v>
      </c>
      <c r="C146" t="s">
        <v>1264</v>
      </c>
      <c r="E146" t="s">
        <v>404</v>
      </c>
      <c r="F146">
        <v>2.15</v>
      </c>
      <c r="G146" t="s">
        <v>899</v>
      </c>
      <c r="H146" t="s">
        <v>900</v>
      </c>
      <c r="I146" t="s">
        <v>901</v>
      </c>
      <c r="J146">
        <v>2</v>
      </c>
      <c r="K146">
        <v>3.8</v>
      </c>
      <c r="L146">
        <v>3.8</v>
      </c>
      <c r="M146">
        <v>27.7</v>
      </c>
      <c r="N146" t="s">
        <v>206</v>
      </c>
      <c r="O146">
        <v>13.85</v>
      </c>
      <c r="Q146" t="s">
        <v>87</v>
      </c>
      <c r="R146">
        <v>1373</v>
      </c>
      <c r="S146">
        <v>12</v>
      </c>
      <c r="T146" t="b">
        <v>0</v>
      </c>
      <c r="U146" t="s">
        <v>125</v>
      </c>
      <c r="V146" t="s">
        <v>126</v>
      </c>
      <c r="W146">
        <v>1</v>
      </c>
      <c r="X146">
        <v>3.2</v>
      </c>
      <c r="Y146">
        <v>0.5</v>
      </c>
      <c r="Z146">
        <v>1</v>
      </c>
      <c r="AC146" t="s">
        <v>90</v>
      </c>
      <c r="AD146">
        <v>125</v>
      </c>
      <c r="AE146">
        <v>220</v>
      </c>
      <c r="AF146" t="s">
        <v>91</v>
      </c>
      <c r="AG146">
        <v>288</v>
      </c>
      <c r="AH146" s="3">
        <v>17</v>
      </c>
      <c r="AI146" s="3">
        <f>AH146/(AD146*Y146*Z146)</f>
        <v>0.27200000000000002</v>
      </c>
      <c r="AJ146" s="3">
        <f t="shared" si="2"/>
        <v>-1.3019532126861397</v>
      </c>
      <c r="AK146" t="s">
        <v>1275</v>
      </c>
      <c r="AL146" t="s">
        <v>1275</v>
      </c>
      <c r="AM146" t="s">
        <v>1275</v>
      </c>
      <c r="AN146" t="b">
        <v>1</v>
      </c>
      <c r="AO146" t="b">
        <v>1</v>
      </c>
      <c r="AP146" t="b">
        <v>0</v>
      </c>
      <c r="AQ146" t="b">
        <v>0</v>
      </c>
      <c r="AR146" t="s">
        <v>1276</v>
      </c>
      <c r="AS146" t="s">
        <v>1277</v>
      </c>
      <c r="AT146" t="s">
        <v>1242</v>
      </c>
      <c r="AU146">
        <v>3.0910424533583161</v>
      </c>
      <c r="AV146">
        <v>1.882352941176471</v>
      </c>
      <c r="AW146">
        <v>2.3529411764705879</v>
      </c>
      <c r="AX146">
        <v>0.55882352941176472</v>
      </c>
      <c r="AY146">
        <v>0</v>
      </c>
      <c r="AZ146">
        <v>0.39263803680981602</v>
      </c>
      <c r="BA146">
        <v>0.49079754601226999</v>
      </c>
      <c r="BB146">
        <v>0.1165644171779141</v>
      </c>
      <c r="BC146">
        <v>0</v>
      </c>
      <c r="BD146">
        <v>6.1984967045136354</v>
      </c>
      <c r="BE146">
        <v>20</v>
      </c>
      <c r="BF146">
        <v>216.40687730768099</v>
      </c>
      <c r="BG146">
        <v>1</v>
      </c>
      <c r="BH146">
        <v>9.2418504665009241E-2</v>
      </c>
      <c r="BI146">
        <v>14.696413339999999</v>
      </c>
      <c r="BJ146">
        <v>14.696413339999999</v>
      </c>
      <c r="BK146">
        <v>14.696413339999999</v>
      </c>
      <c r="BL146">
        <v>420.30120210079798</v>
      </c>
      <c r="BM146">
        <v>1</v>
      </c>
      <c r="BN146">
        <v>4.7584922193973478E-2</v>
      </c>
      <c r="BO146">
        <v>3.83528</v>
      </c>
      <c r="BP146">
        <v>3.83528</v>
      </c>
      <c r="BQ146">
        <v>28.573699999999999</v>
      </c>
      <c r="BR146">
        <v>0</v>
      </c>
      <c r="BS146">
        <v>0</v>
      </c>
      <c r="BU146">
        <v>0</v>
      </c>
      <c r="BV146">
        <v>0</v>
      </c>
      <c r="BW146">
        <v>0</v>
      </c>
      <c r="BX146">
        <v>401.43200000000002</v>
      </c>
      <c r="BY146">
        <v>9.9643277068096212E-2</v>
      </c>
      <c r="BZ146">
        <v>10</v>
      </c>
      <c r="CA146">
        <v>4.9821638534048113E-2</v>
      </c>
      <c r="CB146">
        <v>4.620925233250462E-2</v>
      </c>
      <c r="CC146">
        <v>2.3792461096986739E-2</v>
      </c>
      <c r="CE146">
        <v>0.48439970818430811</v>
      </c>
      <c r="CF146">
        <v>0.24941025077481929</v>
      </c>
      <c r="CH146">
        <v>0.5222674237077165</v>
      </c>
    </row>
    <row r="147" spans="1:86" x14ac:dyDescent="0.3">
      <c r="A147" s="1">
        <v>759</v>
      </c>
      <c r="B147" t="s">
        <v>1243</v>
      </c>
      <c r="C147" t="s">
        <v>1244</v>
      </c>
      <c r="E147" t="s">
        <v>404</v>
      </c>
      <c r="F147">
        <v>2.65</v>
      </c>
      <c r="G147" t="s">
        <v>899</v>
      </c>
      <c r="H147" t="s">
        <v>900</v>
      </c>
      <c r="I147" t="s">
        <v>901</v>
      </c>
      <c r="J147">
        <v>2</v>
      </c>
      <c r="K147">
        <v>3.8</v>
      </c>
      <c r="L147">
        <v>3.8</v>
      </c>
      <c r="M147">
        <v>27.3</v>
      </c>
      <c r="N147" t="s">
        <v>206</v>
      </c>
      <c r="O147">
        <v>13.65</v>
      </c>
      <c r="Q147" t="s">
        <v>87</v>
      </c>
      <c r="R147">
        <v>1373</v>
      </c>
      <c r="S147">
        <v>12</v>
      </c>
      <c r="T147" t="b">
        <v>0</v>
      </c>
      <c r="U147" t="s">
        <v>125</v>
      </c>
      <c r="V147" t="s">
        <v>126</v>
      </c>
      <c r="W147">
        <v>1</v>
      </c>
      <c r="X147">
        <v>60</v>
      </c>
      <c r="Y147">
        <v>0.5</v>
      </c>
      <c r="Z147">
        <v>1</v>
      </c>
      <c r="AC147" t="s">
        <v>90</v>
      </c>
      <c r="AD147">
        <v>125</v>
      </c>
      <c r="AE147">
        <v>220</v>
      </c>
      <c r="AF147" t="s">
        <v>91</v>
      </c>
      <c r="AG147">
        <v>288</v>
      </c>
      <c r="AH147" s="3">
        <v>16.96</v>
      </c>
      <c r="AI147" s="3">
        <f>AH147/(AD147*Y147*Z147)</f>
        <v>0.27135999999999999</v>
      </c>
      <c r="AJ147" s="3">
        <f t="shared" si="2"/>
        <v>-1.3043089263785987</v>
      </c>
      <c r="AK147" t="s">
        <v>1280</v>
      </c>
      <c r="AL147" t="s">
        <v>1280</v>
      </c>
      <c r="AM147" t="s">
        <v>1280</v>
      </c>
      <c r="AN147" t="b">
        <v>1</v>
      </c>
      <c r="AO147" t="b">
        <v>1</v>
      </c>
      <c r="AP147" t="b">
        <v>0</v>
      </c>
      <c r="AQ147" t="b">
        <v>0</v>
      </c>
      <c r="AR147" t="s">
        <v>1281</v>
      </c>
      <c r="AS147" t="s">
        <v>1282</v>
      </c>
      <c r="AT147" t="s">
        <v>1242</v>
      </c>
      <c r="AU147">
        <v>2.3978952727983711</v>
      </c>
      <c r="AV147">
        <v>1.882352941176471</v>
      </c>
      <c r="AW147">
        <v>2.3529411764705879</v>
      </c>
      <c r="AX147">
        <v>0.59411764705882353</v>
      </c>
      <c r="AY147">
        <v>0</v>
      </c>
      <c r="AZ147">
        <v>0.38976857490864802</v>
      </c>
      <c r="BA147">
        <v>0.48721071863581011</v>
      </c>
      <c r="BB147">
        <v>0.123020706455542</v>
      </c>
      <c r="BC147">
        <v>0</v>
      </c>
      <c r="BD147">
        <v>6.198557722160694</v>
      </c>
      <c r="BE147">
        <v>20</v>
      </c>
      <c r="BF147">
        <v>216.40687730768099</v>
      </c>
      <c r="BG147">
        <v>1</v>
      </c>
      <c r="BH147">
        <v>9.2418504665009241E-2</v>
      </c>
      <c r="BI147">
        <v>14.696413339999999</v>
      </c>
      <c r="BJ147">
        <v>14.696413339999999</v>
      </c>
      <c r="BK147">
        <v>14.696413339999999</v>
      </c>
      <c r="BL147">
        <v>420.30120210079798</v>
      </c>
      <c r="BM147">
        <v>1</v>
      </c>
      <c r="BN147">
        <v>4.7584922193973478E-2</v>
      </c>
      <c r="BO147">
        <v>3.83528</v>
      </c>
      <c r="BP147">
        <v>3.83528</v>
      </c>
      <c r="BQ147">
        <v>28.573699999999999</v>
      </c>
      <c r="BR147">
        <v>0</v>
      </c>
      <c r="BS147">
        <v>0</v>
      </c>
      <c r="BU147">
        <v>0</v>
      </c>
      <c r="BV147">
        <v>0</v>
      </c>
      <c r="BW147">
        <v>0</v>
      </c>
      <c r="BX147">
        <v>394.21199999999999</v>
      </c>
      <c r="BY147">
        <v>0.10146824551256679</v>
      </c>
      <c r="BZ147">
        <v>10</v>
      </c>
      <c r="CA147">
        <v>5.0734122756283417E-2</v>
      </c>
      <c r="CB147">
        <v>4.620925233250462E-2</v>
      </c>
      <c r="CC147">
        <v>2.3792461096986739E-2</v>
      </c>
      <c r="CE147">
        <v>0.48633214000204422</v>
      </c>
      <c r="CF147">
        <v>0.2504052313582581</v>
      </c>
      <c r="CH147">
        <v>0.53395441920694608</v>
      </c>
    </row>
    <row r="148" spans="1:86" x14ac:dyDescent="0.3">
      <c r="A148" s="1">
        <v>757</v>
      </c>
      <c r="B148" t="s">
        <v>1233</v>
      </c>
      <c r="C148" t="s">
        <v>1234</v>
      </c>
      <c r="E148" t="s">
        <v>404</v>
      </c>
      <c r="F148">
        <v>3.2</v>
      </c>
      <c r="G148" t="s">
        <v>899</v>
      </c>
      <c r="H148" t="s">
        <v>900</v>
      </c>
      <c r="I148" t="s">
        <v>901</v>
      </c>
      <c r="J148">
        <v>2</v>
      </c>
      <c r="K148">
        <v>3.8</v>
      </c>
      <c r="L148">
        <v>3.8</v>
      </c>
      <c r="M148">
        <v>27.3</v>
      </c>
      <c r="N148" t="s">
        <v>206</v>
      </c>
      <c r="O148">
        <v>13.65</v>
      </c>
      <c r="Q148" t="s">
        <v>87</v>
      </c>
      <c r="R148">
        <v>1373</v>
      </c>
      <c r="S148">
        <v>12</v>
      </c>
      <c r="T148" t="b">
        <v>0</v>
      </c>
      <c r="U148" t="s">
        <v>125</v>
      </c>
      <c r="V148" t="s">
        <v>126</v>
      </c>
      <c r="W148">
        <v>1</v>
      </c>
      <c r="X148">
        <v>60</v>
      </c>
      <c r="Y148">
        <v>0.5</v>
      </c>
      <c r="Z148">
        <v>1</v>
      </c>
      <c r="AC148" t="s">
        <v>90</v>
      </c>
      <c r="AD148">
        <v>125</v>
      </c>
      <c r="AE148">
        <v>220</v>
      </c>
      <c r="AF148" t="s">
        <v>91</v>
      </c>
      <c r="AG148">
        <v>288</v>
      </c>
      <c r="AH148" s="3">
        <v>16.16</v>
      </c>
      <c r="AI148" s="3">
        <f>AH148/(AD148*Y148*Z148)</f>
        <v>0.25856000000000001</v>
      </c>
      <c r="AJ148" s="3">
        <f t="shared" si="2"/>
        <v>-1.3526275036494064</v>
      </c>
      <c r="AK148" t="s">
        <v>1285</v>
      </c>
      <c r="AL148" t="s">
        <v>1285</v>
      </c>
      <c r="AM148" t="s">
        <v>1285</v>
      </c>
      <c r="AN148" t="b">
        <v>1</v>
      </c>
      <c r="AO148" t="b">
        <v>1</v>
      </c>
      <c r="AP148" t="b">
        <v>0</v>
      </c>
      <c r="AQ148" t="b">
        <v>0</v>
      </c>
      <c r="AR148" t="s">
        <v>1286</v>
      </c>
      <c r="AS148" t="s">
        <v>1287</v>
      </c>
      <c r="AT148" t="s">
        <v>1242</v>
      </c>
      <c r="AU148">
        <v>3.2580965380214821</v>
      </c>
      <c r="AV148">
        <v>1.882352941176471</v>
      </c>
      <c r="AW148">
        <v>2.3529411764705879</v>
      </c>
      <c r="AX148">
        <v>0.62941176470588234</v>
      </c>
      <c r="AY148">
        <v>0</v>
      </c>
      <c r="AZ148">
        <v>0.38694074969770248</v>
      </c>
      <c r="BA148">
        <v>0.48367593712212809</v>
      </c>
      <c r="BB148">
        <v>0.1293833131801693</v>
      </c>
      <c r="BC148">
        <v>0</v>
      </c>
      <c r="BD148">
        <v>6.1986187398077526</v>
      </c>
      <c r="BE148">
        <v>20</v>
      </c>
      <c r="BF148">
        <v>216.40687730768099</v>
      </c>
      <c r="BG148">
        <v>1</v>
      </c>
      <c r="BH148">
        <v>9.2418504665009241E-2</v>
      </c>
      <c r="BI148">
        <v>14.696413339999999</v>
      </c>
      <c r="BJ148">
        <v>14.696413339999999</v>
      </c>
      <c r="BK148">
        <v>14.696413339999999</v>
      </c>
      <c r="BL148">
        <v>420.30120210079798</v>
      </c>
      <c r="BM148">
        <v>1</v>
      </c>
      <c r="BN148">
        <v>4.7584922193973478E-2</v>
      </c>
      <c r="BO148">
        <v>3.83528</v>
      </c>
      <c r="BP148">
        <v>3.83528</v>
      </c>
      <c r="BQ148">
        <v>28.573699999999999</v>
      </c>
      <c r="BR148">
        <v>0</v>
      </c>
      <c r="BS148">
        <v>0</v>
      </c>
      <c r="BU148">
        <v>0</v>
      </c>
      <c r="BV148">
        <v>0</v>
      </c>
      <c r="BW148">
        <v>0</v>
      </c>
      <c r="BX148">
        <v>394.21199999999999</v>
      </c>
      <c r="BY148">
        <v>0.10146824551256679</v>
      </c>
      <c r="BZ148">
        <v>10</v>
      </c>
      <c r="CA148">
        <v>5.0734122756283417E-2</v>
      </c>
      <c r="CB148">
        <v>4.620925233250462E-2</v>
      </c>
      <c r="CC148">
        <v>2.3792461096986739E-2</v>
      </c>
      <c r="CE148">
        <v>0.48826457181978028</v>
      </c>
      <c r="CF148">
        <v>0.25140021194169693</v>
      </c>
      <c r="CH148">
        <v>0.53607607727563145</v>
      </c>
    </row>
    <row r="149" spans="1:86" x14ac:dyDescent="0.3">
      <c r="A149" s="1">
        <v>487</v>
      </c>
      <c r="B149" t="s">
        <v>915</v>
      </c>
      <c r="C149" t="s">
        <v>916</v>
      </c>
      <c r="E149" t="s">
        <v>106</v>
      </c>
      <c r="F149">
        <v>3.55</v>
      </c>
      <c r="G149" t="s">
        <v>108</v>
      </c>
      <c r="H149" t="s">
        <v>109</v>
      </c>
      <c r="I149">
        <v>-1</v>
      </c>
      <c r="J149">
        <v>1</v>
      </c>
      <c r="K149">
        <v>3.86</v>
      </c>
      <c r="L149">
        <v>3.86</v>
      </c>
      <c r="M149">
        <v>15.615511227317651</v>
      </c>
      <c r="O149">
        <v>15.615511227317651</v>
      </c>
      <c r="Q149" t="s">
        <v>467</v>
      </c>
      <c r="R149">
        <v>1273</v>
      </c>
      <c r="S149">
        <v>2</v>
      </c>
      <c r="T149" t="b">
        <v>0</v>
      </c>
      <c r="U149" t="s">
        <v>125</v>
      </c>
      <c r="V149" t="s">
        <v>126</v>
      </c>
      <c r="W149">
        <v>0.5</v>
      </c>
      <c r="X149">
        <v>47</v>
      </c>
      <c r="Y149">
        <v>0.25</v>
      </c>
      <c r="Z149">
        <v>10</v>
      </c>
      <c r="AC149" t="s">
        <v>165</v>
      </c>
      <c r="AD149">
        <v>300</v>
      </c>
      <c r="AE149">
        <v>300</v>
      </c>
      <c r="AF149" t="s">
        <v>407</v>
      </c>
      <c r="AG149">
        <v>293</v>
      </c>
      <c r="AH149" s="3">
        <v>184</v>
      </c>
      <c r="AI149" s="3">
        <f>AH149/(AD149*Y149*Z149)</f>
        <v>0.24533333333333332</v>
      </c>
      <c r="AJ149" s="3">
        <f t="shared" si="2"/>
        <v>-1.4051374489213706</v>
      </c>
      <c r="AK149" t="s">
        <v>1290</v>
      </c>
      <c r="AL149" t="s">
        <v>1290</v>
      </c>
      <c r="AM149" t="s">
        <v>1290</v>
      </c>
      <c r="AN149" t="b">
        <v>1</v>
      </c>
      <c r="AO149" t="b">
        <v>1</v>
      </c>
      <c r="AP149" t="b">
        <v>0</v>
      </c>
      <c r="AQ149" t="b">
        <v>0</v>
      </c>
      <c r="AR149" t="s">
        <v>1291</v>
      </c>
      <c r="AS149" t="s">
        <v>1292</v>
      </c>
      <c r="AT149" t="s">
        <v>1242</v>
      </c>
      <c r="AU149">
        <v>2.4849066497879999</v>
      </c>
      <c r="AV149">
        <v>1.882352941176471</v>
      </c>
      <c r="AW149">
        <v>2.3529411764705879</v>
      </c>
      <c r="AX149">
        <v>0.6470588235294118</v>
      </c>
      <c r="AY149">
        <v>0</v>
      </c>
      <c r="AZ149">
        <v>0.38554216867469882</v>
      </c>
      <c r="BA149">
        <v>0.48192771084337349</v>
      </c>
      <c r="BB149">
        <v>0.13253012048192769</v>
      </c>
      <c r="BC149">
        <v>0</v>
      </c>
      <c r="BD149">
        <v>6.1986492486312823</v>
      </c>
      <c r="BE149">
        <v>20</v>
      </c>
      <c r="BF149">
        <v>216.40687730768099</v>
      </c>
      <c r="BG149">
        <v>1</v>
      </c>
      <c r="BH149">
        <v>9.2418504665009241E-2</v>
      </c>
      <c r="BI149">
        <v>14.696413339999999</v>
      </c>
      <c r="BJ149">
        <v>14.696413339999999</v>
      </c>
      <c r="BK149">
        <v>14.696413339999999</v>
      </c>
      <c r="BL149">
        <v>420.30120210079798</v>
      </c>
      <c r="BM149">
        <v>1</v>
      </c>
      <c r="BN149">
        <v>4.7584922193973478E-2</v>
      </c>
      <c r="BO149">
        <v>3.83528</v>
      </c>
      <c r="BP149">
        <v>3.83528</v>
      </c>
      <c r="BQ149">
        <v>28.573699999999999</v>
      </c>
      <c r="BR149">
        <v>0</v>
      </c>
      <c r="BS149">
        <v>0</v>
      </c>
      <c r="BU149">
        <v>0</v>
      </c>
      <c r="BV149">
        <v>0</v>
      </c>
      <c r="BW149">
        <v>0</v>
      </c>
      <c r="BX149">
        <v>397.1</v>
      </c>
      <c r="BY149">
        <v>0.1007302946361118</v>
      </c>
      <c r="BZ149">
        <v>10</v>
      </c>
      <c r="CA149">
        <v>5.0365147318055907E-2</v>
      </c>
      <c r="CB149">
        <v>4.620925233250462E-2</v>
      </c>
      <c r="CC149">
        <v>2.3792461096986739E-2</v>
      </c>
      <c r="CE149">
        <v>0.48923078772864842</v>
      </c>
      <c r="CF149">
        <v>0.25189770223341629</v>
      </c>
      <c r="CH149">
        <v>0.53323045608226516</v>
      </c>
    </row>
    <row r="150" spans="1:86" x14ac:dyDescent="0.3">
      <c r="A150" s="1">
        <v>490</v>
      </c>
      <c r="B150" t="s">
        <v>151</v>
      </c>
      <c r="C150" t="s">
        <v>152</v>
      </c>
      <c r="E150" t="s">
        <v>106</v>
      </c>
      <c r="F150">
        <v>3.4</v>
      </c>
      <c r="G150" t="s">
        <v>142</v>
      </c>
      <c r="H150">
        <v>1522043</v>
      </c>
      <c r="I150">
        <v>-1</v>
      </c>
      <c r="J150">
        <v>1</v>
      </c>
      <c r="K150">
        <v>3.86</v>
      </c>
      <c r="L150">
        <v>3.86</v>
      </c>
      <c r="M150">
        <v>17.505628149549619</v>
      </c>
      <c r="O150">
        <v>17.505628149549619</v>
      </c>
      <c r="Q150" t="s">
        <v>467</v>
      </c>
      <c r="R150">
        <v>1273</v>
      </c>
      <c r="S150">
        <v>2</v>
      </c>
      <c r="T150" t="b">
        <v>0</v>
      </c>
      <c r="U150" t="s">
        <v>125</v>
      </c>
      <c r="V150" t="s">
        <v>126</v>
      </c>
      <c r="W150">
        <v>0.5</v>
      </c>
      <c r="X150">
        <v>65</v>
      </c>
      <c r="Y150">
        <v>0.25</v>
      </c>
      <c r="Z150">
        <v>10</v>
      </c>
      <c r="AC150" t="s">
        <v>165</v>
      </c>
      <c r="AD150">
        <v>300</v>
      </c>
      <c r="AE150">
        <v>300</v>
      </c>
      <c r="AF150" t="s">
        <v>407</v>
      </c>
      <c r="AG150">
        <v>293</v>
      </c>
      <c r="AH150" s="3">
        <v>184</v>
      </c>
      <c r="AI150" s="3">
        <f>AH150/(AD150*Y150*Z150)</f>
        <v>0.24533333333333332</v>
      </c>
      <c r="AJ150" s="3">
        <f t="shared" si="2"/>
        <v>-1.4051374489213706</v>
      </c>
      <c r="AK150" t="s">
        <v>1235</v>
      </c>
      <c r="AN150" t="b">
        <v>1</v>
      </c>
      <c r="AO150" t="b">
        <v>0</v>
      </c>
      <c r="AP150" t="b">
        <v>0</v>
      </c>
      <c r="AQ150" t="b">
        <v>0</v>
      </c>
      <c r="AR150" t="s">
        <v>1293</v>
      </c>
      <c r="AS150" t="s">
        <v>900</v>
      </c>
      <c r="AT150" t="s">
        <v>901</v>
      </c>
      <c r="AU150">
        <v>2.782539053092949</v>
      </c>
      <c r="AV150">
        <v>1.882352941176471</v>
      </c>
      <c r="AW150">
        <v>2.3529411764705879</v>
      </c>
      <c r="AX150">
        <v>0.47058823529411759</v>
      </c>
      <c r="AY150">
        <v>0</v>
      </c>
      <c r="AZ150">
        <v>0.4</v>
      </c>
      <c r="BA150">
        <v>0.5</v>
      </c>
      <c r="BB150">
        <v>9.9999999999999992E-2</v>
      </c>
      <c r="BC150">
        <v>0</v>
      </c>
      <c r="BD150">
        <v>6.096395612399494</v>
      </c>
      <c r="BE150">
        <v>20</v>
      </c>
      <c r="BF150">
        <v>216.40687730768099</v>
      </c>
      <c r="BG150">
        <v>1</v>
      </c>
      <c r="BH150">
        <v>9.2418504665009241E-2</v>
      </c>
      <c r="BI150">
        <v>14.696413339999999</v>
      </c>
      <c r="BJ150">
        <v>14.696413339999999</v>
      </c>
      <c r="BK150">
        <v>14.696413339999999</v>
      </c>
      <c r="BL150">
        <v>420.30120210079798</v>
      </c>
      <c r="BM150">
        <v>2</v>
      </c>
      <c r="BN150">
        <v>9.516984438794697E-2</v>
      </c>
      <c r="BO150">
        <v>3.83528</v>
      </c>
      <c r="BP150">
        <v>3.83528</v>
      </c>
      <c r="BQ150">
        <v>28.573699999999999</v>
      </c>
      <c r="BR150">
        <v>0</v>
      </c>
      <c r="BS150">
        <v>0</v>
      </c>
      <c r="BU150">
        <v>0</v>
      </c>
      <c r="BV150">
        <v>0</v>
      </c>
      <c r="BW150">
        <v>0</v>
      </c>
      <c r="BX150">
        <v>394.21199999999999</v>
      </c>
      <c r="BY150">
        <v>0.10146824551256679</v>
      </c>
      <c r="BZ150">
        <v>10</v>
      </c>
      <c r="CA150">
        <v>5.0734122756283417E-2</v>
      </c>
      <c r="CB150">
        <v>4.620925233250462E-2</v>
      </c>
      <c r="CC150">
        <v>4.7584922193973478E-2</v>
      </c>
      <c r="CE150">
        <v>0.4916537018067928</v>
      </c>
      <c r="CF150">
        <v>0.50629044976775128</v>
      </c>
      <c r="CH150">
        <v>0.53979707530349053</v>
      </c>
    </row>
    <row r="151" spans="1:86" x14ac:dyDescent="0.3">
      <c r="A151" s="1">
        <v>488</v>
      </c>
      <c r="B151" t="s">
        <v>919</v>
      </c>
      <c r="C151" t="s">
        <v>920</v>
      </c>
      <c r="E151" t="s">
        <v>106</v>
      </c>
      <c r="F151">
        <v>3.5</v>
      </c>
      <c r="G151" t="s">
        <v>108</v>
      </c>
      <c r="H151" t="s">
        <v>109</v>
      </c>
      <c r="I151">
        <v>-1</v>
      </c>
      <c r="J151">
        <v>1</v>
      </c>
      <c r="K151">
        <v>3.86</v>
      </c>
      <c r="L151">
        <v>3.86</v>
      </c>
      <c r="M151">
        <v>15.99421069225002</v>
      </c>
      <c r="O151">
        <v>15.99421069225002</v>
      </c>
      <c r="Q151" t="s">
        <v>467</v>
      </c>
      <c r="R151">
        <v>1273</v>
      </c>
      <c r="S151">
        <v>2</v>
      </c>
      <c r="T151" t="b">
        <v>0</v>
      </c>
      <c r="U151" t="s">
        <v>125</v>
      </c>
      <c r="V151" t="s">
        <v>126</v>
      </c>
      <c r="W151">
        <v>0.5</v>
      </c>
      <c r="X151">
        <v>58</v>
      </c>
      <c r="Y151">
        <v>0.25</v>
      </c>
      <c r="Z151">
        <v>10</v>
      </c>
      <c r="AC151" t="s">
        <v>165</v>
      </c>
      <c r="AD151">
        <v>300</v>
      </c>
      <c r="AE151">
        <v>300</v>
      </c>
      <c r="AF151" t="s">
        <v>407</v>
      </c>
      <c r="AG151">
        <v>293</v>
      </c>
      <c r="AH151" s="3">
        <v>176</v>
      </c>
      <c r="AI151" s="3">
        <f>AH151/(AD151*Y151*Z151)</f>
        <v>0.23466666666666666</v>
      </c>
      <c r="AJ151" s="3">
        <f t="shared" si="2"/>
        <v>-1.4495892114922044</v>
      </c>
      <c r="AK151" t="s">
        <v>1239</v>
      </c>
      <c r="AL151" t="s">
        <v>1239</v>
      </c>
      <c r="AM151" t="s">
        <v>1239</v>
      </c>
      <c r="AN151" t="b">
        <v>1</v>
      </c>
      <c r="AO151" t="b">
        <v>1</v>
      </c>
      <c r="AP151" t="b">
        <v>0</v>
      </c>
      <c r="AQ151" t="b">
        <v>0</v>
      </c>
      <c r="AR151" t="s">
        <v>1294</v>
      </c>
      <c r="AS151" t="s">
        <v>1295</v>
      </c>
      <c r="AT151" t="s">
        <v>1242</v>
      </c>
      <c r="AU151">
        <v>2.8859174075467839</v>
      </c>
      <c r="AV151">
        <v>1.882352941176471</v>
      </c>
      <c r="AW151">
        <v>2.3529411764705879</v>
      </c>
      <c r="AX151">
        <v>0.47094117647058831</v>
      </c>
      <c r="AY151">
        <v>0</v>
      </c>
      <c r="AZ151">
        <v>0.39997000224983131</v>
      </c>
      <c r="BA151">
        <v>0.4999625028122891</v>
      </c>
      <c r="BB151">
        <v>0.1000674949378797</v>
      </c>
      <c r="BC151">
        <v>0</v>
      </c>
      <c r="BD151">
        <v>6.0963962225759643</v>
      </c>
      <c r="BE151">
        <v>20</v>
      </c>
      <c r="BF151">
        <v>216.40687730768099</v>
      </c>
      <c r="BG151">
        <v>1</v>
      </c>
      <c r="BH151">
        <v>9.2418504665009241E-2</v>
      </c>
      <c r="BI151">
        <v>14.696413339999999</v>
      </c>
      <c r="BJ151">
        <v>14.696413339999999</v>
      </c>
      <c r="BK151">
        <v>14.696413339999999</v>
      </c>
      <c r="BL151">
        <v>420.30120210079798</v>
      </c>
      <c r="BM151">
        <v>1</v>
      </c>
      <c r="BN151">
        <v>4.7584922193973478E-2</v>
      </c>
      <c r="BO151">
        <v>3.83528</v>
      </c>
      <c r="BP151">
        <v>3.83528</v>
      </c>
      <c r="BQ151">
        <v>28.573699999999999</v>
      </c>
      <c r="BR151">
        <v>0</v>
      </c>
      <c r="BS151">
        <v>0</v>
      </c>
      <c r="BU151">
        <v>0</v>
      </c>
      <c r="BV151">
        <v>0</v>
      </c>
      <c r="BW151">
        <v>0</v>
      </c>
      <c r="BX151">
        <v>394.21199999999999</v>
      </c>
      <c r="BY151">
        <v>0.10146824551256679</v>
      </c>
      <c r="BZ151">
        <v>10</v>
      </c>
      <c r="CA151">
        <v>5.0734122756283417E-2</v>
      </c>
      <c r="CB151">
        <v>4.620925233250462E-2</v>
      </c>
      <c r="CC151">
        <v>2.3792461096986739E-2</v>
      </c>
      <c r="CE151">
        <v>0.4916730261249701</v>
      </c>
      <c r="CF151">
        <v>0.25315517468970999</v>
      </c>
      <c r="CH151">
        <v>0.53981829188417729</v>
      </c>
    </row>
    <row r="152" spans="1:86" x14ac:dyDescent="0.3">
      <c r="A152" s="1">
        <v>752</v>
      </c>
      <c r="B152" t="s">
        <v>1268</v>
      </c>
      <c r="C152" t="s">
        <v>1269</v>
      </c>
      <c r="E152" t="s">
        <v>404</v>
      </c>
      <c r="F152">
        <v>1.95</v>
      </c>
      <c r="G152" t="s">
        <v>899</v>
      </c>
      <c r="H152" t="s">
        <v>900</v>
      </c>
      <c r="I152" t="s">
        <v>901</v>
      </c>
      <c r="J152">
        <v>2</v>
      </c>
      <c r="K152">
        <v>3.8</v>
      </c>
      <c r="L152">
        <v>3.8</v>
      </c>
      <c r="M152">
        <v>28</v>
      </c>
      <c r="N152" t="s">
        <v>206</v>
      </c>
      <c r="O152">
        <v>14</v>
      </c>
      <c r="Q152" t="s">
        <v>87</v>
      </c>
      <c r="R152">
        <v>1373</v>
      </c>
      <c r="S152">
        <v>12</v>
      </c>
      <c r="T152" t="b">
        <v>0</v>
      </c>
      <c r="U152" t="s">
        <v>125</v>
      </c>
      <c r="V152" t="s">
        <v>126</v>
      </c>
      <c r="W152">
        <v>1</v>
      </c>
      <c r="X152">
        <v>3.2</v>
      </c>
      <c r="Y152">
        <v>0.5</v>
      </c>
      <c r="Z152">
        <v>1</v>
      </c>
      <c r="AC152" t="s">
        <v>90</v>
      </c>
      <c r="AD152">
        <v>125</v>
      </c>
      <c r="AE152">
        <v>220</v>
      </c>
      <c r="AF152" t="s">
        <v>91</v>
      </c>
      <c r="AG152">
        <v>288</v>
      </c>
      <c r="AH152" s="3">
        <v>13</v>
      </c>
      <c r="AI152" s="3">
        <f>AH152/(AD152*Y152*Z152)</f>
        <v>0.20799999999999999</v>
      </c>
      <c r="AJ152" s="3">
        <f t="shared" si="2"/>
        <v>-1.5702171992808192</v>
      </c>
      <c r="AK152" t="s">
        <v>1245</v>
      </c>
      <c r="AL152" t="s">
        <v>1245</v>
      </c>
      <c r="AM152" t="s">
        <v>1245</v>
      </c>
      <c r="AN152" t="b">
        <v>1</v>
      </c>
      <c r="AO152" t="b">
        <v>1</v>
      </c>
      <c r="AP152" t="b">
        <v>0</v>
      </c>
      <c r="AQ152" t="b">
        <v>0</v>
      </c>
      <c r="AR152" t="s">
        <v>1296</v>
      </c>
      <c r="AS152" t="s">
        <v>1297</v>
      </c>
      <c r="AT152" t="s">
        <v>1242</v>
      </c>
      <c r="AU152">
        <v>2.8308576303637571</v>
      </c>
      <c r="AV152">
        <v>1.882352941176471</v>
      </c>
      <c r="AW152">
        <v>2.3529411764705879</v>
      </c>
      <c r="AX152">
        <v>0.47147058823529409</v>
      </c>
      <c r="AY152">
        <v>0</v>
      </c>
      <c r="AZ152">
        <v>0.39992501405986369</v>
      </c>
      <c r="BA152">
        <v>0.4999062675748297</v>
      </c>
      <c r="BB152">
        <v>0.1001687183653065</v>
      </c>
      <c r="BC152">
        <v>0</v>
      </c>
      <c r="BD152">
        <v>6.0963971378406701</v>
      </c>
      <c r="BE152">
        <v>20</v>
      </c>
      <c r="BF152">
        <v>216.40687730768099</v>
      </c>
      <c r="BG152">
        <v>1</v>
      </c>
      <c r="BH152">
        <v>9.2418504665009241E-2</v>
      </c>
      <c r="BI152">
        <v>14.696413339999999</v>
      </c>
      <c r="BJ152">
        <v>14.696413339999999</v>
      </c>
      <c r="BK152">
        <v>14.696413339999999</v>
      </c>
      <c r="BL152">
        <v>420.30120210079798</v>
      </c>
      <c r="BM152">
        <v>1</v>
      </c>
      <c r="BN152">
        <v>4.7584922193973478E-2</v>
      </c>
      <c r="BO152">
        <v>3.83528</v>
      </c>
      <c r="BP152">
        <v>3.83528</v>
      </c>
      <c r="BQ152">
        <v>28.573699999999999</v>
      </c>
      <c r="BR152">
        <v>0</v>
      </c>
      <c r="BS152">
        <v>0</v>
      </c>
      <c r="BU152">
        <v>0</v>
      </c>
      <c r="BV152">
        <v>0</v>
      </c>
      <c r="BW152">
        <v>0</v>
      </c>
      <c r="BX152">
        <v>394.21199999999999</v>
      </c>
      <c r="BY152">
        <v>0.10146824551256679</v>
      </c>
      <c r="BZ152">
        <v>10</v>
      </c>
      <c r="CA152">
        <v>5.0734122756283417E-2</v>
      </c>
      <c r="CB152">
        <v>4.620925233250462E-2</v>
      </c>
      <c r="CC152">
        <v>2.3792461096986739E-2</v>
      </c>
      <c r="CE152">
        <v>0.49170201260223612</v>
      </c>
      <c r="CF152">
        <v>0.25317009939846158</v>
      </c>
      <c r="CH152">
        <v>0.53985011675520755</v>
      </c>
    </row>
    <row r="153" spans="1:86" x14ac:dyDescent="0.3">
      <c r="A153" s="1">
        <v>489</v>
      </c>
      <c r="B153" t="s">
        <v>923</v>
      </c>
      <c r="C153" t="s">
        <v>924</v>
      </c>
      <c r="E153" t="s">
        <v>106</v>
      </c>
      <c r="F153">
        <v>3.45</v>
      </c>
      <c r="G153" t="s">
        <v>108</v>
      </c>
      <c r="H153" t="s">
        <v>109</v>
      </c>
      <c r="I153">
        <v>-1</v>
      </c>
      <c r="J153">
        <v>1</v>
      </c>
      <c r="K153">
        <v>3.86</v>
      </c>
      <c r="L153">
        <v>3.86</v>
      </c>
      <c r="M153">
        <v>16.28902613653251</v>
      </c>
      <c r="O153">
        <v>16.28902613653251</v>
      </c>
      <c r="Q153" t="s">
        <v>467</v>
      </c>
      <c r="R153">
        <v>1273</v>
      </c>
      <c r="S153">
        <v>2</v>
      </c>
      <c r="T153" t="b">
        <v>0</v>
      </c>
      <c r="U153" t="s">
        <v>125</v>
      </c>
      <c r="V153" t="s">
        <v>126</v>
      </c>
      <c r="W153">
        <v>0.5</v>
      </c>
      <c r="X153">
        <v>50</v>
      </c>
      <c r="Y153">
        <v>0.25</v>
      </c>
      <c r="Z153">
        <v>10</v>
      </c>
      <c r="AC153" t="s">
        <v>165</v>
      </c>
      <c r="AD153">
        <v>300</v>
      </c>
      <c r="AE153">
        <v>300</v>
      </c>
      <c r="AF153" t="s">
        <v>407</v>
      </c>
      <c r="AG153">
        <v>293</v>
      </c>
      <c r="AH153" s="3">
        <v>156</v>
      </c>
      <c r="AI153" s="3">
        <f>AH153/(AD153*Y153*Z153)</f>
        <v>0.20799999999999999</v>
      </c>
      <c r="AJ153" s="3">
        <f t="shared" si="2"/>
        <v>-1.5702171992808192</v>
      </c>
      <c r="AK153" t="s">
        <v>1250</v>
      </c>
      <c r="AL153" t="s">
        <v>1250</v>
      </c>
      <c r="AM153" t="s">
        <v>1250</v>
      </c>
      <c r="AN153" t="b">
        <v>1</v>
      </c>
      <c r="AO153" t="b">
        <v>1</v>
      </c>
      <c r="AP153" t="b">
        <v>0</v>
      </c>
      <c r="AQ153" t="b">
        <v>0</v>
      </c>
      <c r="AR153" t="s">
        <v>1298</v>
      </c>
      <c r="AS153" t="s">
        <v>1299</v>
      </c>
      <c r="AT153" t="s">
        <v>1242</v>
      </c>
      <c r="AU153">
        <v>9.0069994479581528</v>
      </c>
      <c r="AV153">
        <v>1.882352941176471</v>
      </c>
      <c r="AW153">
        <v>2.3529411764705879</v>
      </c>
      <c r="AX153">
        <v>0.47235294117647059</v>
      </c>
      <c r="AY153">
        <v>0</v>
      </c>
      <c r="AZ153">
        <v>0.39985005622891412</v>
      </c>
      <c r="BA153">
        <v>0.49981257028614268</v>
      </c>
      <c r="BB153">
        <v>0.10033737348494309</v>
      </c>
      <c r="BC153">
        <v>0</v>
      </c>
      <c r="BD153">
        <v>6.096398663281847</v>
      </c>
      <c r="BE153">
        <v>20</v>
      </c>
      <c r="BF153">
        <v>216.40687730768099</v>
      </c>
      <c r="BG153">
        <v>1</v>
      </c>
      <c r="BH153">
        <v>9.2418504665009241E-2</v>
      </c>
      <c r="BI153">
        <v>14.696413339999999</v>
      </c>
      <c r="BJ153">
        <v>14.696413339999999</v>
      </c>
      <c r="BK153">
        <v>14.696413339999999</v>
      </c>
      <c r="BL153">
        <v>420.30120210079798</v>
      </c>
      <c r="BM153">
        <v>1</v>
      </c>
      <c r="BN153">
        <v>4.7584922193973478E-2</v>
      </c>
      <c r="BO153">
        <v>3.83528</v>
      </c>
      <c r="BP153">
        <v>3.83528</v>
      </c>
      <c r="BQ153">
        <v>28.573699999999999</v>
      </c>
      <c r="BR153">
        <v>0</v>
      </c>
      <c r="BS153">
        <v>0</v>
      </c>
      <c r="BU153">
        <v>0</v>
      </c>
      <c r="BV153">
        <v>0</v>
      </c>
      <c r="BW153">
        <v>0</v>
      </c>
      <c r="BX153">
        <v>394.21199999999999</v>
      </c>
      <c r="BY153">
        <v>0.10146824551256679</v>
      </c>
      <c r="BZ153">
        <v>10</v>
      </c>
      <c r="CA153">
        <v>5.0734122756283417E-2</v>
      </c>
      <c r="CB153">
        <v>4.620925233250462E-2</v>
      </c>
      <c r="CC153">
        <v>2.3792461096986739E-2</v>
      </c>
      <c r="CE153">
        <v>0.49175032339767949</v>
      </c>
      <c r="CF153">
        <v>0.25319497391304763</v>
      </c>
      <c r="CH153">
        <v>0.53990315820692469</v>
      </c>
    </row>
    <row r="154" spans="1:86" x14ac:dyDescent="0.3">
      <c r="A154" s="1">
        <v>27</v>
      </c>
      <c r="B154" t="s">
        <v>94</v>
      </c>
      <c r="C154" t="s">
        <v>138</v>
      </c>
      <c r="E154" t="s">
        <v>94</v>
      </c>
      <c r="F154">
        <v>3.2</v>
      </c>
      <c r="G154" t="s">
        <v>139</v>
      </c>
      <c r="H154">
        <v>-1</v>
      </c>
      <c r="I154">
        <v>-1</v>
      </c>
      <c r="J154">
        <v>8</v>
      </c>
      <c r="K154">
        <v>7.806</v>
      </c>
      <c r="L154">
        <v>7.6680000000000001</v>
      </c>
      <c r="M154">
        <v>21.54</v>
      </c>
      <c r="N154" t="s">
        <v>97</v>
      </c>
      <c r="O154">
        <v>10.77</v>
      </c>
      <c r="P154">
        <v>2</v>
      </c>
      <c r="Q154" t="s">
        <v>87</v>
      </c>
      <c r="R154">
        <v>1473</v>
      </c>
      <c r="S154">
        <v>48</v>
      </c>
      <c r="T154" t="b">
        <v>0</v>
      </c>
      <c r="U154" t="s">
        <v>125</v>
      </c>
      <c r="V154" t="s">
        <v>126</v>
      </c>
      <c r="W154">
        <v>0.1</v>
      </c>
      <c r="Y154">
        <v>2.85</v>
      </c>
      <c r="Z154">
        <v>14.3</v>
      </c>
      <c r="AC154" t="s">
        <v>90</v>
      </c>
      <c r="AD154">
        <v>450</v>
      </c>
      <c r="AF154" t="s">
        <v>91</v>
      </c>
      <c r="AH154" s="3">
        <v>3800</v>
      </c>
      <c r="AI154" s="3">
        <f>AH154/(AD154*Y154*Z154)</f>
        <v>0.20720020720020721</v>
      </c>
      <c r="AJ154" s="3">
        <f t="shared" si="2"/>
        <v>-1.574069768596309</v>
      </c>
      <c r="AK154" t="s">
        <v>1255</v>
      </c>
      <c r="AL154" t="s">
        <v>1255</v>
      </c>
      <c r="AM154" t="s">
        <v>1255</v>
      </c>
      <c r="AN154" t="b">
        <v>1</v>
      </c>
      <c r="AO154" t="b">
        <v>1</v>
      </c>
      <c r="AP154" t="b">
        <v>0</v>
      </c>
      <c r="AQ154" t="b">
        <v>0</v>
      </c>
      <c r="AR154" t="s">
        <v>1300</v>
      </c>
      <c r="AS154" t="s">
        <v>1301</v>
      </c>
      <c r="AT154" t="s">
        <v>1242</v>
      </c>
      <c r="AU154">
        <v>7.5600804650218274</v>
      </c>
      <c r="AV154">
        <v>1.882352941176471</v>
      </c>
      <c r="AW154">
        <v>2.3529411764705879</v>
      </c>
      <c r="AX154">
        <v>0.47499999999999998</v>
      </c>
      <c r="AY154">
        <v>0</v>
      </c>
      <c r="AZ154">
        <v>0.3996253512332188</v>
      </c>
      <c r="BA154">
        <v>0.49953168904152351</v>
      </c>
      <c r="BB154">
        <v>0.1008429597252576</v>
      </c>
      <c r="BC154">
        <v>0</v>
      </c>
      <c r="BD154">
        <v>6.096403239605376</v>
      </c>
      <c r="BE154">
        <v>20</v>
      </c>
      <c r="BF154">
        <v>216.40687730768099</v>
      </c>
      <c r="BG154">
        <v>1</v>
      </c>
      <c r="BH154">
        <v>9.2418504665009241E-2</v>
      </c>
      <c r="BI154">
        <v>14.696413339999999</v>
      </c>
      <c r="BJ154">
        <v>14.696413339999999</v>
      </c>
      <c r="BK154">
        <v>14.696413339999999</v>
      </c>
      <c r="BL154">
        <v>420.30120210079798</v>
      </c>
      <c r="BM154">
        <v>1</v>
      </c>
      <c r="BN154">
        <v>4.7584922193973478E-2</v>
      </c>
      <c r="BO154">
        <v>3.83528</v>
      </c>
      <c r="BP154">
        <v>3.83528</v>
      </c>
      <c r="BQ154">
        <v>28.573699999999999</v>
      </c>
      <c r="BR154">
        <v>0</v>
      </c>
      <c r="BS154">
        <v>0</v>
      </c>
      <c r="BU154">
        <v>0</v>
      </c>
      <c r="BV154">
        <v>0</v>
      </c>
      <c r="BW154">
        <v>0</v>
      </c>
      <c r="BX154">
        <v>394.21199999999999</v>
      </c>
      <c r="BY154">
        <v>0.10146824551256679</v>
      </c>
      <c r="BZ154">
        <v>10</v>
      </c>
      <c r="CA154">
        <v>5.0734122756283417E-2</v>
      </c>
      <c r="CB154">
        <v>4.620925233250462E-2</v>
      </c>
      <c r="CC154">
        <v>2.3792461096986739E-2</v>
      </c>
      <c r="CE154">
        <v>0.49189525578400978</v>
      </c>
      <c r="CF154">
        <v>0.2532695974568055</v>
      </c>
      <c r="CH154">
        <v>0.54006228256207611</v>
      </c>
    </row>
    <row r="155" spans="1:86" x14ac:dyDescent="0.3">
      <c r="A155" s="1">
        <v>768</v>
      </c>
      <c r="B155" t="s">
        <v>1288</v>
      </c>
      <c r="C155" t="s">
        <v>1289</v>
      </c>
      <c r="E155" t="s">
        <v>404</v>
      </c>
      <c r="F155">
        <v>1.35</v>
      </c>
      <c r="G155" t="s">
        <v>899</v>
      </c>
      <c r="H155" t="s">
        <v>900</v>
      </c>
      <c r="I155" t="s">
        <v>901</v>
      </c>
      <c r="J155">
        <v>2</v>
      </c>
      <c r="K155">
        <v>3.8</v>
      </c>
      <c r="L155">
        <v>3.8</v>
      </c>
      <c r="M155">
        <v>27.5</v>
      </c>
      <c r="N155" t="s">
        <v>206</v>
      </c>
      <c r="O155">
        <v>13.75</v>
      </c>
      <c r="Q155" t="s">
        <v>87</v>
      </c>
      <c r="R155">
        <v>1373</v>
      </c>
      <c r="S155">
        <v>12</v>
      </c>
      <c r="T155" t="b">
        <v>0</v>
      </c>
      <c r="U155" t="s">
        <v>125</v>
      </c>
      <c r="V155" t="s">
        <v>126</v>
      </c>
      <c r="W155">
        <v>1</v>
      </c>
      <c r="X155">
        <v>60</v>
      </c>
      <c r="Y155">
        <v>0.5</v>
      </c>
      <c r="Z155">
        <v>1</v>
      </c>
      <c r="AC155" t="s">
        <v>90</v>
      </c>
      <c r="AD155">
        <v>125</v>
      </c>
      <c r="AE155">
        <v>220</v>
      </c>
      <c r="AF155" t="s">
        <v>91</v>
      </c>
      <c r="AG155">
        <v>288</v>
      </c>
      <c r="AH155" s="3">
        <v>12.6</v>
      </c>
      <c r="AI155" s="3">
        <f>AH155/(AD155*Y155*Z155)</f>
        <v>0.2016</v>
      </c>
      <c r="AJ155" s="3">
        <f t="shared" si="2"/>
        <v>-1.6014697427849236</v>
      </c>
      <c r="AK155" t="s">
        <v>1260</v>
      </c>
      <c r="AL155" t="s">
        <v>1260</v>
      </c>
      <c r="AM155" t="s">
        <v>1260</v>
      </c>
      <c r="AN155" t="b">
        <v>1</v>
      </c>
      <c r="AO155" t="b">
        <v>1</v>
      </c>
      <c r="AP155" t="b">
        <v>0</v>
      </c>
      <c r="AQ155" t="b">
        <v>0</v>
      </c>
      <c r="AR155" t="s">
        <v>1302</v>
      </c>
      <c r="AS155" t="s">
        <v>1303</v>
      </c>
      <c r="AT155" t="s">
        <v>1242</v>
      </c>
      <c r="AU155">
        <v>7.2152399787300974</v>
      </c>
      <c r="AV155">
        <v>1.882352941176471</v>
      </c>
      <c r="AW155">
        <v>2.3529411764705879</v>
      </c>
      <c r="AX155">
        <v>0.47941176470588243</v>
      </c>
      <c r="AY155">
        <v>0</v>
      </c>
      <c r="AZ155">
        <v>0.39925140361821582</v>
      </c>
      <c r="BA155">
        <v>0.49906425452276981</v>
      </c>
      <c r="BB155">
        <v>0.1016843418590143</v>
      </c>
      <c r="BC155">
        <v>0</v>
      </c>
      <c r="BD155">
        <v>6.0964108668112589</v>
      </c>
      <c r="BE155">
        <v>20</v>
      </c>
      <c r="BF155">
        <v>216.40687730768099</v>
      </c>
      <c r="BG155">
        <v>1</v>
      </c>
      <c r="BH155">
        <v>9.2418504665009241E-2</v>
      </c>
      <c r="BI155">
        <v>14.696413339999999</v>
      </c>
      <c r="BJ155">
        <v>14.696413339999999</v>
      </c>
      <c r="BK155">
        <v>14.696413339999999</v>
      </c>
      <c r="BL155">
        <v>420.30120210079798</v>
      </c>
      <c r="BM155">
        <v>1</v>
      </c>
      <c r="BN155">
        <v>4.7584922193973478E-2</v>
      </c>
      <c r="BO155">
        <v>3.83528</v>
      </c>
      <c r="BP155">
        <v>3.83528</v>
      </c>
      <c r="BQ155">
        <v>28.573699999999999</v>
      </c>
      <c r="BR155">
        <v>0</v>
      </c>
      <c r="BS155">
        <v>0</v>
      </c>
      <c r="BU155">
        <v>0</v>
      </c>
      <c r="BV155">
        <v>0</v>
      </c>
      <c r="BW155">
        <v>0</v>
      </c>
      <c r="BX155">
        <v>394.21199999999999</v>
      </c>
      <c r="BY155">
        <v>0.10146824551256679</v>
      </c>
      <c r="BZ155">
        <v>10</v>
      </c>
      <c r="CA155">
        <v>5.0734122756283417E-2</v>
      </c>
      <c r="CB155">
        <v>4.620925233250462E-2</v>
      </c>
      <c r="CC155">
        <v>2.3792461096986739E-2</v>
      </c>
      <c r="CE155">
        <v>0.49213680976122681</v>
      </c>
      <c r="CF155">
        <v>0.25339397002973529</v>
      </c>
      <c r="CH155">
        <v>0.54032748982066181</v>
      </c>
    </row>
    <row r="156" spans="1:86" x14ac:dyDescent="0.3">
      <c r="A156" s="1">
        <v>237</v>
      </c>
      <c r="B156" t="s">
        <v>619</v>
      </c>
      <c r="C156" t="s">
        <v>620</v>
      </c>
      <c r="E156" t="s">
        <v>106</v>
      </c>
      <c r="F156">
        <v>3.99</v>
      </c>
      <c r="G156" t="s">
        <v>142</v>
      </c>
      <c r="H156">
        <v>1522043</v>
      </c>
      <c r="I156">
        <v>-1</v>
      </c>
      <c r="J156">
        <v>8</v>
      </c>
      <c r="K156">
        <v>7.76</v>
      </c>
      <c r="L156">
        <v>7.76</v>
      </c>
      <c r="M156">
        <v>29.18</v>
      </c>
      <c r="O156">
        <v>14.59</v>
      </c>
      <c r="Q156" t="s">
        <v>87</v>
      </c>
      <c r="R156">
        <v>1423</v>
      </c>
      <c r="S156">
        <v>24</v>
      </c>
      <c r="T156" t="b">
        <v>0</v>
      </c>
      <c r="U156" t="s">
        <v>172</v>
      </c>
      <c r="V156" t="s">
        <v>126</v>
      </c>
      <c r="W156">
        <v>4</v>
      </c>
      <c r="X156">
        <v>11.97</v>
      </c>
      <c r="Y156">
        <v>2</v>
      </c>
      <c r="Z156">
        <v>10</v>
      </c>
      <c r="AC156" t="s">
        <v>90</v>
      </c>
      <c r="AD156">
        <v>100</v>
      </c>
      <c r="AE156">
        <v>400</v>
      </c>
      <c r="AF156" t="s">
        <v>407</v>
      </c>
      <c r="AG156">
        <v>333</v>
      </c>
      <c r="AH156" s="3">
        <v>401.78571428571428</v>
      </c>
      <c r="AI156" s="3">
        <f>AH156/(AD156*Y156*Z156)</f>
        <v>0.20089285714285715</v>
      </c>
      <c r="AJ156" s="3">
        <f t="shared" si="2"/>
        <v>-1.6049835620847202</v>
      </c>
      <c r="AK156" t="s">
        <v>1265</v>
      </c>
      <c r="AL156" t="s">
        <v>1265</v>
      </c>
      <c r="AM156" t="s">
        <v>1265</v>
      </c>
      <c r="AN156" t="b">
        <v>1</v>
      </c>
      <c r="AO156" t="b">
        <v>1</v>
      </c>
      <c r="AP156" t="b">
        <v>0</v>
      </c>
      <c r="AQ156" t="b">
        <v>0</v>
      </c>
      <c r="AR156" t="s">
        <v>1304</v>
      </c>
      <c r="AS156" t="s">
        <v>1305</v>
      </c>
      <c r="AT156" t="s">
        <v>1242</v>
      </c>
      <c r="AU156">
        <v>7.0647590277918022</v>
      </c>
      <c r="AV156">
        <v>1.882352941176471</v>
      </c>
      <c r="AW156">
        <v>2.3529411764705879</v>
      </c>
      <c r="AX156">
        <v>0.4882352941176471</v>
      </c>
      <c r="AY156">
        <v>0</v>
      </c>
      <c r="AZ156">
        <v>0.39850560398505602</v>
      </c>
      <c r="BA156">
        <v>0.49813200498131999</v>
      </c>
      <c r="BB156">
        <v>0.10336239103362389</v>
      </c>
      <c r="BC156">
        <v>0</v>
      </c>
      <c r="BD156">
        <v>6.0964261212230237</v>
      </c>
      <c r="BE156">
        <v>20</v>
      </c>
      <c r="BF156">
        <v>216.40687730768099</v>
      </c>
      <c r="BG156">
        <v>1</v>
      </c>
      <c r="BH156">
        <v>9.2418504665009241E-2</v>
      </c>
      <c r="BI156">
        <v>14.696413339999999</v>
      </c>
      <c r="BJ156">
        <v>14.696413339999999</v>
      </c>
      <c r="BK156">
        <v>14.696413339999999</v>
      </c>
      <c r="BL156">
        <v>420.30120210079798</v>
      </c>
      <c r="BM156">
        <v>1</v>
      </c>
      <c r="BN156">
        <v>4.7584922193973478E-2</v>
      </c>
      <c r="BO156">
        <v>3.83528</v>
      </c>
      <c r="BP156">
        <v>3.83528</v>
      </c>
      <c r="BQ156">
        <v>28.573699999999999</v>
      </c>
      <c r="BR156">
        <v>0</v>
      </c>
      <c r="BS156">
        <v>0</v>
      </c>
      <c r="BU156">
        <v>0</v>
      </c>
      <c r="BV156">
        <v>0</v>
      </c>
      <c r="BW156">
        <v>0</v>
      </c>
      <c r="BX156">
        <v>399.988</v>
      </c>
      <c r="BY156">
        <v>0.10000300009000269</v>
      </c>
      <c r="BZ156">
        <v>10</v>
      </c>
      <c r="CA156">
        <v>5.0001500045001347E-2</v>
      </c>
      <c r="CB156">
        <v>4.620925233250462E-2</v>
      </c>
      <c r="CC156">
        <v>2.3792461096986739E-2</v>
      </c>
      <c r="CE156">
        <v>0.49261991771566083</v>
      </c>
      <c r="CF156">
        <v>0.25364271517559511</v>
      </c>
      <c r="CH156">
        <v>0.53304768189252139</v>
      </c>
    </row>
    <row r="157" spans="1:86" x14ac:dyDescent="0.3">
      <c r="A157" s="1">
        <v>756</v>
      </c>
      <c r="B157" t="s">
        <v>1288</v>
      </c>
      <c r="C157" t="s">
        <v>1289</v>
      </c>
      <c r="E157" t="s">
        <v>404</v>
      </c>
      <c r="F157">
        <v>1.35</v>
      </c>
      <c r="G157" t="s">
        <v>899</v>
      </c>
      <c r="H157" t="s">
        <v>900</v>
      </c>
      <c r="I157" t="s">
        <v>901</v>
      </c>
      <c r="J157">
        <v>2</v>
      </c>
      <c r="K157">
        <v>3.8</v>
      </c>
      <c r="L157">
        <v>3.8</v>
      </c>
      <c r="M157">
        <v>27.5</v>
      </c>
      <c r="N157" t="s">
        <v>206</v>
      </c>
      <c r="O157">
        <v>13.75</v>
      </c>
      <c r="Q157" t="s">
        <v>87</v>
      </c>
      <c r="R157">
        <v>1373</v>
      </c>
      <c r="S157">
        <v>12</v>
      </c>
      <c r="T157" t="b">
        <v>0</v>
      </c>
      <c r="U157" t="s">
        <v>125</v>
      </c>
      <c r="V157" t="s">
        <v>126</v>
      </c>
      <c r="W157">
        <v>1</v>
      </c>
      <c r="X157">
        <v>3.2</v>
      </c>
      <c r="Y157">
        <v>0.5</v>
      </c>
      <c r="Z157">
        <v>1</v>
      </c>
      <c r="AC157" t="s">
        <v>90</v>
      </c>
      <c r="AD157">
        <v>125</v>
      </c>
      <c r="AE157">
        <v>220</v>
      </c>
      <c r="AF157" t="s">
        <v>91</v>
      </c>
      <c r="AG157">
        <v>288</v>
      </c>
      <c r="AH157" s="3">
        <v>12</v>
      </c>
      <c r="AI157" s="3">
        <f>AH157/(AD157*Y157*Z157)</f>
        <v>0.192</v>
      </c>
      <c r="AJ157" s="3">
        <f t="shared" si="2"/>
        <v>-1.6502599069543555</v>
      </c>
      <c r="AK157" t="s">
        <v>1270</v>
      </c>
      <c r="AL157" t="s">
        <v>1270</v>
      </c>
      <c r="AM157" t="s">
        <v>1270</v>
      </c>
      <c r="AN157" t="b">
        <v>1</v>
      </c>
      <c r="AO157" t="b">
        <v>1</v>
      </c>
      <c r="AP157" t="b">
        <v>0</v>
      </c>
      <c r="AQ157" t="b">
        <v>0</v>
      </c>
      <c r="AR157" t="s">
        <v>1306</v>
      </c>
      <c r="AS157" t="s">
        <v>1307</v>
      </c>
      <c r="AT157" t="s">
        <v>1242</v>
      </c>
      <c r="AU157">
        <v>3.850147601710058</v>
      </c>
      <c r="AV157">
        <v>1.882352941176471</v>
      </c>
      <c r="AW157">
        <v>2.3529411764705879</v>
      </c>
      <c r="AX157">
        <v>0.52352941176470591</v>
      </c>
      <c r="AY157">
        <v>0</v>
      </c>
      <c r="AZ157">
        <v>0.39555006180469721</v>
      </c>
      <c r="BA157">
        <v>0.49443757725587151</v>
      </c>
      <c r="BB157">
        <v>0.1100123609394314</v>
      </c>
      <c r="BC157">
        <v>0</v>
      </c>
      <c r="BD157">
        <v>6.1474614128683296</v>
      </c>
      <c r="BE157">
        <v>20</v>
      </c>
      <c r="BF157">
        <v>216.40687730768099</v>
      </c>
      <c r="BG157">
        <v>1</v>
      </c>
      <c r="BH157">
        <v>9.2418504665009241E-2</v>
      </c>
      <c r="BI157">
        <v>14.696413339999999</v>
      </c>
      <c r="BJ157">
        <v>14.696413339999999</v>
      </c>
      <c r="BK157">
        <v>14.696413339999999</v>
      </c>
      <c r="BL157">
        <v>420.30120210079798</v>
      </c>
      <c r="BM157">
        <v>1</v>
      </c>
      <c r="BN157">
        <v>4.7584922193973478E-2</v>
      </c>
      <c r="BO157">
        <v>3.83528</v>
      </c>
      <c r="BP157">
        <v>3.83528</v>
      </c>
      <c r="BQ157">
        <v>28.573699999999999</v>
      </c>
      <c r="BR157">
        <v>0</v>
      </c>
      <c r="BS157">
        <v>0</v>
      </c>
      <c r="BU157">
        <v>0</v>
      </c>
      <c r="BV157">
        <v>0</v>
      </c>
      <c r="BW157">
        <v>0</v>
      </c>
      <c r="BX157">
        <v>404.32</v>
      </c>
      <c r="BY157">
        <v>9.8931539374752672E-2</v>
      </c>
      <c r="BZ157">
        <v>10</v>
      </c>
      <c r="CA157">
        <v>4.9465769687376343E-2</v>
      </c>
      <c r="CB157">
        <v>4.620925233250462E-2</v>
      </c>
      <c r="CC157">
        <v>2.3792461096986739E-2</v>
      </c>
      <c r="CE157">
        <v>0.48850981294998441</v>
      </c>
      <c r="CF157">
        <v>0.25152648297520719</v>
      </c>
      <c r="CH157">
        <v>0.52293669941959575</v>
      </c>
    </row>
    <row r="158" spans="1:86" x14ac:dyDescent="0.3">
      <c r="A158" s="1">
        <v>368</v>
      </c>
      <c r="B158" t="s">
        <v>285</v>
      </c>
      <c r="C158" t="s">
        <v>286</v>
      </c>
      <c r="F158">
        <v>4.2</v>
      </c>
      <c r="G158" t="s">
        <v>287</v>
      </c>
      <c r="H158" t="s">
        <v>288</v>
      </c>
      <c r="I158">
        <v>-1</v>
      </c>
      <c r="O158">
        <v>0</v>
      </c>
      <c r="Q158" t="s">
        <v>87</v>
      </c>
      <c r="R158">
        <v>1373</v>
      </c>
      <c r="S158">
        <v>32</v>
      </c>
      <c r="T158" t="b">
        <v>0</v>
      </c>
      <c r="U158" t="s">
        <v>172</v>
      </c>
      <c r="V158" t="s">
        <v>126</v>
      </c>
      <c r="W158">
        <v>0.5</v>
      </c>
      <c r="Y158">
        <v>1</v>
      </c>
      <c r="Z158">
        <v>20</v>
      </c>
      <c r="AC158" t="s">
        <v>165</v>
      </c>
      <c r="AD158">
        <v>300</v>
      </c>
      <c r="AF158" t="s">
        <v>91</v>
      </c>
      <c r="AH158" s="3">
        <v>1100</v>
      </c>
      <c r="AI158" s="3">
        <f>AH158/(AD158*Y158*Z158)</f>
        <v>0.18333333333333332</v>
      </c>
      <c r="AJ158" s="3">
        <f t="shared" si="2"/>
        <v>-1.6964492894237302</v>
      </c>
      <c r="AK158" t="s">
        <v>1275</v>
      </c>
      <c r="AL158" t="s">
        <v>1275</v>
      </c>
      <c r="AM158" t="s">
        <v>1275</v>
      </c>
      <c r="AN158" t="b">
        <v>1</v>
      </c>
      <c r="AO158" t="b">
        <v>1</v>
      </c>
      <c r="AP158" t="b">
        <v>0</v>
      </c>
      <c r="AQ158" t="b">
        <v>0</v>
      </c>
      <c r="AR158" t="s">
        <v>1308</v>
      </c>
      <c r="AS158" t="s">
        <v>1309</v>
      </c>
      <c r="AT158" t="s">
        <v>1242</v>
      </c>
      <c r="AU158">
        <v>1.856297990365626</v>
      </c>
      <c r="AV158">
        <v>1.882352941176471</v>
      </c>
      <c r="AW158">
        <v>2.3529411764705879</v>
      </c>
      <c r="AX158">
        <v>0.55882352941176472</v>
      </c>
      <c r="AY158">
        <v>0</v>
      </c>
      <c r="AZ158">
        <v>0.39263803680981602</v>
      </c>
      <c r="BA158">
        <v>0.49079754601226999</v>
      </c>
      <c r="BB158">
        <v>0.1165644171779141</v>
      </c>
      <c r="BC158">
        <v>0</v>
      </c>
      <c r="BD158">
        <v>6.1984967045136354</v>
      </c>
      <c r="BE158">
        <v>20</v>
      </c>
      <c r="BF158">
        <v>216.40687730768099</v>
      </c>
      <c r="BG158">
        <v>1</v>
      </c>
      <c r="BH158">
        <v>9.2418504665009241E-2</v>
      </c>
      <c r="BI158">
        <v>14.696413339999999</v>
      </c>
      <c r="BJ158">
        <v>14.696413339999999</v>
      </c>
      <c r="BK158">
        <v>14.696413339999999</v>
      </c>
      <c r="BL158">
        <v>420.30120210079798</v>
      </c>
      <c r="BM158">
        <v>1</v>
      </c>
      <c r="BN158">
        <v>4.7584922193973478E-2</v>
      </c>
      <c r="BO158">
        <v>3.83528</v>
      </c>
      <c r="BP158">
        <v>3.83528</v>
      </c>
      <c r="BQ158">
        <v>28.573699999999999</v>
      </c>
      <c r="BR158">
        <v>0</v>
      </c>
      <c r="BS158">
        <v>0</v>
      </c>
      <c r="BU158">
        <v>0</v>
      </c>
      <c r="BV158">
        <v>0</v>
      </c>
      <c r="BW158">
        <v>0</v>
      </c>
      <c r="BX158">
        <v>401.43200000000002</v>
      </c>
      <c r="BY158">
        <v>9.9643277068096212E-2</v>
      </c>
      <c r="BZ158">
        <v>10</v>
      </c>
      <c r="CA158">
        <v>4.9821638534048113E-2</v>
      </c>
      <c r="CB158">
        <v>4.620925233250462E-2</v>
      </c>
      <c r="CC158">
        <v>2.3792461096986739E-2</v>
      </c>
      <c r="CE158">
        <v>0.48439970818430811</v>
      </c>
      <c r="CF158">
        <v>0.24941025077481929</v>
      </c>
      <c r="CH158">
        <v>0.5222674237077165</v>
      </c>
    </row>
    <row r="159" spans="1:86" x14ac:dyDescent="0.3">
      <c r="A159" s="1">
        <v>754</v>
      </c>
      <c r="B159" t="s">
        <v>1278</v>
      </c>
      <c r="C159" t="s">
        <v>1279</v>
      </c>
      <c r="E159" t="s">
        <v>404</v>
      </c>
      <c r="F159">
        <v>1.5</v>
      </c>
      <c r="G159" t="s">
        <v>899</v>
      </c>
      <c r="H159" t="s">
        <v>900</v>
      </c>
      <c r="I159" t="s">
        <v>901</v>
      </c>
      <c r="J159">
        <v>2</v>
      </c>
      <c r="K159">
        <v>3.8</v>
      </c>
      <c r="L159">
        <v>3.8</v>
      </c>
      <c r="M159">
        <v>27.3</v>
      </c>
      <c r="N159" t="s">
        <v>206</v>
      </c>
      <c r="O159">
        <v>13.65</v>
      </c>
      <c r="Q159" t="s">
        <v>87</v>
      </c>
      <c r="R159">
        <v>1373</v>
      </c>
      <c r="S159">
        <v>12</v>
      </c>
      <c r="T159" t="b">
        <v>0</v>
      </c>
      <c r="U159" t="s">
        <v>125</v>
      </c>
      <c r="V159" t="s">
        <v>126</v>
      </c>
      <c r="W159">
        <v>1</v>
      </c>
      <c r="X159">
        <v>3.2</v>
      </c>
      <c r="Y159">
        <v>0.5</v>
      </c>
      <c r="Z159">
        <v>1</v>
      </c>
      <c r="AC159" t="s">
        <v>90</v>
      </c>
      <c r="AD159">
        <v>125</v>
      </c>
      <c r="AE159">
        <v>220</v>
      </c>
      <c r="AF159" t="s">
        <v>91</v>
      </c>
      <c r="AG159">
        <v>288</v>
      </c>
      <c r="AH159" s="3">
        <v>11</v>
      </c>
      <c r="AI159" s="3">
        <f>AH159/(AD159*Y159*Z159)</f>
        <v>0.17599999999999999</v>
      </c>
      <c r="AJ159" s="3">
        <f t="shared" si="2"/>
        <v>-1.7372712839439852</v>
      </c>
      <c r="AK159" t="s">
        <v>1280</v>
      </c>
      <c r="AL159" t="s">
        <v>1280</v>
      </c>
      <c r="AM159" t="s">
        <v>1280</v>
      </c>
      <c r="AN159" t="b">
        <v>1</v>
      </c>
      <c r="AO159" t="b">
        <v>1</v>
      </c>
      <c r="AP159" t="b">
        <v>0</v>
      </c>
      <c r="AQ159" t="b">
        <v>0</v>
      </c>
      <c r="AR159" t="s">
        <v>1310</v>
      </c>
      <c r="AS159" t="s">
        <v>1311</v>
      </c>
      <c r="AT159" t="s">
        <v>1242</v>
      </c>
      <c r="AU159">
        <v>1.722766597741104</v>
      </c>
      <c r="AV159">
        <v>1.882352941176471</v>
      </c>
      <c r="AW159">
        <v>2.3529411764705879</v>
      </c>
      <c r="AX159">
        <v>0.59411764705882353</v>
      </c>
      <c r="AY159">
        <v>0</v>
      </c>
      <c r="AZ159">
        <v>0.38976857490864802</v>
      </c>
      <c r="BA159">
        <v>0.48721071863581011</v>
      </c>
      <c r="BB159">
        <v>0.123020706455542</v>
      </c>
      <c r="BC159">
        <v>0</v>
      </c>
      <c r="BD159">
        <v>6.198557722160694</v>
      </c>
      <c r="BE159">
        <v>20</v>
      </c>
      <c r="BF159">
        <v>216.40687730768099</v>
      </c>
      <c r="BG159">
        <v>1</v>
      </c>
      <c r="BH159">
        <v>9.2418504665009241E-2</v>
      </c>
      <c r="BI159">
        <v>14.696413339999999</v>
      </c>
      <c r="BJ159">
        <v>14.696413339999999</v>
      </c>
      <c r="BK159">
        <v>14.696413339999999</v>
      </c>
      <c r="BL159">
        <v>420.30120210079798</v>
      </c>
      <c r="BM159">
        <v>1</v>
      </c>
      <c r="BN159">
        <v>4.7584922193973478E-2</v>
      </c>
      <c r="BO159">
        <v>3.83528</v>
      </c>
      <c r="BP159">
        <v>3.83528</v>
      </c>
      <c r="BQ159">
        <v>28.573699999999999</v>
      </c>
      <c r="BR159">
        <v>0</v>
      </c>
      <c r="BS159">
        <v>0</v>
      </c>
      <c r="BU159">
        <v>0</v>
      </c>
      <c r="BV159">
        <v>0</v>
      </c>
      <c r="BW159">
        <v>0</v>
      </c>
      <c r="BX159">
        <v>394.21199999999999</v>
      </c>
      <c r="BY159">
        <v>0.10146824551256679</v>
      </c>
      <c r="BZ159">
        <v>10</v>
      </c>
      <c r="CA159">
        <v>5.0734122756283417E-2</v>
      </c>
      <c r="CB159">
        <v>4.620925233250462E-2</v>
      </c>
      <c r="CC159">
        <v>2.3792461096986739E-2</v>
      </c>
      <c r="CE159">
        <v>0.48633214000204422</v>
      </c>
      <c r="CF159">
        <v>0.2504052313582581</v>
      </c>
      <c r="CH159">
        <v>0.53395441920694608</v>
      </c>
    </row>
    <row r="160" spans="1:86" x14ac:dyDescent="0.3">
      <c r="A160" s="1">
        <v>221</v>
      </c>
      <c r="B160" t="s">
        <v>151</v>
      </c>
      <c r="C160" t="s">
        <v>152</v>
      </c>
      <c r="E160" t="s">
        <v>106</v>
      </c>
      <c r="F160">
        <v>3.3</v>
      </c>
      <c r="G160" t="s">
        <v>142</v>
      </c>
      <c r="H160">
        <v>1522043</v>
      </c>
      <c r="I160">
        <v>-1</v>
      </c>
      <c r="J160">
        <v>2</v>
      </c>
      <c r="K160">
        <v>3.89</v>
      </c>
      <c r="L160">
        <v>3.89</v>
      </c>
      <c r="M160">
        <v>33.299999999999997</v>
      </c>
      <c r="N160" t="s">
        <v>529</v>
      </c>
      <c r="O160">
        <v>16.649999999999999</v>
      </c>
      <c r="Q160" t="s">
        <v>87</v>
      </c>
      <c r="R160">
        <v>1523</v>
      </c>
      <c r="S160">
        <v>2</v>
      </c>
      <c r="T160" t="b">
        <v>0</v>
      </c>
      <c r="U160" t="s">
        <v>125</v>
      </c>
      <c r="V160" t="s">
        <v>126</v>
      </c>
      <c r="W160">
        <v>0.3</v>
      </c>
      <c r="X160">
        <v>56</v>
      </c>
      <c r="Y160">
        <v>2.5</v>
      </c>
      <c r="Z160">
        <v>7</v>
      </c>
      <c r="AC160" t="s">
        <v>165</v>
      </c>
      <c r="AD160">
        <v>300</v>
      </c>
      <c r="AE160">
        <v>300</v>
      </c>
      <c r="AF160" t="s">
        <v>407</v>
      </c>
      <c r="AH160" s="3">
        <v>900</v>
      </c>
      <c r="AI160" s="3">
        <f>AH160/(AD160*Y160*Z160)</f>
        <v>0.17142857142857143</v>
      </c>
      <c r="AJ160" s="3">
        <f t="shared" si="2"/>
        <v>-1.7635885922613588</v>
      </c>
      <c r="AK160" t="s">
        <v>1285</v>
      </c>
      <c r="AL160" t="s">
        <v>1285</v>
      </c>
      <c r="AM160" t="s">
        <v>1285</v>
      </c>
      <c r="AN160" t="b">
        <v>1</v>
      </c>
      <c r="AO160" t="b">
        <v>1</v>
      </c>
      <c r="AP160" t="b">
        <v>0</v>
      </c>
      <c r="AQ160" t="b">
        <v>0</v>
      </c>
      <c r="AR160" t="s">
        <v>1312</v>
      </c>
      <c r="AS160" t="s">
        <v>1313</v>
      </c>
      <c r="AT160" t="s">
        <v>1242</v>
      </c>
      <c r="AU160">
        <v>2.174751721484161</v>
      </c>
      <c r="AV160">
        <v>1.882352941176471</v>
      </c>
      <c r="AW160">
        <v>2.3529411764705879</v>
      </c>
      <c r="AX160">
        <v>0.62941176470588234</v>
      </c>
      <c r="AY160">
        <v>0</v>
      </c>
      <c r="AZ160">
        <v>0.38694074969770248</v>
      </c>
      <c r="BA160">
        <v>0.48367593712212809</v>
      </c>
      <c r="BB160">
        <v>0.1293833131801693</v>
      </c>
      <c r="BC160">
        <v>0</v>
      </c>
      <c r="BD160">
        <v>6.1986187398077526</v>
      </c>
      <c r="BE160">
        <v>20</v>
      </c>
      <c r="BF160">
        <v>216.40687730768099</v>
      </c>
      <c r="BG160">
        <v>1</v>
      </c>
      <c r="BH160">
        <v>9.2418504665009241E-2</v>
      </c>
      <c r="BI160">
        <v>14.696413339999999</v>
      </c>
      <c r="BJ160">
        <v>14.696413339999999</v>
      </c>
      <c r="BK160">
        <v>14.696413339999999</v>
      </c>
      <c r="BL160">
        <v>420.30120210079798</v>
      </c>
      <c r="BM160">
        <v>1</v>
      </c>
      <c r="BN160">
        <v>4.7584922193973478E-2</v>
      </c>
      <c r="BO160">
        <v>3.83528</v>
      </c>
      <c r="BP160">
        <v>3.83528</v>
      </c>
      <c r="BQ160">
        <v>28.573699999999999</v>
      </c>
      <c r="BR160">
        <v>0</v>
      </c>
      <c r="BS160">
        <v>0</v>
      </c>
      <c r="BU160">
        <v>0</v>
      </c>
      <c r="BV160">
        <v>0</v>
      </c>
      <c r="BW160">
        <v>0</v>
      </c>
      <c r="BX160">
        <v>394.21199999999999</v>
      </c>
      <c r="BY160">
        <v>0.10146824551256679</v>
      </c>
      <c r="BZ160">
        <v>10</v>
      </c>
      <c r="CA160">
        <v>5.0734122756283417E-2</v>
      </c>
      <c r="CB160">
        <v>4.620925233250462E-2</v>
      </c>
      <c r="CC160">
        <v>2.3792461096986739E-2</v>
      </c>
      <c r="CE160">
        <v>0.48826457181978028</v>
      </c>
      <c r="CF160">
        <v>0.25140021194169693</v>
      </c>
      <c r="CH160">
        <v>0.53607607727563145</v>
      </c>
    </row>
    <row r="161" spans="1:86" x14ac:dyDescent="0.3">
      <c r="A161" s="1">
        <v>220</v>
      </c>
      <c r="B161" t="s">
        <v>140</v>
      </c>
      <c r="C161" t="s">
        <v>141</v>
      </c>
      <c r="E161" t="s">
        <v>106</v>
      </c>
      <c r="F161">
        <v>3.5</v>
      </c>
      <c r="G161" t="s">
        <v>142</v>
      </c>
      <c r="H161">
        <v>1522043</v>
      </c>
      <c r="I161" t="s">
        <v>177</v>
      </c>
      <c r="K161">
        <v>3.85</v>
      </c>
      <c r="L161">
        <v>3.85</v>
      </c>
      <c r="M161">
        <v>29.296700000000001</v>
      </c>
      <c r="N161" t="s">
        <v>529</v>
      </c>
      <c r="O161">
        <v>14.648350000000001</v>
      </c>
      <c r="Q161" t="s">
        <v>87</v>
      </c>
      <c r="R161">
        <v>1523</v>
      </c>
      <c r="S161">
        <v>2</v>
      </c>
      <c r="T161" t="b">
        <v>0</v>
      </c>
      <c r="U161" t="s">
        <v>125</v>
      </c>
      <c r="V161" t="s">
        <v>126</v>
      </c>
      <c r="W161">
        <v>0.3</v>
      </c>
      <c r="X161">
        <v>50</v>
      </c>
      <c r="Y161">
        <v>2.5</v>
      </c>
      <c r="Z161">
        <v>7</v>
      </c>
      <c r="AC161" t="s">
        <v>165</v>
      </c>
      <c r="AD161">
        <v>300</v>
      </c>
      <c r="AE161">
        <v>300</v>
      </c>
      <c r="AF161" t="s">
        <v>407</v>
      </c>
      <c r="AH161" s="3">
        <v>840</v>
      </c>
      <c r="AI161" s="3">
        <f>AH161/(AD161*Y161*Z161)</f>
        <v>0.16</v>
      </c>
      <c r="AJ161" s="3">
        <f t="shared" si="2"/>
        <v>-1.8325814637483102</v>
      </c>
      <c r="AK161" t="s">
        <v>1290</v>
      </c>
      <c r="AL161" t="s">
        <v>1290</v>
      </c>
      <c r="AM161" t="s">
        <v>1290</v>
      </c>
      <c r="AN161" t="b">
        <v>1</v>
      </c>
      <c r="AO161" t="b">
        <v>1</v>
      </c>
      <c r="AP161" t="b">
        <v>0</v>
      </c>
      <c r="AQ161" t="b">
        <v>0</v>
      </c>
      <c r="AR161" t="s">
        <v>1314</v>
      </c>
      <c r="AS161" t="s">
        <v>1315</v>
      </c>
      <c r="AT161" t="s">
        <v>1242</v>
      </c>
      <c r="AU161">
        <v>2.5336968139574321</v>
      </c>
      <c r="AV161">
        <v>1.882352941176471</v>
      </c>
      <c r="AW161">
        <v>2.3529411764705879</v>
      </c>
      <c r="AX161">
        <v>0.6470588235294118</v>
      </c>
      <c r="AY161">
        <v>0</v>
      </c>
      <c r="AZ161">
        <v>0.38554216867469882</v>
      </c>
      <c r="BA161">
        <v>0.48192771084337349</v>
      </c>
      <c r="BB161">
        <v>0.13253012048192769</v>
      </c>
      <c r="BC161">
        <v>0</v>
      </c>
      <c r="BD161">
        <v>6.1986492486312823</v>
      </c>
      <c r="BE161">
        <v>20</v>
      </c>
      <c r="BF161">
        <v>216.40687730768099</v>
      </c>
      <c r="BG161">
        <v>1</v>
      </c>
      <c r="BH161">
        <v>9.2418504665009241E-2</v>
      </c>
      <c r="BI161">
        <v>14.696413339999999</v>
      </c>
      <c r="BJ161">
        <v>14.696413339999999</v>
      </c>
      <c r="BK161">
        <v>14.696413339999999</v>
      </c>
      <c r="BL161">
        <v>420.30120210079798</v>
      </c>
      <c r="BM161">
        <v>1</v>
      </c>
      <c r="BN161">
        <v>4.7584922193973478E-2</v>
      </c>
      <c r="BO161">
        <v>3.83528</v>
      </c>
      <c r="BP161">
        <v>3.83528</v>
      </c>
      <c r="BQ161">
        <v>28.573699999999999</v>
      </c>
      <c r="BR161">
        <v>0</v>
      </c>
      <c r="BS161">
        <v>0</v>
      </c>
      <c r="BU161">
        <v>0</v>
      </c>
      <c r="BV161">
        <v>0</v>
      </c>
      <c r="BW161">
        <v>0</v>
      </c>
      <c r="BX161">
        <v>397.1</v>
      </c>
      <c r="BY161">
        <v>0.1007302946361118</v>
      </c>
      <c r="BZ161">
        <v>10</v>
      </c>
      <c r="CA161">
        <v>5.0365147318055907E-2</v>
      </c>
      <c r="CB161">
        <v>4.620925233250462E-2</v>
      </c>
      <c r="CC161">
        <v>2.3792461096986739E-2</v>
      </c>
      <c r="CE161">
        <v>0.48923078772864842</v>
      </c>
      <c r="CF161">
        <v>0.25189770223341629</v>
      </c>
      <c r="CH161">
        <v>0.53323045608226516</v>
      </c>
    </row>
    <row r="162" spans="1:86" x14ac:dyDescent="0.3">
      <c r="A162" s="1">
        <v>28</v>
      </c>
      <c r="B162" t="s">
        <v>94</v>
      </c>
      <c r="C162" t="s">
        <v>138</v>
      </c>
      <c r="E162" t="s">
        <v>94</v>
      </c>
      <c r="F162">
        <v>3.35</v>
      </c>
      <c r="G162" t="s">
        <v>139</v>
      </c>
      <c r="H162">
        <v>-1</v>
      </c>
      <c r="I162">
        <v>-1</v>
      </c>
      <c r="J162">
        <v>1</v>
      </c>
      <c r="K162">
        <v>3.8849999999999998</v>
      </c>
      <c r="L162">
        <v>3.8849999999999998</v>
      </c>
      <c r="M162">
        <v>10.989000000000001</v>
      </c>
      <c r="N162" t="s">
        <v>101</v>
      </c>
      <c r="O162">
        <v>10.989000000000001</v>
      </c>
      <c r="P162">
        <v>2</v>
      </c>
      <c r="Q162" t="s">
        <v>87</v>
      </c>
      <c r="R162">
        <v>1473</v>
      </c>
      <c r="S162">
        <v>48</v>
      </c>
      <c r="T162" t="b">
        <v>0</v>
      </c>
      <c r="U162" t="s">
        <v>125</v>
      </c>
      <c r="V162" t="s">
        <v>126</v>
      </c>
      <c r="W162">
        <v>0.1</v>
      </c>
      <c r="Y162">
        <v>2.85</v>
      </c>
      <c r="Z162">
        <v>14.3</v>
      </c>
      <c r="AC162" t="s">
        <v>90</v>
      </c>
      <c r="AD162">
        <v>450</v>
      </c>
      <c r="AF162" t="s">
        <v>91</v>
      </c>
      <c r="AH162" s="3">
        <v>2600</v>
      </c>
      <c r="AI162" s="3">
        <f>AH162/(AD162*Y162*Z162)</f>
        <v>0.1417685628211944</v>
      </c>
      <c r="AJ162" s="3">
        <f t="shared" si="2"/>
        <v>-1.9535593903012127</v>
      </c>
      <c r="AK162" t="s">
        <v>1239</v>
      </c>
      <c r="AL162" t="s">
        <v>1239</v>
      </c>
      <c r="AM162" t="s">
        <v>1239</v>
      </c>
      <c r="AN162" t="b">
        <v>1</v>
      </c>
      <c r="AO162" t="b">
        <v>1</v>
      </c>
      <c r="AP162" t="b">
        <v>0</v>
      </c>
      <c r="AQ162" t="b">
        <v>0</v>
      </c>
      <c r="AR162" t="s">
        <v>1316</v>
      </c>
      <c r="AS162" t="s">
        <v>1317</v>
      </c>
      <c r="AT162" t="s">
        <v>1242</v>
      </c>
      <c r="AU162">
        <v>3.5835189384561099</v>
      </c>
      <c r="AV162">
        <v>1.882352941176471</v>
      </c>
      <c r="AW162">
        <v>2.3529411764705879</v>
      </c>
      <c r="AX162">
        <v>0.47094117647058831</v>
      </c>
      <c r="AY162">
        <v>0</v>
      </c>
      <c r="AZ162">
        <v>0.39997000224983131</v>
      </c>
      <c r="BA162">
        <v>0.4999625028122891</v>
      </c>
      <c r="BB162">
        <v>0.1000674949378797</v>
      </c>
      <c r="BC162">
        <v>0</v>
      </c>
      <c r="BD162">
        <v>6.0963962225759643</v>
      </c>
      <c r="BE162">
        <v>20</v>
      </c>
      <c r="BF162">
        <v>216.40687730768099</v>
      </c>
      <c r="BG162">
        <v>1</v>
      </c>
      <c r="BH162">
        <v>9.2418504665009241E-2</v>
      </c>
      <c r="BI162">
        <v>14.696413339999999</v>
      </c>
      <c r="BJ162">
        <v>14.696413339999999</v>
      </c>
      <c r="BK162">
        <v>14.696413339999999</v>
      </c>
      <c r="BL162">
        <v>420.30120210079798</v>
      </c>
      <c r="BM162">
        <v>1</v>
      </c>
      <c r="BN162">
        <v>4.7584922193973478E-2</v>
      </c>
      <c r="BO162">
        <v>3.83528</v>
      </c>
      <c r="BP162">
        <v>3.83528</v>
      </c>
      <c r="BQ162">
        <v>28.573699999999999</v>
      </c>
      <c r="BR162">
        <v>0</v>
      </c>
      <c r="BS162">
        <v>0</v>
      </c>
      <c r="BU162">
        <v>0</v>
      </c>
      <c r="BV162">
        <v>0</v>
      </c>
      <c r="BW162">
        <v>0</v>
      </c>
      <c r="BX162">
        <v>394.21199999999999</v>
      </c>
      <c r="BY162">
        <v>0.10146824551256679</v>
      </c>
      <c r="BZ162">
        <v>10</v>
      </c>
      <c r="CA162">
        <v>5.0734122756283417E-2</v>
      </c>
      <c r="CB162">
        <v>4.620925233250462E-2</v>
      </c>
      <c r="CC162">
        <v>2.3792461096986739E-2</v>
      </c>
      <c r="CE162">
        <v>0.4916730261249701</v>
      </c>
      <c r="CF162">
        <v>0.25315517468970999</v>
      </c>
      <c r="CH162">
        <v>0.53981829188417729</v>
      </c>
    </row>
    <row r="163" spans="1:86" x14ac:dyDescent="0.3">
      <c r="A163" s="1">
        <v>767</v>
      </c>
      <c r="B163" t="s">
        <v>1283</v>
      </c>
      <c r="C163" t="s">
        <v>1284</v>
      </c>
      <c r="E163" t="s">
        <v>404</v>
      </c>
      <c r="F163">
        <v>1.4</v>
      </c>
      <c r="G163" t="s">
        <v>899</v>
      </c>
      <c r="H163" t="s">
        <v>900</v>
      </c>
      <c r="I163" t="s">
        <v>901</v>
      </c>
      <c r="J163">
        <v>2</v>
      </c>
      <c r="K163">
        <v>3.8</v>
      </c>
      <c r="L163">
        <v>3.8</v>
      </c>
      <c r="M163">
        <v>27.3</v>
      </c>
      <c r="N163" t="s">
        <v>206</v>
      </c>
      <c r="O163">
        <v>13.65</v>
      </c>
      <c r="Q163" t="s">
        <v>87</v>
      </c>
      <c r="R163">
        <v>1373</v>
      </c>
      <c r="S163">
        <v>12</v>
      </c>
      <c r="T163" t="b">
        <v>0</v>
      </c>
      <c r="U163" t="s">
        <v>125</v>
      </c>
      <c r="V163" t="s">
        <v>126</v>
      </c>
      <c r="W163">
        <v>1</v>
      </c>
      <c r="X163">
        <v>60</v>
      </c>
      <c r="Y163">
        <v>0.5</v>
      </c>
      <c r="Z163">
        <v>1</v>
      </c>
      <c r="AC163" t="s">
        <v>90</v>
      </c>
      <c r="AD163">
        <v>125</v>
      </c>
      <c r="AE163">
        <v>220</v>
      </c>
      <c r="AF163" t="s">
        <v>91</v>
      </c>
      <c r="AG163">
        <v>288</v>
      </c>
      <c r="AH163" s="3">
        <v>8.8000000000000007</v>
      </c>
      <c r="AI163" s="3">
        <f>AH163/(AD163*Y163*Z163)</f>
        <v>0.14080000000000001</v>
      </c>
      <c r="AJ163" s="3">
        <f t="shared" si="2"/>
        <v>-1.9604148352581949</v>
      </c>
      <c r="AK163" t="s">
        <v>1245</v>
      </c>
      <c r="AL163" t="s">
        <v>1245</v>
      </c>
      <c r="AM163" t="s">
        <v>1245</v>
      </c>
      <c r="AN163" t="b">
        <v>1</v>
      </c>
      <c r="AO163" t="b">
        <v>1</v>
      </c>
      <c r="AP163" t="b">
        <v>0</v>
      </c>
      <c r="AQ163" t="b">
        <v>0</v>
      </c>
      <c r="AR163" t="s">
        <v>1318</v>
      </c>
      <c r="AS163" t="s">
        <v>1319</v>
      </c>
      <c r="AT163" t="s">
        <v>1242</v>
      </c>
      <c r="AU163">
        <v>3.3322045101752038</v>
      </c>
      <c r="AV163">
        <v>1.882352941176471</v>
      </c>
      <c r="AW163">
        <v>2.3529411764705879</v>
      </c>
      <c r="AX163">
        <v>0.47147058823529409</v>
      </c>
      <c r="AY163">
        <v>0</v>
      </c>
      <c r="AZ163">
        <v>0.39992501405986369</v>
      </c>
      <c r="BA163">
        <v>0.4999062675748297</v>
      </c>
      <c r="BB163">
        <v>0.1001687183653065</v>
      </c>
      <c r="BC163">
        <v>0</v>
      </c>
      <c r="BD163">
        <v>6.0963971378406701</v>
      </c>
      <c r="BE163">
        <v>20</v>
      </c>
      <c r="BF163">
        <v>216.40687730768099</v>
      </c>
      <c r="BG163">
        <v>1</v>
      </c>
      <c r="BH163">
        <v>9.2418504665009241E-2</v>
      </c>
      <c r="BI163">
        <v>14.696413339999999</v>
      </c>
      <c r="BJ163">
        <v>14.696413339999999</v>
      </c>
      <c r="BK163">
        <v>14.696413339999999</v>
      </c>
      <c r="BL163">
        <v>420.30120210079798</v>
      </c>
      <c r="BM163">
        <v>1</v>
      </c>
      <c r="BN163">
        <v>4.7584922193973478E-2</v>
      </c>
      <c r="BO163">
        <v>3.83528</v>
      </c>
      <c r="BP163">
        <v>3.83528</v>
      </c>
      <c r="BQ163">
        <v>28.573699999999999</v>
      </c>
      <c r="BR163">
        <v>0</v>
      </c>
      <c r="BS163">
        <v>0</v>
      </c>
      <c r="BU163">
        <v>0</v>
      </c>
      <c r="BV163">
        <v>0</v>
      </c>
      <c r="BW163">
        <v>0</v>
      </c>
      <c r="BX163">
        <v>394.21199999999999</v>
      </c>
      <c r="BY163">
        <v>0.10146824551256679</v>
      </c>
      <c r="BZ163">
        <v>10</v>
      </c>
      <c r="CA163">
        <v>5.0734122756283417E-2</v>
      </c>
      <c r="CB163">
        <v>4.620925233250462E-2</v>
      </c>
      <c r="CC163">
        <v>2.3792461096986739E-2</v>
      </c>
      <c r="CE163">
        <v>0.49170201260223612</v>
      </c>
      <c r="CF163">
        <v>0.25317009939846158</v>
      </c>
      <c r="CH163">
        <v>0.53985011675520755</v>
      </c>
    </row>
    <row r="164" spans="1:86" x14ac:dyDescent="0.3">
      <c r="A164" s="1">
        <v>29</v>
      </c>
      <c r="B164" t="s">
        <v>94</v>
      </c>
      <c r="C164" t="s">
        <v>138</v>
      </c>
      <c r="E164" t="s">
        <v>94</v>
      </c>
      <c r="F164">
        <v>3.3</v>
      </c>
      <c r="G164" t="s">
        <v>139</v>
      </c>
      <c r="H164">
        <v>-1</v>
      </c>
      <c r="I164">
        <v>-1</v>
      </c>
      <c r="J164">
        <v>1</v>
      </c>
      <c r="K164">
        <v>3.9049999999999998</v>
      </c>
      <c r="L164">
        <v>3.9049999999999998</v>
      </c>
      <c r="M164">
        <v>11.185</v>
      </c>
      <c r="N164" t="s">
        <v>101</v>
      </c>
      <c r="O164">
        <v>11.185</v>
      </c>
      <c r="P164">
        <v>2</v>
      </c>
      <c r="Q164" t="s">
        <v>87</v>
      </c>
      <c r="R164">
        <v>1473</v>
      </c>
      <c r="S164">
        <v>48</v>
      </c>
      <c r="T164" t="b">
        <v>0</v>
      </c>
      <c r="U164" t="s">
        <v>125</v>
      </c>
      <c r="V164" t="s">
        <v>126</v>
      </c>
      <c r="W164">
        <v>0.1</v>
      </c>
      <c r="Y164">
        <v>2.85</v>
      </c>
      <c r="Z164">
        <v>14.3</v>
      </c>
      <c r="AC164" t="s">
        <v>90</v>
      </c>
      <c r="AD164">
        <v>450</v>
      </c>
      <c r="AF164" t="s">
        <v>91</v>
      </c>
      <c r="AH164" s="3">
        <v>2200</v>
      </c>
      <c r="AI164" s="3">
        <f>AH164/(AD164*Y164*Z164)</f>
        <v>0.1199580146948568</v>
      </c>
      <c r="AJ164" s="3">
        <f t="shared" si="2"/>
        <v>-2.120613474964379</v>
      </c>
      <c r="AK164" t="s">
        <v>1250</v>
      </c>
      <c r="AL164" t="s">
        <v>1250</v>
      </c>
      <c r="AM164" t="s">
        <v>1250</v>
      </c>
      <c r="AN164" t="b">
        <v>1</v>
      </c>
      <c r="AO164" t="b">
        <v>1</v>
      </c>
      <c r="AP164" t="b">
        <v>0</v>
      </c>
      <c r="AQ164" t="b">
        <v>0</v>
      </c>
      <c r="AR164" t="s">
        <v>1320</v>
      </c>
      <c r="AS164" t="s">
        <v>1321</v>
      </c>
      <c r="AT164" t="s">
        <v>1242</v>
      </c>
      <c r="AU164">
        <v>2.7725887222397811</v>
      </c>
      <c r="AV164">
        <v>1.882352941176471</v>
      </c>
      <c r="AW164">
        <v>2.3529411764705879</v>
      </c>
      <c r="AX164">
        <v>0.47235294117647059</v>
      </c>
      <c r="AY164">
        <v>0</v>
      </c>
      <c r="AZ164">
        <v>0.39985005622891412</v>
      </c>
      <c r="BA164">
        <v>0.49981257028614268</v>
      </c>
      <c r="BB164">
        <v>0.10033737348494309</v>
      </c>
      <c r="BC164">
        <v>0</v>
      </c>
      <c r="BD164">
        <v>6.096398663281847</v>
      </c>
      <c r="BE164">
        <v>20</v>
      </c>
      <c r="BF164">
        <v>216.40687730768099</v>
      </c>
      <c r="BG164">
        <v>1</v>
      </c>
      <c r="BH164">
        <v>9.2418504665009241E-2</v>
      </c>
      <c r="BI164">
        <v>14.696413339999999</v>
      </c>
      <c r="BJ164">
        <v>14.696413339999999</v>
      </c>
      <c r="BK164">
        <v>14.696413339999999</v>
      </c>
      <c r="BL164">
        <v>420.30120210079798</v>
      </c>
      <c r="BM164">
        <v>1</v>
      </c>
      <c r="BN164">
        <v>4.7584922193973478E-2</v>
      </c>
      <c r="BO164">
        <v>3.83528</v>
      </c>
      <c r="BP164">
        <v>3.83528</v>
      </c>
      <c r="BQ164">
        <v>28.573699999999999</v>
      </c>
      <c r="BR164">
        <v>0</v>
      </c>
      <c r="BS164">
        <v>0</v>
      </c>
      <c r="BU164">
        <v>0</v>
      </c>
      <c r="BV164">
        <v>0</v>
      </c>
      <c r="BW164">
        <v>0</v>
      </c>
      <c r="BX164">
        <v>394.21199999999999</v>
      </c>
      <c r="BY164">
        <v>0.10146824551256679</v>
      </c>
      <c r="BZ164">
        <v>10</v>
      </c>
      <c r="CA164">
        <v>5.0734122756283417E-2</v>
      </c>
      <c r="CB164">
        <v>4.620925233250462E-2</v>
      </c>
      <c r="CC164">
        <v>2.3792461096986739E-2</v>
      </c>
      <c r="CE164">
        <v>0.49175032339767949</v>
      </c>
      <c r="CF164">
        <v>0.25319497391304763</v>
      </c>
      <c r="CH164">
        <v>0.53990315820692469</v>
      </c>
    </row>
    <row r="165" spans="1:86" x14ac:dyDescent="0.3">
      <c r="A165" s="1">
        <v>264</v>
      </c>
      <c r="B165" t="s">
        <v>673</v>
      </c>
      <c r="C165" t="s">
        <v>674</v>
      </c>
      <c r="E165" t="s">
        <v>404</v>
      </c>
      <c r="F165">
        <v>3.6</v>
      </c>
      <c r="G165" t="s">
        <v>675</v>
      </c>
      <c r="H165" t="s">
        <v>676</v>
      </c>
      <c r="I165">
        <v>-1</v>
      </c>
      <c r="J165">
        <v>2</v>
      </c>
      <c r="K165">
        <v>3.9287999999999998</v>
      </c>
      <c r="L165">
        <v>3.9287999999999998</v>
      </c>
      <c r="M165">
        <v>30.2698</v>
      </c>
      <c r="N165" t="s">
        <v>101</v>
      </c>
      <c r="O165">
        <v>15.1349</v>
      </c>
      <c r="Q165" t="s">
        <v>87</v>
      </c>
      <c r="R165">
        <v>1373</v>
      </c>
      <c r="S165">
        <v>50</v>
      </c>
      <c r="T165" t="b">
        <v>0</v>
      </c>
      <c r="U165" t="s">
        <v>125</v>
      </c>
      <c r="V165" t="s">
        <v>126</v>
      </c>
      <c r="W165">
        <v>1</v>
      </c>
      <c r="X165">
        <v>2.2999999999999998</v>
      </c>
      <c r="Y165">
        <v>1.67</v>
      </c>
      <c r="Z165">
        <v>20</v>
      </c>
      <c r="AC165" t="s">
        <v>165</v>
      </c>
      <c r="AD165">
        <v>1000</v>
      </c>
      <c r="AE165">
        <v>230</v>
      </c>
      <c r="AF165" t="s">
        <v>653</v>
      </c>
      <c r="AH165" s="3">
        <v>3618</v>
      </c>
      <c r="AI165" s="3">
        <f>AH165/(AD165*Y165*Z165)</f>
        <v>0.10832335329341318</v>
      </c>
      <c r="AJ165" s="3">
        <f t="shared" si="2"/>
        <v>-2.2226345130095515</v>
      </c>
      <c r="AK165" t="s">
        <v>1239</v>
      </c>
      <c r="AL165" t="s">
        <v>1239</v>
      </c>
      <c r="AM165" t="s">
        <v>1239</v>
      </c>
      <c r="AN165" t="b">
        <v>1</v>
      </c>
      <c r="AO165" t="b">
        <v>1</v>
      </c>
      <c r="AP165" t="b">
        <v>0</v>
      </c>
      <c r="AQ165" t="b">
        <v>0</v>
      </c>
      <c r="AR165" t="s">
        <v>1322</v>
      </c>
      <c r="AS165" t="s">
        <v>1323</v>
      </c>
      <c r="AT165" t="s">
        <v>1242</v>
      </c>
      <c r="AU165">
        <v>4.2766661190160553</v>
      </c>
      <c r="AV165">
        <v>1.882352941176471</v>
      </c>
      <c r="AW165">
        <v>2.3529411764705879</v>
      </c>
      <c r="AX165">
        <v>0.47094117647058831</v>
      </c>
      <c r="AY165">
        <v>0</v>
      </c>
      <c r="AZ165">
        <v>0.39997000224983131</v>
      </c>
      <c r="BA165">
        <v>0.4999625028122891</v>
      </c>
      <c r="BB165">
        <v>0.1000674949378797</v>
      </c>
      <c r="BC165">
        <v>0</v>
      </c>
      <c r="BD165">
        <v>6.0963962225759643</v>
      </c>
      <c r="BE165">
        <v>20</v>
      </c>
      <c r="BF165">
        <v>216.40687730768099</v>
      </c>
      <c r="BG165">
        <v>1</v>
      </c>
      <c r="BH165">
        <v>9.2418504665009241E-2</v>
      </c>
      <c r="BI165">
        <v>14.696413339999999</v>
      </c>
      <c r="BJ165">
        <v>14.696413339999999</v>
      </c>
      <c r="BK165">
        <v>14.696413339999999</v>
      </c>
      <c r="BL165">
        <v>420.30120210079798</v>
      </c>
      <c r="BM165">
        <v>1</v>
      </c>
      <c r="BN165">
        <v>4.7584922193973478E-2</v>
      </c>
      <c r="BO165">
        <v>3.83528</v>
      </c>
      <c r="BP165">
        <v>3.83528</v>
      </c>
      <c r="BQ165">
        <v>28.573699999999999</v>
      </c>
      <c r="BR165">
        <v>0</v>
      </c>
      <c r="BS165">
        <v>0</v>
      </c>
      <c r="BU165">
        <v>0</v>
      </c>
      <c r="BV165">
        <v>0</v>
      </c>
      <c r="BW165">
        <v>0</v>
      </c>
      <c r="BX165">
        <v>394.21199999999999</v>
      </c>
      <c r="BY165">
        <v>0.10146824551256679</v>
      </c>
      <c r="BZ165">
        <v>10</v>
      </c>
      <c r="CA165">
        <v>5.0734122756283417E-2</v>
      </c>
      <c r="CB165">
        <v>4.620925233250462E-2</v>
      </c>
      <c r="CC165">
        <v>2.3792461096986739E-2</v>
      </c>
      <c r="CE165">
        <v>0.4916730261249701</v>
      </c>
      <c r="CF165">
        <v>0.25315517468970999</v>
      </c>
      <c r="CH165">
        <v>0.53981829188417729</v>
      </c>
    </row>
    <row r="166" spans="1:86" x14ac:dyDescent="0.3">
      <c r="A166" s="1">
        <v>736</v>
      </c>
      <c r="B166" t="s">
        <v>106</v>
      </c>
      <c r="C166" t="s">
        <v>107</v>
      </c>
      <c r="E166" t="s">
        <v>106</v>
      </c>
      <c r="F166">
        <v>3.49</v>
      </c>
      <c r="G166" t="s">
        <v>108</v>
      </c>
      <c r="H166" t="s">
        <v>109</v>
      </c>
      <c r="I166">
        <v>-1</v>
      </c>
      <c r="Q166" t="s">
        <v>87</v>
      </c>
      <c r="R166">
        <v>1373</v>
      </c>
      <c r="S166">
        <v>24</v>
      </c>
      <c r="T166" t="b">
        <v>0</v>
      </c>
      <c r="U166" t="s">
        <v>125</v>
      </c>
      <c r="V166" t="s">
        <v>126</v>
      </c>
      <c r="W166">
        <v>1</v>
      </c>
      <c r="X166">
        <v>3.78</v>
      </c>
      <c r="Y166">
        <v>0.5</v>
      </c>
      <c r="Z166">
        <v>30</v>
      </c>
      <c r="AC166" t="s">
        <v>90</v>
      </c>
      <c r="AD166">
        <v>125</v>
      </c>
      <c r="AE166">
        <v>220</v>
      </c>
      <c r="AF166" t="s">
        <v>91</v>
      </c>
      <c r="AG166">
        <v>288</v>
      </c>
      <c r="AH166" s="3">
        <v>200</v>
      </c>
      <c r="AI166" s="3">
        <f>AH166/(AD166*Y166*Z166)</f>
        <v>0.10666666666666667</v>
      </c>
      <c r="AJ166" s="3">
        <f t="shared" si="2"/>
        <v>-2.2380465718564744</v>
      </c>
      <c r="AK166" t="s">
        <v>1245</v>
      </c>
      <c r="AL166" t="s">
        <v>1245</v>
      </c>
      <c r="AM166" t="s">
        <v>1245</v>
      </c>
      <c r="AN166" t="b">
        <v>1</v>
      </c>
      <c r="AO166" t="b">
        <v>1</v>
      </c>
      <c r="AP166" t="b">
        <v>0</v>
      </c>
      <c r="AQ166" t="b">
        <v>0</v>
      </c>
      <c r="AR166" t="s">
        <v>1324</v>
      </c>
      <c r="AS166" t="s">
        <v>1325</v>
      </c>
      <c r="AT166" t="s">
        <v>1242</v>
      </c>
      <c r="AU166">
        <v>4.0253516907351496</v>
      </c>
      <c r="AV166">
        <v>1.882352941176471</v>
      </c>
      <c r="AW166">
        <v>2.3529411764705879</v>
      </c>
      <c r="AX166">
        <v>0.47147058823529409</v>
      </c>
      <c r="AY166">
        <v>0</v>
      </c>
      <c r="AZ166">
        <v>0.39992501405986369</v>
      </c>
      <c r="BA166">
        <v>0.4999062675748297</v>
      </c>
      <c r="BB166">
        <v>0.1001687183653065</v>
      </c>
      <c r="BC166">
        <v>0</v>
      </c>
      <c r="BD166">
        <v>6.0963971378406701</v>
      </c>
      <c r="BE166">
        <v>20</v>
      </c>
      <c r="BF166">
        <v>216.40687730768099</v>
      </c>
      <c r="BG166">
        <v>1</v>
      </c>
      <c r="BH166">
        <v>9.2418504665009241E-2</v>
      </c>
      <c r="BI166">
        <v>14.696413339999999</v>
      </c>
      <c r="BJ166">
        <v>14.696413339999999</v>
      </c>
      <c r="BK166">
        <v>14.696413339999999</v>
      </c>
      <c r="BL166">
        <v>420.30120210079798</v>
      </c>
      <c r="BM166">
        <v>1</v>
      </c>
      <c r="BN166">
        <v>4.7584922193973478E-2</v>
      </c>
      <c r="BO166">
        <v>3.83528</v>
      </c>
      <c r="BP166">
        <v>3.83528</v>
      </c>
      <c r="BQ166">
        <v>28.573699999999999</v>
      </c>
      <c r="BR166">
        <v>0</v>
      </c>
      <c r="BS166">
        <v>0</v>
      </c>
      <c r="BU166">
        <v>0</v>
      </c>
      <c r="BV166">
        <v>0</v>
      </c>
      <c r="BW166">
        <v>0</v>
      </c>
      <c r="BX166">
        <v>394.21199999999999</v>
      </c>
      <c r="BY166">
        <v>0.10146824551256679</v>
      </c>
      <c r="BZ166">
        <v>10</v>
      </c>
      <c r="CA166">
        <v>5.0734122756283417E-2</v>
      </c>
      <c r="CB166">
        <v>4.620925233250462E-2</v>
      </c>
      <c r="CC166">
        <v>2.3792461096986739E-2</v>
      </c>
      <c r="CE166">
        <v>0.49170201260223612</v>
      </c>
      <c r="CF166">
        <v>0.25317009939846158</v>
      </c>
      <c r="CH166">
        <v>0.53985011675520755</v>
      </c>
    </row>
    <row r="167" spans="1:86" x14ac:dyDescent="0.3">
      <c r="A167" s="1">
        <v>765</v>
      </c>
      <c r="B167" t="s">
        <v>1273</v>
      </c>
      <c r="C167" t="s">
        <v>1274</v>
      </c>
      <c r="E167" t="s">
        <v>404</v>
      </c>
      <c r="F167">
        <v>1.55</v>
      </c>
      <c r="G167" t="s">
        <v>899</v>
      </c>
      <c r="H167" t="s">
        <v>900</v>
      </c>
      <c r="I167" t="s">
        <v>901</v>
      </c>
      <c r="J167">
        <v>2</v>
      </c>
      <c r="K167">
        <v>3.8</v>
      </c>
      <c r="L167">
        <v>3.8</v>
      </c>
      <c r="M167">
        <v>27.8</v>
      </c>
      <c r="N167" t="s">
        <v>206</v>
      </c>
      <c r="O167">
        <v>13.9</v>
      </c>
      <c r="Q167" t="s">
        <v>87</v>
      </c>
      <c r="R167">
        <v>1373</v>
      </c>
      <c r="S167">
        <v>12</v>
      </c>
      <c r="T167" t="b">
        <v>0</v>
      </c>
      <c r="U167" t="s">
        <v>125</v>
      </c>
      <c r="V167" t="s">
        <v>126</v>
      </c>
      <c r="W167">
        <v>1</v>
      </c>
      <c r="X167">
        <v>60</v>
      </c>
      <c r="Y167">
        <v>0.5</v>
      </c>
      <c r="Z167">
        <v>1</v>
      </c>
      <c r="AC167" t="s">
        <v>90</v>
      </c>
      <c r="AD167">
        <v>125</v>
      </c>
      <c r="AE167">
        <v>220</v>
      </c>
      <c r="AF167" t="s">
        <v>91</v>
      </c>
      <c r="AG167">
        <v>288</v>
      </c>
      <c r="AH167" s="3">
        <v>6.4</v>
      </c>
      <c r="AI167" s="3">
        <f>AH167/(AD167*Y167*Z167)</f>
        <v>0.1024</v>
      </c>
      <c r="AJ167" s="3">
        <f t="shared" si="2"/>
        <v>-2.2788685663767296</v>
      </c>
      <c r="AK167" t="s">
        <v>1250</v>
      </c>
      <c r="AL167" t="s">
        <v>1250</v>
      </c>
      <c r="AM167" t="s">
        <v>1250</v>
      </c>
      <c r="AN167" t="b">
        <v>1</v>
      </c>
      <c r="AO167" t="b">
        <v>1</v>
      </c>
      <c r="AP167" t="b">
        <v>0</v>
      </c>
      <c r="AQ167" t="b">
        <v>0</v>
      </c>
      <c r="AR167" t="s">
        <v>1326</v>
      </c>
      <c r="AS167" t="s">
        <v>1327</v>
      </c>
      <c r="AT167" t="s">
        <v>1242</v>
      </c>
      <c r="AU167">
        <v>3.6888794541139358</v>
      </c>
      <c r="AV167">
        <v>1.882352941176471</v>
      </c>
      <c r="AW167">
        <v>2.3529411764705879</v>
      </c>
      <c r="AX167">
        <v>0.47235294117647059</v>
      </c>
      <c r="AY167">
        <v>0</v>
      </c>
      <c r="AZ167">
        <v>0.39985005622891412</v>
      </c>
      <c r="BA167">
        <v>0.49981257028614268</v>
      </c>
      <c r="BB167">
        <v>0.10033737348494309</v>
      </c>
      <c r="BC167">
        <v>0</v>
      </c>
      <c r="BD167">
        <v>6.096398663281847</v>
      </c>
      <c r="BE167">
        <v>20</v>
      </c>
      <c r="BF167">
        <v>216.40687730768099</v>
      </c>
      <c r="BG167">
        <v>1</v>
      </c>
      <c r="BH167">
        <v>9.2418504665009241E-2</v>
      </c>
      <c r="BI167">
        <v>14.696413339999999</v>
      </c>
      <c r="BJ167">
        <v>14.696413339999999</v>
      </c>
      <c r="BK167">
        <v>14.696413339999999</v>
      </c>
      <c r="BL167">
        <v>420.30120210079798</v>
      </c>
      <c r="BM167">
        <v>1</v>
      </c>
      <c r="BN167">
        <v>4.7584922193973478E-2</v>
      </c>
      <c r="BO167">
        <v>3.83528</v>
      </c>
      <c r="BP167">
        <v>3.83528</v>
      </c>
      <c r="BQ167">
        <v>28.573699999999999</v>
      </c>
      <c r="BR167">
        <v>0</v>
      </c>
      <c r="BS167">
        <v>0</v>
      </c>
      <c r="BU167">
        <v>0</v>
      </c>
      <c r="BV167">
        <v>0</v>
      </c>
      <c r="BW167">
        <v>0</v>
      </c>
      <c r="BX167">
        <v>394.21199999999999</v>
      </c>
      <c r="BY167">
        <v>0.10146824551256679</v>
      </c>
      <c r="BZ167">
        <v>10</v>
      </c>
      <c r="CA167">
        <v>5.0734122756283417E-2</v>
      </c>
      <c r="CB167">
        <v>4.620925233250462E-2</v>
      </c>
      <c r="CC167">
        <v>2.3792461096986739E-2</v>
      </c>
      <c r="CE167">
        <v>0.49175032339767949</v>
      </c>
      <c r="CF167">
        <v>0.25319497391304763</v>
      </c>
      <c r="CH167">
        <v>0.53990315820692469</v>
      </c>
    </row>
    <row r="168" spans="1:86" x14ac:dyDescent="0.3">
      <c r="A168" s="1">
        <v>263</v>
      </c>
      <c r="B168" t="s">
        <v>668</v>
      </c>
      <c r="C168" t="s">
        <v>669</v>
      </c>
      <c r="E168" t="s">
        <v>106</v>
      </c>
      <c r="F168">
        <v>3.22</v>
      </c>
      <c r="G168" t="s">
        <v>113</v>
      </c>
      <c r="H168" t="s">
        <v>114</v>
      </c>
      <c r="I168">
        <v>-1</v>
      </c>
      <c r="Q168" t="s">
        <v>87</v>
      </c>
      <c r="R168">
        <v>1373</v>
      </c>
      <c r="S168">
        <v>50</v>
      </c>
      <c r="T168" t="b">
        <v>0</v>
      </c>
      <c r="U168" t="s">
        <v>125</v>
      </c>
      <c r="V168" t="s">
        <v>126</v>
      </c>
      <c r="W168">
        <v>1</v>
      </c>
      <c r="X168">
        <v>3</v>
      </c>
      <c r="Y168">
        <v>1.67</v>
      </c>
      <c r="Z168">
        <v>20</v>
      </c>
      <c r="AC168" t="s">
        <v>165</v>
      </c>
      <c r="AD168">
        <v>1000</v>
      </c>
      <c r="AE168">
        <v>230</v>
      </c>
      <c r="AF168" t="s">
        <v>653</v>
      </c>
      <c r="AH168" s="3">
        <v>3265</v>
      </c>
      <c r="AI168" s="3">
        <f>AH168/(AD168*Y168*Z168)</f>
        <v>9.7754491017964074E-2</v>
      </c>
      <c r="AJ168" s="3">
        <f t="shared" si="2"/>
        <v>-2.3252961372542602</v>
      </c>
      <c r="AK168" t="s">
        <v>972</v>
      </c>
      <c r="AN168" t="b">
        <v>1</v>
      </c>
      <c r="AO168" t="b">
        <v>0</v>
      </c>
      <c r="AP168" t="b">
        <v>0</v>
      </c>
      <c r="AQ168" t="b">
        <v>0</v>
      </c>
      <c r="AR168" t="s">
        <v>1168</v>
      </c>
      <c r="AU168">
        <v>11.21182037218631</v>
      </c>
      <c r="AV168">
        <v>1.510204081632653</v>
      </c>
      <c r="AW168">
        <v>1.2653061224489801</v>
      </c>
      <c r="AX168">
        <v>0.1224489795918367</v>
      </c>
      <c r="AY168">
        <v>0.16326530612244899</v>
      </c>
      <c r="AZ168">
        <v>0.49333333333333329</v>
      </c>
      <c r="BA168">
        <v>0.41333333333333339</v>
      </c>
      <c r="BB168">
        <v>0.04</v>
      </c>
      <c r="BC168">
        <v>5.333333333333333E-2</v>
      </c>
      <c r="BD168">
        <v>6.6971257268453872</v>
      </c>
      <c r="BE168">
        <v>20</v>
      </c>
      <c r="BF168">
        <v>733.37308460000008</v>
      </c>
      <c r="BG168">
        <v>2</v>
      </c>
      <c r="BH168">
        <v>5.4542497999932729E-2</v>
      </c>
      <c r="BI168">
        <v>3.8530000000000002</v>
      </c>
      <c r="BJ168">
        <v>3.8530000000000002</v>
      </c>
      <c r="BK168">
        <v>49.4</v>
      </c>
      <c r="BL168">
        <v>0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U168">
        <v>0</v>
      </c>
      <c r="BV168">
        <v>0</v>
      </c>
      <c r="BW168">
        <v>0</v>
      </c>
      <c r="BX168">
        <v>357.04353880000002</v>
      </c>
      <c r="BY168">
        <v>5.6015577448113731E-2</v>
      </c>
      <c r="BZ168">
        <v>10</v>
      </c>
      <c r="CA168">
        <v>2.8007788724056869E-2</v>
      </c>
      <c r="CB168">
        <v>2.7271248999966361E-2</v>
      </c>
      <c r="CE168">
        <v>0.33005342247707181</v>
      </c>
      <c r="CH168">
        <v>0.33896747906196412</v>
      </c>
    </row>
    <row r="169" spans="1:86" x14ac:dyDescent="0.3">
      <c r="A169" s="1">
        <v>766</v>
      </c>
      <c r="B169" t="s">
        <v>1278</v>
      </c>
      <c r="C169" t="s">
        <v>1279</v>
      </c>
      <c r="E169" t="s">
        <v>404</v>
      </c>
      <c r="F169">
        <v>1.5</v>
      </c>
      <c r="G169" t="s">
        <v>899</v>
      </c>
      <c r="H169" t="s">
        <v>900</v>
      </c>
      <c r="I169" t="s">
        <v>901</v>
      </c>
      <c r="J169">
        <v>2</v>
      </c>
      <c r="K169">
        <v>3.8</v>
      </c>
      <c r="L169">
        <v>3.8</v>
      </c>
      <c r="M169">
        <v>27.3</v>
      </c>
      <c r="N169" t="s">
        <v>206</v>
      </c>
      <c r="O169">
        <v>13.65</v>
      </c>
      <c r="Q169" t="s">
        <v>87</v>
      </c>
      <c r="R169">
        <v>1373</v>
      </c>
      <c r="S169">
        <v>12</v>
      </c>
      <c r="T169" t="b">
        <v>0</v>
      </c>
      <c r="U169" t="s">
        <v>125</v>
      </c>
      <c r="V169" t="s">
        <v>126</v>
      </c>
      <c r="W169">
        <v>1</v>
      </c>
      <c r="X169">
        <v>60</v>
      </c>
      <c r="Y169">
        <v>0.5</v>
      </c>
      <c r="Z169">
        <v>1</v>
      </c>
      <c r="AC169" t="s">
        <v>90</v>
      </c>
      <c r="AD169">
        <v>125</v>
      </c>
      <c r="AE169">
        <v>220</v>
      </c>
      <c r="AF169" t="s">
        <v>91</v>
      </c>
      <c r="AG169">
        <v>288</v>
      </c>
      <c r="AH169" s="3">
        <v>5.6</v>
      </c>
      <c r="AI169" s="3">
        <f>AH169/(AD169*Y169*Z169)</f>
        <v>8.9599999999999999E-2</v>
      </c>
      <c r="AJ169" s="3">
        <f t="shared" si="2"/>
        <v>-2.4123999590012524</v>
      </c>
      <c r="AN169" t="b">
        <v>1</v>
      </c>
      <c r="AO169" t="b">
        <v>0</v>
      </c>
      <c r="AP169" t="b">
        <v>0</v>
      </c>
      <c r="AQ169" t="b">
        <v>0</v>
      </c>
      <c r="AR169" t="s">
        <v>139</v>
      </c>
      <c r="AS169">
        <v>-1</v>
      </c>
      <c r="AU169">
        <v>8.5436264484843925</v>
      </c>
      <c r="AV169">
        <v>1.7272727272727271</v>
      </c>
      <c r="AW169">
        <v>2.545454545454545</v>
      </c>
      <c r="AX169">
        <v>0.81818181818181823</v>
      </c>
      <c r="AY169">
        <v>0</v>
      </c>
      <c r="AZ169">
        <v>0.3392857142857143</v>
      </c>
      <c r="BA169">
        <v>0.5</v>
      </c>
      <c r="BB169">
        <v>0.1607142857142857</v>
      </c>
      <c r="BC169">
        <v>0</v>
      </c>
      <c r="BD169">
        <v>6.4269893564864544</v>
      </c>
      <c r="BE169">
        <v>14</v>
      </c>
      <c r="BF169">
        <v>165.66723991337099</v>
      </c>
      <c r="BG169">
        <v>1</v>
      </c>
      <c r="BH169">
        <v>8.4506749839743392E-2</v>
      </c>
      <c r="BI169">
        <v>3.9263319999999999</v>
      </c>
      <c r="BJ169">
        <v>3.9263319999999999</v>
      </c>
      <c r="BK169">
        <v>10.74639</v>
      </c>
      <c r="BL169">
        <v>0</v>
      </c>
      <c r="BM169">
        <v>0</v>
      </c>
      <c r="BO169">
        <v>0</v>
      </c>
      <c r="BR169">
        <v>0</v>
      </c>
      <c r="BS169">
        <v>0</v>
      </c>
      <c r="BU169">
        <v>0</v>
      </c>
      <c r="BV169">
        <v>0</v>
      </c>
      <c r="BW169">
        <v>0</v>
      </c>
      <c r="BX169">
        <v>165.859449525</v>
      </c>
      <c r="BY169">
        <v>8.4408817466199174E-2</v>
      </c>
      <c r="BZ169">
        <v>7</v>
      </c>
      <c r="CA169">
        <v>4.2204408733099587E-2</v>
      </c>
      <c r="CB169">
        <v>4.2253374919871703E-2</v>
      </c>
      <c r="CE169">
        <v>0.41874907041247761</v>
      </c>
      <c r="CH169">
        <v>0.41826379449708978</v>
      </c>
    </row>
    <row r="170" spans="1:86" x14ac:dyDescent="0.3">
      <c r="A170" s="1">
        <v>262</v>
      </c>
      <c r="B170" t="s">
        <v>664</v>
      </c>
      <c r="C170" t="s">
        <v>665</v>
      </c>
      <c r="E170" t="s">
        <v>106</v>
      </c>
      <c r="F170">
        <v>3.1</v>
      </c>
      <c r="G170" t="s">
        <v>666</v>
      </c>
      <c r="H170" t="s">
        <v>667</v>
      </c>
      <c r="I170">
        <v>-1</v>
      </c>
      <c r="J170">
        <v>1</v>
      </c>
      <c r="K170">
        <v>3.9007999999999998</v>
      </c>
      <c r="L170">
        <v>3.9007999999999998</v>
      </c>
      <c r="M170">
        <v>15.317</v>
      </c>
      <c r="N170" t="s">
        <v>101</v>
      </c>
      <c r="O170">
        <v>15.317</v>
      </c>
      <c r="Q170" t="s">
        <v>87</v>
      </c>
      <c r="R170">
        <v>1373</v>
      </c>
      <c r="S170">
        <v>50</v>
      </c>
      <c r="T170" t="b">
        <v>0</v>
      </c>
      <c r="U170" t="s">
        <v>125</v>
      </c>
      <c r="V170" t="s">
        <v>126</v>
      </c>
      <c r="W170">
        <v>1</v>
      </c>
      <c r="X170">
        <v>2.7</v>
      </c>
      <c r="Y170">
        <v>1.67</v>
      </c>
      <c r="Z170">
        <v>20</v>
      </c>
      <c r="AC170" t="s">
        <v>165</v>
      </c>
      <c r="AD170">
        <v>1000</v>
      </c>
      <c r="AE170">
        <v>230</v>
      </c>
      <c r="AF170" t="s">
        <v>653</v>
      </c>
      <c r="AH170" s="3">
        <v>1929</v>
      </c>
      <c r="AI170" s="3">
        <f>AH170/(AD170*Y170*Z170)</f>
        <v>5.7754491017964073E-2</v>
      </c>
      <c r="AJ170" s="3">
        <f t="shared" si="2"/>
        <v>-2.8515541660590626</v>
      </c>
      <c r="AN170" t="b">
        <v>1</v>
      </c>
      <c r="AO170" t="b">
        <v>0</v>
      </c>
      <c r="AP170" t="b">
        <v>1</v>
      </c>
      <c r="AQ170" t="b">
        <v>0</v>
      </c>
      <c r="AR170" t="s">
        <v>503</v>
      </c>
      <c r="AS170">
        <v>-1</v>
      </c>
      <c r="AT170" t="s">
        <v>504</v>
      </c>
      <c r="AU170">
        <v>-6.1875403718087529E-2</v>
      </c>
      <c r="AV170">
        <v>1.928571428571429</v>
      </c>
      <c r="AW170">
        <v>3.5</v>
      </c>
      <c r="AX170">
        <v>3.1428571428571428</v>
      </c>
      <c r="AY170">
        <v>4</v>
      </c>
      <c r="AZ170">
        <v>0.15340909090909091</v>
      </c>
      <c r="BA170">
        <v>0.27840909090909088</v>
      </c>
      <c r="BB170">
        <v>0.25</v>
      </c>
      <c r="BC170">
        <v>0.31818181818181818</v>
      </c>
      <c r="BD170">
        <v>6.3500525582857126</v>
      </c>
      <c r="BE170">
        <v>16</v>
      </c>
      <c r="BF170">
        <v>883.36082823090169</v>
      </c>
      <c r="BG170">
        <v>4</v>
      </c>
      <c r="BH170">
        <v>7.2450575070407169E-2</v>
      </c>
      <c r="BI170">
        <v>5.5026178200000002</v>
      </c>
      <c r="BJ170">
        <v>5.5582516699999998</v>
      </c>
      <c r="BK170">
        <v>28.882220520000001</v>
      </c>
      <c r="BL170">
        <v>0</v>
      </c>
      <c r="BM170">
        <v>0</v>
      </c>
      <c r="BO170">
        <v>0</v>
      </c>
      <c r="BR170">
        <v>861.65719524499991</v>
      </c>
      <c r="BS170">
        <v>4</v>
      </c>
      <c r="BT170">
        <v>7.4275477943177293E-2</v>
      </c>
      <c r="BU170">
        <v>28.8125</v>
      </c>
      <c r="BV170">
        <v>5.4901</v>
      </c>
      <c r="BW170">
        <v>5.4471999999999996</v>
      </c>
      <c r="BX170">
        <v>867.47515875000011</v>
      </c>
      <c r="BY170">
        <v>7.3777328785093577E-2</v>
      </c>
      <c r="BZ170">
        <v>8</v>
      </c>
      <c r="CA170">
        <v>3.6888664392546788E-2</v>
      </c>
      <c r="CB170">
        <v>3.6225287535203578E-2</v>
      </c>
      <c r="CD170">
        <v>3.7137738971588653E-2</v>
      </c>
      <c r="CE170">
        <v>0.52239337321040402</v>
      </c>
      <c r="CG170">
        <v>0.53555154575163377</v>
      </c>
      <c r="CH170">
        <v>0.53195972030648886</v>
      </c>
    </row>
    <row r="171" spans="1:86" x14ac:dyDescent="0.3">
      <c r="A171" s="1">
        <v>259</v>
      </c>
      <c r="B171" t="s">
        <v>654</v>
      </c>
      <c r="C171" t="s">
        <v>655</v>
      </c>
      <c r="E171" t="s">
        <v>94</v>
      </c>
      <c r="F171">
        <v>3.15</v>
      </c>
      <c r="G171" t="s">
        <v>656</v>
      </c>
      <c r="H171" t="s">
        <v>657</v>
      </c>
      <c r="I171">
        <v>-1</v>
      </c>
      <c r="J171">
        <v>2</v>
      </c>
      <c r="K171">
        <v>3.9045000000000001</v>
      </c>
      <c r="L171">
        <v>3.9045000000000001</v>
      </c>
      <c r="M171">
        <v>21.652100000000001</v>
      </c>
      <c r="N171" t="s">
        <v>658</v>
      </c>
      <c r="O171">
        <v>10.82605</v>
      </c>
      <c r="Q171" t="s">
        <v>87</v>
      </c>
      <c r="R171">
        <v>1373</v>
      </c>
      <c r="S171">
        <v>50</v>
      </c>
      <c r="T171" t="b">
        <v>0</v>
      </c>
      <c r="U171" t="s">
        <v>125</v>
      </c>
      <c r="V171" t="s">
        <v>126</v>
      </c>
      <c r="W171">
        <v>1</v>
      </c>
      <c r="X171">
        <v>4.2</v>
      </c>
      <c r="Y171">
        <v>1.67</v>
      </c>
      <c r="Z171">
        <v>20</v>
      </c>
      <c r="AC171" t="s">
        <v>165</v>
      </c>
      <c r="AD171">
        <v>1000</v>
      </c>
      <c r="AE171">
        <v>230</v>
      </c>
      <c r="AF171" t="s">
        <v>653</v>
      </c>
      <c r="AH171" s="3">
        <v>1445</v>
      </c>
      <c r="AI171" s="3">
        <f>AH171/(AD171*Y171*Z171)</f>
        <v>4.3263473053892214E-2</v>
      </c>
      <c r="AJ171" s="3">
        <f t="shared" si="2"/>
        <v>-3.1404465784182594</v>
      </c>
      <c r="AN171" t="b">
        <v>1</v>
      </c>
      <c r="AO171" t="b">
        <v>1</v>
      </c>
      <c r="AP171" t="b">
        <v>0</v>
      </c>
      <c r="AQ171" t="b">
        <v>0</v>
      </c>
      <c r="AR171" t="s">
        <v>287</v>
      </c>
      <c r="AS171" t="s">
        <v>288</v>
      </c>
      <c r="AU171">
        <v>7.0030654587864616</v>
      </c>
      <c r="AV171">
        <v>2</v>
      </c>
      <c r="AW171">
        <v>2.545454545454545</v>
      </c>
      <c r="AX171">
        <v>0.54545454545454541</v>
      </c>
      <c r="AY171">
        <v>2.545454545454545</v>
      </c>
      <c r="AZ171">
        <v>0.26190476190476192</v>
      </c>
      <c r="BA171">
        <v>0.33333333333333331</v>
      </c>
      <c r="BB171">
        <v>7.1428571428571425E-2</v>
      </c>
      <c r="BC171">
        <v>0.33333333333333331</v>
      </c>
      <c r="BD171">
        <v>6.0365865096818183</v>
      </c>
      <c r="BE171">
        <v>14</v>
      </c>
      <c r="BF171">
        <v>309.44138863753989</v>
      </c>
      <c r="BG171">
        <v>2</v>
      </c>
      <c r="BH171">
        <v>9.0485633235046756E-2</v>
      </c>
      <c r="BI171">
        <v>13.81974189</v>
      </c>
      <c r="BJ171">
        <v>13.81974189</v>
      </c>
      <c r="BK171">
        <v>5.7110870199999999</v>
      </c>
      <c r="BL171">
        <v>608.87893199999996</v>
      </c>
      <c r="BM171">
        <v>4</v>
      </c>
      <c r="BN171">
        <v>9.1972306901891634E-2</v>
      </c>
      <c r="BO171">
        <v>3.94</v>
      </c>
      <c r="BP171">
        <v>27.15</v>
      </c>
      <c r="BQ171">
        <v>5.6920000000000002</v>
      </c>
      <c r="BR171">
        <v>0</v>
      </c>
      <c r="BS171">
        <v>0</v>
      </c>
      <c r="BU171">
        <v>0</v>
      </c>
      <c r="BV171">
        <v>0</v>
      </c>
      <c r="BW171">
        <v>0</v>
      </c>
      <c r="BZ171">
        <v>7</v>
      </c>
      <c r="CB171">
        <v>4.5242816617523378E-2</v>
      </c>
      <c r="CC171">
        <v>4.5986153450945817E-2</v>
      </c>
      <c r="CE171">
        <v>0.52932707238285004</v>
      </c>
      <c r="CF171">
        <v>0.53802388525275069</v>
      </c>
    </row>
    <row r="172" spans="1:86" x14ac:dyDescent="0.3">
      <c r="A172" s="1">
        <v>260</v>
      </c>
      <c r="B172" t="s">
        <v>111</v>
      </c>
      <c r="C172" t="s">
        <v>112</v>
      </c>
      <c r="E172" t="s">
        <v>106</v>
      </c>
      <c r="F172">
        <v>3.5</v>
      </c>
      <c r="G172" t="s">
        <v>113</v>
      </c>
      <c r="H172" t="s">
        <v>114</v>
      </c>
      <c r="I172">
        <v>-1</v>
      </c>
      <c r="J172">
        <v>1</v>
      </c>
      <c r="K172">
        <v>3.8650000000000002</v>
      </c>
      <c r="L172">
        <v>3.8650000000000002</v>
      </c>
      <c r="M172">
        <v>14.974299999999999</v>
      </c>
      <c r="N172" t="s">
        <v>101</v>
      </c>
      <c r="O172">
        <v>14.974299999999999</v>
      </c>
      <c r="Q172" t="s">
        <v>87</v>
      </c>
      <c r="R172">
        <v>1373</v>
      </c>
      <c r="S172">
        <v>50</v>
      </c>
      <c r="T172" t="b">
        <v>0</v>
      </c>
      <c r="U172" t="s">
        <v>125</v>
      </c>
      <c r="V172" t="s">
        <v>126</v>
      </c>
      <c r="W172">
        <v>1</v>
      </c>
      <c r="X172">
        <v>1.9</v>
      </c>
      <c r="Y172">
        <v>1.67</v>
      </c>
      <c r="Z172">
        <v>20</v>
      </c>
      <c r="AC172" t="s">
        <v>165</v>
      </c>
      <c r="AD172">
        <v>1000</v>
      </c>
      <c r="AE172">
        <v>230</v>
      </c>
      <c r="AF172" t="s">
        <v>653</v>
      </c>
      <c r="AH172" s="3">
        <v>1418</v>
      </c>
      <c r="AI172" s="3">
        <f>AH172/(AD172*Y172*Z172)</f>
        <v>4.2455089820359282E-2</v>
      </c>
      <c r="AJ172" s="3">
        <f t="shared" si="2"/>
        <v>-3.1593084718727189</v>
      </c>
      <c r="AN172" t="b">
        <v>1</v>
      </c>
      <c r="AO172" t="b">
        <v>1</v>
      </c>
      <c r="AP172" t="b">
        <v>0</v>
      </c>
      <c r="AQ172" t="b">
        <v>0</v>
      </c>
      <c r="AR172" t="s">
        <v>287</v>
      </c>
      <c r="AS172" t="s">
        <v>288</v>
      </c>
      <c r="AU172">
        <v>7.5755846515577927</v>
      </c>
      <c r="AV172">
        <v>2</v>
      </c>
      <c r="AW172">
        <v>2.5495495495495502</v>
      </c>
      <c r="AX172">
        <v>0.54054054054054057</v>
      </c>
      <c r="AY172">
        <v>2.522522522522523</v>
      </c>
      <c r="AZ172">
        <v>0.26272189349112418</v>
      </c>
      <c r="BA172">
        <v>0.33491124260355032</v>
      </c>
      <c r="BB172">
        <v>7.1005917159763315E-2</v>
      </c>
      <c r="BC172">
        <v>0.33136094674556221</v>
      </c>
      <c r="BD172">
        <v>6.0473565861711718</v>
      </c>
      <c r="BE172">
        <v>14</v>
      </c>
      <c r="BF172">
        <v>309.44138863753989</v>
      </c>
      <c r="BG172">
        <v>2</v>
      </c>
      <c r="BH172">
        <v>9.0485633235046756E-2</v>
      </c>
      <c r="BI172">
        <v>13.81974189</v>
      </c>
      <c r="BJ172">
        <v>13.81974189</v>
      </c>
      <c r="BK172">
        <v>5.7110870199999999</v>
      </c>
      <c r="BL172">
        <v>608.87893199999996</v>
      </c>
      <c r="BM172">
        <v>4</v>
      </c>
      <c r="BN172">
        <v>9.1972306901891634E-2</v>
      </c>
      <c r="BO172">
        <v>3.94</v>
      </c>
      <c r="BP172">
        <v>27.15</v>
      </c>
      <c r="BQ172">
        <v>5.6920000000000002</v>
      </c>
      <c r="BR172">
        <v>0</v>
      </c>
      <c r="BS172">
        <v>0</v>
      </c>
      <c r="BU172">
        <v>0</v>
      </c>
      <c r="BV172">
        <v>0</v>
      </c>
      <c r="BW172">
        <v>0</v>
      </c>
      <c r="BZ172">
        <v>7</v>
      </c>
      <c r="CB172">
        <v>4.5242816617523378E-2</v>
      </c>
      <c r="CC172">
        <v>4.5986153450945817E-2</v>
      </c>
      <c r="CE172">
        <v>0.5355538305241192</v>
      </c>
      <c r="CF172">
        <v>0.54435294866644235</v>
      </c>
    </row>
    <row r="173" spans="1:86" x14ac:dyDescent="0.3">
      <c r="A173" s="1">
        <v>26</v>
      </c>
      <c r="B173" t="s">
        <v>134</v>
      </c>
      <c r="C173" t="s">
        <v>135</v>
      </c>
      <c r="E173" t="s">
        <v>83</v>
      </c>
      <c r="F173">
        <v>3.5</v>
      </c>
      <c r="G173" t="s">
        <v>85</v>
      </c>
      <c r="H173">
        <v>-1</v>
      </c>
      <c r="I173">
        <v>-1</v>
      </c>
      <c r="J173">
        <v>4</v>
      </c>
      <c r="Q173" t="s">
        <v>87</v>
      </c>
      <c r="R173">
        <v>1473</v>
      </c>
      <c r="S173">
        <v>48</v>
      </c>
      <c r="T173" t="b">
        <v>0</v>
      </c>
      <c r="U173" t="s">
        <v>125</v>
      </c>
      <c r="V173" t="s">
        <v>126</v>
      </c>
      <c r="W173">
        <v>0.1</v>
      </c>
      <c r="Y173">
        <v>2.85</v>
      </c>
      <c r="Z173">
        <v>14.3</v>
      </c>
      <c r="AC173" t="s">
        <v>90</v>
      </c>
      <c r="AD173">
        <v>450</v>
      </c>
      <c r="AF173" t="s">
        <v>91</v>
      </c>
      <c r="AH173" s="3">
        <v>740</v>
      </c>
      <c r="AI173" s="3">
        <f>AH173/(AD173*Y173*Z173)</f>
        <v>4.0349514033724561E-2</v>
      </c>
      <c r="AJ173" s="3">
        <f t="shared" si="2"/>
        <v>-3.2101759281125708</v>
      </c>
      <c r="AK173" t="s">
        <v>136</v>
      </c>
      <c r="AL173" t="s">
        <v>136</v>
      </c>
      <c r="AN173" t="b">
        <v>1</v>
      </c>
      <c r="AO173" t="b">
        <v>1</v>
      </c>
      <c r="AP173" t="b">
        <v>0</v>
      </c>
      <c r="AQ173" t="b">
        <v>0</v>
      </c>
      <c r="AR173" t="s">
        <v>913</v>
      </c>
      <c r="AS173" t="s">
        <v>914</v>
      </c>
      <c r="AT173" t="s">
        <v>143</v>
      </c>
      <c r="AU173">
        <v>5.4806389233419912</v>
      </c>
      <c r="AV173">
        <v>1.75</v>
      </c>
      <c r="AW173">
        <v>2.5</v>
      </c>
      <c r="AX173">
        <v>0.75</v>
      </c>
      <c r="AY173">
        <v>0</v>
      </c>
      <c r="AZ173">
        <v>0.35</v>
      </c>
      <c r="BA173">
        <v>0.5</v>
      </c>
      <c r="BB173">
        <v>0.15</v>
      </c>
      <c r="BC173">
        <v>0</v>
      </c>
      <c r="BD173">
        <v>6.2640154224906874</v>
      </c>
      <c r="BE173">
        <v>20</v>
      </c>
      <c r="BF173">
        <v>924.74694800021894</v>
      </c>
      <c r="BG173">
        <v>4</v>
      </c>
      <c r="BH173">
        <v>8.6510153045653584E-2</v>
      </c>
      <c r="BI173">
        <v>7.8084429999999996</v>
      </c>
      <c r="BJ173">
        <v>7.8548809999999998</v>
      </c>
      <c r="BK173">
        <v>15.19056011</v>
      </c>
      <c r="BL173">
        <v>883.22940750240002</v>
      </c>
      <c r="BM173">
        <v>4</v>
      </c>
      <c r="BN173">
        <v>9.0576694254581439E-2</v>
      </c>
      <c r="BO173">
        <v>3.8801999999999999</v>
      </c>
      <c r="BP173">
        <v>29.507999999999999</v>
      </c>
      <c r="BQ173">
        <v>7.7140000000000004</v>
      </c>
      <c r="BR173">
        <v>0</v>
      </c>
      <c r="BS173">
        <v>0</v>
      </c>
      <c r="BU173">
        <v>0</v>
      </c>
      <c r="BV173">
        <v>0</v>
      </c>
      <c r="BW173">
        <v>0</v>
      </c>
      <c r="BX173">
        <v>223.42757090024489</v>
      </c>
      <c r="BY173">
        <v>8.9514467348031673E-2</v>
      </c>
      <c r="BZ173">
        <v>10</v>
      </c>
      <c r="CA173">
        <v>4.4757233674015837E-2</v>
      </c>
      <c r="CB173">
        <v>4.3255076522826792E-2</v>
      </c>
      <c r="CC173">
        <v>4.5288347127290719E-2</v>
      </c>
      <c r="CE173">
        <v>0.44192300596941569</v>
      </c>
      <c r="CF173">
        <v>0.46269626843260342</v>
      </c>
      <c r="CH173">
        <v>0.4572700555426974</v>
      </c>
    </row>
    <row r="174" spans="1:86" x14ac:dyDescent="0.3">
      <c r="A174" s="1">
        <v>167</v>
      </c>
      <c r="B174" t="s">
        <v>468</v>
      </c>
      <c r="C174" t="s">
        <v>469</v>
      </c>
      <c r="F174">
        <v>3.3</v>
      </c>
      <c r="G174">
        <v>-1</v>
      </c>
      <c r="H174" t="s">
        <v>470</v>
      </c>
      <c r="I174">
        <v>-1</v>
      </c>
      <c r="J174">
        <v>2</v>
      </c>
      <c r="K174">
        <v>3.8917999999999999</v>
      </c>
      <c r="L174">
        <v>3.8820000000000001</v>
      </c>
      <c r="M174">
        <v>36.127000000000002</v>
      </c>
      <c r="N174" t="s">
        <v>471</v>
      </c>
      <c r="O174">
        <v>18.063500000000001</v>
      </c>
      <c r="P174">
        <v>4</v>
      </c>
      <c r="Q174" t="s">
        <v>87</v>
      </c>
      <c r="R174">
        <v>1373</v>
      </c>
      <c r="S174">
        <v>10</v>
      </c>
      <c r="T174" t="b">
        <v>0</v>
      </c>
      <c r="U174" t="s">
        <v>125</v>
      </c>
      <c r="V174" t="s">
        <v>126</v>
      </c>
      <c r="W174">
        <v>1</v>
      </c>
      <c r="X174">
        <v>4.5999999999999996</v>
      </c>
      <c r="Y174">
        <v>2</v>
      </c>
      <c r="Z174">
        <v>20</v>
      </c>
      <c r="AC174" t="s">
        <v>165</v>
      </c>
      <c r="AD174">
        <v>1000</v>
      </c>
      <c r="AE174">
        <v>300</v>
      </c>
      <c r="AF174" t="s">
        <v>91</v>
      </c>
      <c r="AH174" s="3">
        <v>1355</v>
      </c>
      <c r="AI174" s="3">
        <f>AH174/(AD174*Y174*Z174)</f>
        <v>3.3875000000000002E-2</v>
      </c>
      <c r="AJ174" s="3">
        <f t="shared" si="2"/>
        <v>-3.385077999782272</v>
      </c>
      <c r="AK174" t="s">
        <v>917</v>
      </c>
      <c r="AN174" t="b">
        <v>1</v>
      </c>
      <c r="AO174" t="b">
        <v>0</v>
      </c>
      <c r="AP174" t="b">
        <v>0</v>
      </c>
      <c r="AQ174" t="b">
        <v>0</v>
      </c>
      <c r="AR174" t="s">
        <v>918</v>
      </c>
      <c r="AS174" t="s">
        <v>109</v>
      </c>
      <c r="AU174">
        <v>5.2149357576089859</v>
      </c>
      <c r="AV174">
        <v>1.75</v>
      </c>
      <c r="AW174">
        <v>2.5</v>
      </c>
      <c r="AX174">
        <v>0.75</v>
      </c>
      <c r="AY174">
        <v>0</v>
      </c>
      <c r="AZ174">
        <v>0.35</v>
      </c>
      <c r="BA174">
        <v>0.5</v>
      </c>
      <c r="BB174">
        <v>0.15</v>
      </c>
      <c r="BC174">
        <v>0</v>
      </c>
      <c r="BD174">
        <v>6.2579095940531868</v>
      </c>
      <c r="BE174">
        <v>20</v>
      </c>
      <c r="BF174">
        <v>924.74694800021894</v>
      </c>
      <c r="BG174">
        <v>2</v>
      </c>
      <c r="BH174">
        <v>4.3255076522826792E-2</v>
      </c>
      <c r="BI174">
        <v>7.8084429999999996</v>
      </c>
      <c r="BJ174">
        <v>7.8548809999999998</v>
      </c>
      <c r="BK174">
        <v>15.19056011</v>
      </c>
      <c r="BL174">
        <v>883.22940750240002</v>
      </c>
      <c r="BM174">
        <v>4</v>
      </c>
      <c r="BN174">
        <v>9.0576694254581439E-2</v>
      </c>
      <c r="BO174">
        <v>3.8801999999999999</v>
      </c>
      <c r="BP174">
        <v>29.507999999999999</v>
      </c>
      <c r="BQ174">
        <v>7.7140000000000004</v>
      </c>
      <c r="BR174">
        <v>0</v>
      </c>
      <c r="BS174">
        <v>0</v>
      </c>
      <c r="BU174">
        <v>0</v>
      </c>
      <c r="BV174">
        <v>0</v>
      </c>
      <c r="BW174">
        <v>0</v>
      </c>
      <c r="BX174">
        <v>232.66487108254199</v>
      </c>
      <c r="BY174">
        <v>8.5960548779642112E-2</v>
      </c>
      <c r="BZ174">
        <v>10</v>
      </c>
      <c r="CA174">
        <v>4.2980274389821063E-2</v>
      </c>
      <c r="CB174">
        <v>2.16275382614134E-2</v>
      </c>
      <c r="CC174">
        <v>4.5288347127290719E-2</v>
      </c>
      <c r="CE174">
        <v>0.22466868627628361</v>
      </c>
      <c r="CF174">
        <v>0.47045915858422632</v>
      </c>
      <c r="CH174">
        <v>0.44648270488479702</v>
      </c>
    </row>
    <row r="175" spans="1:86" x14ac:dyDescent="0.3">
      <c r="A175" s="1">
        <v>239</v>
      </c>
      <c r="B175" t="s">
        <v>128</v>
      </c>
      <c r="C175" t="s">
        <v>129</v>
      </c>
      <c r="E175" t="s">
        <v>130</v>
      </c>
      <c r="F175">
        <v>3.2</v>
      </c>
      <c r="G175" t="s">
        <v>131</v>
      </c>
      <c r="H175" t="s">
        <v>132</v>
      </c>
      <c r="I175">
        <v>-1</v>
      </c>
      <c r="Q175" t="s">
        <v>87</v>
      </c>
      <c r="R175">
        <v>1423</v>
      </c>
      <c r="S175">
        <v>24</v>
      </c>
      <c r="T175" t="b">
        <v>0</v>
      </c>
      <c r="U175" t="s">
        <v>172</v>
      </c>
      <c r="V175" t="s">
        <v>126</v>
      </c>
      <c r="W175">
        <v>4</v>
      </c>
      <c r="X175">
        <v>49</v>
      </c>
      <c r="Y175">
        <v>2</v>
      </c>
      <c r="Z175">
        <v>10</v>
      </c>
      <c r="AC175" t="s">
        <v>90</v>
      </c>
      <c r="AD175">
        <v>100</v>
      </c>
      <c r="AE175">
        <v>400</v>
      </c>
      <c r="AF175" t="s">
        <v>407</v>
      </c>
      <c r="AG175">
        <v>333</v>
      </c>
      <c r="AH175" s="3">
        <v>58.928571428571431</v>
      </c>
      <c r="AI175" s="3">
        <f>AH175/(AD175*Y175*Z175)</f>
        <v>2.9464285714285714E-2</v>
      </c>
      <c r="AJ175" s="3">
        <f t="shared" si="2"/>
        <v>-3.5245764028226598</v>
      </c>
      <c r="AK175" t="s">
        <v>921</v>
      </c>
      <c r="AN175" t="b">
        <v>1</v>
      </c>
      <c r="AO175" t="b">
        <v>0</v>
      </c>
      <c r="AP175" t="b">
        <v>0</v>
      </c>
      <c r="AQ175" t="b">
        <v>0</v>
      </c>
      <c r="AR175" t="s">
        <v>922</v>
      </c>
      <c r="AS175" t="s">
        <v>109</v>
      </c>
      <c r="AU175">
        <v>5.1704839950381514</v>
      </c>
      <c r="AV175">
        <v>1.75</v>
      </c>
      <c r="AW175">
        <v>2.5</v>
      </c>
      <c r="AX175">
        <v>0.75</v>
      </c>
      <c r="AY175">
        <v>0</v>
      </c>
      <c r="AZ175">
        <v>0.35</v>
      </c>
      <c r="BA175">
        <v>0.5</v>
      </c>
      <c r="BB175">
        <v>0.15</v>
      </c>
      <c r="BC175">
        <v>0</v>
      </c>
      <c r="BD175">
        <v>6.2518037656156871</v>
      </c>
      <c r="BE175">
        <v>20</v>
      </c>
      <c r="BF175">
        <v>924.74694800021894</v>
      </c>
      <c r="BG175">
        <v>4</v>
      </c>
      <c r="BH175">
        <v>8.6510153045653584E-2</v>
      </c>
      <c r="BI175">
        <v>7.8084429999999996</v>
      </c>
      <c r="BJ175">
        <v>7.8548809999999998</v>
      </c>
      <c r="BK175">
        <v>15.19056011</v>
      </c>
      <c r="BL175">
        <v>883.22940750240002</v>
      </c>
      <c r="BM175">
        <v>4</v>
      </c>
      <c r="BN175">
        <v>9.0576694254581439E-2</v>
      </c>
      <c r="BO175">
        <v>3.8801999999999999</v>
      </c>
      <c r="BP175">
        <v>29.507999999999999</v>
      </c>
      <c r="BQ175">
        <v>7.7140000000000004</v>
      </c>
      <c r="BR175">
        <v>0</v>
      </c>
      <c r="BS175">
        <v>0</v>
      </c>
      <c r="BU175">
        <v>0</v>
      </c>
      <c r="BV175">
        <v>0</v>
      </c>
      <c r="BW175">
        <v>0</v>
      </c>
      <c r="BX175">
        <v>238.3073416302484</v>
      </c>
      <c r="BY175">
        <v>8.3925236474801906E-2</v>
      </c>
      <c r="BZ175">
        <v>10</v>
      </c>
      <c r="CA175">
        <v>4.1962618237400953E-2</v>
      </c>
      <c r="CB175">
        <v>4.3255076522826792E-2</v>
      </c>
      <c r="CC175">
        <v>4.5288347127290719E-2</v>
      </c>
      <c r="CE175">
        <v>0.45675173913571882</v>
      </c>
      <c r="CF175">
        <v>0.47822204873584939</v>
      </c>
      <c r="CH175">
        <v>0.44310403308398888</v>
      </c>
    </row>
    <row r="176" spans="1:86" x14ac:dyDescent="0.3">
      <c r="A176" s="1">
        <v>168</v>
      </c>
      <c r="B176" t="s">
        <v>468</v>
      </c>
      <c r="C176" t="s">
        <v>469</v>
      </c>
      <c r="F176">
        <v>3.3</v>
      </c>
      <c r="G176">
        <v>-1</v>
      </c>
      <c r="H176" t="s">
        <v>470</v>
      </c>
      <c r="I176">
        <v>-1</v>
      </c>
      <c r="J176">
        <v>2</v>
      </c>
      <c r="K176">
        <v>3.8917999999999999</v>
      </c>
      <c r="L176">
        <v>3.8820000000000001</v>
      </c>
      <c r="M176">
        <v>36.127000000000002</v>
      </c>
      <c r="N176" t="s">
        <v>471</v>
      </c>
      <c r="O176">
        <v>18.063500000000001</v>
      </c>
      <c r="P176">
        <v>4</v>
      </c>
      <c r="Q176" t="s">
        <v>87</v>
      </c>
      <c r="R176">
        <v>1373</v>
      </c>
      <c r="S176">
        <v>10</v>
      </c>
      <c r="T176" t="b">
        <v>0</v>
      </c>
      <c r="U176" t="s">
        <v>172</v>
      </c>
      <c r="V176" t="s">
        <v>126</v>
      </c>
      <c r="W176">
        <v>1</v>
      </c>
      <c r="X176">
        <v>4.5999999999999996</v>
      </c>
      <c r="Y176">
        <v>2</v>
      </c>
      <c r="Z176">
        <v>20</v>
      </c>
      <c r="AC176" t="s">
        <v>165</v>
      </c>
      <c r="AD176">
        <v>1000</v>
      </c>
      <c r="AE176">
        <v>300</v>
      </c>
      <c r="AF176" t="s">
        <v>91</v>
      </c>
      <c r="AH176" s="3">
        <v>1099</v>
      </c>
      <c r="AI176" s="3">
        <f>AH176/(AD176*Y176*Z176)</f>
        <v>2.7474999999999999E-2</v>
      </c>
      <c r="AJ176" s="3">
        <f t="shared" si="2"/>
        <v>-3.5944787786924519</v>
      </c>
      <c r="AK176" t="s">
        <v>925</v>
      </c>
      <c r="AN176" t="b">
        <v>1</v>
      </c>
      <c r="AO176" t="b">
        <v>0</v>
      </c>
      <c r="AP176" t="b">
        <v>0</v>
      </c>
      <c r="AQ176" t="b">
        <v>0</v>
      </c>
      <c r="AR176" t="s">
        <v>926</v>
      </c>
      <c r="AS176" t="s">
        <v>109</v>
      </c>
      <c r="AU176">
        <v>5.0498560072495371</v>
      </c>
      <c r="AV176">
        <v>1.75</v>
      </c>
      <c r="AW176">
        <v>2.5</v>
      </c>
      <c r="AX176">
        <v>0.75</v>
      </c>
      <c r="AY176">
        <v>0</v>
      </c>
      <c r="AZ176">
        <v>0.35</v>
      </c>
      <c r="BA176">
        <v>0.5</v>
      </c>
      <c r="BB176">
        <v>0.15</v>
      </c>
      <c r="BC176">
        <v>0</v>
      </c>
      <c r="BD176">
        <v>6.2456979371781873</v>
      </c>
      <c r="BE176">
        <v>20</v>
      </c>
      <c r="BF176">
        <v>924.74694800021894</v>
      </c>
      <c r="BG176">
        <v>2</v>
      </c>
      <c r="BH176">
        <v>4.3255076522826792E-2</v>
      </c>
      <c r="BI176">
        <v>7.8084429999999996</v>
      </c>
      <c r="BJ176">
        <v>7.8548809999999998</v>
      </c>
      <c r="BK176">
        <v>15.19056011</v>
      </c>
      <c r="BL176">
        <v>883.22940750240002</v>
      </c>
      <c r="BM176">
        <v>4</v>
      </c>
      <c r="BN176">
        <v>9.0576694254581439E-2</v>
      </c>
      <c r="BO176">
        <v>3.8801999999999999</v>
      </c>
      <c r="BP176">
        <v>29.507999999999999</v>
      </c>
      <c r="BQ176">
        <v>7.7140000000000004</v>
      </c>
      <c r="BR176">
        <v>0</v>
      </c>
      <c r="BS176">
        <v>0</v>
      </c>
      <c r="BU176">
        <v>0</v>
      </c>
      <c r="BV176">
        <v>0</v>
      </c>
      <c r="BW176">
        <v>0</v>
      </c>
      <c r="BX176">
        <v>242.69997382387979</v>
      </c>
      <c r="BY176">
        <v>8.2406271763809144E-2</v>
      </c>
      <c r="BZ176">
        <v>10</v>
      </c>
      <c r="CA176">
        <v>4.1203135881904572E-2</v>
      </c>
      <c r="CB176">
        <v>2.16275382614134E-2</v>
      </c>
      <c r="CC176">
        <v>4.5288347127290719E-2</v>
      </c>
      <c r="CE176">
        <v>0.2320830528594352</v>
      </c>
      <c r="CF176">
        <v>0.48598493888747241</v>
      </c>
      <c r="CH176">
        <v>0.44214692616752849</v>
      </c>
    </row>
    <row r="177" spans="1:86" x14ac:dyDescent="0.3">
      <c r="A177" s="1">
        <v>255</v>
      </c>
      <c r="B177" t="s">
        <v>654</v>
      </c>
      <c r="C177" t="s">
        <v>655</v>
      </c>
      <c r="E177" t="s">
        <v>94</v>
      </c>
      <c r="F177">
        <v>2.98</v>
      </c>
      <c r="G177" t="s">
        <v>656</v>
      </c>
      <c r="H177" t="s">
        <v>657</v>
      </c>
      <c r="I177">
        <v>-1</v>
      </c>
      <c r="J177">
        <v>16</v>
      </c>
      <c r="K177">
        <v>7.7803000000000004</v>
      </c>
      <c r="L177">
        <v>7.7803000000000004</v>
      </c>
      <c r="M177">
        <v>42.569200000000002</v>
      </c>
      <c r="N177" t="s">
        <v>658</v>
      </c>
      <c r="O177">
        <v>10.642300000000001</v>
      </c>
      <c r="Q177" t="s">
        <v>87</v>
      </c>
      <c r="R177">
        <v>1373</v>
      </c>
      <c r="S177">
        <v>24</v>
      </c>
      <c r="T177" t="b">
        <v>0</v>
      </c>
      <c r="U177" t="s">
        <v>125</v>
      </c>
      <c r="V177" t="s">
        <v>126</v>
      </c>
      <c r="W177">
        <v>1</v>
      </c>
      <c r="X177">
        <v>3.8</v>
      </c>
      <c r="Y177">
        <v>1.67</v>
      </c>
      <c r="Z177">
        <v>20</v>
      </c>
      <c r="AC177" t="s">
        <v>165</v>
      </c>
      <c r="AD177">
        <v>1000</v>
      </c>
      <c r="AE177">
        <v>230</v>
      </c>
      <c r="AF177" t="s">
        <v>653</v>
      </c>
      <c r="AH177" s="3">
        <v>842</v>
      </c>
      <c r="AI177" s="3">
        <f>AH177/(AD177*Y177*Z177)</f>
        <v>2.5209580838323354E-2</v>
      </c>
      <c r="AJ177" s="3">
        <f t="shared" si="2"/>
        <v>-3.6805311647224652</v>
      </c>
      <c r="AK177" t="s">
        <v>153</v>
      </c>
      <c r="AL177" t="s">
        <v>153</v>
      </c>
      <c r="AN177" t="b">
        <v>1</v>
      </c>
      <c r="AO177" t="b">
        <v>1</v>
      </c>
      <c r="AP177" t="b">
        <v>0</v>
      </c>
      <c r="AQ177" t="b">
        <v>0</v>
      </c>
      <c r="AR177" t="s">
        <v>927</v>
      </c>
      <c r="AS177" t="s">
        <v>928</v>
      </c>
      <c r="AU177">
        <v>5.2149357576089859</v>
      </c>
      <c r="AV177">
        <v>1.75</v>
      </c>
      <c r="AW177">
        <v>2.5</v>
      </c>
      <c r="AX177">
        <v>0.75</v>
      </c>
      <c r="AY177">
        <v>0</v>
      </c>
      <c r="AZ177">
        <v>0.35</v>
      </c>
      <c r="BA177">
        <v>0.5</v>
      </c>
      <c r="BB177">
        <v>0.15</v>
      </c>
      <c r="BC177">
        <v>0</v>
      </c>
      <c r="BD177">
        <v>6.2395921087406876</v>
      </c>
      <c r="BE177">
        <v>20</v>
      </c>
      <c r="BF177">
        <v>242.1279024923125</v>
      </c>
      <c r="BG177">
        <v>1</v>
      </c>
      <c r="BH177">
        <v>8.2600971611006269E-2</v>
      </c>
      <c r="BI177">
        <v>3.950634</v>
      </c>
      <c r="BJ177">
        <v>3.950634</v>
      </c>
      <c r="BK177">
        <v>15.513552000000001</v>
      </c>
      <c r="BL177">
        <v>227.970829547178</v>
      </c>
      <c r="BM177">
        <v>1</v>
      </c>
      <c r="BN177">
        <v>8.7730522539775438E-2</v>
      </c>
      <c r="BO177">
        <v>3.8658999999999999</v>
      </c>
      <c r="BP177">
        <v>3.8658999999999999</v>
      </c>
      <c r="BQ177">
        <v>15.2538</v>
      </c>
      <c r="BR177">
        <v>0</v>
      </c>
      <c r="BS177">
        <v>0</v>
      </c>
      <c r="BU177">
        <v>0</v>
      </c>
      <c r="BV177">
        <v>0</v>
      </c>
      <c r="BW177">
        <v>0</v>
      </c>
      <c r="BX177">
        <v>260.82685717702952</v>
      </c>
      <c r="BY177">
        <v>7.6679220140376564E-2</v>
      </c>
      <c r="BZ177">
        <v>10</v>
      </c>
      <c r="CA177">
        <v>3.8339610070188282E-2</v>
      </c>
      <c r="CB177">
        <v>4.1300485805503127E-2</v>
      </c>
      <c r="CC177">
        <v>4.3865261269887719E-2</v>
      </c>
      <c r="CE177">
        <v>0.45027090848362911</v>
      </c>
      <c r="CF177">
        <v>0.47823289866077828</v>
      </c>
      <c r="CH177">
        <v>0.41799050835647839</v>
      </c>
    </row>
    <row r="178" spans="1:86" x14ac:dyDescent="0.3">
      <c r="A178" s="1">
        <v>265</v>
      </c>
      <c r="B178" t="s">
        <v>680</v>
      </c>
      <c r="C178" t="s">
        <v>681</v>
      </c>
      <c r="E178" t="s">
        <v>404</v>
      </c>
      <c r="F178">
        <v>3.42</v>
      </c>
      <c r="G178" t="s">
        <v>675</v>
      </c>
      <c r="H178" t="s">
        <v>676</v>
      </c>
      <c r="I178">
        <v>-1</v>
      </c>
      <c r="J178">
        <v>2</v>
      </c>
      <c r="K178">
        <v>3.8313999999999999</v>
      </c>
      <c r="L178">
        <v>3.8313999999999999</v>
      </c>
      <c r="M178">
        <v>28.871400000000001</v>
      </c>
      <c r="N178" t="s">
        <v>206</v>
      </c>
      <c r="O178">
        <v>14.435700000000001</v>
      </c>
      <c r="Q178" t="s">
        <v>87</v>
      </c>
      <c r="R178">
        <v>1373</v>
      </c>
      <c r="S178">
        <v>50</v>
      </c>
      <c r="T178" t="b">
        <v>0</v>
      </c>
      <c r="U178" t="s">
        <v>125</v>
      </c>
      <c r="V178" t="s">
        <v>126</v>
      </c>
      <c r="W178">
        <v>1</v>
      </c>
      <c r="X178">
        <v>3.1</v>
      </c>
      <c r="Y178">
        <v>1.67</v>
      </c>
      <c r="Z178">
        <v>20</v>
      </c>
      <c r="AC178" t="s">
        <v>165</v>
      </c>
      <c r="AD178">
        <v>1000</v>
      </c>
      <c r="AE178">
        <v>230</v>
      </c>
      <c r="AF178" t="s">
        <v>653</v>
      </c>
      <c r="AH178" s="3">
        <v>763</v>
      </c>
      <c r="AI178" s="3">
        <f>AH178/(AD178*Y178*Z178)</f>
        <v>2.2844311377245508E-2</v>
      </c>
      <c r="AJ178" s="3">
        <f t="shared" si="2"/>
        <v>-3.7790531476803348</v>
      </c>
      <c r="AK178" t="s">
        <v>931</v>
      </c>
      <c r="AL178" t="s">
        <v>931</v>
      </c>
      <c r="AN178" t="b">
        <v>1</v>
      </c>
      <c r="AO178" t="b">
        <v>1</v>
      </c>
      <c r="AP178" t="b">
        <v>0</v>
      </c>
      <c r="AQ178" t="b">
        <v>0</v>
      </c>
      <c r="AR178" t="s">
        <v>932</v>
      </c>
      <c r="AS178" t="s">
        <v>933</v>
      </c>
      <c r="AU178">
        <v>5.6489742381612054</v>
      </c>
      <c r="AV178">
        <v>1.76875</v>
      </c>
      <c r="AW178">
        <v>2.5</v>
      </c>
      <c r="AX178">
        <v>0.73125000000000007</v>
      </c>
      <c r="AY178">
        <v>0.26250000000000001</v>
      </c>
      <c r="AZ178">
        <v>0.33610451306413303</v>
      </c>
      <c r="BA178">
        <v>0.47505938242280282</v>
      </c>
      <c r="BB178">
        <v>0.13895486935866991</v>
      </c>
      <c r="BC178">
        <v>4.9881235154394299E-2</v>
      </c>
      <c r="BD178">
        <v>6.2659107965219372</v>
      </c>
      <c r="BE178">
        <v>20</v>
      </c>
      <c r="BF178">
        <v>924.74694800021894</v>
      </c>
      <c r="BG178">
        <v>1</v>
      </c>
      <c r="BH178">
        <v>2.16275382614134E-2</v>
      </c>
      <c r="BI178">
        <v>7.8084429999999996</v>
      </c>
      <c r="BJ178">
        <v>7.8548809999999998</v>
      </c>
      <c r="BK178">
        <v>15.19056011</v>
      </c>
      <c r="BL178">
        <v>883.22940750240002</v>
      </c>
      <c r="BM178">
        <v>1</v>
      </c>
      <c r="BN178">
        <v>2.264417356364536E-2</v>
      </c>
      <c r="BO178">
        <v>3.8801999999999999</v>
      </c>
      <c r="BP178">
        <v>29.507999999999999</v>
      </c>
      <c r="BQ178">
        <v>7.7140000000000004</v>
      </c>
      <c r="BR178">
        <v>0</v>
      </c>
      <c r="BS178">
        <v>0</v>
      </c>
      <c r="BU178">
        <v>0</v>
      </c>
      <c r="BV178">
        <v>0</v>
      </c>
      <c r="BW178">
        <v>0</v>
      </c>
      <c r="BX178">
        <v>217.27184367725081</v>
      </c>
      <c r="BY178">
        <v>9.2050583552414883E-2</v>
      </c>
      <c r="BZ178">
        <v>10</v>
      </c>
      <c r="CA178">
        <v>4.6025291776207441E-2</v>
      </c>
      <c r="CB178">
        <v>1.08137691307067E-2</v>
      </c>
      <c r="CC178">
        <v>1.132208678182268E-2</v>
      </c>
      <c r="CE178">
        <v>0.1104807514923539</v>
      </c>
      <c r="CF178">
        <v>0.1156740671081508</v>
      </c>
      <c r="CH178">
        <v>0.47022539150120979</v>
      </c>
    </row>
    <row r="179" spans="1:86" x14ac:dyDescent="0.3">
      <c r="A179" s="1">
        <v>169</v>
      </c>
      <c r="B179" t="s">
        <v>468</v>
      </c>
      <c r="C179" t="s">
        <v>469</v>
      </c>
      <c r="F179">
        <v>3.3</v>
      </c>
      <c r="G179">
        <v>-1</v>
      </c>
      <c r="H179" t="s">
        <v>470</v>
      </c>
      <c r="I179">
        <v>-1</v>
      </c>
      <c r="J179">
        <v>2</v>
      </c>
      <c r="K179">
        <v>3.8917999999999999</v>
      </c>
      <c r="L179">
        <v>3.8820000000000001</v>
      </c>
      <c r="M179">
        <v>36.127000000000002</v>
      </c>
      <c r="N179" t="s">
        <v>471</v>
      </c>
      <c r="O179">
        <v>18.063500000000001</v>
      </c>
      <c r="P179">
        <v>4</v>
      </c>
      <c r="Q179" t="s">
        <v>87</v>
      </c>
      <c r="R179">
        <v>1373</v>
      </c>
      <c r="S179">
        <v>10</v>
      </c>
      <c r="T179" t="b">
        <v>0</v>
      </c>
      <c r="U179" t="s">
        <v>125</v>
      </c>
      <c r="V179" t="s">
        <v>126</v>
      </c>
      <c r="W179">
        <v>1</v>
      </c>
      <c r="X179">
        <v>3.9</v>
      </c>
      <c r="Y179">
        <v>2</v>
      </c>
      <c r="Z179">
        <v>20</v>
      </c>
      <c r="AC179" t="s">
        <v>165</v>
      </c>
      <c r="AD179">
        <v>1000</v>
      </c>
      <c r="AE179">
        <v>300</v>
      </c>
      <c r="AF179" t="s">
        <v>91</v>
      </c>
      <c r="AH179" s="3">
        <v>835</v>
      </c>
      <c r="AI179" s="3">
        <f>AH179/(AD179*Y179*Z179)</f>
        <v>2.0875000000000001E-2</v>
      </c>
      <c r="AJ179" s="3">
        <f t="shared" si="2"/>
        <v>-3.869203008245218</v>
      </c>
      <c r="AK179" t="s">
        <v>936</v>
      </c>
      <c r="AL179" t="s">
        <v>936</v>
      </c>
      <c r="AN179" t="b">
        <v>1</v>
      </c>
      <c r="AO179" t="b">
        <v>1</v>
      </c>
      <c r="AP179" t="b">
        <v>0</v>
      </c>
      <c r="AQ179" t="b">
        <v>0</v>
      </c>
      <c r="AR179" t="s">
        <v>937</v>
      </c>
      <c r="AS179" t="s">
        <v>938</v>
      </c>
      <c r="AU179">
        <v>5.7430031878094816</v>
      </c>
      <c r="AV179">
        <v>1.8125</v>
      </c>
      <c r="AW179">
        <v>2.5</v>
      </c>
      <c r="AX179">
        <v>0.6875</v>
      </c>
      <c r="AY179">
        <v>0.875</v>
      </c>
      <c r="AZ179">
        <v>0.30851063829787229</v>
      </c>
      <c r="BA179">
        <v>0.42553191489361702</v>
      </c>
      <c r="BB179">
        <v>0.1170212765957447</v>
      </c>
      <c r="BC179">
        <v>0.14893617021276601</v>
      </c>
      <c r="BD179">
        <v>6.2703333359281874</v>
      </c>
      <c r="BE179">
        <v>20</v>
      </c>
      <c r="BF179">
        <v>924.74694800021894</v>
      </c>
      <c r="BG179">
        <v>4</v>
      </c>
      <c r="BH179">
        <v>8.6510153045653584E-2</v>
      </c>
      <c r="BI179">
        <v>7.8084429999999996</v>
      </c>
      <c r="BJ179">
        <v>7.8548809999999998</v>
      </c>
      <c r="BK179">
        <v>15.19056011</v>
      </c>
      <c r="BL179">
        <v>883.22940750240002</v>
      </c>
      <c r="BM179">
        <v>4</v>
      </c>
      <c r="BN179">
        <v>9.0576694254581439E-2</v>
      </c>
      <c r="BO179">
        <v>3.8801999999999999</v>
      </c>
      <c r="BP179">
        <v>29.507999999999999</v>
      </c>
      <c r="BQ179">
        <v>7.7140000000000004</v>
      </c>
      <c r="BR179">
        <v>0</v>
      </c>
      <c r="BS179">
        <v>0</v>
      </c>
      <c r="BU179">
        <v>0</v>
      </c>
      <c r="BV179">
        <v>0</v>
      </c>
      <c r="BW179">
        <v>0</v>
      </c>
      <c r="BX179">
        <v>222.14615451169141</v>
      </c>
      <c r="BY179">
        <v>9.0030817971901544E-2</v>
      </c>
      <c r="BZ179">
        <v>10</v>
      </c>
      <c r="CA179">
        <v>4.5015408985950772E-2</v>
      </c>
      <c r="CB179">
        <v>4.3255076522826792E-2</v>
      </c>
      <c r="CC179">
        <v>4.5288347127290719E-2</v>
      </c>
      <c r="CE179">
        <v>0.44192300596941569</v>
      </c>
      <c r="CF179">
        <v>0.46269626843260342</v>
      </c>
      <c r="CH179">
        <v>0.45990774848163302</v>
      </c>
    </row>
    <row r="180" spans="1:86" x14ac:dyDescent="0.3">
      <c r="A180" s="1">
        <v>475</v>
      </c>
      <c r="B180" t="s">
        <v>889</v>
      </c>
      <c r="C180" t="s">
        <v>890</v>
      </c>
      <c r="E180" t="s">
        <v>106</v>
      </c>
      <c r="F180">
        <v>2.8</v>
      </c>
      <c r="G180" t="s">
        <v>891</v>
      </c>
      <c r="H180" t="s">
        <v>892</v>
      </c>
      <c r="I180">
        <v>-1</v>
      </c>
      <c r="J180">
        <v>1</v>
      </c>
      <c r="K180">
        <v>3.97</v>
      </c>
      <c r="L180">
        <v>3.97</v>
      </c>
      <c r="M180">
        <v>15.56</v>
      </c>
      <c r="N180" t="s">
        <v>529</v>
      </c>
      <c r="O180">
        <v>15.56</v>
      </c>
      <c r="Q180" t="s">
        <v>87</v>
      </c>
      <c r="T180" t="b">
        <v>0</v>
      </c>
      <c r="U180" t="s">
        <v>125</v>
      </c>
      <c r="V180" t="s">
        <v>126</v>
      </c>
      <c r="W180">
        <v>1</v>
      </c>
      <c r="Y180">
        <v>0.5</v>
      </c>
      <c r="Z180">
        <v>1</v>
      </c>
      <c r="AC180" t="s">
        <v>893</v>
      </c>
      <c r="AD180">
        <v>100</v>
      </c>
      <c r="AE180">
        <v>425</v>
      </c>
      <c r="AF180" t="s">
        <v>91</v>
      </c>
      <c r="AH180" s="3">
        <v>0.8</v>
      </c>
      <c r="AI180" s="3">
        <f>AH180/(AD180*Y180*Z180)</f>
        <v>1.6E-2</v>
      </c>
      <c r="AJ180" s="3">
        <f t="shared" si="2"/>
        <v>-4.1351665567423561</v>
      </c>
      <c r="AK180" t="s">
        <v>941</v>
      </c>
      <c r="AL180" t="s">
        <v>941</v>
      </c>
      <c r="AN180" t="b">
        <v>1</v>
      </c>
      <c r="AO180" t="b">
        <v>1</v>
      </c>
      <c r="AP180" t="b">
        <v>0</v>
      </c>
      <c r="AQ180" t="b">
        <v>0</v>
      </c>
      <c r="AR180" t="s">
        <v>942</v>
      </c>
      <c r="AS180" t="s">
        <v>943</v>
      </c>
      <c r="AU180">
        <v>5.5606816310155276</v>
      </c>
      <c r="AV180">
        <v>1.84375</v>
      </c>
      <c r="AW180">
        <v>2.5</v>
      </c>
      <c r="AX180">
        <v>0.65625</v>
      </c>
      <c r="AY180">
        <v>1.3125</v>
      </c>
      <c r="AZ180">
        <v>0.29207920792079212</v>
      </c>
      <c r="BA180">
        <v>0.39603960396039611</v>
      </c>
      <c r="BB180">
        <v>0.103960396039604</v>
      </c>
      <c r="BC180">
        <v>0.20792079207920791</v>
      </c>
      <c r="BD180">
        <v>6.273492292646937</v>
      </c>
      <c r="BE180">
        <v>20</v>
      </c>
      <c r="BF180">
        <v>924.74694800021894</v>
      </c>
      <c r="BG180">
        <v>2</v>
      </c>
      <c r="BH180">
        <v>4.3255076522826792E-2</v>
      </c>
      <c r="BI180">
        <v>7.8084429999999996</v>
      </c>
      <c r="BJ180">
        <v>7.8548809999999998</v>
      </c>
      <c r="BK180">
        <v>15.19056011</v>
      </c>
      <c r="BL180">
        <v>883.22940750240002</v>
      </c>
      <c r="BM180">
        <v>2</v>
      </c>
      <c r="BN180">
        <v>4.5288347127290719E-2</v>
      </c>
      <c r="BO180">
        <v>3.8801999999999999</v>
      </c>
      <c r="BP180">
        <v>29.507999999999999</v>
      </c>
      <c r="BQ180">
        <v>7.7140000000000004</v>
      </c>
      <c r="BR180">
        <v>0</v>
      </c>
      <c r="BS180">
        <v>0</v>
      </c>
      <c r="BU180">
        <v>0</v>
      </c>
      <c r="BV180">
        <v>0</v>
      </c>
      <c r="BW180">
        <v>0</v>
      </c>
      <c r="BX180">
        <v>223.69323168027651</v>
      </c>
      <c r="BY180">
        <v>8.9408158886925507E-2</v>
      </c>
      <c r="BZ180">
        <v>10</v>
      </c>
      <c r="CA180">
        <v>4.4704079443462753E-2</v>
      </c>
      <c r="CB180">
        <v>2.16275382614134E-2</v>
      </c>
      <c r="CC180">
        <v>2.264417356364536E-2</v>
      </c>
      <c r="CE180">
        <v>0.2209615029847079</v>
      </c>
      <c r="CF180">
        <v>0.23134813421630171</v>
      </c>
      <c r="CH180">
        <v>0.45672699610934708</v>
      </c>
    </row>
    <row r="181" spans="1:86" x14ac:dyDescent="0.3">
      <c r="A181" s="1">
        <v>9</v>
      </c>
      <c r="B181" t="s">
        <v>83</v>
      </c>
      <c r="C181" t="s">
        <v>84</v>
      </c>
      <c r="E181" t="s">
        <v>83</v>
      </c>
      <c r="F181">
        <v>3.5</v>
      </c>
      <c r="G181" t="s">
        <v>85</v>
      </c>
      <c r="H181" t="s">
        <v>86</v>
      </c>
      <c r="I181">
        <v>-1</v>
      </c>
      <c r="J181">
        <v>4</v>
      </c>
      <c r="K181">
        <v>6.6</v>
      </c>
      <c r="L181">
        <v>7.94</v>
      </c>
      <c r="M181">
        <v>33.700000000000003</v>
      </c>
      <c r="O181">
        <v>16.850000000000001</v>
      </c>
      <c r="Q181" t="s">
        <v>87</v>
      </c>
      <c r="R181">
        <v>1473</v>
      </c>
      <c r="S181">
        <v>48</v>
      </c>
      <c r="T181" t="b">
        <v>0</v>
      </c>
      <c r="U181" t="s">
        <v>125</v>
      </c>
      <c r="V181" t="s">
        <v>126</v>
      </c>
      <c r="W181">
        <v>0.1</v>
      </c>
      <c r="Y181">
        <v>2.85</v>
      </c>
      <c r="Z181">
        <v>14.3</v>
      </c>
      <c r="AC181" t="s">
        <v>90</v>
      </c>
      <c r="AD181">
        <v>450</v>
      </c>
      <c r="AF181" t="s">
        <v>91</v>
      </c>
      <c r="AH181" s="3">
        <v>270</v>
      </c>
      <c r="AI181" s="3">
        <f>AH181/(AD181*Y181*Z181)</f>
        <v>1.4722119985277881E-2</v>
      </c>
      <c r="AJ181" s="3">
        <f t="shared" si="2"/>
        <v>-4.2184041553124114</v>
      </c>
      <c r="AK181" t="s">
        <v>972</v>
      </c>
      <c r="AN181" t="b">
        <v>1</v>
      </c>
      <c r="AO181" t="b">
        <v>0</v>
      </c>
      <c r="AP181" t="b">
        <v>0</v>
      </c>
      <c r="AQ181" t="b">
        <v>0</v>
      </c>
      <c r="AR181" t="s">
        <v>1167</v>
      </c>
      <c r="AU181">
        <v>11.034889664027229</v>
      </c>
      <c r="AV181">
        <v>1.510204081632653</v>
      </c>
      <c r="AW181">
        <v>1.2653061224489801</v>
      </c>
      <c r="AX181">
        <v>0.1224489795918367</v>
      </c>
      <c r="AY181">
        <v>0.16326530612244899</v>
      </c>
      <c r="AZ181">
        <v>0.49333333333333329</v>
      </c>
      <c r="BA181">
        <v>0.41333333333333339</v>
      </c>
      <c r="BB181">
        <v>0.04</v>
      </c>
      <c r="BC181">
        <v>5.333333333333333E-2</v>
      </c>
      <c r="BD181">
        <v>6.6971257268453872</v>
      </c>
      <c r="BE181">
        <v>20</v>
      </c>
      <c r="BF181">
        <v>733.37308460000008</v>
      </c>
      <c r="BG181">
        <v>2</v>
      </c>
      <c r="BH181">
        <v>5.4542497999932729E-2</v>
      </c>
      <c r="BI181">
        <v>3.8530000000000002</v>
      </c>
      <c r="BJ181">
        <v>3.8530000000000002</v>
      </c>
      <c r="BK181">
        <v>49.4</v>
      </c>
      <c r="BL181">
        <v>0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U181">
        <v>0</v>
      </c>
      <c r="BV181">
        <v>0</v>
      </c>
      <c r="BW181">
        <v>0</v>
      </c>
      <c r="BX181">
        <v>357.04353880000002</v>
      </c>
      <c r="BY181">
        <v>5.6015577448113731E-2</v>
      </c>
      <c r="BZ181">
        <v>10</v>
      </c>
      <c r="CA181">
        <v>2.8007788724056869E-2</v>
      </c>
      <c r="CB181">
        <v>2.7271248999966361E-2</v>
      </c>
      <c r="CE181">
        <v>0.33005342247707181</v>
      </c>
      <c r="CH181">
        <v>0.33896747906196412</v>
      </c>
    </row>
    <row r="182" spans="1:86" x14ac:dyDescent="0.3">
      <c r="A182" s="1">
        <v>170</v>
      </c>
      <c r="B182" t="s">
        <v>468</v>
      </c>
      <c r="C182" t="s">
        <v>469</v>
      </c>
      <c r="F182">
        <v>3.3</v>
      </c>
      <c r="G182">
        <v>-1</v>
      </c>
      <c r="H182" t="s">
        <v>470</v>
      </c>
      <c r="I182">
        <v>-1</v>
      </c>
      <c r="J182">
        <v>2</v>
      </c>
      <c r="K182">
        <v>3.8917999999999999</v>
      </c>
      <c r="L182">
        <v>3.8820000000000001</v>
      </c>
      <c r="M182">
        <v>36.127000000000002</v>
      </c>
      <c r="N182" t="s">
        <v>471</v>
      </c>
      <c r="O182">
        <v>18.063500000000001</v>
      </c>
      <c r="P182">
        <v>4</v>
      </c>
      <c r="Q182" t="s">
        <v>87</v>
      </c>
      <c r="R182">
        <v>1373</v>
      </c>
      <c r="S182">
        <v>10</v>
      </c>
      <c r="T182" t="b">
        <v>0</v>
      </c>
      <c r="U182" t="s">
        <v>172</v>
      </c>
      <c r="V182" t="s">
        <v>126</v>
      </c>
      <c r="W182">
        <v>1</v>
      </c>
      <c r="X182">
        <v>3.9</v>
      </c>
      <c r="Y182">
        <v>2</v>
      </c>
      <c r="Z182">
        <v>20</v>
      </c>
      <c r="AC182" t="s">
        <v>165</v>
      </c>
      <c r="AD182">
        <v>1000</v>
      </c>
      <c r="AE182">
        <v>300</v>
      </c>
      <c r="AF182" t="s">
        <v>91</v>
      </c>
      <c r="AH182" s="3">
        <v>539</v>
      </c>
      <c r="AI182" s="3">
        <f>AH182/(AD182*Y182*Z182)</f>
        <v>1.3475000000000001E-2</v>
      </c>
      <c r="AJ182" s="3">
        <f t="shared" si="2"/>
        <v>-4.3069191621870759</v>
      </c>
      <c r="AN182" t="b">
        <v>1</v>
      </c>
      <c r="AO182" t="b">
        <v>0</v>
      </c>
      <c r="AP182" t="b">
        <v>0</v>
      </c>
      <c r="AQ182" t="b">
        <v>0</v>
      </c>
      <c r="AR182" t="s">
        <v>131</v>
      </c>
      <c r="AS182" t="s">
        <v>132</v>
      </c>
      <c r="AU182">
        <v>9.2651728506015765</v>
      </c>
      <c r="AV182">
        <v>2</v>
      </c>
      <c r="AW182">
        <v>2.666666666666667</v>
      </c>
      <c r="AX182">
        <v>0.66666666666666663</v>
      </c>
      <c r="AY182">
        <v>0</v>
      </c>
      <c r="AZ182">
        <v>0.375</v>
      </c>
      <c r="BA182">
        <v>0.5</v>
      </c>
      <c r="BB182">
        <v>0.125</v>
      </c>
      <c r="BC182">
        <v>0</v>
      </c>
      <c r="BD182">
        <v>6.1770001596666662</v>
      </c>
      <c r="BE182">
        <v>4</v>
      </c>
      <c r="BF182">
        <v>1182.741260108548</v>
      </c>
      <c r="BG182">
        <v>30</v>
      </c>
      <c r="BH182">
        <v>0.1014592151701775</v>
      </c>
      <c r="BI182">
        <v>10.59112378</v>
      </c>
      <c r="BJ182">
        <v>10.784736629999999</v>
      </c>
      <c r="BK182">
        <v>10.486176179999999</v>
      </c>
      <c r="BL182">
        <v>130.36387300000001</v>
      </c>
      <c r="BM182">
        <v>4</v>
      </c>
      <c r="BN182">
        <v>0.1227333894874388</v>
      </c>
      <c r="BO182">
        <v>3.73</v>
      </c>
      <c r="BP182">
        <v>3.73</v>
      </c>
      <c r="BQ182">
        <v>9.3699999999999992</v>
      </c>
      <c r="BR182">
        <v>0</v>
      </c>
      <c r="BS182">
        <v>0</v>
      </c>
      <c r="BU182">
        <v>0</v>
      </c>
      <c r="BV182">
        <v>0</v>
      </c>
      <c r="BW182">
        <v>0</v>
      </c>
      <c r="BZ182">
        <v>2</v>
      </c>
      <c r="CB182">
        <v>5.0729607585088737E-2</v>
      </c>
      <c r="CC182">
        <v>6.1366694743719377E-2</v>
      </c>
      <c r="CE182">
        <v>0.46900407026869612</v>
      </c>
      <c r="CF182">
        <v>0.56734579634715776</v>
      </c>
    </row>
    <row r="183" spans="1:86" x14ac:dyDescent="0.3">
      <c r="A183" s="1">
        <v>222</v>
      </c>
      <c r="B183" t="s">
        <v>94</v>
      </c>
      <c r="C183" t="s">
        <v>138</v>
      </c>
      <c r="E183" t="s">
        <v>94</v>
      </c>
      <c r="F183">
        <v>3.23</v>
      </c>
      <c r="G183" t="s">
        <v>139</v>
      </c>
      <c r="H183">
        <v>-1</v>
      </c>
      <c r="I183" t="s">
        <v>601</v>
      </c>
      <c r="J183">
        <v>2</v>
      </c>
      <c r="K183">
        <v>3.89</v>
      </c>
      <c r="L183">
        <v>3.89</v>
      </c>
      <c r="M183">
        <v>21.29</v>
      </c>
      <c r="N183" t="s">
        <v>529</v>
      </c>
      <c r="O183">
        <v>10.645</v>
      </c>
      <c r="Q183" t="s">
        <v>87</v>
      </c>
      <c r="R183">
        <v>1423</v>
      </c>
      <c r="S183">
        <v>48</v>
      </c>
      <c r="T183" t="b">
        <v>0</v>
      </c>
      <c r="U183" t="s">
        <v>125</v>
      </c>
      <c r="V183" t="s">
        <v>126</v>
      </c>
      <c r="W183">
        <v>0.3</v>
      </c>
      <c r="X183">
        <v>68</v>
      </c>
      <c r="Y183">
        <v>2.5</v>
      </c>
      <c r="Z183">
        <v>7</v>
      </c>
      <c r="AC183" t="s">
        <v>165</v>
      </c>
      <c r="AD183">
        <v>300</v>
      </c>
      <c r="AE183">
        <v>300</v>
      </c>
      <c r="AF183" t="s">
        <v>407</v>
      </c>
      <c r="AH183" s="3">
        <v>60</v>
      </c>
      <c r="AI183" s="3">
        <f>AH183/(AD183*Y183*Z183)</f>
        <v>1.1428571428571429E-2</v>
      </c>
      <c r="AJ183" s="3">
        <f t="shared" si="2"/>
        <v>-4.4716387933635691</v>
      </c>
      <c r="AN183" t="b">
        <v>1</v>
      </c>
      <c r="AO183" t="b">
        <v>1</v>
      </c>
      <c r="AP183" t="b">
        <v>0</v>
      </c>
      <c r="AQ183" t="b">
        <v>0</v>
      </c>
      <c r="AR183" t="s">
        <v>503</v>
      </c>
      <c r="AS183" t="s">
        <v>505</v>
      </c>
      <c r="AU183">
        <v>-1.6194882482876021</v>
      </c>
      <c r="AV183">
        <v>1.928571428571429</v>
      </c>
      <c r="AW183">
        <v>3.5</v>
      </c>
      <c r="AX183">
        <v>3.1428571428571428</v>
      </c>
      <c r="AY183">
        <v>4</v>
      </c>
      <c r="AZ183">
        <v>0.15340909090909091</v>
      </c>
      <c r="BA183">
        <v>0.27840909090909088</v>
      </c>
      <c r="BB183">
        <v>0.25</v>
      </c>
      <c r="BC183">
        <v>0.31818181818181818</v>
      </c>
      <c r="BD183">
        <v>6.3500525582857126</v>
      </c>
      <c r="BE183">
        <v>16</v>
      </c>
      <c r="BF183">
        <v>883.36082823090169</v>
      </c>
      <c r="BG183">
        <v>4</v>
      </c>
      <c r="BH183">
        <v>7.2450575070407169E-2</v>
      </c>
      <c r="BI183">
        <v>5.5026178200000002</v>
      </c>
      <c r="BJ183">
        <v>5.5582516699999998</v>
      </c>
      <c r="BK183">
        <v>28.882220520000001</v>
      </c>
      <c r="BL183">
        <v>867.94893000000013</v>
      </c>
      <c r="BM183">
        <v>4</v>
      </c>
      <c r="BN183">
        <v>7.3737057317416116E-2</v>
      </c>
      <c r="BO183">
        <v>5.4930000000000003</v>
      </c>
      <c r="BP183">
        <v>5.4960000000000004</v>
      </c>
      <c r="BQ183">
        <v>28.75</v>
      </c>
      <c r="BR183">
        <v>0</v>
      </c>
      <c r="BS183">
        <v>0</v>
      </c>
      <c r="BU183">
        <v>0</v>
      </c>
      <c r="BV183">
        <v>0</v>
      </c>
      <c r="BW183">
        <v>0</v>
      </c>
      <c r="BX183">
        <v>867.47515875000011</v>
      </c>
      <c r="BY183">
        <v>7.3777328785093577E-2</v>
      </c>
      <c r="BZ183">
        <v>8</v>
      </c>
      <c r="CA183">
        <v>3.6888664392546788E-2</v>
      </c>
      <c r="CB183">
        <v>3.6225287535203578E-2</v>
      </c>
      <c r="CC183">
        <v>3.6868528658708058E-2</v>
      </c>
      <c r="CE183">
        <v>0.52239337321040402</v>
      </c>
      <c r="CF183">
        <v>0.53166934928012066</v>
      </c>
      <c r="CH183">
        <v>0.53195972030648886</v>
      </c>
    </row>
    <row r="184" spans="1:86" x14ac:dyDescent="0.3">
      <c r="A184" s="1">
        <v>173</v>
      </c>
      <c r="B184" t="s">
        <v>468</v>
      </c>
      <c r="C184" t="s">
        <v>469</v>
      </c>
      <c r="F184">
        <v>3.3</v>
      </c>
      <c r="G184">
        <v>-1</v>
      </c>
      <c r="H184" t="s">
        <v>470</v>
      </c>
      <c r="I184">
        <v>-1</v>
      </c>
      <c r="J184">
        <v>2</v>
      </c>
      <c r="K184">
        <v>3.8917999999999999</v>
      </c>
      <c r="L184">
        <v>3.8820000000000001</v>
      </c>
      <c r="M184">
        <v>36.127000000000002</v>
      </c>
      <c r="N184" t="s">
        <v>471</v>
      </c>
      <c r="O184">
        <v>18.063500000000001</v>
      </c>
      <c r="P184">
        <v>4</v>
      </c>
      <c r="Q184" t="s">
        <v>87</v>
      </c>
      <c r="R184">
        <v>1373</v>
      </c>
      <c r="S184">
        <v>10</v>
      </c>
      <c r="T184" t="b">
        <v>0</v>
      </c>
      <c r="U184" t="s">
        <v>125</v>
      </c>
      <c r="V184" t="s">
        <v>126</v>
      </c>
      <c r="W184">
        <v>1</v>
      </c>
      <c r="X184">
        <v>0.36</v>
      </c>
      <c r="Y184">
        <v>2</v>
      </c>
      <c r="Z184">
        <v>20</v>
      </c>
      <c r="AC184" t="s">
        <v>165</v>
      </c>
      <c r="AD184">
        <v>1000</v>
      </c>
      <c r="AE184">
        <v>300</v>
      </c>
      <c r="AF184" t="s">
        <v>91</v>
      </c>
      <c r="AH184" s="3">
        <v>447</v>
      </c>
      <c r="AI184" s="3">
        <f>AH184/(AD184*Y184*Z184)</f>
        <v>1.1174999999999999E-2</v>
      </c>
      <c r="AJ184" s="3">
        <f t="shared" si="2"/>
        <v>-4.4940761384825043</v>
      </c>
      <c r="AN184" t="b">
        <v>1</v>
      </c>
      <c r="AO184" t="b">
        <v>0</v>
      </c>
      <c r="AP184" t="b">
        <v>0</v>
      </c>
      <c r="AQ184" t="b">
        <v>0</v>
      </c>
      <c r="AR184" t="s">
        <v>508</v>
      </c>
      <c r="AS184">
        <v>-1</v>
      </c>
      <c r="AU184">
        <v>-0.41551544396166579</v>
      </c>
      <c r="AV184">
        <v>1.928571428571429</v>
      </c>
      <c r="AW184">
        <v>3.5</v>
      </c>
      <c r="AX184">
        <v>3.8571428571428572</v>
      </c>
      <c r="AY184">
        <v>4</v>
      </c>
      <c r="AZ184">
        <v>0.1451612903225806</v>
      </c>
      <c r="BA184">
        <v>0.26344086021505381</v>
      </c>
      <c r="BB184">
        <v>0.29032258064516131</v>
      </c>
      <c r="BC184">
        <v>0.30107526881720431</v>
      </c>
      <c r="BD184">
        <v>6.2999468447142846</v>
      </c>
      <c r="BE184">
        <v>16</v>
      </c>
      <c r="BF184">
        <v>940.71474773474347</v>
      </c>
      <c r="BG184">
        <v>4</v>
      </c>
      <c r="BH184">
        <v>6.8033375849706881E-2</v>
      </c>
      <c r="BI184">
        <v>5.5809040000000003</v>
      </c>
      <c r="BJ184">
        <v>5.6539380000000001</v>
      </c>
      <c r="BK184">
        <v>29.812771999999999</v>
      </c>
      <c r="BL184">
        <v>0</v>
      </c>
      <c r="BM184">
        <v>0</v>
      </c>
      <c r="BO184">
        <v>0</v>
      </c>
      <c r="BR184">
        <v>0</v>
      </c>
      <c r="BS184">
        <v>0</v>
      </c>
      <c r="BU184">
        <v>0</v>
      </c>
      <c r="BV184">
        <v>0</v>
      </c>
      <c r="BW184">
        <v>0</v>
      </c>
      <c r="BZ184">
        <v>8</v>
      </c>
      <c r="CB184">
        <v>3.4016687924853441E-2</v>
      </c>
      <c r="CE184">
        <v>0.5149647422483159</v>
      </c>
    </row>
    <row r="185" spans="1:86" x14ac:dyDescent="0.3">
      <c r="A185" s="1">
        <v>258</v>
      </c>
      <c r="B185" t="s">
        <v>98</v>
      </c>
      <c r="C185" t="s">
        <v>99</v>
      </c>
      <c r="E185" t="s">
        <v>94</v>
      </c>
      <c r="F185">
        <v>3.3</v>
      </c>
      <c r="G185" t="s">
        <v>100</v>
      </c>
      <c r="H185">
        <v>-1</v>
      </c>
      <c r="I185">
        <v>-1</v>
      </c>
      <c r="J185">
        <v>4</v>
      </c>
      <c r="K185">
        <v>5.5339999999999998</v>
      </c>
      <c r="L185">
        <v>5.5033000000000003</v>
      </c>
      <c r="M185">
        <v>22.083300000000001</v>
      </c>
      <c r="N185" t="s">
        <v>652</v>
      </c>
      <c r="O185">
        <v>11.041650000000001</v>
      </c>
      <c r="Q185" t="s">
        <v>87</v>
      </c>
      <c r="R185">
        <v>1373</v>
      </c>
      <c r="S185">
        <v>50</v>
      </c>
      <c r="T185" t="b">
        <v>0</v>
      </c>
      <c r="U185" t="s">
        <v>125</v>
      </c>
      <c r="V185" t="s">
        <v>126</v>
      </c>
      <c r="W185">
        <v>1</v>
      </c>
      <c r="X185">
        <v>1.5</v>
      </c>
      <c r="Y185">
        <v>1.67</v>
      </c>
      <c r="Z185">
        <v>20</v>
      </c>
      <c r="AC185" t="s">
        <v>165</v>
      </c>
      <c r="AD185">
        <v>1000</v>
      </c>
      <c r="AE185">
        <v>230</v>
      </c>
      <c r="AF185" t="s">
        <v>653</v>
      </c>
      <c r="AH185" s="3">
        <v>331</v>
      </c>
      <c r="AI185" s="3">
        <f>AH185/(AD185*Y185*Z185)</f>
        <v>9.9101796407185631E-3</v>
      </c>
      <c r="AJ185" s="3">
        <f t="shared" si="2"/>
        <v>-4.6141928035877289</v>
      </c>
      <c r="AN185" t="b">
        <v>1</v>
      </c>
      <c r="AO185" t="b">
        <v>1</v>
      </c>
      <c r="AP185" t="b">
        <v>0</v>
      </c>
      <c r="AQ185" t="b">
        <v>0</v>
      </c>
      <c r="AR185" t="s">
        <v>511</v>
      </c>
      <c r="AS185" t="s">
        <v>512</v>
      </c>
      <c r="AU185">
        <v>-2.0249533563957658</v>
      </c>
      <c r="AV185">
        <v>2</v>
      </c>
      <c r="AW185">
        <v>3.5</v>
      </c>
      <c r="AX185">
        <v>3.0714285714285721</v>
      </c>
      <c r="AY185">
        <v>5</v>
      </c>
      <c r="AZ185">
        <v>0.14736842105263159</v>
      </c>
      <c r="BA185">
        <v>0.25789473684210529</v>
      </c>
      <c r="BB185">
        <v>0.22631578947368419</v>
      </c>
      <c r="BC185">
        <v>0.36842105263157893</v>
      </c>
      <c r="BD185">
        <v>6.3572730307857137</v>
      </c>
      <c r="BE185">
        <v>16</v>
      </c>
      <c r="BF185">
        <v>218.55655879400501</v>
      </c>
      <c r="BG185">
        <v>1</v>
      </c>
      <c r="BH185">
        <v>7.320759481338833E-2</v>
      </c>
      <c r="BI185">
        <v>3.9070640000000001</v>
      </c>
      <c r="BJ185">
        <v>3.9070640000000001</v>
      </c>
      <c r="BK185">
        <v>14.317354999999999</v>
      </c>
      <c r="BL185">
        <v>862.37070529816799</v>
      </c>
      <c r="BM185">
        <v>4</v>
      </c>
      <c r="BN185">
        <v>7.4214023745010863E-2</v>
      </c>
      <c r="BO185">
        <v>5.4588999999999999</v>
      </c>
      <c r="BP185">
        <v>5.5044000000000004</v>
      </c>
      <c r="BQ185">
        <v>28.6998</v>
      </c>
      <c r="BR185">
        <v>0</v>
      </c>
      <c r="BS185">
        <v>0</v>
      </c>
      <c r="BU185">
        <v>0</v>
      </c>
      <c r="BV185">
        <v>0</v>
      </c>
      <c r="BW185">
        <v>0</v>
      </c>
      <c r="BZ185">
        <v>8</v>
      </c>
      <c r="CB185">
        <v>3.6603797406694158E-2</v>
      </c>
      <c r="CC185">
        <v>3.7107011872505431E-2</v>
      </c>
      <c r="CE185">
        <v>0.52785174392365919</v>
      </c>
      <c r="CF185">
        <v>0.53510844000889946</v>
      </c>
    </row>
    <row r="186" spans="1:86" x14ac:dyDescent="0.3">
      <c r="A186" s="1">
        <v>254</v>
      </c>
      <c r="B186" t="s">
        <v>98</v>
      </c>
      <c r="C186" t="s">
        <v>99</v>
      </c>
      <c r="E186" t="s">
        <v>94</v>
      </c>
      <c r="F186">
        <v>3.3</v>
      </c>
      <c r="G186" t="s">
        <v>100</v>
      </c>
      <c r="H186">
        <v>-1</v>
      </c>
      <c r="I186">
        <v>-1</v>
      </c>
      <c r="J186">
        <v>4</v>
      </c>
      <c r="K186">
        <v>5.4763999999999999</v>
      </c>
      <c r="L186">
        <v>5.1576000000000004</v>
      </c>
      <c r="M186">
        <v>22.404199999999999</v>
      </c>
      <c r="N186" t="s">
        <v>652</v>
      </c>
      <c r="O186">
        <v>11.2021</v>
      </c>
      <c r="Q186" t="s">
        <v>87</v>
      </c>
      <c r="R186">
        <v>1373</v>
      </c>
      <c r="S186">
        <v>24</v>
      </c>
      <c r="T186" t="b">
        <v>0</v>
      </c>
      <c r="U186" t="s">
        <v>125</v>
      </c>
      <c r="V186" t="s">
        <v>126</v>
      </c>
      <c r="W186">
        <v>1</v>
      </c>
      <c r="X186">
        <v>1.2</v>
      </c>
      <c r="Y186">
        <v>1.67</v>
      </c>
      <c r="Z186">
        <v>20</v>
      </c>
      <c r="AC186" t="s">
        <v>165</v>
      </c>
      <c r="AD186">
        <v>1000</v>
      </c>
      <c r="AE186">
        <v>230</v>
      </c>
      <c r="AF186" t="s">
        <v>653</v>
      </c>
      <c r="AH186" s="3">
        <v>274</v>
      </c>
      <c r="AI186" s="3">
        <f>AH186/(AD186*Y186*Z186)</f>
        <v>8.2035928143712571E-3</v>
      </c>
      <c r="AJ186" s="3">
        <f t="shared" si="2"/>
        <v>-4.8031830725767213</v>
      </c>
      <c r="AN186" t="b">
        <v>1</v>
      </c>
      <c r="AO186" t="b">
        <v>0</v>
      </c>
      <c r="AP186" t="b">
        <v>0</v>
      </c>
      <c r="AQ186" t="b">
        <v>0</v>
      </c>
      <c r="AR186" t="s">
        <v>515</v>
      </c>
      <c r="AS186">
        <v>-1</v>
      </c>
      <c r="AU186">
        <v>-2.7181005369557121</v>
      </c>
      <c r="AV186">
        <v>2</v>
      </c>
      <c r="AW186">
        <v>3.5</v>
      </c>
      <c r="AX186">
        <v>3.785714285714286</v>
      </c>
      <c r="AY186">
        <v>5</v>
      </c>
      <c r="AZ186">
        <v>0.14000000000000001</v>
      </c>
      <c r="BA186">
        <v>0.245</v>
      </c>
      <c r="BB186">
        <v>0.26500000000000001</v>
      </c>
      <c r="BC186">
        <v>0.35</v>
      </c>
      <c r="BD186">
        <v>6.3071673172142848</v>
      </c>
      <c r="BE186">
        <v>16</v>
      </c>
      <c r="BF186">
        <v>896.95302480881253</v>
      </c>
      <c r="BG186">
        <v>4</v>
      </c>
      <c r="BH186">
        <v>7.1352677598296457E-2</v>
      </c>
      <c r="BI186">
        <v>5.4952131800000004</v>
      </c>
      <c r="BJ186">
        <v>5.5421627200000003</v>
      </c>
      <c r="BK186">
        <v>29.451395720000001</v>
      </c>
      <c r="BL186">
        <v>0</v>
      </c>
      <c r="BM186">
        <v>0</v>
      </c>
      <c r="BO186">
        <v>0</v>
      </c>
      <c r="BR186">
        <v>0</v>
      </c>
      <c r="BS186">
        <v>0</v>
      </c>
      <c r="BU186">
        <v>0</v>
      </c>
      <c r="BV186">
        <v>0</v>
      </c>
      <c r="BW186">
        <v>0</v>
      </c>
      <c r="BZ186">
        <v>8</v>
      </c>
      <c r="CB186">
        <v>3.5676338799148229E-2</v>
      </c>
      <c r="CE186">
        <v>0.5400895188459508</v>
      </c>
    </row>
    <row r="187" spans="1:86" x14ac:dyDescent="0.3">
      <c r="A187" s="1">
        <v>16</v>
      </c>
      <c r="B187" t="s">
        <v>120</v>
      </c>
      <c r="C187" t="s">
        <v>121</v>
      </c>
      <c r="E187" t="s">
        <v>106</v>
      </c>
      <c r="F187">
        <v>3.16</v>
      </c>
      <c r="G187" t="s">
        <v>108</v>
      </c>
      <c r="H187">
        <v>-1</v>
      </c>
      <c r="I187">
        <v>-1</v>
      </c>
      <c r="J187">
        <v>4</v>
      </c>
      <c r="K187">
        <v>7.8310000000000004</v>
      </c>
      <c r="L187">
        <v>7.8010000000000002</v>
      </c>
      <c r="M187">
        <v>15.05</v>
      </c>
      <c r="N187" t="s">
        <v>122</v>
      </c>
      <c r="O187">
        <v>15.05</v>
      </c>
      <c r="P187">
        <v>3</v>
      </c>
      <c r="Q187" t="s">
        <v>87</v>
      </c>
      <c r="R187">
        <v>1473</v>
      </c>
      <c r="S187">
        <v>48</v>
      </c>
      <c r="T187" t="b">
        <v>0</v>
      </c>
      <c r="U187" t="s">
        <v>125</v>
      </c>
      <c r="V187" t="s">
        <v>126</v>
      </c>
      <c r="W187">
        <v>0.1</v>
      </c>
      <c r="Y187">
        <v>2.85</v>
      </c>
      <c r="Z187">
        <v>14.3</v>
      </c>
      <c r="AC187" t="s">
        <v>90</v>
      </c>
      <c r="AD187">
        <v>450</v>
      </c>
      <c r="AF187" t="s">
        <v>91</v>
      </c>
      <c r="AH187" s="3">
        <v>110</v>
      </c>
      <c r="AI187" s="3">
        <f>AH187/(AD187*Y187*Z187)</f>
        <v>5.9979007347428399E-3</v>
      </c>
      <c r="AJ187" s="3">
        <f t="shared" si="2"/>
        <v>-5.1163457485183699</v>
      </c>
      <c r="AK187" t="s">
        <v>144</v>
      </c>
      <c r="AL187" t="s">
        <v>144</v>
      </c>
      <c r="AN187" t="b">
        <v>1</v>
      </c>
      <c r="AO187" t="b">
        <v>1</v>
      </c>
      <c r="AP187" t="b">
        <v>0</v>
      </c>
      <c r="AQ187" t="b">
        <v>0</v>
      </c>
      <c r="AR187" t="s">
        <v>597</v>
      </c>
      <c r="AS187" t="s">
        <v>598</v>
      </c>
      <c r="AT187" t="s">
        <v>177</v>
      </c>
      <c r="AU187">
        <v>6.7334018918373593</v>
      </c>
      <c r="AV187">
        <v>1.75</v>
      </c>
      <c r="AW187">
        <v>2.5</v>
      </c>
      <c r="AX187">
        <v>0.75</v>
      </c>
      <c r="AY187">
        <v>0</v>
      </c>
      <c r="AZ187">
        <v>0.35</v>
      </c>
      <c r="BA187">
        <v>0.5</v>
      </c>
      <c r="BB187">
        <v>0.15</v>
      </c>
      <c r="BC187">
        <v>0</v>
      </c>
      <c r="BD187">
        <v>6.2640154224906874</v>
      </c>
      <c r="BE187">
        <v>20</v>
      </c>
      <c r="BF187">
        <v>242.1279024923125</v>
      </c>
      <c r="BG187">
        <v>1</v>
      </c>
      <c r="BH187">
        <v>8.2600971611006269E-2</v>
      </c>
      <c r="BI187">
        <v>3.950634</v>
      </c>
      <c r="BJ187">
        <v>3.950634</v>
      </c>
      <c r="BK187">
        <v>15.513552000000001</v>
      </c>
      <c r="BL187">
        <v>227.970829547178</v>
      </c>
      <c r="BM187">
        <v>1</v>
      </c>
      <c r="BN187">
        <v>8.7730522539775438E-2</v>
      </c>
      <c r="BO187">
        <v>3.8658999999999999</v>
      </c>
      <c r="BP187">
        <v>3.8658999999999999</v>
      </c>
      <c r="BQ187">
        <v>15.2538</v>
      </c>
      <c r="BR187">
        <v>164.541706117579</v>
      </c>
      <c r="BS187">
        <v>1</v>
      </c>
      <c r="BT187">
        <v>0.12154973028970729</v>
      </c>
      <c r="BU187">
        <v>3.8653</v>
      </c>
      <c r="BV187">
        <v>3.8653</v>
      </c>
      <c r="BW187">
        <v>11.0131</v>
      </c>
      <c r="BX187">
        <v>434.25033575000009</v>
      </c>
      <c r="BZ187">
        <v>10</v>
      </c>
      <c r="CB187">
        <v>4.1300485805503127E-2</v>
      </c>
      <c r="CC187">
        <v>4.3865261269887719E-2</v>
      </c>
      <c r="CD187">
        <v>6.0774865144853633E-2</v>
      </c>
      <c r="CE187">
        <v>0.42195359024583579</v>
      </c>
      <c r="CF187">
        <v>0.44815706447294301</v>
      </c>
      <c r="CG187">
        <v>0.62091697093694975</v>
      </c>
    </row>
    <row r="188" spans="1:86" x14ac:dyDescent="0.3">
      <c r="A188" s="1">
        <v>171</v>
      </c>
      <c r="B188" t="s">
        <v>468</v>
      </c>
      <c r="C188" t="s">
        <v>469</v>
      </c>
      <c r="F188">
        <v>3.3</v>
      </c>
      <c r="G188">
        <v>-1</v>
      </c>
      <c r="H188" t="s">
        <v>470</v>
      </c>
      <c r="I188">
        <v>-1</v>
      </c>
      <c r="J188">
        <v>2</v>
      </c>
      <c r="K188">
        <v>3.8917999999999999</v>
      </c>
      <c r="L188">
        <v>3.8820000000000001</v>
      </c>
      <c r="M188">
        <v>36.127000000000002</v>
      </c>
      <c r="N188" t="s">
        <v>471</v>
      </c>
      <c r="O188">
        <v>18.063500000000001</v>
      </c>
      <c r="P188">
        <v>4</v>
      </c>
      <c r="Q188" t="s">
        <v>87</v>
      </c>
      <c r="R188">
        <v>1373</v>
      </c>
      <c r="S188">
        <v>10</v>
      </c>
      <c r="T188" t="b">
        <v>0</v>
      </c>
      <c r="U188" t="s">
        <v>125</v>
      </c>
      <c r="V188" t="s">
        <v>126</v>
      </c>
      <c r="W188">
        <v>1</v>
      </c>
      <c r="X188">
        <v>1.6</v>
      </c>
      <c r="Y188">
        <v>2</v>
      </c>
      <c r="Z188">
        <v>20</v>
      </c>
      <c r="AC188" t="s">
        <v>165</v>
      </c>
      <c r="AD188">
        <v>1000</v>
      </c>
      <c r="AE188">
        <v>300</v>
      </c>
      <c r="AF188" t="s">
        <v>91</v>
      </c>
      <c r="AH188" s="3">
        <v>230</v>
      </c>
      <c r="AI188" s="3">
        <f>AH188/(AD188*Y188*Z188)</f>
        <v>5.7499999999999999E-3</v>
      </c>
      <c r="AJ188" s="3">
        <f t="shared" si="2"/>
        <v>-5.1585554241728779</v>
      </c>
      <c r="AK188" t="s">
        <v>153</v>
      </c>
      <c r="AL188" t="s">
        <v>153</v>
      </c>
      <c r="AN188" t="b">
        <v>1</v>
      </c>
      <c r="AO188" t="b">
        <v>1</v>
      </c>
      <c r="AP188" t="b">
        <v>0</v>
      </c>
      <c r="AQ188" t="b">
        <v>0</v>
      </c>
      <c r="AR188" t="s">
        <v>599</v>
      </c>
      <c r="AS188" t="s">
        <v>600</v>
      </c>
      <c r="AU188">
        <v>6.8023947633243109</v>
      </c>
      <c r="AV188">
        <v>1.75</v>
      </c>
      <c r="AW188">
        <v>2.5</v>
      </c>
      <c r="AX188">
        <v>0.75</v>
      </c>
      <c r="AY188">
        <v>0</v>
      </c>
      <c r="AZ188">
        <v>0.35</v>
      </c>
      <c r="BA188">
        <v>0.5</v>
      </c>
      <c r="BB188">
        <v>0.15</v>
      </c>
      <c r="BC188">
        <v>0</v>
      </c>
      <c r="BD188">
        <v>6.2395921087406876</v>
      </c>
      <c r="BE188">
        <v>20</v>
      </c>
      <c r="BF188">
        <v>242.1279024923125</v>
      </c>
      <c r="BG188">
        <v>1</v>
      </c>
      <c r="BH188">
        <v>8.2600971611006269E-2</v>
      </c>
      <c r="BI188">
        <v>3.950634</v>
      </c>
      <c r="BJ188">
        <v>3.950634</v>
      </c>
      <c r="BK188">
        <v>15.513552000000001</v>
      </c>
      <c r="BL188">
        <v>227.970829547178</v>
      </c>
      <c r="BM188">
        <v>1</v>
      </c>
      <c r="BN188">
        <v>8.7730522539775438E-2</v>
      </c>
      <c r="BO188">
        <v>3.8658999999999999</v>
      </c>
      <c r="BP188">
        <v>3.8658999999999999</v>
      </c>
      <c r="BQ188">
        <v>15.2538</v>
      </c>
      <c r="BR188">
        <v>0</v>
      </c>
      <c r="BS188">
        <v>0</v>
      </c>
      <c r="BU188">
        <v>0</v>
      </c>
      <c r="BV188">
        <v>0</v>
      </c>
      <c r="BW188">
        <v>0</v>
      </c>
      <c r="BX188">
        <v>503.89893000000001</v>
      </c>
      <c r="BY188">
        <v>7.9380998090232108E-2</v>
      </c>
      <c r="BZ188">
        <v>10</v>
      </c>
      <c r="CA188">
        <v>3.9690499045116047E-2</v>
      </c>
      <c r="CB188">
        <v>4.1300485805503127E-2</v>
      </c>
      <c r="CC188">
        <v>4.3865261269887719E-2</v>
      </c>
      <c r="CE188">
        <v>0.45027090848362911</v>
      </c>
      <c r="CF188">
        <v>0.47823289866077828</v>
      </c>
      <c r="CH188">
        <v>0.43271832557552409</v>
      </c>
    </row>
    <row r="189" spans="1:86" x14ac:dyDescent="0.3">
      <c r="A189" s="1">
        <v>13</v>
      </c>
      <c r="B189" t="s">
        <v>106</v>
      </c>
      <c r="C189" t="s">
        <v>107</v>
      </c>
      <c r="E189" t="s">
        <v>106</v>
      </c>
      <c r="F189">
        <v>3.35</v>
      </c>
      <c r="G189" t="s">
        <v>108</v>
      </c>
      <c r="H189" t="s">
        <v>109</v>
      </c>
      <c r="I189">
        <v>-1</v>
      </c>
      <c r="J189">
        <v>8</v>
      </c>
      <c r="K189">
        <v>7.7270000000000003</v>
      </c>
      <c r="L189">
        <v>7.7270000000000003</v>
      </c>
      <c r="M189">
        <v>29.466000000000001</v>
      </c>
      <c r="N189" t="s">
        <v>110</v>
      </c>
      <c r="O189">
        <v>14.733000000000001</v>
      </c>
      <c r="P189">
        <v>3</v>
      </c>
      <c r="Q189" t="s">
        <v>87</v>
      </c>
      <c r="R189">
        <v>1473</v>
      </c>
      <c r="S189">
        <v>48</v>
      </c>
      <c r="T189" t="b">
        <v>0</v>
      </c>
      <c r="U189" t="s">
        <v>125</v>
      </c>
      <c r="V189" t="s">
        <v>126</v>
      </c>
      <c r="W189">
        <v>0.1</v>
      </c>
      <c r="Y189">
        <v>2.85</v>
      </c>
      <c r="Z189">
        <v>14.3</v>
      </c>
      <c r="AC189" t="s">
        <v>90</v>
      </c>
      <c r="AD189">
        <v>450</v>
      </c>
      <c r="AF189" t="s">
        <v>91</v>
      </c>
      <c r="AH189" s="3">
        <v>100</v>
      </c>
      <c r="AI189" s="3">
        <f>AH189/(AD189*Y189*Z189)</f>
        <v>5.4526370315843998E-3</v>
      </c>
      <c r="AJ189" s="3">
        <f t="shared" si="2"/>
        <v>-5.2116559283226946</v>
      </c>
      <c r="AN189" t="b">
        <v>1</v>
      </c>
      <c r="AO189" t="b">
        <v>0</v>
      </c>
      <c r="AP189" t="b">
        <v>1</v>
      </c>
      <c r="AQ189" t="b">
        <v>0</v>
      </c>
      <c r="AR189" t="s">
        <v>139</v>
      </c>
      <c r="AS189">
        <v>-1</v>
      </c>
      <c r="AT189" t="s">
        <v>601</v>
      </c>
      <c r="AU189">
        <v>4.0943445622221004</v>
      </c>
      <c r="AV189">
        <v>1.7272727272727271</v>
      </c>
      <c r="AW189">
        <v>2.545454545454545</v>
      </c>
      <c r="AX189">
        <v>0.81818181818181823</v>
      </c>
      <c r="AY189">
        <v>0</v>
      </c>
      <c r="AZ189">
        <v>0.3392857142857143</v>
      </c>
      <c r="BA189">
        <v>0.5</v>
      </c>
      <c r="BB189">
        <v>0.1607142857142857</v>
      </c>
      <c r="BC189">
        <v>0</v>
      </c>
      <c r="BD189">
        <v>6.4269893564864544</v>
      </c>
      <c r="BE189">
        <v>14</v>
      </c>
      <c r="BF189">
        <v>165.66723991337099</v>
      </c>
      <c r="BG189">
        <v>1</v>
      </c>
      <c r="BH189">
        <v>8.4506749839743392E-2</v>
      </c>
      <c r="BI189">
        <v>3.9263319999999999</v>
      </c>
      <c r="BJ189">
        <v>3.9263319999999999</v>
      </c>
      <c r="BK189">
        <v>10.74639</v>
      </c>
      <c r="BL189">
        <v>0</v>
      </c>
      <c r="BM189">
        <v>0</v>
      </c>
      <c r="BO189">
        <v>0</v>
      </c>
      <c r="BR189">
        <v>158.53899827430001</v>
      </c>
      <c r="BS189">
        <v>1</v>
      </c>
      <c r="BT189">
        <v>8.8306348295310685E-2</v>
      </c>
      <c r="BU189">
        <v>3.8913000000000002</v>
      </c>
      <c r="BV189">
        <v>3.8913000000000002</v>
      </c>
      <c r="BW189">
        <v>10.47</v>
      </c>
      <c r="BX189">
        <v>322.16240900000003</v>
      </c>
      <c r="BY189">
        <v>8.691268508611133E-2</v>
      </c>
      <c r="BZ189">
        <v>7</v>
      </c>
      <c r="CA189">
        <v>4.3456342543055658E-2</v>
      </c>
      <c r="CB189">
        <v>4.2253374919871703E-2</v>
      </c>
      <c r="CD189">
        <v>4.4153174147655343E-2</v>
      </c>
      <c r="CE189">
        <v>0.41874907041247761</v>
      </c>
      <c r="CG189">
        <v>0.43757689569539021</v>
      </c>
      <c r="CH189">
        <v>0.43067099558176591</v>
      </c>
    </row>
    <row r="190" spans="1:86" x14ac:dyDescent="0.3">
      <c r="A190" s="1">
        <v>172</v>
      </c>
      <c r="B190" t="s">
        <v>468</v>
      </c>
      <c r="C190" t="s">
        <v>469</v>
      </c>
      <c r="F190">
        <v>3.3</v>
      </c>
      <c r="G190">
        <v>-1</v>
      </c>
      <c r="H190" t="s">
        <v>470</v>
      </c>
      <c r="I190">
        <v>-1</v>
      </c>
      <c r="J190">
        <v>2</v>
      </c>
      <c r="K190">
        <v>3.8917999999999999</v>
      </c>
      <c r="L190">
        <v>3.8820000000000001</v>
      </c>
      <c r="M190">
        <v>36.127000000000002</v>
      </c>
      <c r="N190" t="s">
        <v>471</v>
      </c>
      <c r="O190">
        <v>18.063500000000001</v>
      </c>
      <c r="P190">
        <v>4</v>
      </c>
      <c r="Q190" t="s">
        <v>87</v>
      </c>
      <c r="R190">
        <v>1373</v>
      </c>
      <c r="S190">
        <v>10</v>
      </c>
      <c r="T190" t="b">
        <v>0</v>
      </c>
      <c r="U190" t="s">
        <v>172</v>
      </c>
      <c r="V190" t="s">
        <v>126</v>
      </c>
      <c r="W190">
        <v>1</v>
      </c>
      <c r="X190">
        <v>1.6</v>
      </c>
      <c r="Y190">
        <v>2</v>
      </c>
      <c r="Z190">
        <v>20</v>
      </c>
      <c r="AC190" t="s">
        <v>165</v>
      </c>
      <c r="AD190">
        <v>1000</v>
      </c>
      <c r="AE190">
        <v>300</v>
      </c>
      <c r="AF190" t="s">
        <v>91</v>
      </c>
      <c r="AH190" s="3">
        <v>204</v>
      </c>
      <c r="AI190" s="3">
        <f>AH190/(AD190*Y190*Z190)</f>
        <v>5.1000000000000004E-3</v>
      </c>
      <c r="AJ190" s="3">
        <f t="shared" si="2"/>
        <v>-5.2785147392518565</v>
      </c>
      <c r="AK190" t="s">
        <v>972</v>
      </c>
      <c r="AN190" t="b">
        <v>1</v>
      </c>
      <c r="AO190" t="b">
        <v>0</v>
      </c>
      <c r="AP190" t="b">
        <v>0</v>
      </c>
      <c r="AQ190" t="b">
        <v>0</v>
      </c>
      <c r="AR190" t="s">
        <v>1166</v>
      </c>
      <c r="AU190">
        <v>10.491274217438249</v>
      </c>
      <c r="AV190">
        <v>1.510204081632653</v>
      </c>
      <c r="AW190">
        <v>1.2653061224489801</v>
      </c>
      <c r="AX190">
        <v>0.1224489795918367</v>
      </c>
      <c r="AY190">
        <v>0.16326530612244899</v>
      </c>
      <c r="AZ190">
        <v>0.49333333333333329</v>
      </c>
      <c r="BA190">
        <v>0.41333333333333339</v>
      </c>
      <c r="BB190">
        <v>0.04</v>
      </c>
      <c r="BC190">
        <v>5.333333333333333E-2</v>
      </c>
      <c r="BD190">
        <v>6.6971257268453872</v>
      </c>
      <c r="BE190">
        <v>20</v>
      </c>
      <c r="BF190">
        <v>733.37308460000008</v>
      </c>
      <c r="BG190">
        <v>2</v>
      </c>
      <c r="BH190">
        <v>5.4542497999932729E-2</v>
      </c>
      <c r="BI190">
        <v>3.8530000000000002</v>
      </c>
      <c r="BJ190">
        <v>3.8530000000000002</v>
      </c>
      <c r="BK190">
        <v>49.4</v>
      </c>
      <c r="BL190">
        <v>0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U190">
        <v>0</v>
      </c>
      <c r="BV190">
        <v>0</v>
      </c>
      <c r="BW190">
        <v>0</v>
      </c>
      <c r="BX190">
        <v>357.04353880000002</v>
      </c>
      <c r="BY190">
        <v>5.6015577448113731E-2</v>
      </c>
      <c r="BZ190">
        <v>10</v>
      </c>
      <c r="CA190">
        <v>2.8007788724056869E-2</v>
      </c>
      <c r="CB190">
        <v>2.7271248999966361E-2</v>
      </c>
      <c r="CE190">
        <v>0.33005342247707181</v>
      </c>
      <c r="CH190">
        <v>0.33896747906196412</v>
      </c>
    </row>
    <row r="191" spans="1:86" x14ac:dyDescent="0.3">
      <c r="A191" s="1">
        <v>182</v>
      </c>
      <c r="B191" t="s">
        <v>484</v>
      </c>
      <c r="C191" t="s">
        <v>485</v>
      </c>
      <c r="F191">
        <v>3.1</v>
      </c>
      <c r="G191" t="s">
        <v>486</v>
      </c>
      <c r="H191" t="s">
        <v>487</v>
      </c>
      <c r="I191">
        <v>-1</v>
      </c>
      <c r="Q191" t="s">
        <v>87</v>
      </c>
      <c r="R191">
        <v>1373</v>
      </c>
      <c r="S191">
        <v>10</v>
      </c>
      <c r="T191" t="b">
        <v>0</v>
      </c>
      <c r="U191" t="s">
        <v>125</v>
      </c>
      <c r="V191" t="s">
        <v>126</v>
      </c>
      <c r="W191">
        <v>1</v>
      </c>
      <c r="Y191">
        <v>2.7</v>
      </c>
      <c r="Z191">
        <v>5.4</v>
      </c>
      <c r="AC191" t="s">
        <v>90</v>
      </c>
      <c r="AD191">
        <v>450</v>
      </c>
      <c r="AE191">
        <v>300</v>
      </c>
      <c r="AF191" t="s">
        <v>407</v>
      </c>
      <c r="AH191" s="3">
        <v>33</v>
      </c>
      <c r="AI191" s="3">
        <f>AH191/(AD191*Y191*Z191)</f>
        <v>5.0297210791037956E-3</v>
      </c>
      <c r="AJ191" s="3">
        <f t="shared" si="2"/>
        <v>-5.2923907478783976</v>
      </c>
      <c r="AN191" t="b">
        <v>1</v>
      </c>
      <c r="AO191" t="b">
        <v>0</v>
      </c>
      <c r="AP191" t="b">
        <v>0</v>
      </c>
      <c r="AQ191" t="b">
        <v>0</v>
      </c>
      <c r="AR191" t="s">
        <v>85</v>
      </c>
      <c r="AS191" t="s">
        <v>86</v>
      </c>
      <c r="AU191">
        <v>5.598421958998375</v>
      </c>
      <c r="AV191">
        <v>1.62962962962963</v>
      </c>
      <c r="AW191">
        <v>2.518518518518519</v>
      </c>
      <c r="AX191">
        <v>0.88888888888888884</v>
      </c>
      <c r="AY191">
        <v>0</v>
      </c>
      <c r="AZ191">
        <v>0.32352941176470579</v>
      </c>
      <c r="BA191">
        <v>0.5</v>
      </c>
      <c r="BB191">
        <v>0.1764705882352941</v>
      </c>
      <c r="BC191">
        <v>0</v>
      </c>
      <c r="BD191">
        <v>5.9587386867222234</v>
      </c>
      <c r="BE191">
        <v>34</v>
      </c>
      <c r="BF191">
        <v>1767.0449718798691</v>
      </c>
      <c r="BG191">
        <v>4</v>
      </c>
      <c r="BH191">
        <v>7.6964651247849417E-2</v>
      </c>
      <c r="BI191">
        <v>6.6040679999999998</v>
      </c>
      <c r="BJ191">
        <v>7.9389519999999996</v>
      </c>
      <c r="BK191">
        <v>33.703336</v>
      </c>
      <c r="BL191">
        <v>1679.8210721820001</v>
      </c>
      <c r="BM191">
        <v>4</v>
      </c>
      <c r="BN191">
        <v>8.0961003676030277E-2</v>
      </c>
      <c r="BO191">
        <v>7.83</v>
      </c>
      <c r="BP191">
        <v>33.209989999999998</v>
      </c>
      <c r="BQ191">
        <v>6.46</v>
      </c>
      <c r="BR191">
        <v>0</v>
      </c>
      <c r="BS191">
        <v>0</v>
      </c>
      <c r="BU191">
        <v>0</v>
      </c>
      <c r="BV191">
        <v>0</v>
      </c>
      <c r="BW191">
        <v>0</v>
      </c>
      <c r="BX191">
        <v>1766.0147999999999</v>
      </c>
      <c r="BY191">
        <v>7.7009547145358015E-2</v>
      </c>
      <c r="BZ191">
        <v>17</v>
      </c>
      <c r="CA191">
        <v>3.8504773572679007E-2</v>
      </c>
      <c r="CB191">
        <v>3.8482325623924708E-2</v>
      </c>
      <c r="CC191">
        <v>4.0480501838015139E-2</v>
      </c>
      <c r="CE191">
        <v>0.48264383878002193</v>
      </c>
      <c r="CF191">
        <v>0.50770488753139875</v>
      </c>
      <c r="CH191">
        <v>0.48292538008460401</v>
      </c>
    </row>
    <row r="192" spans="1:86" x14ac:dyDescent="0.3">
      <c r="A192" s="1">
        <v>11</v>
      </c>
      <c r="B192" t="s">
        <v>98</v>
      </c>
      <c r="C192" t="s">
        <v>99</v>
      </c>
      <c r="E192" t="s">
        <v>94</v>
      </c>
      <c r="F192">
        <v>3.35</v>
      </c>
      <c r="G192" t="s">
        <v>100</v>
      </c>
      <c r="H192">
        <v>-1</v>
      </c>
      <c r="I192">
        <v>-1</v>
      </c>
      <c r="J192">
        <v>1</v>
      </c>
      <c r="K192">
        <v>3.8849999999999998</v>
      </c>
      <c r="L192">
        <v>3.8849999999999998</v>
      </c>
      <c r="M192">
        <v>10.989000000000001</v>
      </c>
      <c r="N192" t="s">
        <v>101</v>
      </c>
      <c r="O192">
        <v>10.989000000000001</v>
      </c>
      <c r="P192">
        <v>2</v>
      </c>
      <c r="Q192" t="s">
        <v>87</v>
      </c>
      <c r="R192">
        <v>1473</v>
      </c>
      <c r="S192">
        <v>48</v>
      </c>
      <c r="T192" t="b">
        <v>0</v>
      </c>
      <c r="U192" t="s">
        <v>125</v>
      </c>
      <c r="V192" t="s">
        <v>126</v>
      </c>
      <c r="W192">
        <v>0.1</v>
      </c>
      <c r="Y192">
        <v>2.85</v>
      </c>
      <c r="Z192">
        <v>14.3</v>
      </c>
      <c r="AC192" t="s">
        <v>90</v>
      </c>
      <c r="AD192">
        <v>450</v>
      </c>
      <c r="AF192" t="s">
        <v>91</v>
      </c>
      <c r="AH192" s="3">
        <v>90</v>
      </c>
      <c r="AI192" s="3">
        <f>AH192/(AD192*Y192*Z192)</f>
        <v>4.9073733284259596E-3</v>
      </c>
      <c r="AJ192" s="3">
        <f t="shared" si="2"/>
        <v>-5.3170164439805214</v>
      </c>
      <c r="AN192" t="b">
        <v>1</v>
      </c>
      <c r="AO192" t="b">
        <v>0</v>
      </c>
      <c r="AP192" t="b">
        <v>0</v>
      </c>
      <c r="AQ192" t="b">
        <v>0</v>
      </c>
      <c r="AR192" t="s">
        <v>95</v>
      </c>
      <c r="AS192" t="s">
        <v>96</v>
      </c>
      <c r="AU192">
        <v>3.988984046564275</v>
      </c>
      <c r="AV192">
        <v>1.7272727272727271</v>
      </c>
      <c r="AW192">
        <v>2.545454545454545</v>
      </c>
      <c r="AX192">
        <v>0.81818181818181823</v>
      </c>
      <c r="AY192">
        <v>0</v>
      </c>
      <c r="AZ192">
        <v>0.3392857142857143</v>
      </c>
      <c r="BA192">
        <v>0.5</v>
      </c>
      <c r="BB192">
        <v>0.1607142857142857</v>
      </c>
      <c r="BC192">
        <v>0</v>
      </c>
      <c r="BD192">
        <v>5.9946935869545452</v>
      </c>
      <c r="BE192">
        <v>14</v>
      </c>
      <c r="BF192">
        <v>173.54502164551991</v>
      </c>
      <c r="BG192">
        <v>1</v>
      </c>
      <c r="BH192">
        <v>8.0670709348241429E-2</v>
      </c>
      <c r="BI192">
        <v>3.9327019999999999</v>
      </c>
      <c r="BJ192">
        <v>3.9458000000000002</v>
      </c>
      <c r="BK192">
        <v>11.356398779999999</v>
      </c>
      <c r="BL192">
        <v>328.06612625219998</v>
      </c>
      <c r="BM192">
        <v>1</v>
      </c>
      <c r="BN192">
        <v>4.2674323496713393E-2</v>
      </c>
      <c r="BO192">
        <v>3.9060000000000001</v>
      </c>
      <c r="BP192">
        <v>21.603000000000002</v>
      </c>
      <c r="BQ192">
        <v>3.8879000000000001</v>
      </c>
      <c r="BR192">
        <v>0</v>
      </c>
      <c r="BS192">
        <v>0</v>
      </c>
      <c r="BU192">
        <v>0</v>
      </c>
      <c r="BV192">
        <v>0</v>
      </c>
      <c r="BW192">
        <v>0</v>
      </c>
      <c r="BX192">
        <v>1289.30702832</v>
      </c>
      <c r="BY192">
        <v>8.6868370015743157E-2</v>
      </c>
      <c r="BZ192">
        <v>7</v>
      </c>
      <c r="CA192">
        <v>4.3434185007871579E-2</v>
      </c>
      <c r="CB192">
        <v>4.0335354674120708E-2</v>
      </c>
      <c r="CC192">
        <v>2.1337161748356689E-2</v>
      </c>
      <c r="CE192">
        <v>0.48450364842179572</v>
      </c>
      <c r="CF192">
        <v>0.25629953666126182</v>
      </c>
      <c r="CH192">
        <v>0.52172644253560874</v>
      </c>
    </row>
    <row r="193" spans="1:86" x14ac:dyDescent="0.3">
      <c r="A193" s="1">
        <v>75</v>
      </c>
      <c r="B193" t="s">
        <v>255</v>
      </c>
      <c r="C193" t="s">
        <v>256</v>
      </c>
      <c r="F193">
        <v>2.98</v>
      </c>
      <c r="G193" t="s">
        <v>257</v>
      </c>
      <c r="H193" t="s">
        <v>258</v>
      </c>
      <c r="I193">
        <v>-1</v>
      </c>
      <c r="N193" t="s">
        <v>206</v>
      </c>
      <c r="Q193" t="s">
        <v>87</v>
      </c>
      <c r="R193">
        <v>1373</v>
      </c>
      <c r="S193">
        <v>48</v>
      </c>
      <c r="T193" t="b">
        <v>0</v>
      </c>
      <c r="U193" t="s">
        <v>172</v>
      </c>
      <c r="V193" t="s">
        <v>126</v>
      </c>
      <c r="W193">
        <v>0.1</v>
      </c>
      <c r="Y193">
        <v>1.5</v>
      </c>
      <c r="Z193">
        <v>15</v>
      </c>
      <c r="AC193" t="s">
        <v>165</v>
      </c>
      <c r="AD193">
        <v>450</v>
      </c>
      <c r="AE193">
        <v>400</v>
      </c>
      <c r="AF193" t="s">
        <v>91</v>
      </c>
      <c r="AH193" s="3">
        <v>45.3</v>
      </c>
      <c r="AI193" s="3">
        <f>AH193/(AD193*Y193*Z193)</f>
        <v>4.4740740740740739E-3</v>
      </c>
      <c r="AJ193" s="3">
        <f t="shared" si="2"/>
        <v>-5.4094558594857514</v>
      </c>
      <c r="AN193" t="b">
        <v>1</v>
      </c>
      <c r="AO193" t="b">
        <v>0</v>
      </c>
      <c r="AP193" t="b">
        <v>0</v>
      </c>
      <c r="AQ193" t="b">
        <v>0</v>
      </c>
      <c r="AR193" t="s">
        <v>100</v>
      </c>
      <c r="AS193">
        <v>-1</v>
      </c>
      <c r="AU193">
        <v>4.499809670330265</v>
      </c>
      <c r="AV193">
        <v>1.7272727272727271</v>
      </c>
      <c r="AW193">
        <v>2.545454545454545</v>
      </c>
      <c r="AX193">
        <v>0.81818181818181823</v>
      </c>
      <c r="AY193">
        <v>0</v>
      </c>
      <c r="AZ193">
        <v>0.3392857142857143</v>
      </c>
      <c r="BA193">
        <v>0.5</v>
      </c>
      <c r="BB193">
        <v>0.1607142857142857</v>
      </c>
      <c r="BC193">
        <v>0</v>
      </c>
      <c r="BD193">
        <v>5.9865536528636358</v>
      </c>
      <c r="BE193">
        <v>14</v>
      </c>
      <c r="BF193">
        <v>349.00875366799971</v>
      </c>
      <c r="BG193">
        <v>2</v>
      </c>
      <c r="BH193">
        <v>8.0227214090553903E-2</v>
      </c>
      <c r="BI193">
        <v>11.92921406</v>
      </c>
      <c r="BJ193">
        <v>11.92921406</v>
      </c>
      <c r="BK193">
        <v>11.92921406</v>
      </c>
      <c r="BL193">
        <v>0</v>
      </c>
      <c r="BM193">
        <v>0</v>
      </c>
      <c r="BO193">
        <v>0</v>
      </c>
      <c r="BR193">
        <v>0</v>
      </c>
      <c r="BS193">
        <v>0</v>
      </c>
      <c r="BU193">
        <v>0</v>
      </c>
      <c r="BV193">
        <v>0</v>
      </c>
      <c r="BW193">
        <v>0</v>
      </c>
      <c r="BX193">
        <v>165.859449525</v>
      </c>
      <c r="BY193">
        <v>8.4408817466199174E-2</v>
      </c>
      <c r="BZ193">
        <v>7</v>
      </c>
      <c r="CA193">
        <v>4.2204408733099587E-2</v>
      </c>
      <c r="CB193">
        <v>4.0113607045276951E-2</v>
      </c>
      <c r="CE193">
        <v>0.50734392504100989</v>
      </c>
      <c r="CH193">
        <v>0.53378770840821022</v>
      </c>
    </row>
    <row r="194" spans="1:86" x14ac:dyDescent="0.3">
      <c r="A194" s="1">
        <v>351</v>
      </c>
      <c r="B194" t="s">
        <v>795</v>
      </c>
      <c r="C194" t="s">
        <v>796</v>
      </c>
      <c r="E194" t="s">
        <v>106</v>
      </c>
      <c r="F194">
        <v>2.58</v>
      </c>
      <c r="G194" t="s">
        <v>142</v>
      </c>
      <c r="H194" t="s">
        <v>356</v>
      </c>
      <c r="I194">
        <v>-1</v>
      </c>
      <c r="J194">
        <v>1</v>
      </c>
      <c r="K194">
        <v>3.93</v>
      </c>
      <c r="L194">
        <v>3.93</v>
      </c>
      <c r="M194">
        <v>15.3</v>
      </c>
      <c r="O194">
        <v>15.3</v>
      </c>
      <c r="Q194" t="s">
        <v>87</v>
      </c>
      <c r="R194">
        <v>1273</v>
      </c>
      <c r="S194">
        <v>48</v>
      </c>
      <c r="T194" t="b">
        <v>0</v>
      </c>
      <c r="U194" t="s">
        <v>125</v>
      </c>
      <c r="V194" t="s">
        <v>126</v>
      </c>
      <c r="W194">
        <v>0.1</v>
      </c>
      <c r="Y194">
        <v>2.5</v>
      </c>
      <c r="Z194">
        <v>20</v>
      </c>
      <c r="AC194" t="s">
        <v>165</v>
      </c>
      <c r="AD194">
        <v>300</v>
      </c>
      <c r="AE194">
        <v>290</v>
      </c>
      <c r="AF194" t="s">
        <v>407</v>
      </c>
      <c r="AG194">
        <v>303</v>
      </c>
      <c r="AH194" s="3">
        <v>65</v>
      </c>
      <c r="AI194" s="3">
        <f>AH194/(AD194*Y194*Z194)</f>
        <v>4.3333333333333331E-3</v>
      </c>
      <c r="AJ194" s="3">
        <f t="shared" si="2"/>
        <v>-5.4414182101887096</v>
      </c>
      <c r="AN194" t="b">
        <v>1</v>
      </c>
      <c r="AO194" t="b">
        <v>1</v>
      </c>
      <c r="AP194" t="b">
        <v>0</v>
      </c>
      <c r="AQ194" t="b">
        <v>0</v>
      </c>
      <c r="AR194" t="s">
        <v>104</v>
      </c>
      <c r="AS194" t="s">
        <v>105</v>
      </c>
      <c r="AU194">
        <v>3.3322045101752038</v>
      </c>
      <c r="AV194">
        <v>1.7272727272727271</v>
      </c>
      <c r="AW194">
        <v>2.545454545454545</v>
      </c>
      <c r="AX194">
        <v>0.81818181818181823</v>
      </c>
      <c r="AY194">
        <v>0</v>
      </c>
      <c r="AZ194">
        <v>0.3392857142857143</v>
      </c>
      <c r="BA194">
        <v>0.5</v>
      </c>
      <c r="BB194">
        <v>0.1607142857142857</v>
      </c>
      <c r="BC194">
        <v>0</v>
      </c>
      <c r="BD194">
        <v>5.9730290962922723</v>
      </c>
      <c r="BE194">
        <v>14</v>
      </c>
      <c r="BF194">
        <v>179.6799083471451</v>
      </c>
      <c r="BG194">
        <v>1</v>
      </c>
      <c r="BH194">
        <v>7.7916335380980528E-2</v>
      </c>
      <c r="BI194">
        <v>3.952105</v>
      </c>
      <c r="BJ194">
        <v>3.952105</v>
      </c>
      <c r="BK194">
        <v>11.503833</v>
      </c>
      <c r="BL194">
        <v>170.44069823999999</v>
      </c>
      <c r="BM194">
        <v>1</v>
      </c>
      <c r="BN194">
        <v>8.2140006140355049E-2</v>
      </c>
      <c r="BO194">
        <v>3.9079999999999999</v>
      </c>
      <c r="BP194">
        <v>3.9079999999999999</v>
      </c>
      <c r="BQ194">
        <v>11.16</v>
      </c>
      <c r="BR194">
        <v>0</v>
      </c>
      <c r="BS194">
        <v>0</v>
      </c>
      <c r="BU194">
        <v>0</v>
      </c>
      <c r="BV194">
        <v>0</v>
      </c>
      <c r="BW194">
        <v>0</v>
      </c>
      <c r="BX194">
        <v>170.560344625</v>
      </c>
      <c r="BY194">
        <v>8.2082385743186062E-2</v>
      </c>
      <c r="BZ194">
        <v>7</v>
      </c>
      <c r="CA194">
        <v>4.1041192871593031E-2</v>
      </c>
      <c r="CB194">
        <v>3.8958167690490257E-2</v>
      </c>
      <c r="CC194">
        <v>4.1070003070177517E-2</v>
      </c>
      <c r="CE194">
        <v>0.5243291310951993</v>
      </c>
      <c r="CF194">
        <v>0.55275184384813547</v>
      </c>
      <c r="CH194">
        <v>0.5523640939285166</v>
      </c>
    </row>
    <row r="195" spans="1:86" x14ac:dyDescent="0.3">
      <c r="A195" s="1">
        <v>72</v>
      </c>
      <c r="B195" t="s">
        <v>252</v>
      </c>
      <c r="C195" t="s">
        <v>253</v>
      </c>
      <c r="F195">
        <v>3.02</v>
      </c>
      <c r="G195">
        <v>-1</v>
      </c>
      <c r="H195">
        <v>-1</v>
      </c>
      <c r="I195" t="s">
        <v>254</v>
      </c>
      <c r="Q195" t="s">
        <v>87</v>
      </c>
      <c r="R195">
        <v>1373</v>
      </c>
      <c r="S195">
        <v>48</v>
      </c>
      <c r="T195" t="b">
        <v>0</v>
      </c>
      <c r="U195" t="s">
        <v>172</v>
      </c>
      <c r="V195" t="s">
        <v>126</v>
      </c>
      <c r="W195">
        <v>0.1</v>
      </c>
      <c r="Y195">
        <v>1.5</v>
      </c>
      <c r="Z195">
        <v>15</v>
      </c>
      <c r="AC195" t="s">
        <v>165</v>
      </c>
      <c r="AD195">
        <v>450</v>
      </c>
      <c r="AE195">
        <v>400</v>
      </c>
      <c r="AF195" t="s">
        <v>91</v>
      </c>
      <c r="AH195" s="3">
        <v>37.33</v>
      </c>
      <c r="AI195" s="3">
        <f>AH195/(AD195*Y195*Z195)</f>
        <v>3.6869135802469134E-3</v>
      </c>
      <c r="AJ195" s="3">
        <f t="shared" ref="AJ195:AJ219" si="3">LN(AI195)</f>
        <v>-5.6029655990482476</v>
      </c>
      <c r="AN195" t="b">
        <v>1</v>
      </c>
      <c r="AO195" t="b">
        <v>1</v>
      </c>
      <c r="AP195" t="b">
        <v>0</v>
      </c>
      <c r="AQ195" t="b">
        <v>0</v>
      </c>
      <c r="AR195" t="s">
        <v>108</v>
      </c>
      <c r="AS195" t="s">
        <v>109</v>
      </c>
      <c r="AU195">
        <v>4.6051701859880918</v>
      </c>
      <c r="AV195">
        <v>1.75</v>
      </c>
      <c r="AW195">
        <v>2.5</v>
      </c>
      <c r="AX195">
        <v>0.75</v>
      </c>
      <c r="AY195">
        <v>0</v>
      </c>
      <c r="AZ195">
        <v>0.35</v>
      </c>
      <c r="BA195">
        <v>0.5</v>
      </c>
      <c r="BB195">
        <v>0.15</v>
      </c>
      <c r="BC195">
        <v>0</v>
      </c>
      <c r="BD195">
        <v>5.9668120809374994</v>
      </c>
      <c r="BE195">
        <v>20</v>
      </c>
      <c r="BF195">
        <v>924.74694800021894</v>
      </c>
      <c r="BG195">
        <v>4</v>
      </c>
      <c r="BH195">
        <v>8.6510153045653584E-2</v>
      </c>
      <c r="BI195">
        <v>7.8084429999999996</v>
      </c>
      <c r="BJ195">
        <v>7.8548809999999998</v>
      </c>
      <c r="BK195">
        <v>15.19056011</v>
      </c>
      <c r="BL195">
        <v>883.22940750240002</v>
      </c>
      <c r="BM195">
        <v>4</v>
      </c>
      <c r="BN195">
        <v>9.0576694254581439E-2</v>
      </c>
      <c r="BO195">
        <v>3.8801999999999999</v>
      </c>
      <c r="BP195">
        <v>29.507999999999999</v>
      </c>
      <c r="BQ195">
        <v>7.7140000000000004</v>
      </c>
      <c r="BR195">
        <v>0</v>
      </c>
      <c r="BS195">
        <v>0</v>
      </c>
      <c r="BU195">
        <v>0</v>
      </c>
      <c r="BV195">
        <v>0</v>
      </c>
      <c r="BW195">
        <v>0</v>
      </c>
      <c r="BX195">
        <v>1759.3125835139999</v>
      </c>
      <c r="BY195">
        <v>9.0944611832662864E-2</v>
      </c>
      <c r="BZ195">
        <v>10</v>
      </c>
      <c r="CA195">
        <v>4.5472305916331432E-2</v>
      </c>
      <c r="CB195">
        <v>4.3255076522826792E-2</v>
      </c>
      <c r="CC195">
        <v>4.5288347127290719E-2</v>
      </c>
      <c r="CE195">
        <v>0.50555206026575006</v>
      </c>
      <c r="CF195">
        <v>0.52931630311992839</v>
      </c>
      <c r="CH195">
        <v>0.53146635699289846</v>
      </c>
    </row>
    <row r="196" spans="1:86" x14ac:dyDescent="0.3">
      <c r="A196" s="1">
        <v>10</v>
      </c>
      <c r="B196" t="s">
        <v>92</v>
      </c>
      <c r="C196" t="s">
        <v>93</v>
      </c>
      <c r="E196" t="s">
        <v>94</v>
      </c>
      <c r="F196">
        <v>3.2</v>
      </c>
      <c r="G196" t="s">
        <v>95</v>
      </c>
      <c r="H196" t="s">
        <v>96</v>
      </c>
      <c r="I196">
        <v>-1</v>
      </c>
      <c r="J196">
        <v>8</v>
      </c>
      <c r="K196">
        <v>7.806</v>
      </c>
      <c r="L196">
        <v>7.6680000000000001</v>
      </c>
      <c r="M196">
        <v>21.54</v>
      </c>
      <c r="N196" t="s">
        <v>97</v>
      </c>
      <c r="O196">
        <v>10.77</v>
      </c>
      <c r="P196">
        <v>2</v>
      </c>
      <c r="Q196" t="s">
        <v>87</v>
      </c>
      <c r="R196">
        <v>1473</v>
      </c>
      <c r="S196">
        <v>48</v>
      </c>
      <c r="T196" t="b">
        <v>0</v>
      </c>
      <c r="U196" t="s">
        <v>125</v>
      </c>
      <c r="V196" t="s">
        <v>126</v>
      </c>
      <c r="W196">
        <v>0.1</v>
      </c>
      <c r="Y196">
        <v>2.85</v>
      </c>
      <c r="Z196">
        <v>14.3</v>
      </c>
      <c r="AC196" t="s">
        <v>90</v>
      </c>
      <c r="AD196">
        <v>450</v>
      </c>
      <c r="AF196" t="s">
        <v>91</v>
      </c>
      <c r="AH196" s="3">
        <v>54</v>
      </c>
      <c r="AI196" s="3">
        <f>AH196/(AD196*Y196*Z196)</f>
        <v>2.944423997055576E-3</v>
      </c>
      <c r="AJ196" s="3">
        <f t="shared" si="3"/>
        <v>-5.8278420677465119</v>
      </c>
      <c r="AN196" t="b">
        <v>1</v>
      </c>
      <c r="AO196" t="b">
        <v>1</v>
      </c>
      <c r="AP196" t="b">
        <v>0</v>
      </c>
      <c r="AQ196" t="b">
        <v>0</v>
      </c>
      <c r="AR196" t="s">
        <v>113</v>
      </c>
      <c r="AS196" t="s">
        <v>114</v>
      </c>
      <c r="AU196">
        <v>3.2580965380214821</v>
      </c>
      <c r="AV196">
        <v>1.75</v>
      </c>
      <c r="AW196">
        <v>2.5</v>
      </c>
      <c r="AX196">
        <v>0.75</v>
      </c>
      <c r="AY196">
        <v>0</v>
      </c>
      <c r="AZ196">
        <v>0.35</v>
      </c>
      <c r="BA196">
        <v>0.5</v>
      </c>
      <c r="BB196">
        <v>0.15</v>
      </c>
      <c r="BC196">
        <v>0</v>
      </c>
      <c r="BD196">
        <v>5.9612158762499998</v>
      </c>
      <c r="BE196">
        <v>20</v>
      </c>
      <c r="BF196">
        <v>240.40623599981481</v>
      </c>
      <c r="BG196">
        <v>1</v>
      </c>
      <c r="BH196">
        <v>8.3192517518619641E-2</v>
      </c>
      <c r="BI196">
        <v>3.9661010000000001</v>
      </c>
      <c r="BJ196">
        <v>3.9661010000000001</v>
      </c>
      <c r="BK196">
        <v>15.283337</v>
      </c>
      <c r="BL196">
        <v>222.00958249733301</v>
      </c>
      <c r="BM196">
        <v>1</v>
      </c>
      <c r="BN196">
        <v>9.0086201573034624E-2</v>
      </c>
      <c r="BO196">
        <v>3.8586499999999999</v>
      </c>
      <c r="BP196">
        <v>3.8586499999999999</v>
      </c>
      <c r="BQ196">
        <v>14.9108</v>
      </c>
      <c r="BR196">
        <v>0</v>
      </c>
      <c r="BS196">
        <v>0</v>
      </c>
      <c r="BU196">
        <v>0</v>
      </c>
      <c r="BV196">
        <v>0</v>
      </c>
      <c r="BW196">
        <v>0</v>
      </c>
      <c r="BX196">
        <v>889.70389312500004</v>
      </c>
      <c r="BY196">
        <v>8.9917556411951427E-2</v>
      </c>
      <c r="BZ196">
        <v>10</v>
      </c>
      <c r="CA196">
        <v>4.4958778205975707E-2</v>
      </c>
      <c r="CB196">
        <v>4.159625875930982E-2</v>
      </c>
      <c r="CC196">
        <v>4.5043100786517312E-2</v>
      </c>
      <c r="CE196">
        <v>0.50467688585120685</v>
      </c>
      <c r="CF196">
        <v>0.54649654829675809</v>
      </c>
      <c r="CH196">
        <v>0.54547348375624471</v>
      </c>
    </row>
    <row r="197" spans="1:86" x14ac:dyDescent="0.3">
      <c r="A197" s="1">
        <v>174</v>
      </c>
      <c r="B197" t="s">
        <v>468</v>
      </c>
      <c r="C197" t="s">
        <v>469</v>
      </c>
      <c r="F197">
        <v>3.3</v>
      </c>
      <c r="G197">
        <v>-1</v>
      </c>
      <c r="H197" t="s">
        <v>470</v>
      </c>
      <c r="I197">
        <v>-1</v>
      </c>
      <c r="J197">
        <v>2</v>
      </c>
      <c r="K197">
        <v>3.8917999999999999</v>
      </c>
      <c r="L197">
        <v>3.8820000000000001</v>
      </c>
      <c r="M197">
        <v>36.127000000000002</v>
      </c>
      <c r="N197" t="s">
        <v>471</v>
      </c>
      <c r="O197">
        <v>18.063500000000001</v>
      </c>
      <c r="P197">
        <v>4</v>
      </c>
      <c r="Q197" t="s">
        <v>87</v>
      </c>
      <c r="R197">
        <v>1373</v>
      </c>
      <c r="S197">
        <v>10</v>
      </c>
      <c r="T197" t="b">
        <v>0</v>
      </c>
      <c r="U197" t="s">
        <v>172</v>
      </c>
      <c r="V197" t="s">
        <v>126</v>
      </c>
      <c r="W197">
        <v>1</v>
      </c>
      <c r="X197">
        <v>0.36</v>
      </c>
      <c r="Y197">
        <v>2</v>
      </c>
      <c r="Z197">
        <v>20</v>
      </c>
      <c r="AC197" t="s">
        <v>165</v>
      </c>
      <c r="AD197">
        <v>1000</v>
      </c>
      <c r="AE197">
        <v>300</v>
      </c>
      <c r="AF197" t="s">
        <v>91</v>
      </c>
      <c r="AH197" s="3">
        <v>113</v>
      </c>
      <c r="AI197" s="3">
        <f>AH197/(AD197*Y197*Z197)</f>
        <v>2.8249999999999998E-3</v>
      </c>
      <c r="AJ197" s="3">
        <f t="shared" si="3"/>
        <v>-5.8692469143837327</v>
      </c>
      <c r="AN197" t="b">
        <v>1</v>
      </c>
      <c r="AO197" t="b">
        <v>1</v>
      </c>
      <c r="AP197" t="b">
        <v>0</v>
      </c>
      <c r="AQ197" t="b">
        <v>0</v>
      </c>
      <c r="AR197" t="s">
        <v>118</v>
      </c>
      <c r="AS197" t="s">
        <v>119</v>
      </c>
      <c r="AU197">
        <v>2.3025850929940459</v>
      </c>
      <c r="AV197">
        <v>1.75</v>
      </c>
      <c r="AW197">
        <v>2.5</v>
      </c>
      <c r="AX197">
        <v>0.75</v>
      </c>
      <c r="AY197">
        <v>0</v>
      </c>
      <c r="AZ197">
        <v>0.35</v>
      </c>
      <c r="BA197">
        <v>0.5</v>
      </c>
      <c r="BB197">
        <v>0.15</v>
      </c>
      <c r="BC197">
        <v>0</v>
      </c>
      <c r="BD197">
        <v>5.9519177436071873</v>
      </c>
      <c r="BE197">
        <v>20</v>
      </c>
      <c r="BF197">
        <v>1902.4394671889761</v>
      </c>
      <c r="BG197">
        <v>8</v>
      </c>
      <c r="BH197">
        <v>8.4102544527429435E-2</v>
      </c>
      <c r="BI197">
        <v>7.8252249999999997</v>
      </c>
      <c r="BJ197">
        <v>7.8345229999999999</v>
      </c>
      <c r="BK197">
        <v>31.031406</v>
      </c>
      <c r="BL197">
        <v>1809.7126974</v>
      </c>
      <c r="BM197">
        <v>8</v>
      </c>
      <c r="BN197">
        <v>8.8411823727529093E-2</v>
      </c>
      <c r="BO197">
        <v>30.184999999999999</v>
      </c>
      <c r="BP197">
        <v>7.74</v>
      </c>
      <c r="BQ197">
        <v>7.7460000000000004</v>
      </c>
      <c r="BR197">
        <v>0</v>
      </c>
      <c r="BS197">
        <v>0</v>
      </c>
      <c r="BU197">
        <v>0</v>
      </c>
      <c r="BV197">
        <v>0</v>
      </c>
      <c r="BW197">
        <v>0</v>
      </c>
      <c r="BX197">
        <v>1801.704219104</v>
      </c>
      <c r="BY197">
        <v>2.2201202381538668E-2</v>
      </c>
      <c r="BZ197">
        <v>10</v>
      </c>
      <c r="CA197">
        <v>1.1100601190769339E-2</v>
      </c>
      <c r="CB197">
        <v>4.2051272263714717E-2</v>
      </c>
      <c r="CC197">
        <v>4.4205911863764553E-2</v>
      </c>
      <c r="CE197">
        <v>0.53407279423354248</v>
      </c>
      <c r="CF197">
        <v>0.56143782577285706</v>
      </c>
      <c r="CH197">
        <v>0.14098334667372209</v>
      </c>
    </row>
    <row r="198" spans="1:86" x14ac:dyDescent="0.3">
      <c r="A198" s="1">
        <v>178</v>
      </c>
      <c r="B198" t="s">
        <v>472</v>
      </c>
      <c r="C198" t="s">
        <v>473</v>
      </c>
      <c r="F198">
        <v>3</v>
      </c>
      <c r="G198" t="s">
        <v>474</v>
      </c>
      <c r="H198" t="s">
        <v>475</v>
      </c>
      <c r="I198">
        <v>-1</v>
      </c>
      <c r="Q198" t="s">
        <v>87</v>
      </c>
      <c r="R198">
        <v>1123</v>
      </c>
      <c r="S198">
        <v>10</v>
      </c>
      <c r="T198" t="b">
        <v>0</v>
      </c>
      <c r="U198" t="s">
        <v>125</v>
      </c>
      <c r="V198" t="s">
        <v>126</v>
      </c>
      <c r="W198">
        <v>1</v>
      </c>
      <c r="Y198">
        <v>2.7</v>
      </c>
      <c r="Z198">
        <v>5.4</v>
      </c>
      <c r="AC198" t="s">
        <v>90</v>
      </c>
      <c r="AD198">
        <v>450</v>
      </c>
      <c r="AE198">
        <v>300</v>
      </c>
      <c r="AF198" t="s">
        <v>407</v>
      </c>
      <c r="AH198" s="3">
        <v>18</v>
      </c>
      <c r="AI198" s="3">
        <f>AH198/(AD198*Y198*Z198)</f>
        <v>2.7434842249657062E-3</v>
      </c>
      <c r="AJ198" s="3">
        <f t="shared" si="3"/>
        <v>-5.8985265514487129</v>
      </c>
      <c r="AK198" t="s">
        <v>123</v>
      </c>
      <c r="AN198" t="b">
        <v>1</v>
      </c>
      <c r="AO198" t="b">
        <v>0</v>
      </c>
      <c r="AP198" t="b">
        <v>0</v>
      </c>
      <c r="AQ198" t="b">
        <v>0</v>
      </c>
      <c r="AR198" t="s">
        <v>127</v>
      </c>
      <c r="AS198">
        <v>-1</v>
      </c>
      <c r="AU198">
        <v>4.7004803657924166</v>
      </c>
      <c r="AV198">
        <v>1.75</v>
      </c>
      <c r="AW198">
        <v>2.5</v>
      </c>
      <c r="AX198">
        <v>0.75</v>
      </c>
      <c r="AY198">
        <v>0</v>
      </c>
      <c r="AZ198">
        <v>0.35</v>
      </c>
      <c r="BA198">
        <v>0.5</v>
      </c>
      <c r="BB198">
        <v>0.15</v>
      </c>
      <c r="BC198">
        <v>0</v>
      </c>
      <c r="BD198">
        <v>5.9423887671875004</v>
      </c>
      <c r="BE198">
        <v>20</v>
      </c>
      <c r="BF198">
        <v>924.74694800021894</v>
      </c>
      <c r="BG198">
        <v>4</v>
      </c>
      <c r="BH198">
        <v>8.6510153045653584E-2</v>
      </c>
      <c r="BI198">
        <v>7.8084429999999996</v>
      </c>
      <c r="BJ198">
        <v>7.8548809999999998</v>
      </c>
      <c r="BK198">
        <v>15.19056011</v>
      </c>
      <c r="BL198">
        <v>0</v>
      </c>
      <c r="BM198">
        <v>0</v>
      </c>
      <c r="BO198">
        <v>0</v>
      </c>
      <c r="BR198">
        <v>0</v>
      </c>
      <c r="BS198">
        <v>0</v>
      </c>
      <c r="BU198">
        <v>0</v>
      </c>
      <c r="BV198">
        <v>0</v>
      </c>
      <c r="BW198">
        <v>0</v>
      </c>
      <c r="BX198">
        <v>919.39894655000012</v>
      </c>
      <c r="BY198">
        <v>8.7013369223660861E-2</v>
      </c>
      <c r="BZ198">
        <v>10</v>
      </c>
      <c r="CA198">
        <v>4.350668461183043E-2</v>
      </c>
      <c r="CB198">
        <v>4.3255076522826792E-2</v>
      </c>
      <c r="CE198">
        <v>0.53520952659835619</v>
      </c>
      <c r="CH198">
        <v>0.5383227576229942</v>
      </c>
    </row>
    <row r="199" spans="1:86" x14ac:dyDescent="0.3">
      <c r="A199" s="1">
        <v>12</v>
      </c>
      <c r="B199" t="s">
        <v>102</v>
      </c>
      <c r="C199" t="s">
        <v>103</v>
      </c>
      <c r="E199" t="s">
        <v>94</v>
      </c>
      <c r="F199">
        <v>3.3</v>
      </c>
      <c r="G199" t="s">
        <v>104</v>
      </c>
      <c r="H199" t="s">
        <v>105</v>
      </c>
      <c r="I199">
        <v>-1</v>
      </c>
      <c r="J199">
        <v>1</v>
      </c>
      <c r="K199">
        <v>3.9049999999999998</v>
      </c>
      <c r="L199">
        <v>3.9049999999999998</v>
      </c>
      <c r="M199">
        <v>11.185</v>
      </c>
      <c r="N199" t="s">
        <v>101</v>
      </c>
      <c r="O199">
        <v>11.185</v>
      </c>
      <c r="P199">
        <v>2</v>
      </c>
      <c r="Q199" t="s">
        <v>87</v>
      </c>
      <c r="R199">
        <v>1473</v>
      </c>
      <c r="S199">
        <v>48</v>
      </c>
      <c r="T199" t="b">
        <v>0</v>
      </c>
      <c r="U199" t="s">
        <v>125</v>
      </c>
      <c r="V199" t="s">
        <v>126</v>
      </c>
      <c r="W199">
        <v>0.1</v>
      </c>
      <c r="Y199">
        <v>2.85</v>
      </c>
      <c r="Z199">
        <v>14.3</v>
      </c>
      <c r="AC199" t="s">
        <v>90</v>
      </c>
      <c r="AD199">
        <v>450</v>
      </c>
      <c r="AF199" t="s">
        <v>91</v>
      </c>
      <c r="AH199" s="3">
        <v>28</v>
      </c>
      <c r="AI199" s="3">
        <f>AH199/(AD199*Y199*Z199)</f>
        <v>1.526738368843632E-3</v>
      </c>
      <c r="AJ199" s="3">
        <f t="shared" si="3"/>
        <v>-6.4846216041355822</v>
      </c>
      <c r="AN199" t="b">
        <v>1</v>
      </c>
      <c r="AO199" t="b">
        <v>0</v>
      </c>
      <c r="AP199" t="b">
        <v>0</v>
      </c>
      <c r="AQ199" t="b">
        <v>0</v>
      </c>
      <c r="AR199" t="s">
        <v>131</v>
      </c>
      <c r="AS199" t="s">
        <v>132</v>
      </c>
      <c r="AU199">
        <v>8.9092352791922611</v>
      </c>
      <c r="AV199">
        <v>2</v>
      </c>
      <c r="AW199">
        <v>2.666666666666667</v>
      </c>
      <c r="AX199">
        <v>0.66666666666666663</v>
      </c>
      <c r="AY199">
        <v>0</v>
      </c>
      <c r="AZ199">
        <v>0.375</v>
      </c>
      <c r="BA199">
        <v>0.5</v>
      </c>
      <c r="BB199">
        <v>0.125</v>
      </c>
      <c r="BC199">
        <v>0</v>
      </c>
      <c r="BD199">
        <v>6.1770001596666662</v>
      </c>
      <c r="BE199">
        <v>4</v>
      </c>
      <c r="BF199">
        <v>1182.741260108548</v>
      </c>
      <c r="BG199">
        <v>30</v>
      </c>
      <c r="BH199">
        <v>0.1014592151701775</v>
      </c>
      <c r="BI199">
        <v>10.59112378</v>
      </c>
      <c r="BJ199">
        <v>10.784736629999999</v>
      </c>
      <c r="BK199">
        <v>10.486176179999999</v>
      </c>
      <c r="BL199">
        <v>130.36387300000001</v>
      </c>
      <c r="BM199">
        <v>4</v>
      </c>
      <c r="BN199">
        <v>0.1227333894874388</v>
      </c>
      <c r="BO199">
        <v>3.73</v>
      </c>
      <c r="BP199">
        <v>3.73</v>
      </c>
      <c r="BQ199">
        <v>9.3699999999999992</v>
      </c>
      <c r="BR199">
        <v>0</v>
      </c>
      <c r="BS199">
        <v>0</v>
      </c>
      <c r="BU199">
        <v>0</v>
      </c>
      <c r="BV199">
        <v>0</v>
      </c>
      <c r="BW199">
        <v>0</v>
      </c>
      <c r="BZ199">
        <v>2</v>
      </c>
      <c r="CB199">
        <v>5.0729607585088737E-2</v>
      </c>
      <c r="CC199">
        <v>6.1366694743719377E-2</v>
      </c>
      <c r="CE199">
        <v>0.46900407026869612</v>
      </c>
      <c r="CF199">
        <v>0.56734579634715776</v>
      </c>
    </row>
    <row r="200" spans="1:86" x14ac:dyDescent="0.3">
      <c r="A200" s="1">
        <v>61</v>
      </c>
      <c r="B200" t="s">
        <v>225</v>
      </c>
      <c r="C200" t="s">
        <v>226</v>
      </c>
      <c r="F200">
        <v>2.74</v>
      </c>
      <c r="G200" t="s">
        <v>220</v>
      </c>
      <c r="H200" t="s">
        <v>221</v>
      </c>
      <c r="I200">
        <v>-1</v>
      </c>
      <c r="Q200" t="s">
        <v>87</v>
      </c>
      <c r="R200">
        <v>1323</v>
      </c>
      <c r="S200">
        <v>24</v>
      </c>
      <c r="T200" t="b">
        <v>0</v>
      </c>
      <c r="U200" t="s">
        <v>125</v>
      </c>
      <c r="V200" t="s">
        <v>126</v>
      </c>
      <c r="W200">
        <v>0.1</v>
      </c>
      <c r="Y200">
        <v>1.5</v>
      </c>
      <c r="Z200">
        <v>15</v>
      </c>
      <c r="AC200" t="s">
        <v>165</v>
      </c>
      <c r="AD200">
        <v>450</v>
      </c>
      <c r="AE200">
        <v>420</v>
      </c>
      <c r="AF200" t="s">
        <v>91</v>
      </c>
      <c r="AH200" s="3">
        <v>15.3</v>
      </c>
      <c r="AI200" s="3">
        <f>AH200/(AD200*Y200*Z200)</f>
        <v>1.5111111111111111E-3</v>
      </c>
      <c r="AJ200" s="3">
        <f t="shared" si="3"/>
        <v>-6.4949100635763504</v>
      </c>
      <c r="AK200" t="s">
        <v>136</v>
      </c>
      <c r="AN200" t="b">
        <v>1</v>
      </c>
      <c r="AO200" t="b">
        <v>0</v>
      </c>
      <c r="AP200" t="b">
        <v>0</v>
      </c>
      <c r="AQ200" t="b">
        <v>0</v>
      </c>
      <c r="AR200" t="s">
        <v>156</v>
      </c>
      <c r="AU200">
        <v>6.6066501861982152</v>
      </c>
      <c r="AV200">
        <v>1.62962962962963</v>
      </c>
      <c r="AW200">
        <v>2.518518518518519</v>
      </c>
      <c r="AX200">
        <v>0.88888888888888884</v>
      </c>
      <c r="AY200">
        <v>0</v>
      </c>
      <c r="AZ200">
        <v>0.32352941176470579</v>
      </c>
      <c r="BA200">
        <v>0.5</v>
      </c>
      <c r="BB200">
        <v>0.1764705882352941</v>
      </c>
      <c r="BC200">
        <v>0</v>
      </c>
      <c r="BD200">
        <v>6.6632206815149626</v>
      </c>
      <c r="BE200">
        <v>34</v>
      </c>
      <c r="BF200">
        <v>1767.0449718798691</v>
      </c>
      <c r="BG200">
        <v>4</v>
      </c>
      <c r="BH200">
        <v>7.6964651247849417E-2</v>
      </c>
      <c r="BI200">
        <v>6.6040679999999998</v>
      </c>
      <c r="BJ200">
        <v>7.9389519999999996</v>
      </c>
      <c r="BK200">
        <v>33.703336</v>
      </c>
      <c r="BL200">
        <v>0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U200">
        <v>0</v>
      </c>
      <c r="BV200">
        <v>0</v>
      </c>
      <c r="BW200">
        <v>0</v>
      </c>
      <c r="BZ200">
        <v>17</v>
      </c>
      <c r="CB200">
        <v>3.8482325623924708E-2</v>
      </c>
      <c r="CE200">
        <v>0.34944796725202643</v>
      </c>
    </row>
    <row r="201" spans="1:86" x14ac:dyDescent="0.3">
      <c r="A201" s="1">
        <v>14</v>
      </c>
      <c r="B201" t="s">
        <v>111</v>
      </c>
      <c r="C201" t="s">
        <v>112</v>
      </c>
      <c r="E201" t="s">
        <v>106</v>
      </c>
      <c r="F201">
        <v>3.5</v>
      </c>
      <c r="G201" t="s">
        <v>113</v>
      </c>
      <c r="H201" t="s">
        <v>114</v>
      </c>
      <c r="I201">
        <v>-1</v>
      </c>
      <c r="J201">
        <v>4</v>
      </c>
      <c r="K201">
        <v>7.7249999999999996</v>
      </c>
      <c r="L201">
        <v>7.7249999999999996</v>
      </c>
      <c r="M201">
        <v>14.909000000000001</v>
      </c>
      <c r="N201" t="s">
        <v>115</v>
      </c>
      <c r="O201">
        <v>14.909000000000001</v>
      </c>
      <c r="P201">
        <v>3</v>
      </c>
      <c r="Q201" t="s">
        <v>87</v>
      </c>
      <c r="R201">
        <v>1473</v>
      </c>
      <c r="S201">
        <v>48</v>
      </c>
      <c r="T201" t="b">
        <v>0</v>
      </c>
      <c r="U201" t="s">
        <v>125</v>
      </c>
      <c r="V201" t="s">
        <v>126</v>
      </c>
      <c r="W201">
        <v>0.1</v>
      </c>
      <c r="Y201">
        <v>2.85</v>
      </c>
      <c r="Z201">
        <v>14.3</v>
      </c>
      <c r="AC201" t="s">
        <v>90</v>
      </c>
      <c r="AD201">
        <v>450</v>
      </c>
      <c r="AF201" t="s">
        <v>91</v>
      </c>
      <c r="AH201" s="3">
        <v>26</v>
      </c>
      <c r="AI201" s="3">
        <f>AH201/(AD201*Y201*Z201)</f>
        <v>1.417685628211944E-3</v>
      </c>
      <c r="AJ201" s="3">
        <f t="shared" si="3"/>
        <v>-6.5587295762893039</v>
      </c>
      <c r="AN201" t="b">
        <v>1</v>
      </c>
      <c r="AO201" t="b">
        <v>0</v>
      </c>
      <c r="AP201" t="b">
        <v>0</v>
      </c>
      <c r="AQ201" t="b">
        <v>0</v>
      </c>
      <c r="AR201" t="s">
        <v>139</v>
      </c>
      <c r="AU201">
        <v>8.2427563457144775</v>
      </c>
      <c r="AV201">
        <v>1.7272727272727271</v>
      </c>
      <c r="AW201">
        <v>2.545454545454545</v>
      </c>
      <c r="AX201">
        <v>0.81818181818181823</v>
      </c>
      <c r="AY201">
        <v>0</v>
      </c>
      <c r="AZ201">
        <v>0.3392857142857143</v>
      </c>
      <c r="BA201">
        <v>0.5</v>
      </c>
      <c r="BB201">
        <v>0.1607142857142857</v>
      </c>
      <c r="BC201">
        <v>0</v>
      </c>
      <c r="BD201">
        <v>6.4269893564864544</v>
      </c>
      <c r="BE201">
        <v>14</v>
      </c>
      <c r="BF201">
        <v>165.66723991337099</v>
      </c>
      <c r="BG201">
        <v>1</v>
      </c>
      <c r="BH201">
        <v>8.4506749839743392E-2</v>
      </c>
      <c r="BI201">
        <v>3.9263319999999999</v>
      </c>
      <c r="BJ201">
        <v>3.9263319999999999</v>
      </c>
      <c r="BK201">
        <v>10.74639</v>
      </c>
      <c r="BL201">
        <v>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U201">
        <v>0</v>
      </c>
      <c r="BV201">
        <v>0</v>
      </c>
      <c r="BW201">
        <v>0</v>
      </c>
      <c r="BX201">
        <v>1289.30702832</v>
      </c>
      <c r="BY201">
        <v>8.6868370015743157E-2</v>
      </c>
      <c r="BZ201">
        <v>7</v>
      </c>
      <c r="CA201">
        <v>4.3434185007871579E-2</v>
      </c>
      <c r="CB201">
        <v>4.2253374919871703E-2</v>
      </c>
      <c r="CE201">
        <v>0.41874907041247761</v>
      </c>
      <c r="CH201">
        <v>0.43045140490342221</v>
      </c>
    </row>
    <row r="202" spans="1:86" x14ac:dyDescent="0.3">
      <c r="A202" s="1">
        <v>184</v>
      </c>
      <c r="B202" t="s">
        <v>492</v>
      </c>
      <c r="C202" t="s">
        <v>493</v>
      </c>
      <c r="F202">
        <v>3.3</v>
      </c>
      <c r="G202" t="s">
        <v>494</v>
      </c>
      <c r="H202" t="s">
        <v>495</v>
      </c>
      <c r="I202">
        <v>-1</v>
      </c>
      <c r="Q202" t="s">
        <v>87</v>
      </c>
      <c r="R202">
        <v>1323</v>
      </c>
      <c r="S202">
        <v>10</v>
      </c>
      <c r="T202" t="b">
        <v>0</v>
      </c>
      <c r="U202" t="s">
        <v>125</v>
      </c>
      <c r="V202" t="s">
        <v>126</v>
      </c>
      <c r="W202">
        <v>1</v>
      </c>
      <c r="Y202">
        <v>2.7</v>
      </c>
      <c r="Z202">
        <v>5.4</v>
      </c>
      <c r="AC202" t="s">
        <v>90</v>
      </c>
      <c r="AD202">
        <v>450</v>
      </c>
      <c r="AE202">
        <v>300</v>
      </c>
      <c r="AF202" t="s">
        <v>407</v>
      </c>
      <c r="AH202" s="3">
        <v>8.1999999999999993</v>
      </c>
      <c r="AI202" s="3">
        <f>AH202/(AD202*Y202*Z202)</f>
        <v>1.2498094802621551E-3</v>
      </c>
      <c r="AJ202" s="3">
        <f t="shared" si="3"/>
        <v>-6.6847641550746699</v>
      </c>
      <c r="AN202" t="b">
        <v>1</v>
      </c>
      <c r="AO202" t="b">
        <v>0</v>
      </c>
      <c r="AP202" t="b">
        <v>0</v>
      </c>
      <c r="AQ202" t="b">
        <v>0</v>
      </c>
      <c r="AR202" t="s">
        <v>139</v>
      </c>
      <c r="AU202">
        <v>7.8632667240095726</v>
      </c>
      <c r="AV202">
        <v>1.7272727272727271</v>
      </c>
      <c r="AW202">
        <v>2.545454545454545</v>
      </c>
      <c r="AX202">
        <v>0.81818181818181823</v>
      </c>
      <c r="AY202">
        <v>0</v>
      </c>
      <c r="AZ202">
        <v>0.3392857142857143</v>
      </c>
      <c r="BA202">
        <v>0.5</v>
      </c>
      <c r="BB202">
        <v>0.1607142857142857</v>
      </c>
      <c r="BC202">
        <v>0</v>
      </c>
      <c r="BD202">
        <v>6.4269893564864544</v>
      </c>
      <c r="BE202">
        <v>14</v>
      </c>
      <c r="BF202">
        <v>165.66723991337099</v>
      </c>
      <c r="BG202">
        <v>1</v>
      </c>
      <c r="BH202">
        <v>8.4506749839743392E-2</v>
      </c>
      <c r="BI202">
        <v>3.9263319999999999</v>
      </c>
      <c r="BJ202">
        <v>3.9263319999999999</v>
      </c>
      <c r="BK202">
        <v>10.74639</v>
      </c>
      <c r="BL202">
        <v>0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U202">
        <v>0</v>
      </c>
      <c r="BV202">
        <v>0</v>
      </c>
      <c r="BW202">
        <v>0</v>
      </c>
      <c r="BX202">
        <v>165.859449525</v>
      </c>
      <c r="BY202">
        <v>8.4408817466199174E-2</v>
      </c>
      <c r="BZ202">
        <v>7</v>
      </c>
      <c r="CA202">
        <v>4.2204408733099587E-2</v>
      </c>
      <c r="CB202">
        <v>4.2253374919871703E-2</v>
      </c>
      <c r="CE202">
        <v>0.41874907041247761</v>
      </c>
      <c r="CH202">
        <v>0.41826379449708978</v>
      </c>
    </row>
    <row r="203" spans="1:86" x14ac:dyDescent="0.3">
      <c r="A203" s="1">
        <v>60</v>
      </c>
      <c r="B203" t="s">
        <v>218</v>
      </c>
      <c r="C203" t="s">
        <v>219</v>
      </c>
      <c r="F203">
        <v>2.74</v>
      </c>
      <c r="G203" t="s">
        <v>220</v>
      </c>
      <c r="H203" t="s">
        <v>221</v>
      </c>
      <c r="I203">
        <v>-1</v>
      </c>
      <c r="Q203" t="s">
        <v>87</v>
      </c>
      <c r="R203">
        <v>1323</v>
      </c>
      <c r="S203">
        <v>24</v>
      </c>
      <c r="T203" t="b">
        <v>0</v>
      </c>
      <c r="U203" t="s">
        <v>125</v>
      </c>
      <c r="V203" t="s">
        <v>126</v>
      </c>
      <c r="W203">
        <v>0.1</v>
      </c>
      <c r="Y203">
        <v>1.5</v>
      </c>
      <c r="Z203">
        <v>15</v>
      </c>
      <c r="AC203" t="s">
        <v>165</v>
      </c>
      <c r="AD203">
        <v>450</v>
      </c>
      <c r="AE203">
        <v>420</v>
      </c>
      <c r="AF203" t="s">
        <v>91</v>
      </c>
      <c r="AH203" s="3">
        <v>11.7</v>
      </c>
      <c r="AI203" s="3">
        <f>AH203/(AD203*Y203*Z203)</f>
        <v>1.1555555555555555E-3</v>
      </c>
      <c r="AJ203" s="3">
        <f t="shared" si="3"/>
        <v>-6.7631740501710294</v>
      </c>
      <c r="AN203" t="b">
        <v>1</v>
      </c>
      <c r="AO203" t="b">
        <v>0</v>
      </c>
      <c r="AP203" t="b">
        <v>0</v>
      </c>
      <c r="AQ203" t="b">
        <v>0</v>
      </c>
      <c r="AR203" t="s">
        <v>139</v>
      </c>
      <c r="AU203">
        <v>7.696212639346407</v>
      </c>
      <c r="AV203">
        <v>1.7272727272727271</v>
      </c>
      <c r="AW203">
        <v>2.545454545454545</v>
      </c>
      <c r="AX203">
        <v>0.81818181818181823</v>
      </c>
      <c r="AY203">
        <v>0</v>
      </c>
      <c r="AZ203">
        <v>0.3392857142857143</v>
      </c>
      <c r="BA203">
        <v>0.5</v>
      </c>
      <c r="BB203">
        <v>0.1607142857142857</v>
      </c>
      <c r="BC203">
        <v>0</v>
      </c>
      <c r="BD203">
        <v>6.4269893564864544</v>
      </c>
      <c r="BE203">
        <v>14</v>
      </c>
      <c r="BF203">
        <v>165.66723991337099</v>
      </c>
      <c r="BG203">
        <v>1</v>
      </c>
      <c r="BH203">
        <v>8.4506749839743392E-2</v>
      </c>
      <c r="BI203">
        <v>3.9263319999999999</v>
      </c>
      <c r="BJ203">
        <v>3.9263319999999999</v>
      </c>
      <c r="BK203">
        <v>10.74639</v>
      </c>
      <c r="BL203">
        <v>0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U203">
        <v>0</v>
      </c>
      <c r="BV203">
        <v>0</v>
      </c>
      <c r="BW203">
        <v>0</v>
      </c>
      <c r="BX203">
        <v>170.560344625</v>
      </c>
      <c r="BY203">
        <v>8.2082385743186062E-2</v>
      </c>
      <c r="BZ203">
        <v>7</v>
      </c>
      <c r="CA203">
        <v>4.1041192871593031E-2</v>
      </c>
      <c r="CB203">
        <v>4.2253374919871703E-2</v>
      </c>
      <c r="CE203">
        <v>0.41874907041247761</v>
      </c>
      <c r="CH203">
        <v>0.40673582633789218</v>
      </c>
    </row>
    <row r="204" spans="1:86" x14ac:dyDescent="0.3">
      <c r="A204" s="1">
        <v>73</v>
      </c>
      <c r="B204" t="s">
        <v>235</v>
      </c>
      <c r="C204" t="s">
        <v>236</v>
      </c>
      <c r="F204">
        <v>2.88</v>
      </c>
      <c r="G204" t="s">
        <v>220</v>
      </c>
      <c r="H204" t="s">
        <v>221</v>
      </c>
      <c r="I204">
        <v>-1</v>
      </c>
      <c r="J204">
        <v>4</v>
      </c>
      <c r="K204">
        <v>5.4960000000000004</v>
      </c>
      <c r="L204">
        <v>5.4960000000000004</v>
      </c>
      <c r="M204">
        <v>25.55</v>
      </c>
      <c r="O204">
        <v>12.775</v>
      </c>
      <c r="P204">
        <v>2</v>
      </c>
      <c r="Q204" t="s">
        <v>87</v>
      </c>
      <c r="R204">
        <v>1373</v>
      </c>
      <c r="S204">
        <v>48</v>
      </c>
      <c r="T204" t="b">
        <v>0</v>
      </c>
      <c r="U204" t="s">
        <v>172</v>
      </c>
      <c r="V204" t="s">
        <v>126</v>
      </c>
      <c r="W204">
        <v>0.1</v>
      </c>
      <c r="Y204">
        <v>1.5</v>
      </c>
      <c r="Z204">
        <v>15</v>
      </c>
      <c r="AC204" t="s">
        <v>165</v>
      </c>
      <c r="AD204">
        <v>450</v>
      </c>
      <c r="AE204">
        <v>420</v>
      </c>
      <c r="AF204" t="s">
        <v>91</v>
      </c>
      <c r="AH204" s="3">
        <v>10.67</v>
      </c>
      <c r="AI204" s="3">
        <f>AH204/(AD204*Y204*Z204)</f>
        <v>1.0538271604938272E-3</v>
      </c>
      <c r="AJ204" s="3">
        <f t="shared" si="3"/>
        <v>-6.8553268266610781</v>
      </c>
      <c r="AK204" t="s">
        <v>144</v>
      </c>
      <c r="AL204" t="s">
        <v>144</v>
      </c>
      <c r="AN204" t="b">
        <v>1</v>
      </c>
      <c r="AO204" t="b">
        <v>1</v>
      </c>
      <c r="AP204" t="b">
        <v>0</v>
      </c>
      <c r="AQ204" t="b">
        <v>0</v>
      </c>
      <c r="AR204" t="s">
        <v>157</v>
      </c>
      <c r="AS204" t="s">
        <v>158</v>
      </c>
      <c r="AU204">
        <v>9.8521942581485771</v>
      </c>
      <c r="AV204">
        <v>1.75</v>
      </c>
      <c r="AW204">
        <v>2.5</v>
      </c>
      <c r="AX204">
        <v>0.75</v>
      </c>
      <c r="AY204">
        <v>0</v>
      </c>
      <c r="AZ204">
        <v>0.35</v>
      </c>
      <c r="BA204">
        <v>0.5</v>
      </c>
      <c r="BB204">
        <v>0.15</v>
      </c>
      <c r="BC204">
        <v>0</v>
      </c>
      <c r="BD204">
        <v>6.2640154224906874</v>
      </c>
      <c r="BE204">
        <v>20</v>
      </c>
      <c r="BF204">
        <v>242.1279024923125</v>
      </c>
      <c r="BG204">
        <v>1</v>
      </c>
      <c r="BH204">
        <v>8.2600971611006269E-2</v>
      </c>
      <c r="BI204">
        <v>3.950634</v>
      </c>
      <c r="BJ204">
        <v>3.950634</v>
      </c>
      <c r="BK204">
        <v>15.513552000000001</v>
      </c>
      <c r="BL204">
        <v>227.970829547178</v>
      </c>
      <c r="BM204">
        <v>1</v>
      </c>
      <c r="BN204">
        <v>8.7730522539775438E-2</v>
      </c>
      <c r="BO204">
        <v>3.8658999999999999</v>
      </c>
      <c r="BP204">
        <v>3.8658999999999999</v>
      </c>
      <c r="BQ204">
        <v>15.2538</v>
      </c>
      <c r="BR204">
        <v>0</v>
      </c>
      <c r="BS204">
        <v>0</v>
      </c>
      <c r="BU204">
        <v>0</v>
      </c>
      <c r="BV204">
        <v>0</v>
      </c>
      <c r="BW204">
        <v>0</v>
      </c>
      <c r="BX204">
        <v>1759.3125835139999</v>
      </c>
      <c r="BZ204">
        <v>10</v>
      </c>
      <c r="CB204">
        <v>4.1300485805503127E-2</v>
      </c>
      <c r="CC204">
        <v>4.3865261269887719E-2</v>
      </c>
      <c r="CE204">
        <v>0.42195359024583579</v>
      </c>
      <c r="CF204">
        <v>0.44815706447294301</v>
      </c>
    </row>
    <row r="205" spans="1:86" x14ac:dyDescent="0.3">
      <c r="A205" s="1">
        <v>62</v>
      </c>
      <c r="B205" t="s">
        <v>230</v>
      </c>
      <c r="C205" t="s">
        <v>231</v>
      </c>
      <c r="F205">
        <v>2.75</v>
      </c>
      <c r="G205" t="s">
        <v>220</v>
      </c>
      <c r="H205" t="s">
        <v>221</v>
      </c>
      <c r="I205">
        <v>-1</v>
      </c>
      <c r="Q205" t="s">
        <v>87</v>
      </c>
      <c r="R205">
        <v>1323</v>
      </c>
      <c r="S205">
        <v>24</v>
      </c>
      <c r="T205" t="b">
        <v>0</v>
      </c>
      <c r="U205" t="s">
        <v>125</v>
      </c>
      <c r="V205" t="s">
        <v>126</v>
      </c>
      <c r="W205">
        <v>0.1</v>
      </c>
      <c r="Y205">
        <v>1.5</v>
      </c>
      <c r="Z205">
        <v>15</v>
      </c>
      <c r="AC205" t="s">
        <v>165</v>
      </c>
      <c r="AD205">
        <v>450</v>
      </c>
      <c r="AE205">
        <v>420</v>
      </c>
      <c r="AF205" t="s">
        <v>91</v>
      </c>
      <c r="AH205" s="3">
        <v>9.1</v>
      </c>
      <c r="AI205" s="3">
        <f>AH205/(AD205*Y205*Z205)</f>
        <v>8.9876543209876545E-4</v>
      </c>
      <c r="AJ205" s="3">
        <f t="shared" si="3"/>
        <v>-7.0144884784519359</v>
      </c>
      <c r="AK205" t="s">
        <v>144</v>
      </c>
      <c r="AL205" t="s">
        <v>144</v>
      </c>
      <c r="AN205" t="b">
        <v>1</v>
      </c>
      <c r="AO205" t="b">
        <v>1</v>
      </c>
      <c r="AP205" t="b">
        <v>0</v>
      </c>
      <c r="AQ205" t="b">
        <v>0</v>
      </c>
      <c r="AR205" t="s">
        <v>159</v>
      </c>
      <c r="AS205" t="s">
        <v>160</v>
      </c>
      <c r="AU205">
        <v>9.7409686230383539</v>
      </c>
      <c r="AV205">
        <v>1.75</v>
      </c>
      <c r="AW205">
        <v>2.5</v>
      </c>
      <c r="AX205">
        <v>0.75</v>
      </c>
      <c r="AY205">
        <v>0</v>
      </c>
      <c r="AZ205">
        <v>0.35</v>
      </c>
      <c r="BA205">
        <v>0.5</v>
      </c>
      <c r="BB205">
        <v>0.15</v>
      </c>
      <c r="BC205">
        <v>0</v>
      </c>
      <c r="BD205">
        <v>6.2640154224906874</v>
      </c>
      <c r="BE205">
        <v>20</v>
      </c>
      <c r="BF205">
        <v>242.1279024923125</v>
      </c>
      <c r="BG205">
        <v>1</v>
      </c>
      <c r="BH205">
        <v>8.2600971611006269E-2</v>
      </c>
      <c r="BI205">
        <v>3.950634</v>
      </c>
      <c r="BJ205">
        <v>3.950634</v>
      </c>
      <c r="BK205">
        <v>15.513552000000001</v>
      </c>
      <c r="BL205">
        <v>227.970829547178</v>
      </c>
      <c r="BM205">
        <v>1</v>
      </c>
      <c r="BN205">
        <v>8.7730522539775438E-2</v>
      </c>
      <c r="BO205">
        <v>3.8658999999999999</v>
      </c>
      <c r="BP205">
        <v>3.8658999999999999</v>
      </c>
      <c r="BQ205">
        <v>15.2538</v>
      </c>
      <c r="BR205">
        <v>0</v>
      </c>
      <c r="BS205">
        <v>0</v>
      </c>
      <c r="BU205">
        <v>0</v>
      </c>
      <c r="BV205">
        <v>0</v>
      </c>
      <c r="BW205">
        <v>0</v>
      </c>
      <c r="BX205">
        <v>889.70389312500004</v>
      </c>
      <c r="BZ205">
        <v>10</v>
      </c>
      <c r="CB205">
        <v>4.1300485805503127E-2</v>
      </c>
      <c r="CC205">
        <v>4.3865261269887719E-2</v>
      </c>
      <c r="CE205">
        <v>0.42195359024583579</v>
      </c>
      <c r="CF205">
        <v>0.44815706447294301</v>
      </c>
    </row>
    <row r="206" spans="1:86" x14ac:dyDescent="0.3">
      <c r="A206" s="1">
        <v>352</v>
      </c>
      <c r="B206" t="s">
        <v>795</v>
      </c>
      <c r="C206" t="s">
        <v>796</v>
      </c>
      <c r="E206" t="s">
        <v>106</v>
      </c>
      <c r="F206">
        <v>2.58</v>
      </c>
      <c r="G206" t="s">
        <v>142</v>
      </c>
      <c r="H206" t="s">
        <v>356</v>
      </c>
      <c r="I206">
        <v>-1</v>
      </c>
      <c r="J206">
        <v>1</v>
      </c>
      <c r="K206">
        <v>3.93</v>
      </c>
      <c r="L206">
        <v>3.93</v>
      </c>
      <c r="M206">
        <v>15.3</v>
      </c>
      <c r="O206">
        <v>15.3</v>
      </c>
      <c r="Q206" t="s">
        <v>87</v>
      </c>
      <c r="R206">
        <v>1273</v>
      </c>
      <c r="S206">
        <v>48</v>
      </c>
      <c r="T206" t="b">
        <v>0</v>
      </c>
      <c r="U206" t="s">
        <v>125</v>
      </c>
      <c r="V206" t="s">
        <v>126</v>
      </c>
      <c r="W206">
        <v>0.1</v>
      </c>
      <c r="Y206">
        <v>2.5</v>
      </c>
      <c r="Z206">
        <v>20</v>
      </c>
      <c r="AC206" t="s">
        <v>165</v>
      </c>
      <c r="AD206">
        <v>300</v>
      </c>
      <c r="AE206">
        <v>400</v>
      </c>
      <c r="AF206" t="s">
        <v>407</v>
      </c>
      <c r="AG206">
        <v>303</v>
      </c>
      <c r="AH206" s="3">
        <v>12</v>
      </c>
      <c r="AI206" s="3">
        <f>AH206/(AD206*Y206*Z206)</f>
        <v>8.0000000000000004E-4</v>
      </c>
      <c r="AJ206" s="3">
        <f t="shared" si="3"/>
        <v>-7.1308988302963465</v>
      </c>
      <c r="AK206" t="s">
        <v>144</v>
      </c>
      <c r="AL206" t="s">
        <v>144</v>
      </c>
      <c r="AN206" t="b">
        <v>1</v>
      </c>
      <c r="AO206" t="b">
        <v>1</v>
      </c>
      <c r="AP206" t="b">
        <v>0</v>
      </c>
      <c r="AQ206" t="b">
        <v>0</v>
      </c>
      <c r="AR206" t="s">
        <v>161</v>
      </c>
      <c r="AS206" t="s">
        <v>162</v>
      </c>
      <c r="AU206">
        <v>9.0240107937846901</v>
      </c>
      <c r="AV206">
        <v>1.75</v>
      </c>
      <c r="AW206">
        <v>2.5</v>
      </c>
      <c r="AX206">
        <v>0.75</v>
      </c>
      <c r="AY206">
        <v>0</v>
      </c>
      <c r="AZ206">
        <v>0.35</v>
      </c>
      <c r="BA206">
        <v>0.5</v>
      </c>
      <c r="BB206">
        <v>0.15</v>
      </c>
      <c r="BC206">
        <v>0</v>
      </c>
      <c r="BD206">
        <v>6.2640154224906874</v>
      </c>
      <c r="BE206">
        <v>20</v>
      </c>
      <c r="BF206">
        <v>242.1279024923125</v>
      </c>
      <c r="BG206">
        <v>1</v>
      </c>
      <c r="BH206">
        <v>8.2600971611006269E-2</v>
      </c>
      <c r="BI206">
        <v>3.950634</v>
      </c>
      <c r="BJ206">
        <v>3.950634</v>
      </c>
      <c r="BK206">
        <v>15.513552000000001</v>
      </c>
      <c r="BL206">
        <v>227.970829547178</v>
      </c>
      <c r="BM206">
        <v>1</v>
      </c>
      <c r="BN206">
        <v>8.7730522539775438E-2</v>
      </c>
      <c r="BO206">
        <v>3.8658999999999999</v>
      </c>
      <c r="BP206">
        <v>3.8658999999999999</v>
      </c>
      <c r="BQ206">
        <v>15.2538</v>
      </c>
      <c r="BR206">
        <v>0</v>
      </c>
      <c r="BS206">
        <v>0</v>
      </c>
      <c r="BU206">
        <v>0</v>
      </c>
      <c r="BV206">
        <v>0</v>
      </c>
      <c r="BW206">
        <v>0</v>
      </c>
      <c r="BX206">
        <v>1801.704219104</v>
      </c>
      <c r="BZ206">
        <v>10</v>
      </c>
      <c r="CB206">
        <v>4.1300485805503127E-2</v>
      </c>
      <c r="CC206">
        <v>4.3865261269887719E-2</v>
      </c>
      <c r="CE206">
        <v>0.42195359024583579</v>
      </c>
      <c r="CF206">
        <v>0.44815706447294301</v>
      </c>
    </row>
    <row r="207" spans="1:86" x14ac:dyDescent="0.3">
      <c r="A207" s="1">
        <v>63</v>
      </c>
      <c r="B207" t="s">
        <v>235</v>
      </c>
      <c r="C207" t="s">
        <v>236</v>
      </c>
      <c r="F207">
        <v>2.88</v>
      </c>
      <c r="G207" t="s">
        <v>220</v>
      </c>
      <c r="H207" t="s">
        <v>221</v>
      </c>
      <c r="I207">
        <v>-1</v>
      </c>
      <c r="J207">
        <v>4</v>
      </c>
      <c r="K207">
        <v>5.4960000000000004</v>
      </c>
      <c r="L207">
        <v>5.4960000000000004</v>
      </c>
      <c r="M207">
        <v>25.55</v>
      </c>
      <c r="N207" t="s">
        <v>197</v>
      </c>
      <c r="O207">
        <v>12.775</v>
      </c>
      <c r="P207">
        <v>4</v>
      </c>
      <c r="Q207" t="s">
        <v>87</v>
      </c>
      <c r="R207">
        <v>1323</v>
      </c>
      <c r="S207">
        <v>24</v>
      </c>
      <c r="T207" t="b">
        <v>0</v>
      </c>
      <c r="U207" t="s">
        <v>125</v>
      </c>
      <c r="V207" t="s">
        <v>126</v>
      </c>
      <c r="W207">
        <v>0.1</v>
      </c>
      <c r="Y207">
        <v>1.5</v>
      </c>
      <c r="Z207">
        <v>15</v>
      </c>
      <c r="AC207" t="s">
        <v>165</v>
      </c>
      <c r="AD207">
        <v>450</v>
      </c>
      <c r="AE207">
        <v>420</v>
      </c>
      <c r="AF207" t="s">
        <v>91</v>
      </c>
      <c r="AH207" s="3">
        <v>7.6</v>
      </c>
      <c r="AI207" s="3">
        <f>AH207/(AD207*Y207*Z207)</f>
        <v>7.5061728395061722E-4</v>
      </c>
      <c r="AJ207" s="3">
        <f t="shared" si="3"/>
        <v>-7.1946146446824546</v>
      </c>
      <c r="AK207" t="s">
        <v>153</v>
      </c>
      <c r="AL207" t="s">
        <v>153</v>
      </c>
      <c r="AN207" t="b">
        <v>1</v>
      </c>
      <c r="AO207" t="b">
        <v>1</v>
      </c>
      <c r="AP207" t="b">
        <v>0</v>
      </c>
      <c r="AQ207" t="b">
        <v>0</v>
      </c>
      <c r="AR207" t="s">
        <v>163</v>
      </c>
      <c r="AS207" t="s">
        <v>164</v>
      </c>
      <c r="AU207">
        <v>10.668955394675701</v>
      </c>
      <c r="AV207">
        <v>1.75</v>
      </c>
      <c r="AW207">
        <v>2.5</v>
      </c>
      <c r="AX207">
        <v>0.75</v>
      </c>
      <c r="AY207">
        <v>0</v>
      </c>
      <c r="AZ207">
        <v>0.35</v>
      </c>
      <c r="BA207">
        <v>0.5</v>
      </c>
      <c r="BB207">
        <v>0.15</v>
      </c>
      <c r="BC207">
        <v>0</v>
      </c>
      <c r="BD207">
        <v>6.2395921087406876</v>
      </c>
      <c r="BE207">
        <v>20</v>
      </c>
      <c r="BF207">
        <v>242.1279024923125</v>
      </c>
      <c r="BG207">
        <v>1</v>
      </c>
      <c r="BH207">
        <v>8.2600971611006269E-2</v>
      </c>
      <c r="BI207">
        <v>3.950634</v>
      </c>
      <c r="BJ207">
        <v>3.950634</v>
      </c>
      <c r="BK207">
        <v>15.513552000000001</v>
      </c>
      <c r="BL207">
        <v>227.970829547178</v>
      </c>
      <c r="BM207">
        <v>1</v>
      </c>
      <c r="BN207">
        <v>8.7730522539775438E-2</v>
      </c>
      <c r="BO207">
        <v>3.8658999999999999</v>
      </c>
      <c r="BP207">
        <v>3.8658999999999999</v>
      </c>
      <c r="BQ207">
        <v>15.2538</v>
      </c>
      <c r="BR207">
        <v>0</v>
      </c>
      <c r="BS207">
        <v>0</v>
      </c>
      <c r="BU207">
        <v>0</v>
      </c>
      <c r="BV207">
        <v>0</v>
      </c>
      <c r="BW207">
        <v>0</v>
      </c>
      <c r="BX207">
        <v>919.39894655000012</v>
      </c>
      <c r="BY207">
        <v>8.7013369223660861E-2</v>
      </c>
      <c r="BZ207">
        <v>10</v>
      </c>
      <c r="CA207">
        <v>4.350668461183043E-2</v>
      </c>
      <c r="CB207">
        <v>4.1300485805503127E-2</v>
      </c>
      <c r="CC207">
        <v>4.3865261269887719E-2</v>
      </c>
      <c r="CE207">
        <v>0.45027090848362911</v>
      </c>
      <c r="CF207">
        <v>0.47823289866077828</v>
      </c>
      <c r="CH207">
        <v>0.47432358296059918</v>
      </c>
    </row>
    <row r="208" spans="1:86" x14ac:dyDescent="0.3">
      <c r="A208" s="1">
        <v>257</v>
      </c>
      <c r="B208" t="s">
        <v>654</v>
      </c>
      <c r="C208" t="s">
        <v>655</v>
      </c>
      <c r="E208" t="s">
        <v>94</v>
      </c>
      <c r="F208">
        <v>2.98</v>
      </c>
      <c r="G208" t="s">
        <v>656</v>
      </c>
      <c r="H208" t="s">
        <v>657</v>
      </c>
      <c r="I208">
        <v>-1</v>
      </c>
      <c r="J208">
        <v>16</v>
      </c>
      <c r="K208">
        <v>7.7803000000000004</v>
      </c>
      <c r="L208">
        <v>7.7803000000000004</v>
      </c>
      <c r="M208">
        <v>42.569200000000002</v>
      </c>
      <c r="N208" t="s">
        <v>658</v>
      </c>
      <c r="O208">
        <v>10.642300000000001</v>
      </c>
      <c r="Q208" t="s">
        <v>87</v>
      </c>
      <c r="R208">
        <v>1373</v>
      </c>
      <c r="S208">
        <v>24</v>
      </c>
      <c r="T208" t="b">
        <v>0</v>
      </c>
      <c r="U208" t="s">
        <v>125</v>
      </c>
      <c r="V208" t="s">
        <v>126</v>
      </c>
      <c r="W208">
        <v>1</v>
      </c>
      <c r="X208">
        <v>3.8</v>
      </c>
      <c r="Y208">
        <v>1.67</v>
      </c>
      <c r="Z208">
        <v>20</v>
      </c>
      <c r="AC208" t="s">
        <v>165</v>
      </c>
      <c r="AD208">
        <v>1000</v>
      </c>
      <c r="AE208">
        <v>400</v>
      </c>
      <c r="AF208" t="s">
        <v>653</v>
      </c>
      <c r="AH208" s="3">
        <v>20</v>
      </c>
      <c r="AI208" s="3">
        <f>AH208/(AD208*Y208*Z208)</f>
        <v>5.9880239520958083E-4</v>
      </c>
      <c r="AJ208" s="3">
        <f t="shared" si="3"/>
        <v>-7.4205789054108005</v>
      </c>
      <c r="AN208" t="b">
        <v>1</v>
      </c>
      <c r="AO208" t="b">
        <v>0</v>
      </c>
      <c r="AP208" t="b">
        <v>0</v>
      </c>
      <c r="AQ208" t="b">
        <v>0</v>
      </c>
      <c r="AR208" t="s">
        <v>131</v>
      </c>
      <c r="AS208" t="s">
        <v>132</v>
      </c>
      <c r="AU208">
        <v>-1.2039728043259359</v>
      </c>
      <c r="AV208">
        <v>2</v>
      </c>
      <c r="AW208">
        <v>2.666666666666667</v>
      </c>
      <c r="AX208">
        <v>0.66666666666666663</v>
      </c>
      <c r="AY208">
        <v>0</v>
      </c>
      <c r="AZ208">
        <v>0.375</v>
      </c>
      <c r="BA208">
        <v>0.5</v>
      </c>
      <c r="BB208">
        <v>0.125</v>
      </c>
      <c r="BC208">
        <v>0</v>
      </c>
      <c r="BD208">
        <v>6.1770001596666662</v>
      </c>
      <c r="BE208">
        <v>4</v>
      </c>
      <c r="BF208">
        <v>1182.741260108548</v>
      </c>
      <c r="BG208">
        <v>30</v>
      </c>
      <c r="BH208">
        <v>0.1014592151701775</v>
      </c>
      <c r="BI208">
        <v>10.59112378</v>
      </c>
      <c r="BJ208">
        <v>10.784736629999999</v>
      </c>
      <c r="BK208">
        <v>10.486176179999999</v>
      </c>
      <c r="BL208">
        <v>130.36387300000001</v>
      </c>
      <c r="BM208">
        <v>4</v>
      </c>
      <c r="BN208">
        <v>0.1227333894874388</v>
      </c>
      <c r="BO208">
        <v>3.73</v>
      </c>
      <c r="BP208">
        <v>3.73</v>
      </c>
      <c r="BQ208">
        <v>9.3699999999999992</v>
      </c>
      <c r="BR208">
        <v>0</v>
      </c>
      <c r="BS208">
        <v>0</v>
      </c>
      <c r="BU208">
        <v>0</v>
      </c>
      <c r="BV208">
        <v>0</v>
      </c>
      <c r="BW208">
        <v>0</v>
      </c>
      <c r="BZ208">
        <v>2</v>
      </c>
      <c r="CB208">
        <v>5.0729607585088737E-2</v>
      </c>
      <c r="CC208">
        <v>6.1366694743719377E-2</v>
      </c>
      <c r="CE208">
        <v>0.46900407026869612</v>
      </c>
      <c r="CF208">
        <v>0.56734579634715776</v>
      </c>
    </row>
    <row r="209" spans="1:86" x14ac:dyDescent="0.3">
      <c r="A209" s="1">
        <v>15</v>
      </c>
      <c r="B209" t="s">
        <v>116</v>
      </c>
      <c r="C209" t="s">
        <v>117</v>
      </c>
      <c r="E209" t="s">
        <v>106</v>
      </c>
      <c r="F209">
        <v>3.5</v>
      </c>
      <c r="G209" t="s">
        <v>118</v>
      </c>
      <c r="H209" t="s">
        <v>119</v>
      </c>
      <c r="I209">
        <v>-1</v>
      </c>
      <c r="J209">
        <v>2</v>
      </c>
      <c r="K209">
        <v>7.7270000000000003</v>
      </c>
      <c r="L209">
        <v>7.7270000000000003</v>
      </c>
      <c r="M209">
        <v>30.175999999999998</v>
      </c>
      <c r="N209" t="s">
        <v>110</v>
      </c>
      <c r="O209">
        <v>15.087999999999999</v>
      </c>
      <c r="P209">
        <v>3</v>
      </c>
      <c r="Q209" t="s">
        <v>87</v>
      </c>
      <c r="R209">
        <v>1473</v>
      </c>
      <c r="S209">
        <v>48</v>
      </c>
      <c r="T209" t="b">
        <v>0</v>
      </c>
      <c r="U209" t="s">
        <v>125</v>
      </c>
      <c r="V209" t="s">
        <v>126</v>
      </c>
      <c r="W209">
        <v>0.1</v>
      </c>
      <c r="Y209">
        <v>2.85</v>
      </c>
      <c r="Z209">
        <v>14.3</v>
      </c>
      <c r="AC209" t="s">
        <v>90</v>
      </c>
      <c r="AD209">
        <v>450</v>
      </c>
      <c r="AF209" t="s">
        <v>91</v>
      </c>
      <c r="AH209" s="3">
        <v>10</v>
      </c>
      <c r="AI209" s="3">
        <f>AH209/(AD209*Y209*Z209)</f>
        <v>5.4526370315844004E-4</v>
      </c>
      <c r="AJ209" s="3">
        <f t="shared" si="3"/>
        <v>-7.5142410213167405</v>
      </c>
      <c r="AK209" t="s">
        <v>222</v>
      </c>
      <c r="AL209" t="s">
        <v>222</v>
      </c>
      <c r="AN209" t="b">
        <v>1</v>
      </c>
      <c r="AO209" t="b">
        <v>1</v>
      </c>
      <c r="AP209" t="b">
        <v>0</v>
      </c>
      <c r="AQ209" t="b">
        <v>0</v>
      </c>
      <c r="AR209" t="s">
        <v>223</v>
      </c>
      <c r="AS209" t="s">
        <v>224</v>
      </c>
      <c r="AU209">
        <v>2.45958884180371</v>
      </c>
      <c r="AV209">
        <v>1.871428571428571</v>
      </c>
      <c r="AW209">
        <v>3.1428571428571428</v>
      </c>
      <c r="AX209">
        <v>2.714285714285714</v>
      </c>
      <c r="AY209">
        <v>3.2</v>
      </c>
      <c r="AZ209">
        <v>0.17124183006535951</v>
      </c>
      <c r="BA209">
        <v>0.28758169934640521</v>
      </c>
      <c r="BB209">
        <v>0.2483660130718954</v>
      </c>
      <c r="BC209">
        <v>0.29281045751633977</v>
      </c>
      <c r="BD209">
        <v>6.2676799262499996</v>
      </c>
      <c r="BE209">
        <v>18</v>
      </c>
      <c r="BF209">
        <v>197.4403766939285</v>
      </c>
      <c r="BG209">
        <v>1</v>
      </c>
      <c r="BH209">
        <v>9.1166762854710051E-2</v>
      </c>
      <c r="BI209">
        <v>12.868820120000001</v>
      </c>
      <c r="BJ209">
        <v>12.868820120000001</v>
      </c>
      <c r="BK209">
        <v>12.868820120000001</v>
      </c>
      <c r="BL209">
        <v>789.87506903020289</v>
      </c>
      <c r="BM209">
        <v>1</v>
      </c>
      <c r="BN209">
        <v>2.2788413897023151E-2</v>
      </c>
      <c r="BO209">
        <v>5.5453000000000001</v>
      </c>
      <c r="BP209">
        <v>5.5453000000000001</v>
      </c>
      <c r="BQ209">
        <v>25.686699999999998</v>
      </c>
      <c r="BR209">
        <v>0</v>
      </c>
      <c r="BS209">
        <v>0</v>
      </c>
      <c r="BU209">
        <v>0</v>
      </c>
      <c r="BV209">
        <v>0</v>
      </c>
      <c r="BW209">
        <v>0</v>
      </c>
      <c r="BZ209">
        <v>9</v>
      </c>
      <c r="CB209">
        <v>4.5583381427355033E-2</v>
      </c>
      <c r="CC209">
        <v>1.1394206948511581E-2</v>
      </c>
      <c r="CE209">
        <v>0.51966199737279162</v>
      </c>
      <c r="CF209">
        <v>0.1298968210767518</v>
      </c>
    </row>
    <row r="210" spans="1:86" x14ac:dyDescent="0.3">
      <c r="A210" s="1">
        <v>190</v>
      </c>
      <c r="B210" t="s">
        <v>501</v>
      </c>
      <c r="C210" t="s">
        <v>502</v>
      </c>
      <c r="F210">
        <v>2.39</v>
      </c>
      <c r="G210" t="s">
        <v>503</v>
      </c>
      <c r="H210">
        <v>-1</v>
      </c>
      <c r="I210" t="s">
        <v>504</v>
      </c>
      <c r="J210">
        <v>4</v>
      </c>
      <c r="K210">
        <v>5.4930000000000003</v>
      </c>
      <c r="L210">
        <v>5.4930000000000003</v>
      </c>
      <c r="M210">
        <v>28.75</v>
      </c>
      <c r="O210">
        <v>14.375</v>
      </c>
      <c r="Q210" t="s">
        <v>87</v>
      </c>
      <c r="R210">
        <v>1173</v>
      </c>
      <c r="S210">
        <v>20</v>
      </c>
      <c r="T210" t="b">
        <v>0</v>
      </c>
      <c r="U210" t="s">
        <v>125</v>
      </c>
      <c r="V210" t="s">
        <v>126</v>
      </c>
      <c r="W210">
        <v>0.5</v>
      </c>
      <c r="Y210">
        <v>0.4</v>
      </c>
      <c r="Z210">
        <v>20</v>
      </c>
      <c r="AC210" t="s">
        <v>165</v>
      </c>
      <c r="AD210">
        <v>300</v>
      </c>
      <c r="AE210">
        <v>300</v>
      </c>
      <c r="AF210" t="s">
        <v>407</v>
      </c>
      <c r="AH210" s="3">
        <v>0.94</v>
      </c>
      <c r="AI210" s="3">
        <f>AH210/(AD210*Y210*Z210)</f>
        <v>3.9166666666666663E-4</v>
      </c>
      <c r="AJ210" s="3">
        <f t="shared" si="3"/>
        <v>-7.8450994200541242</v>
      </c>
      <c r="AK210" t="s">
        <v>227</v>
      </c>
      <c r="AL210" t="s">
        <v>227</v>
      </c>
      <c r="AN210" t="b">
        <v>1</v>
      </c>
      <c r="AO210" t="b">
        <v>1</v>
      </c>
      <c r="AP210" t="b">
        <v>0</v>
      </c>
      <c r="AQ210" t="b">
        <v>0</v>
      </c>
      <c r="AR210" t="s">
        <v>228</v>
      </c>
      <c r="AS210" t="s">
        <v>229</v>
      </c>
      <c r="AU210">
        <v>2.7278528283983898</v>
      </c>
      <c r="AV210">
        <v>1.8678571428571431</v>
      </c>
      <c r="AW210">
        <v>3.1428571428571428</v>
      </c>
      <c r="AX210">
        <v>2.714285714285714</v>
      </c>
      <c r="AY210">
        <v>3.15</v>
      </c>
      <c r="AZ210">
        <v>0.1717569786535304</v>
      </c>
      <c r="BA210">
        <v>0.28899835796387519</v>
      </c>
      <c r="BB210">
        <v>0.24958949096880129</v>
      </c>
      <c r="BC210">
        <v>0.28965517241379313</v>
      </c>
      <c r="BD210">
        <v>6.2658865801428556</v>
      </c>
      <c r="BE210">
        <v>18</v>
      </c>
      <c r="BF210">
        <v>197.4403766939285</v>
      </c>
      <c r="BG210">
        <v>1</v>
      </c>
      <c r="BH210">
        <v>9.1166762854710051E-2</v>
      </c>
      <c r="BI210">
        <v>12.868820120000001</v>
      </c>
      <c r="BJ210">
        <v>12.868820120000001</v>
      </c>
      <c r="BK210">
        <v>12.868820120000001</v>
      </c>
      <c r="BL210">
        <v>789.87506903020289</v>
      </c>
      <c r="BM210">
        <v>1</v>
      </c>
      <c r="BN210">
        <v>2.2788413897023151E-2</v>
      </c>
      <c r="BO210">
        <v>5.5453000000000001</v>
      </c>
      <c r="BP210">
        <v>5.5453000000000001</v>
      </c>
      <c r="BQ210">
        <v>25.686699999999998</v>
      </c>
      <c r="BR210">
        <v>0</v>
      </c>
      <c r="BS210">
        <v>0</v>
      </c>
      <c r="BU210">
        <v>0</v>
      </c>
      <c r="BV210">
        <v>0</v>
      </c>
      <c r="BW210">
        <v>0</v>
      </c>
      <c r="BZ210">
        <v>9</v>
      </c>
      <c r="CB210">
        <v>4.5583381427355033E-2</v>
      </c>
      <c r="CC210">
        <v>1.1394206948511581E-2</v>
      </c>
      <c r="CE210">
        <v>0.51973553867477351</v>
      </c>
      <c r="CF210">
        <v>0.1299152037589445</v>
      </c>
    </row>
    <row r="211" spans="1:86" x14ac:dyDescent="0.3">
      <c r="A211" s="1">
        <v>64</v>
      </c>
      <c r="B211" t="s">
        <v>237</v>
      </c>
      <c r="C211" t="s">
        <v>238</v>
      </c>
      <c r="F211">
        <v>2.91</v>
      </c>
      <c r="G211" t="s">
        <v>220</v>
      </c>
      <c r="H211" t="s">
        <v>221</v>
      </c>
      <c r="I211">
        <v>-1</v>
      </c>
      <c r="Q211" t="s">
        <v>87</v>
      </c>
      <c r="R211">
        <v>1323</v>
      </c>
      <c r="S211">
        <v>24</v>
      </c>
      <c r="T211" t="b">
        <v>0</v>
      </c>
      <c r="U211" t="s">
        <v>125</v>
      </c>
      <c r="V211" t="s">
        <v>126</v>
      </c>
      <c r="W211">
        <v>0.1</v>
      </c>
      <c r="Y211">
        <v>1.5</v>
      </c>
      <c r="Z211">
        <v>15</v>
      </c>
      <c r="AC211" t="s">
        <v>165</v>
      </c>
      <c r="AD211">
        <v>450</v>
      </c>
      <c r="AE211">
        <v>420</v>
      </c>
      <c r="AF211" t="s">
        <v>91</v>
      </c>
      <c r="AH211" s="3">
        <v>2.8</v>
      </c>
      <c r="AI211" s="3">
        <f>AH211/(AD211*Y211*Z211)</f>
        <v>2.765432098765432E-4</v>
      </c>
      <c r="AJ211" s="3">
        <f t="shared" si="3"/>
        <v>-8.1931434747935814</v>
      </c>
      <c r="AK211" t="s">
        <v>232</v>
      </c>
      <c r="AL211" t="s">
        <v>232</v>
      </c>
      <c r="AN211" t="b">
        <v>1</v>
      </c>
      <c r="AO211" t="b">
        <v>1</v>
      </c>
      <c r="AP211" t="b">
        <v>0</v>
      </c>
      <c r="AQ211" t="b">
        <v>0</v>
      </c>
      <c r="AR211" t="s">
        <v>233</v>
      </c>
      <c r="AS211" t="s">
        <v>234</v>
      </c>
      <c r="AU211">
        <v>2.2082744135228038</v>
      </c>
      <c r="AV211">
        <v>1.8642857142857141</v>
      </c>
      <c r="AW211">
        <v>3.1428571428571428</v>
      </c>
      <c r="AX211">
        <v>2.714285714285714</v>
      </c>
      <c r="AY211">
        <v>3.1</v>
      </c>
      <c r="AZ211">
        <v>0.17227722772277229</v>
      </c>
      <c r="BA211">
        <v>0.29042904290429039</v>
      </c>
      <c r="BB211">
        <v>0.25082508250825092</v>
      </c>
      <c r="BC211">
        <v>0.28646864686468648</v>
      </c>
      <c r="BD211">
        <v>6.2640932340357143</v>
      </c>
      <c r="BE211">
        <v>18</v>
      </c>
      <c r="BF211">
        <v>197.4403766939285</v>
      </c>
      <c r="BG211">
        <v>1</v>
      </c>
      <c r="BH211">
        <v>9.1166762854710051E-2</v>
      </c>
      <c r="BI211">
        <v>12.868820120000001</v>
      </c>
      <c r="BJ211">
        <v>12.868820120000001</v>
      </c>
      <c r="BK211">
        <v>12.868820120000001</v>
      </c>
      <c r="BL211">
        <v>789.87506903020289</v>
      </c>
      <c r="BM211">
        <v>1</v>
      </c>
      <c r="BN211">
        <v>2.2788413897023151E-2</v>
      </c>
      <c r="BO211">
        <v>5.5453000000000001</v>
      </c>
      <c r="BP211">
        <v>5.5453000000000001</v>
      </c>
      <c r="BQ211">
        <v>25.686699999999998</v>
      </c>
      <c r="BR211">
        <v>0</v>
      </c>
      <c r="BS211">
        <v>0</v>
      </c>
      <c r="BU211">
        <v>0</v>
      </c>
      <c r="BV211">
        <v>0</v>
      </c>
      <c r="BW211">
        <v>0</v>
      </c>
      <c r="BZ211">
        <v>9</v>
      </c>
      <c r="CB211">
        <v>4.5583381427355033E-2</v>
      </c>
      <c r="CC211">
        <v>1.1394206948511581E-2</v>
      </c>
      <c r="CE211">
        <v>0.51980907997675552</v>
      </c>
      <c r="CF211">
        <v>0.12993358644113709</v>
      </c>
    </row>
    <row r="212" spans="1:86" x14ac:dyDescent="0.3">
      <c r="A212" s="1">
        <v>179</v>
      </c>
      <c r="B212" t="s">
        <v>476</v>
      </c>
      <c r="C212" t="s">
        <v>477</v>
      </c>
      <c r="F212">
        <v>2.8</v>
      </c>
      <c r="G212" t="s">
        <v>478</v>
      </c>
      <c r="H212" t="s">
        <v>479</v>
      </c>
      <c r="I212">
        <v>-1</v>
      </c>
      <c r="P212">
        <v>1</v>
      </c>
      <c r="Q212" t="s">
        <v>87</v>
      </c>
      <c r="R212">
        <v>1073</v>
      </c>
      <c r="S212">
        <v>24</v>
      </c>
      <c r="T212" t="b">
        <v>0</v>
      </c>
      <c r="U212" t="s">
        <v>125</v>
      </c>
      <c r="V212" t="s">
        <v>126</v>
      </c>
      <c r="W212">
        <v>1</v>
      </c>
      <c r="Y212">
        <v>2.7</v>
      </c>
      <c r="Z212">
        <v>5.4</v>
      </c>
      <c r="AC212" t="s">
        <v>90</v>
      </c>
      <c r="AD212">
        <v>450</v>
      </c>
      <c r="AE212">
        <v>300</v>
      </c>
      <c r="AF212" t="s">
        <v>407</v>
      </c>
      <c r="AH212" s="3">
        <v>1.6</v>
      </c>
      <c r="AI212" s="3">
        <f>AH212/(AD212*Y212*Z212)</f>
        <v>2.4386526444139615E-4</v>
      </c>
      <c r="AJ212" s="3">
        <f t="shared" si="3"/>
        <v>-8.3188946800991417</v>
      </c>
      <c r="AN212" t="b">
        <v>1</v>
      </c>
      <c r="AO212" t="b">
        <v>1</v>
      </c>
      <c r="AP212" t="b">
        <v>0</v>
      </c>
      <c r="AQ212" t="b">
        <v>0</v>
      </c>
      <c r="AR212" t="s">
        <v>220</v>
      </c>
      <c r="AS212" t="s">
        <v>221</v>
      </c>
      <c r="AU212">
        <v>2.0281482472922852</v>
      </c>
      <c r="AV212">
        <v>1.857142857142857</v>
      </c>
      <c r="AW212">
        <v>3.1428571428571428</v>
      </c>
      <c r="AX212">
        <v>2.714285714285714</v>
      </c>
      <c r="AY212">
        <v>3</v>
      </c>
      <c r="AZ212">
        <v>0.17333333333333331</v>
      </c>
      <c r="BA212">
        <v>0.29333333333333328</v>
      </c>
      <c r="BB212">
        <v>0.25333333333333341</v>
      </c>
      <c r="BC212">
        <v>0.28000000000000003</v>
      </c>
      <c r="BD212">
        <v>6.2605065418214281</v>
      </c>
      <c r="BE212">
        <v>18</v>
      </c>
      <c r="BF212">
        <v>197.4403766939285</v>
      </c>
      <c r="BG212">
        <v>1</v>
      </c>
      <c r="BH212">
        <v>9.1166762854710051E-2</v>
      </c>
      <c r="BI212">
        <v>12.868820120000001</v>
      </c>
      <c r="BJ212">
        <v>12.868820120000001</v>
      </c>
      <c r="BK212">
        <v>12.868820120000001</v>
      </c>
      <c r="BL212">
        <v>789.87506903020289</v>
      </c>
      <c r="BM212">
        <v>4</v>
      </c>
      <c r="BN212">
        <v>9.1153655588092616E-2</v>
      </c>
      <c r="BO212">
        <v>5.5453000000000001</v>
      </c>
      <c r="BP212">
        <v>5.5453000000000001</v>
      </c>
      <c r="BQ212">
        <v>25.686699999999998</v>
      </c>
      <c r="BR212">
        <v>0</v>
      </c>
      <c r="BS212">
        <v>0</v>
      </c>
      <c r="BU212">
        <v>0</v>
      </c>
      <c r="BV212">
        <v>0</v>
      </c>
      <c r="BW212">
        <v>0</v>
      </c>
      <c r="BX212">
        <v>771.76370880000013</v>
      </c>
      <c r="BY212">
        <v>9.3292803456580448E-2</v>
      </c>
      <c r="BZ212">
        <v>9</v>
      </c>
      <c r="CA212">
        <v>4.6646401728290217E-2</v>
      </c>
      <c r="CB212">
        <v>4.5583381427355033E-2</v>
      </c>
      <c r="CC212">
        <v>4.5576827794046308E-2</v>
      </c>
      <c r="CE212">
        <v>0.51995616258071931</v>
      </c>
      <c r="CF212">
        <v>0.51988140722208953</v>
      </c>
      <c r="CH212">
        <v>0.53208172104330353</v>
      </c>
    </row>
    <row r="213" spans="1:86" x14ac:dyDescent="0.3">
      <c r="A213" s="1">
        <v>185</v>
      </c>
      <c r="B213" t="s">
        <v>235</v>
      </c>
      <c r="C213" t="s">
        <v>236</v>
      </c>
      <c r="F213">
        <v>2.88</v>
      </c>
      <c r="G213" t="s">
        <v>220</v>
      </c>
      <c r="H213" t="s">
        <v>221</v>
      </c>
      <c r="I213">
        <v>-1</v>
      </c>
      <c r="J213">
        <v>4</v>
      </c>
      <c r="K213">
        <v>5.4960000000000004</v>
      </c>
      <c r="L213">
        <v>5.4960000000000004</v>
      </c>
      <c r="M213">
        <v>25.55</v>
      </c>
      <c r="N213" t="s">
        <v>197</v>
      </c>
      <c r="O213">
        <v>12.775</v>
      </c>
      <c r="Q213" t="s">
        <v>87</v>
      </c>
      <c r="R213">
        <v>1473</v>
      </c>
      <c r="S213">
        <v>24</v>
      </c>
      <c r="T213" t="b">
        <v>0</v>
      </c>
      <c r="U213" t="s">
        <v>125</v>
      </c>
      <c r="V213" t="s">
        <v>126</v>
      </c>
      <c r="W213">
        <v>1</v>
      </c>
      <c r="Y213">
        <v>5</v>
      </c>
      <c r="Z213">
        <v>15</v>
      </c>
      <c r="AC213" t="s">
        <v>496</v>
      </c>
      <c r="AD213">
        <v>450</v>
      </c>
      <c r="AE213">
        <v>420</v>
      </c>
      <c r="AF213" t="s">
        <v>407</v>
      </c>
      <c r="AH213" s="3">
        <v>7.6</v>
      </c>
      <c r="AI213" s="3">
        <f>AH213/(AD213*Y213*Z213)</f>
        <v>2.2518518518518517E-4</v>
      </c>
      <c r="AJ213" s="3">
        <f t="shared" si="3"/>
        <v>-8.3985874490083905</v>
      </c>
      <c r="AK213" t="s">
        <v>239</v>
      </c>
      <c r="AL213" t="s">
        <v>239</v>
      </c>
      <c r="AN213" t="b">
        <v>1</v>
      </c>
      <c r="AO213" t="b">
        <v>1</v>
      </c>
      <c r="AP213" t="b">
        <v>0</v>
      </c>
      <c r="AQ213" t="b">
        <v>0</v>
      </c>
      <c r="AR213" t="s">
        <v>240</v>
      </c>
      <c r="AS213" t="s">
        <v>241</v>
      </c>
      <c r="AU213">
        <v>1.0296194171811579</v>
      </c>
      <c r="AV213">
        <v>1.8642857142857141</v>
      </c>
      <c r="AW213">
        <v>3.1428571428571428</v>
      </c>
      <c r="AX213">
        <v>2.7</v>
      </c>
      <c r="AY213">
        <v>3</v>
      </c>
      <c r="AZ213">
        <v>0.1741160773849233</v>
      </c>
      <c r="BA213">
        <v>0.29352901934623082</v>
      </c>
      <c r="BB213">
        <v>0.25216811207471651</v>
      </c>
      <c r="BC213">
        <v>0.28018679119412943</v>
      </c>
      <c r="BD213">
        <v>6.2577472846785707</v>
      </c>
      <c r="BE213">
        <v>18</v>
      </c>
      <c r="BF213">
        <v>197.4403766939285</v>
      </c>
      <c r="BG213">
        <v>1</v>
      </c>
      <c r="BH213">
        <v>9.1166762854710051E-2</v>
      </c>
      <c r="BI213">
        <v>12.868820120000001</v>
      </c>
      <c r="BJ213">
        <v>12.868820120000001</v>
      </c>
      <c r="BK213">
        <v>12.868820120000001</v>
      </c>
      <c r="BL213">
        <v>789.87506903020289</v>
      </c>
      <c r="BM213">
        <v>1</v>
      </c>
      <c r="BN213">
        <v>2.2788413897023151E-2</v>
      </c>
      <c r="BO213">
        <v>5.5453000000000001</v>
      </c>
      <c r="BP213">
        <v>5.5453000000000001</v>
      </c>
      <c r="BQ213">
        <v>25.686699999999998</v>
      </c>
      <c r="BR213">
        <v>0</v>
      </c>
      <c r="BS213">
        <v>0</v>
      </c>
      <c r="BU213">
        <v>0</v>
      </c>
      <c r="BV213">
        <v>0</v>
      </c>
      <c r="BW213">
        <v>0</v>
      </c>
      <c r="BZ213">
        <v>9</v>
      </c>
      <c r="CB213">
        <v>4.5583381427355033E-2</v>
      </c>
      <c r="CC213">
        <v>1.1394206948511581E-2</v>
      </c>
      <c r="CE213">
        <v>0.51982662437409566</v>
      </c>
      <c r="CF213">
        <v>0.129937971909872</v>
      </c>
    </row>
    <row r="214" spans="1:86" x14ac:dyDescent="0.3">
      <c r="A214" s="1">
        <v>181</v>
      </c>
      <c r="B214" t="s">
        <v>480</v>
      </c>
      <c r="C214" t="s">
        <v>481</v>
      </c>
      <c r="F214">
        <v>3.1</v>
      </c>
      <c r="G214" t="s">
        <v>482</v>
      </c>
      <c r="H214" t="s">
        <v>483</v>
      </c>
      <c r="I214">
        <v>-1</v>
      </c>
      <c r="Q214" t="s">
        <v>87</v>
      </c>
      <c r="R214">
        <v>1373</v>
      </c>
      <c r="S214">
        <v>10</v>
      </c>
      <c r="T214" t="b">
        <v>0</v>
      </c>
      <c r="U214" t="s">
        <v>125</v>
      </c>
      <c r="V214" t="s">
        <v>126</v>
      </c>
      <c r="W214">
        <v>1</v>
      </c>
      <c r="Y214">
        <v>2.7</v>
      </c>
      <c r="Z214">
        <v>5.4</v>
      </c>
      <c r="AC214" t="s">
        <v>90</v>
      </c>
      <c r="AD214">
        <v>450</v>
      </c>
      <c r="AE214">
        <v>300</v>
      </c>
      <c r="AF214" t="s">
        <v>407</v>
      </c>
      <c r="AH214" s="3">
        <v>0.6</v>
      </c>
      <c r="AI214" s="3">
        <f>AH214/(AD214*Y214*Z214)</f>
        <v>9.1449474165523548E-5</v>
      </c>
      <c r="AJ214" s="3">
        <f t="shared" si="3"/>
        <v>-9.2997239331108688</v>
      </c>
      <c r="AN214" t="b">
        <v>0</v>
      </c>
      <c r="AO214" t="b">
        <v>0</v>
      </c>
      <c r="AP214" t="b">
        <v>1</v>
      </c>
      <c r="AQ214" t="b">
        <v>0</v>
      </c>
      <c r="AR214">
        <v>-1</v>
      </c>
      <c r="AS214">
        <v>-1</v>
      </c>
      <c r="AT214" t="s">
        <v>254</v>
      </c>
      <c r="AU214">
        <v>3.619797292926493</v>
      </c>
      <c r="AV214">
        <v>2</v>
      </c>
      <c r="AW214">
        <v>3.083333333333333</v>
      </c>
      <c r="AX214">
        <v>2.416666666666667</v>
      </c>
      <c r="AY214">
        <v>2.916666666666667</v>
      </c>
      <c r="AZ214">
        <v>0.192</v>
      </c>
      <c r="BA214">
        <v>0.29599999999999999</v>
      </c>
      <c r="BB214">
        <v>0.23200000000000001</v>
      </c>
      <c r="BC214">
        <v>0.28000000000000003</v>
      </c>
      <c r="BD214">
        <v>6.1351477771875</v>
      </c>
      <c r="BE214">
        <v>30</v>
      </c>
      <c r="BF214">
        <v>0</v>
      </c>
      <c r="BG214">
        <v>0</v>
      </c>
      <c r="BI214">
        <v>0</v>
      </c>
      <c r="BL214">
        <v>0</v>
      </c>
      <c r="BM214">
        <v>0</v>
      </c>
      <c r="BO214">
        <v>0</v>
      </c>
      <c r="BR214">
        <v>1248.0524760000001</v>
      </c>
      <c r="BS214">
        <v>4</v>
      </c>
      <c r="BT214">
        <v>9.6149803239523393E-2</v>
      </c>
      <c r="BU214">
        <v>41.36</v>
      </c>
      <c r="BV214">
        <v>5.4370000000000003</v>
      </c>
      <c r="BW214">
        <v>5.55</v>
      </c>
      <c r="BZ214">
        <v>15</v>
      </c>
      <c r="CD214">
        <v>4.8074901619761697E-2</v>
      </c>
      <c r="CG214">
        <v>0.54262291872081636</v>
      </c>
    </row>
    <row r="215" spans="1:86" x14ac:dyDescent="0.3">
      <c r="A215" s="1">
        <v>192</v>
      </c>
      <c r="B215" t="s">
        <v>506</v>
      </c>
      <c r="C215" t="s">
        <v>507</v>
      </c>
      <c r="F215">
        <v>2.44</v>
      </c>
      <c r="G215" t="s">
        <v>508</v>
      </c>
      <c r="H215">
        <v>-1</v>
      </c>
      <c r="I215">
        <v>-1</v>
      </c>
      <c r="Q215" t="s">
        <v>87</v>
      </c>
      <c r="R215">
        <v>1073</v>
      </c>
      <c r="S215">
        <v>24</v>
      </c>
      <c r="T215" t="b">
        <v>0</v>
      </c>
      <c r="U215" t="s">
        <v>172</v>
      </c>
      <c r="V215" t="s">
        <v>126</v>
      </c>
      <c r="W215">
        <v>0.375</v>
      </c>
      <c r="Y215">
        <v>3</v>
      </c>
      <c r="Z215">
        <v>20</v>
      </c>
      <c r="AC215" t="s">
        <v>165</v>
      </c>
      <c r="AD215">
        <v>300</v>
      </c>
      <c r="AE215">
        <v>420</v>
      </c>
      <c r="AF215" t="s">
        <v>407</v>
      </c>
      <c r="AH215" s="3">
        <v>0.66</v>
      </c>
      <c r="AI215" s="3">
        <f>AH215/(AD215*Y215*Z215)</f>
        <v>3.6666666666666666E-5</v>
      </c>
      <c r="AJ215" s="3">
        <f t="shared" si="3"/>
        <v>-10.213642480839967</v>
      </c>
      <c r="AN215" t="b">
        <v>1</v>
      </c>
      <c r="AO215" t="b">
        <v>1</v>
      </c>
      <c r="AP215" t="b">
        <v>0</v>
      </c>
      <c r="AQ215" t="b">
        <v>0</v>
      </c>
      <c r="AR215" t="s">
        <v>220</v>
      </c>
      <c r="AS215" t="s">
        <v>221</v>
      </c>
      <c r="AU215">
        <v>2.3674360653136621</v>
      </c>
      <c r="AV215">
        <v>1.857142857142857</v>
      </c>
      <c r="AW215">
        <v>3.1428571428571428</v>
      </c>
      <c r="AX215">
        <v>2.714285714285714</v>
      </c>
      <c r="AY215">
        <v>3</v>
      </c>
      <c r="AZ215">
        <v>0.17333333333333331</v>
      </c>
      <c r="BA215">
        <v>0.29333333333333328</v>
      </c>
      <c r="BB215">
        <v>0.25333333333333341</v>
      </c>
      <c r="BC215">
        <v>0.28000000000000003</v>
      </c>
      <c r="BD215">
        <v>6.2605065418214281</v>
      </c>
      <c r="BE215">
        <v>18</v>
      </c>
      <c r="BF215">
        <v>197.4403766939285</v>
      </c>
      <c r="BG215">
        <v>1</v>
      </c>
      <c r="BH215">
        <v>9.1166762854710051E-2</v>
      </c>
      <c r="BI215">
        <v>12.868820120000001</v>
      </c>
      <c r="BJ215">
        <v>12.868820120000001</v>
      </c>
      <c r="BK215">
        <v>12.868820120000001</v>
      </c>
      <c r="BL215">
        <v>789.87506903020289</v>
      </c>
      <c r="BM215">
        <v>4</v>
      </c>
      <c r="BN215">
        <v>9.1153655588092616E-2</v>
      </c>
      <c r="BO215">
        <v>5.5453000000000001</v>
      </c>
      <c r="BP215">
        <v>5.5453000000000001</v>
      </c>
      <c r="BQ215">
        <v>25.686699999999998</v>
      </c>
      <c r="BR215">
        <v>0</v>
      </c>
      <c r="BS215">
        <v>0</v>
      </c>
      <c r="BU215">
        <v>0</v>
      </c>
      <c r="BV215">
        <v>0</v>
      </c>
      <c r="BW215">
        <v>0</v>
      </c>
      <c r="BX215">
        <v>771.76370880000013</v>
      </c>
      <c r="BY215">
        <v>9.3292803456580448E-2</v>
      </c>
      <c r="BZ215">
        <v>9</v>
      </c>
      <c r="CA215">
        <v>4.6646401728290217E-2</v>
      </c>
      <c r="CB215">
        <v>4.5583381427355033E-2</v>
      </c>
      <c r="CC215">
        <v>4.5576827794046308E-2</v>
      </c>
      <c r="CE215">
        <v>0.51995616258071931</v>
      </c>
      <c r="CF215">
        <v>0.51988140722208953</v>
      </c>
      <c r="CH215">
        <v>0.53208172104330353</v>
      </c>
    </row>
    <row r="216" spans="1:86" x14ac:dyDescent="0.3">
      <c r="A216" s="1">
        <v>191</v>
      </c>
      <c r="B216" t="s">
        <v>501</v>
      </c>
      <c r="C216" t="s">
        <v>502</v>
      </c>
      <c r="F216">
        <v>2.39</v>
      </c>
      <c r="G216" t="s">
        <v>503</v>
      </c>
      <c r="H216" t="s">
        <v>505</v>
      </c>
      <c r="I216">
        <v>-1</v>
      </c>
      <c r="J216">
        <v>4</v>
      </c>
      <c r="K216">
        <v>5.4930000000000003</v>
      </c>
      <c r="L216">
        <v>5.4930000000000003</v>
      </c>
      <c r="M216">
        <v>28.75</v>
      </c>
      <c r="O216">
        <v>14.375</v>
      </c>
      <c r="Q216" t="s">
        <v>87</v>
      </c>
      <c r="R216">
        <v>1073</v>
      </c>
      <c r="S216">
        <v>24</v>
      </c>
      <c r="T216" t="b">
        <v>0</v>
      </c>
      <c r="U216" t="s">
        <v>172</v>
      </c>
      <c r="V216" t="s">
        <v>126</v>
      </c>
      <c r="W216">
        <v>0.375</v>
      </c>
      <c r="Y216">
        <v>3</v>
      </c>
      <c r="Z216">
        <v>20</v>
      </c>
      <c r="AC216" t="s">
        <v>165</v>
      </c>
      <c r="AD216">
        <v>300</v>
      </c>
      <c r="AE216">
        <v>420</v>
      </c>
      <c r="AF216" t="s">
        <v>407</v>
      </c>
      <c r="AH216" s="3">
        <v>0.19800000000000001</v>
      </c>
      <c r="AI216" s="3">
        <f>AH216/(AD216*Y216*Z216)</f>
        <v>1.1E-5</v>
      </c>
      <c r="AJ216" s="3">
        <f t="shared" si="3"/>
        <v>-11.417615285165903</v>
      </c>
      <c r="AN216" t="b">
        <v>1</v>
      </c>
      <c r="AO216" t="b">
        <v>0</v>
      </c>
      <c r="AP216" t="b">
        <v>0</v>
      </c>
      <c r="AQ216" t="b">
        <v>0</v>
      </c>
      <c r="AR216" t="s">
        <v>257</v>
      </c>
      <c r="AS216" t="s">
        <v>258</v>
      </c>
      <c r="AU216">
        <v>3.8133070324889879</v>
      </c>
      <c r="AV216">
        <v>2</v>
      </c>
      <c r="AW216">
        <v>2.8</v>
      </c>
      <c r="AX216">
        <v>2.4</v>
      </c>
      <c r="AY216">
        <v>2.8</v>
      </c>
      <c r="AZ216">
        <v>0.2</v>
      </c>
      <c r="BA216">
        <v>0.28000000000000003</v>
      </c>
      <c r="BB216">
        <v>0.24</v>
      </c>
      <c r="BC216">
        <v>0.28000000000000003</v>
      </c>
      <c r="BD216">
        <v>5.9914570036999999</v>
      </c>
      <c r="BE216">
        <v>6</v>
      </c>
      <c r="BF216">
        <v>62.525817922855822</v>
      </c>
      <c r="BG216">
        <v>1</v>
      </c>
      <c r="BH216">
        <v>9.5960360045234158E-2</v>
      </c>
      <c r="BI216">
        <v>3.969049</v>
      </c>
      <c r="BJ216">
        <v>3.969049</v>
      </c>
      <c r="BK216">
        <v>3.969049</v>
      </c>
      <c r="BL216">
        <v>65.270499999999998</v>
      </c>
      <c r="BM216">
        <v>1</v>
      </c>
      <c r="BN216">
        <v>9.1925142292459849E-2</v>
      </c>
      <c r="BO216">
        <v>4</v>
      </c>
      <c r="BP216">
        <v>4.2110000000000003</v>
      </c>
      <c r="BQ216">
        <v>3.875</v>
      </c>
      <c r="BR216">
        <v>0</v>
      </c>
      <c r="BS216">
        <v>0</v>
      </c>
      <c r="BU216">
        <v>0</v>
      </c>
      <c r="BV216">
        <v>0</v>
      </c>
      <c r="BW216">
        <v>0</v>
      </c>
      <c r="BZ216">
        <v>3</v>
      </c>
      <c r="CB216">
        <v>4.7980180022617079E-2</v>
      </c>
      <c r="CC216">
        <v>4.5962571146229918E-2</v>
      </c>
      <c r="CE216">
        <v>0.58734468850194366</v>
      </c>
      <c r="CF216">
        <v>0.56264632646033053</v>
      </c>
    </row>
    <row r="217" spans="1:86" x14ac:dyDescent="0.3">
      <c r="A217" s="1">
        <v>193</v>
      </c>
      <c r="B217" t="s">
        <v>509</v>
      </c>
      <c r="C217" t="s">
        <v>510</v>
      </c>
      <c r="F217">
        <v>2.48</v>
      </c>
      <c r="G217" t="s">
        <v>511</v>
      </c>
      <c r="H217" t="s">
        <v>512</v>
      </c>
      <c r="I217">
        <v>-1</v>
      </c>
      <c r="Q217" t="s">
        <v>87</v>
      </c>
      <c r="R217">
        <v>1073</v>
      </c>
      <c r="S217">
        <v>24</v>
      </c>
      <c r="T217" t="b">
        <v>0</v>
      </c>
      <c r="U217" t="s">
        <v>172</v>
      </c>
      <c r="V217" t="s">
        <v>126</v>
      </c>
      <c r="W217">
        <v>0.375</v>
      </c>
      <c r="Y217">
        <v>3</v>
      </c>
      <c r="Z217">
        <v>20</v>
      </c>
      <c r="AC217" t="s">
        <v>165</v>
      </c>
      <c r="AD217">
        <v>300</v>
      </c>
      <c r="AE217">
        <v>420</v>
      </c>
      <c r="AF217" t="s">
        <v>407</v>
      </c>
      <c r="AH217" s="3">
        <v>0.13200000000000001</v>
      </c>
      <c r="AI217" s="3">
        <f>AH217/(AD217*Y217*Z217)</f>
        <v>7.333333333333334E-6</v>
      </c>
      <c r="AJ217" s="3">
        <f t="shared" si="3"/>
        <v>-11.823080393274068</v>
      </c>
      <c r="AK217" t="s">
        <v>797</v>
      </c>
      <c r="AL217" t="s">
        <v>797</v>
      </c>
      <c r="AN217" t="b">
        <v>1</v>
      </c>
      <c r="AO217" t="b">
        <v>1</v>
      </c>
      <c r="AP217" t="b">
        <v>0</v>
      </c>
      <c r="AQ217" t="b">
        <v>0</v>
      </c>
      <c r="AR217" t="s">
        <v>798</v>
      </c>
      <c r="AS217" t="s">
        <v>799</v>
      </c>
      <c r="AU217">
        <v>4.1743872698956368</v>
      </c>
      <c r="AV217">
        <v>1.75</v>
      </c>
      <c r="AW217">
        <v>2.75</v>
      </c>
      <c r="AX217">
        <v>2</v>
      </c>
      <c r="AY217">
        <v>1.75</v>
      </c>
      <c r="AZ217">
        <v>0.2121212121212121</v>
      </c>
      <c r="BA217">
        <v>0.33333333333333331</v>
      </c>
      <c r="BB217">
        <v>0.2424242424242424</v>
      </c>
      <c r="BC217">
        <v>0.2121212121212121</v>
      </c>
      <c r="BD217">
        <v>6.3662463368656868</v>
      </c>
      <c r="BE217">
        <v>20</v>
      </c>
      <c r="BF217">
        <v>242.1279024923125</v>
      </c>
      <c r="BG217">
        <v>1</v>
      </c>
      <c r="BH217">
        <v>8.2600971611006269E-2</v>
      </c>
      <c r="BI217">
        <v>3.950634</v>
      </c>
      <c r="BJ217">
        <v>3.950634</v>
      </c>
      <c r="BK217">
        <v>15.513552000000001</v>
      </c>
      <c r="BL217">
        <v>227.970829547178</v>
      </c>
      <c r="BM217">
        <v>1</v>
      </c>
      <c r="BN217">
        <v>8.7730522539775438E-2</v>
      </c>
      <c r="BO217">
        <v>3.8658999999999999</v>
      </c>
      <c r="BP217">
        <v>3.8658999999999999</v>
      </c>
      <c r="BQ217">
        <v>15.2538</v>
      </c>
      <c r="BR217">
        <v>0</v>
      </c>
      <c r="BS217">
        <v>0</v>
      </c>
      <c r="BU217">
        <v>0</v>
      </c>
      <c r="BV217">
        <v>0</v>
      </c>
      <c r="BW217">
        <v>0</v>
      </c>
      <c r="BX217">
        <v>236.30697000000001</v>
      </c>
      <c r="BY217">
        <v>8.4635675367510321E-2</v>
      </c>
      <c r="BZ217">
        <v>10</v>
      </c>
      <c r="CA217">
        <v>4.2317837683755161E-2</v>
      </c>
      <c r="CB217">
        <v>4.1300485805503127E-2</v>
      </c>
      <c r="CC217">
        <v>4.3865261269887719E-2</v>
      </c>
      <c r="CE217">
        <v>0.45209324609135609</v>
      </c>
      <c r="CF217">
        <v>0.48016840410885803</v>
      </c>
      <c r="CH217">
        <v>0.46322962630785253</v>
      </c>
    </row>
    <row r="218" spans="1:86" x14ac:dyDescent="0.3">
      <c r="A218" s="1">
        <v>194</v>
      </c>
      <c r="B218" t="s">
        <v>513</v>
      </c>
      <c r="C218" t="s">
        <v>514</v>
      </c>
      <c r="F218">
        <v>2.52</v>
      </c>
      <c r="G218" t="s">
        <v>515</v>
      </c>
      <c r="H218">
        <v>-1</v>
      </c>
      <c r="I218">
        <v>-1</v>
      </c>
      <c r="Q218" t="s">
        <v>87</v>
      </c>
      <c r="R218">
        <v>1073</v>
      </c>
      <c r="S218">
        <v>24</v>
      </c>
      <c r="T218" t="b">
        <v>0</v>
      </c>
      <c r="U218" t="s">
        <v>172</v>
      </c>
      <c r="V218" t="s">
        <v>126</v>
      </c>
      <c r="W218">
        <v>0.375</v>
      </c>
      <c r="Y218">
        <v>3</v>
      </c>
      <c r="Z218">
        <v>20</v>
      </c>
      <c r="AC218" t="s">
        <v>165</v>
      </c>
      <c r="AD218">
        <v>300</v>
      </c>
      <c r="AE218">
        <v>420</v>
      </c>
      <c r="AF218" t="s">
        <v>407</v>
      </c>
      <c r="AH218" s="3">
        <v>6.6000000000000003E-2</v>
      </c>
      <c r="AI218" s="3">
        <f>AH218/(AD218*Y218*Z218)</f>
        <v>3.666666666666667E-6</v>
      </c>
      <c r="AJ218" s="3">
        <f t="shared" si="3"/>
        <v>-12.516227573834014</v>
      </c>
      <c r="AK218" t="s">
        <v>797</v>
      </c>
      <c r="AL218" t="s">
        <v>797</v>
      </c>
      <c r="AN218" t="b">
        <v>1</v>
      </c>
      <c r="AO218" t="b">
        <v>1</v>
      </c>
      <c r="AP218" t="b">
        <v>0</v>
      </c>
      <c r="AQ218" t="b">
        <v>0</v>
      </c>
      <c r="AR218" t="s">
        <v>800</v>
      </c>
      <c r="AS218" t="s">
        <v>801</v>
      </c>
      <c r="AU218">
        <v>2.4849066497879999</v>
      </c>
      <c r="AV218">
        <v>1.75</v>
      </c>
      <c r="AW218">
        <v>2.75</v>
      </c>
      <c r="AX218">
        <v>2</v>
      </c>
      <c r="AY218">
        <v>1.75</v>
      </c>
      <c r="AZ218">
        <v>0.2121212121212121</v>
      </c>
      <c r="BA218">
        <v>0.33333333333333331</v>
      </c>
      <c r="BB218">
        <v>0.2424242424242424</v>
      </c>
      <c r="BC218">
        <v>0.2121212121212121</v>
      </c>
      <c r="BD218">
        <v>6.3662463368656868</v>
      </c>
      <c r="BE218">
        <v>20</v>
      </c>
      <c r="BF218">
        <v>242.1279024923125</v>
      </c>
      <c r="BG218">
        <v>1</v>
      </c>
      <c r="BH218">
        <v>8.2600971611006269E-2</v>
      </c>
      <c r="BI218">
        <v>3.950634</v>
      </c>
      <c r="BJ218">
        <v>3.950634</v>
      </c>
      <c r="BK218">
        <v>15.513552000000001</v>
      </c>
      <c r="BL218">
        <v>227.970829547178</v>
      </c>
      <c r="BM218">
        <v>1</v>
      </c>
      <c r="BN218">
        <v>8.7730522539775438E-2</v>
      </c>
      <c r="BO218">
        <v>3.8658999999999999</v>
      </c>
      <c r="BP218">
        <v>3.8658999999999999</v>
      </c>
      <c r="BQ218">
        <v>15.2538</v>
      </c>
      <c r="BR218">
        <v>0</v>
      </c>
      <c r="BS218">
        <v>0</v>
      </c>
      <c r="BU218">
        <v>0</v>
      </c>
      <c r="BV218">
        <v>0</v>
      </c>
      <c r="BW218">
        <v>0</v>
      </c>
      <c r="BX218">
        <v>236.30697000000001</v>
      </c>
      <c r="BY218">
        <v>8.4635675367510321E-2</v>
      </c>
      <c r="BZ218">
        <v>10</v>
      </c>
      <c r="CA218">
        <v>4.2317837683755161E-2</v>
      </c>
      <c r="CB218">
        <v>4.1300485805503127E-2</v>
      </c>
      <c r="CC218">
        <v>4.3865261269887719E-2</v>
      </c>
      <c r="CE218">
        <v>0.45209324609135609</v>
      </c>
      <c r="CF218">
        <v>0.48016840410885803</v>
      </c>
      <c r="CH218">
        <v>0.46322962630785253</v>
      </c>
    </row>
    <row r="219" spans="1:86" x14ac:dyDescent="0.3">
      <c r="A219" s="1">
        <v>183</v>
      </c>
      <c r="B219" t="s">
        <v>488</v>
      </c>
      <c r="C219" t="s">
        <v>489</v>
      </c>
      <c r="F219">
        <v>3</v>
      </c>
      <c r="G219" t="s">
        <v>490</v>
      </c>
      <c r="H219" t="s">
        <v>491</v>
      </c>
      <c r="I219">
        <v>-1</v>
      </c>
      <c r="Q219" t="s">
        <v>248</v>
      </c>
      <c r="T219" t="b">
        <v>0</v>
      </c>
      <c r="U219" t="s">
        <v>125</v>
      </c>
      <c r="V219" t="s">
        <v>126</v>
      </c>
      <c r="W219">
        <v>1</v>
      </c>
      <c r="Y219">
        <v>2.7</v>
      </c>
      <c r="Z219">
        <v>5.4</v>
      </c>
      <c r="AC219" t="s">
        <v>90</v>
      </c>
      <c r="AD219">
        <v>450</v>
      </c>
      <c r="AE219">
        <v>300</v>
      </c>
      <c r="AF219" t="s">
        <v>407</v>
      </c>
      <c r="AH219" s="3">
        <v>0.01</v>
      </c>
      <c r="AI219" s="3">
        <f>AH219/(AD219*Y219*Z219)</f>
        <v>1.5241579027587259E-6</v>
      </c>
      <c r="AJ219" s="3">
        <f t="shared" si="3"/>
        <v>-13.394068495332968</v>
      </c>
      <c r="AN219" t="b">
        <v>1</v>
      </c>
      <c r="AO219" t="b">
        <v>1</v>
      </c>
      <c r="AP219" t="b">
        <v>0</v>
      </c>
      <c r="AQ219" t="b">
        <v>0</v>
      </c>
      <c r="AR219" t="s">
        <v>804</v>
      </c>
      <c r="AS219" t="s">
        <v>805</v>
      </c>
      <c r="AU219">
        <v>8.0228968696014569</v>
      </c>
      <c r="AV219">
        <v>2</v>
      </c>
      <c r="AW219">
        <v>2.5</v>
      </c>
      <c r="AX219">
        <v>0.5</v>
      </c>
      <c r="AY219">
        <v>2.333333333333333</v>
      </c>
      <c r="AZ219">
        <v>0.27272727272727282</v>
      </c>
      <c r="BA219">
        <v>0.34090909090909088</v>
      </c>
      <c r="BB219">
        <v>6.8181818181818191E-2</v>
      </c>
      <c r="BC219">
        <v>0.31818181818181818</v>
      </c>
      <c r="BD219">
        <v>5.9267227834374996</v>
      </c>
      <c r="BE219">
        <v>30</v>
      </c>
      <c r="BF219">
        <v>348.60249769877402</v>
      </c>
      <c r="BG219">
        <v>1</v>
      </c>
      <c r="BH219">
        <v>8.6057903193576313E-2</v>
      </c>
      <c r="BI219">
        <v>5.81978595</v>
      </c>
      <c r="BJ219">
        <v>5.81978595</v>
      </c>
      <c r="BK219">
        <v>11.88463337</v>
      </c>
      <c r="BL219">
        <v>341.50925474885508</v>
      </c>
      <c r="BM219">
        <v>1</v>
      </c>
      <c r="BN219">
        <v>8.7845349965879865E-2</v>
      </c>
      <c r="BO219">
        <v>5.7759999999999998</v>
      </c>
      <c r="BP219">
        <v>5.7759999999999998</v>
      </c>
      <c r="BQ219">
        <v>11.82</v>
      </c>
      <c r="BR219">
        <v>0</v>
      </c>
      <c r="BS219">
        <v>0</v>
      </c>
      <c r="BU219">
        <v>0</v>
      </c>
      <c r="BV219">
        <v>0</v>
      </c>
      <c r="BW219">
        <v>0</v>
      </c>
      <c r="BZ219">
        <v>15</v>
      </c>
      <c r="CB219">
        <v>4.3028951596788163E-2</v>
      </c>
      <c r="CC219">
        <v>4.3922674982939933E-2</v>
      </c>
      <c r="CE219">
        <v>0.58209579444379367</v>
      </c>
      <c r="CF219">
        <v>0.59418608726221889</v>
      </c>
    </row>
    <row r="221" spans="1:86" x14ac:dyDescent="0.3">
      <c r="AH221" s="3">
        <f>AVERAGE(AH2:AH219)</f>
        <v>22305.289045343296</v>
      </c>
      <c r="AI221" s="3">
        <f>AVERAGE(AI13:AI219)</f>
        <v>267.82398013873461</v>
      </c>
      <c r="AJ221" s="3">
        <f>AVERAGE(AJ13:AJ219)</f>
        <v>0.83324058505425047</v>
      </c>
    </row>
  </sheetData>
  <sortState xmlns:xlrd2="http://schemas.microsoft.com/office/spreadsheetml/2017/richdata2" ref="A2:AI373">
    <sortCondition descending="1" ref="AI1:AI3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3338-CF16-437E-9D8F-AD40A86037F1}">
  <dimension ref="A1:CH257"/>
  <sheetViews>
    <sheetView tabSelected="1" topLeftCell="T1" workbookViewId="0">
      <pane ySplit="1" topLeftCell="A231" activePane="bottomLeft" state="frozen"/>
      <selection activeCell="Y1" sqref="Y1"/>
      <selection pane="bottomLeft" activeCell="AK245" sqref="AK245"/>
    </sheetView>
  </sheetViews>
  <sheetFormatPr defaultRowHeight="14.4" x14ac:dyDescent="0.3"/>
  <cols>
    <col min="2" max="2" width="28.33203125" customWidth="1"/>
    <col min="23" max="23" width="14.6640625" customWidth="1"/>
    <col min="34" max="36" width="13.33203125" style="3" customWidth="1"/>
  </cols>
  <sheetData>
    <row r="1" spans="1:8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1369</v>
      </c>
      <c r="AJ1" s="2" t="s">
        <v>1370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</row>
    <row r="2" spans="1:86" x14ac:dyDescent="0.3">
      <c r="A2" s="1">
        <v>37</v>
      </c>
      <c r="B2" t="s">
        <v>83</v>
      </c>
      <c r="C2" t="s">
        <v>84</v>
      </c>
      <c r="E2" t="s">
        <v>83</v>
      </c>
      <c r="F2">
        <v>3.3</v>
      </c>
      <c r="G2" t="s">
        <v>85</v>
      </c>
      <c r="H2" t="s">
        <v>86</v>
      </c>
      <c r="I2">
        <v>-1</v>
      </c>
      <c r="J2">
        <v>4</v>
      </c>
      <c r="K2">
        <v>6.6</v>
      </c>
      <c r="L2">
        <v>7.94</v>
      </c>
      <c r="M2">
        <v>33.700000000000003</v>
      </c>
      <c r="O2">
        <v>16.850000000000001</v>
      </c>
      <c r="Q2" t="s">
        <v>87</v>
      </c>
      <c r="R2">
        <v>1473</v>
      </c>
      <c r="S2">
        <v>48</v>
      </c>
      <c r="T2" t="b">
        <v>0</v>
      </c>
      <c r="U2" t="s">
        <v>88</v>
      </c>
      <c r="V2" t="s">
        <v>89</v>
      </c>
      <c r="W2">
        <v>0</v>
      </c>
      <c r="X2">
        <v>1</v>
      </c>
      <c r="Y2">
        <v>3.33</v>
      </c>
      <c r="Z2">
        <v>0</v>
      </c>
      <c r="AC2" t="s">
        <v>90</v>
      </c>
      <c r="AD2">
        <v>450</v>
      </c>
      <c r="AF2" t="s">
        <v>91</v>
      </c>
      <c r="AH2" s="3">
        <v>5</v>
      </c>
      <c r="AI2" s="3" t="e">
        <f>AH2/(AD2*Y2*Z2)</f>
        <v>#DIV/0!</v>
      </c>
      <c r="AJ2" s="3" t="e">
        <f>LN(AI2)</f>
        <v>#DIV/0!</v>
      </c>
      <c r="AN2" t="b">
        <v>1</v>
      </c>
      <c r="AO2" t="b">
        <v>0</v>
      </c>
      <c r="AP2" t="b">
        <v>0</v>
      </c>
      <c r="AQ2" t="b">
        <v>0</v>
      </c>
      <c r="AR2" t="s">
        <v>85</v>
      </c>
      <c r="AS2" t="s">
        <v>86</v>
      </c>
      <c r="AU2">
        <v>1.6094379124341001</v>
      </c>
      <c r="AV2">
        <v>1.62962962962963</v>
      </c>
      <c r="AW2">
        <v>2.518518518518519</v>
      </c>
      <c r="AX2">
        <v>0.88888888888888884</v>
      </c>
      <c r="AY2">
        <v>0</v>
      </c>
      <c r="AZ2">
        <v>0.32352941176470579</v>
      </c>
      <c r="BA2">
        <v>0.5</v>
      </c>
      <c r="BB2">
        <v>0.1764705882352941</v>
      </c>
      <c r="BC2">
        <v>0</v>
      </c>
      <c r="BD2">
        <v>5.9587386867222234</v>
      </c>
      <c r="BE2">
        <v>34</v>
      </c>
      <c r="BF2">
        <v>1767.0449718798691</v>
      </c>
      <c r="BG2">
        <v>4</v>
      </c>
      <c r="BH2">
        <v>7.6964651247849417E-2</v>
      </c>
      <c r="BI2">
        <v>6.6040679999999998</v>
      </c>
      <c r="BJ2">
        <v>7.9389519999999996</v>
      </c>
      <c r="BK2">
        <v>33.703336</v>
      </c>
      <c r="BL2">
        <v>1679.8210721820001</v>
      </c>
      <c r="BM2">
        <v>4</v>
      </c>
      <c r="BN2">
        <v>8.0961003676030277E-2</v>
      </c>
      <c r="BO2">
        <v>7.83</v>
      </c>
      <c r="BP2">
        <v>33.209989999999998</v>
      </c>
      <c r="BQ2">
        <v>6.46</v>
      </c>
      <c r="BR2">
        <v>0</v>
      </c>
      <c r="BS2">
        <v>0</v>
      </c>
      <c r="BU2">
        <v>0</v>
      </c>
      <c r="BV2">
        <v>0</v>
      </c>
      <c r="BW2">
        <v>0</v>
      </c>
      <c r="BX2">
        <v>1766.0147999999999</v>
      </c>
      <c r="BY2">
        <v>7.7009547145358015E-2</v>
      </c>
      <c r="BZ2">
        <v>17</v>
      </c>
      <c r="CA2">
        <v>3.8504773572679007E-2</v>
      </c>
      <c r="CB2">
        <v>3.8482325623924708E-2</v>
      </c>
      <c r="CC2">
        <v>4.0480501838015139E-2</v>
      </c>
      <c r="CE2">
        <v>0.48264383878002193</v>
      </c>
      <c r="CF2">
        <v>0.50770488753139875</v>
      </c>
      <c r="CH2">
        <v>0.48292538008460401</v>
      </c>
    </row>
    <row r="3" spans="1:86" x14ac:dyDescent="0.3">
      <c r="A3" s="1">
        <v>42</v>
      </c>
      <c r="B3" t="s">
        <v>174</v>
      </c>
      <c r="C3" t="s">
        <v>175</v>
      </c>
      <c r="E3" t="s">
        <v>94</v>
      </c>
      <c r="F3">
        <v>3.9</v>
      </c>
      <c r="G3" t="s">
        <v>176</v>
      </c>
      <c r="H3">
        <v>-1</v>
      </c>
      <c r="I3" t="s">
        <v>177</v>
      </c>
      <c r="J3">
        <v>1</v>
      </c>
      <c r="K3">
        <v>3.8849999999999998</v>
      </c>
      <c r="L3">
        <v>3.8849999999999998</v>
      </c>
      <c r="M3">
        <v>11.12</v>
      </c>
      <c r="N3" t="s">
        <v>101</v>
      </c>
      <c r="O3">
        <v>11.12</v>
      </c>
      <c r="P3">
        <v>2</v>
      </c>
      <c r="Q3" t="s">
        <v>87</v>
      </c>
      <c r="R3">
        <v>1373</v>
      </c>
      <c r="S3">
        <v>10</v>
      </c>
      <c r="T3" t="b">
        <v>0</v>
      </c>
      <c r="U3" t="s">
        <v>88</v>
      </c>
      <c r="V3" t="s">
        <v>89</v>
      </c>
      <c r="W3">
        <v>0</v>
      </c>
      <c r="Y3">
        <v>1</v>
      </c>
      <c r="Z3">
        <v>0</v>
      </c>
      <c r="AC3" t="s">
        <v>90</v>
      </c>
      <c r="AD3">
        <v>400</v>
      </c>
      <c r="AE3">
        <v>254</v>
      </c>
      <c r="AF3" t="s">
        <v>91</v>
      </c>
      <c r="AH3" s="3">
        <v>6</v>
      </c>
      <c r="AI3" s="3" t="e">
        <f>AH3/(AD3*Y3*Z3)</f>
        <v>#DIV/0!</v>
      </c>
      <c r="AJ3" s="3" t="e">
        <f>LN(AI3)</f>
        <v>#DIV/0!</v>
      </c>
      <c r="AM3" t="s">
        <v>178</v>
      </c>
      <c r="AN3" t="b">
        <v>1</v>
      </c>
      <c r="AO3" t="b">
        <v>0</v>
      </c>
      <c r="AP3" t="b">
        <v>1</v>
      </c>
      <c r="AQ3" t="b">
        <v>0</v>
      </c>
      <c r="AR3" t="s">
        <v>176</v>
      </c>
      <c r="AS3">
        <v>-1</v>
      </c>
      <c r="AT3" t="s">
        <v>179</v>
      </c>
      <c r="AU3">
        <v>1.791759469228055</v>
      </c>
      <c r="AV3">
        <v>1.9090909090909089</v>
      </c>
      <c r="AW3">
        <v>2.545454545454545</v>
      </c>
      <c r="AX3">
        <v>0.63636363636363635</v>
      </c>
      <c r="AY3">
        <v>2.545454545454545</v>
      </c>
      <c r="AZ3">
        <v>0.25</v>
      </c>
      <c r="BA3">
        <v>0.33333333333333331</v>
      </c>
      <c r="BB3">
        <v>8.3333333333333329E-2</v>
      </c>
      <c r="BC3">
        <v>0.33333333333333331</v>
      </c>
      <c r="BD3">
        <v>6.0049330374090903</v>
      </c>
      <c r="BE3">
        <v>14</v>
      </c>
      <c r="BF3">
        <v>173.0114278564659</v>
      </c>
      <c r="BG3">
        <v>1</v>
      </c>
      <c r="BH3">
        <v>8.0919510193365449E-2</v>
      </c>
      <c r="BI3">
        <v>3.9103940000000001</v>
      </c>
      <c r="BJ3">
        <v>3.9103940000000001</v>
      </c>
      <c r="BK3">
        <v>11.314458</v>
      </c>
      <c r="BL3">
        <v>0</v>
      </c>
      <c r="BM3">
        <v>0</v>
      </c>
      <c r="BO3">
        <v>0</v>
      </c>
      <c r="BR3">
        <v>164.541706117579</v>
      </c>
      <c r="BS3">
        <v>1</v>
      </c>
      <c r="BT3">
        <v>8.5084811202795069E-2</v>
      </c>
      <c r="BU3">
        <v>3.8653</v>
      </c>
      <c r="BV3">
        <v>3.8653</v>
      </c>
      <c r="BW3">
        <v>11.0131</v>
      </c>
      <c r="BX3">
        <v>167.83666199999999</v>
      </c>
      <c r="BY3">
        <v>8.3414433015832998E-2</v>
      </c>
      <c r="BZ3">
        <v>7</v>
      </c>
      <c r="CA3">
        <v>4.1707216507916499E-2</v>
      </c>
      <c r="CB3">
        <v>4.0459755096682717E-2</v>
      </c>
      <c r="CD3">
        <v>4.2542405601397527E-2</v>
      </c>
      <c r="CE3">
        <v>0.51172189361529641</v>
      </c>
      <c r="CG3">
        <v>0.5380625834554803</v>
      </c>
      <c r="CH3">
        <v>0.52749938198721436</v>
      </c>
    </row>
    <row r="4" spans="1:86" x14ac:dyDescent="0.3">
      <c r="A4" s="1">
        <v>43</v>
      </c>
      <c r="B4" t="s">
        <v>180</v>
      </c>
      <c r="C4" t="s">
        <v>181</v>
      </c>
      <c r="E4" t="s">
        <v>94</v>
      </c>
      <c r="F4">
        <v>3.6</v>
      </c>
      <c r="G4">
        <v>-1</v>
      </c>
      <c r="H4">
        <v>-1</v>
      </c>
      <c r="I4" t="s">
        <v>177</v>
      </c>
      <c r="P4">
        <v>2</v>
      </c>
      <c r="Q4" t="s">
        <v>87</v>
      </c>
      <c r="R4">
        <v>1373</v>
      </c>
      <c r="S4">
        <v>10</v>
      </c>
      <c r="T4" t="b">
        <v>0</v>
      </c>
      <c r="U4" t="s">
        <v>88</v>
      </c>
      <c r="V4" t="s">
        <v>89</v>
      </c>
      <c r="W4">
        <v>0</v>
      </c>
      <c r="Y4">
        <v>1</v>
      </c>
      <c r="Z4">
        <v>0</v>
      </c>
      <c r="AC4" t="s">
        <v>90</v>
      </c>
      <c r="AD4">
        <v>400</v>
      </c>
      <c r="AE4">
        <v>254</v>
      </c>
      <c r="AF4" t="s">
        <v>91</v>
      </c>
      <c r="AH4" s="3">
        <v>4.5</v>
      </c>
      <c r="AI4" s="3" t="e">
        <f>AH4/(AD4*Y4*Z4)</f>
        <v>#DIV/0!</v>
      </c>
      <c r="AJ4" s="3" t="e">
        <f>LN(AI4)</f>
        <v>#DIV/0!</v>
      </c>
      <c r="AN4" t="b">
        <v>0</v>
      </c>
      <c r="AO4" t="b">
        <v>0</v>
      </c>
      <c r="AP4" t="b">
        <v>1</v>
      </c>
      <c r="AQ4" t="b">
        <v>0</v>
      </c>
      <c r="AR4">
        <v>-1</v>
      </c>
      <c r="AS4">
        <v>-1</v>
      </c>
      <c r="AT4" t="s">
        <v>177</v>
      </c>
      <c r="AU4">
        <v>1.5040773967762739</v>
      </c>
      <c r="AV4">
        <v>1.9090909090909089</v>
      </c>
      <c r="AW4">
        <v>2.545454545454545</v>
      </c>
      <c r="AX4">
        <v>0.54545454545454541</v>
      </c>
      <c r="AY4">
        <v>2.8181818181818179</v>
      </c>
      <c r="AZ4">
        <v>0.2441860465116279</v>
      </c>
      <c r="BA4">
        <v>0.32558139534883718</v>
      </c>
      <c r="BB4">
        <v>6.9767441860465115E-2</v>
      </c>
      <c r="BC4">
        <v>0.3604651162790698</v>
      </c>
      <c r="BD4">
        <v>5.9797052374090907</v>
      </c>
      <c r="BE4">
        <v>14</v>
      </c>
      <c r="BF4">
        <v>0</v>
      </c>
      <c r="BG4">
        <v>0</v>
      </c>
      <c r="BI4">
        <v>0</v>
      </c>
      <c r="BL4">
        <v>0</v>
      </c>
      <c r="BM4">
        <v>0</v>
      </c>
      <c r="BO4">
        <v>0</v>
      </c>
      <c r="BR4">
        <v>164.541706117579</v>
      </c>
      <c r="BS4">
        <v>1</v>
      </c>
      <c r="BT4">
        <v>8.5084811202795069E-2</v>
      </c>
      <c r="BU4">
        <v>3.8653</v>
      </c>
      <c r="BV4">
        <v>3.8653</v>
      </c>
      <c r="BW4">
        <v>11.0131</v>
      </c>
      <c r="BZ4">
        <v>7</v>
      </c>
      <c r="CD4">
        <v>4.2542405601397527E-2</v>
      </c>
      <c r="CG4">
        <v>0.53381265134868683</v>
      </c>
    </row>
    <row r="5" spans="1:86" x14ac:dyDescent="0.3">
      <c r="A5" s="1">
        <v>44</v>
      </c>
      <c r="B5" t="s">
        <v>182</v>
      </c>
      <c r="C5" t="s">
        <v>183</v>
      </c>
      <c r="E5" t="s">
        <v>94</v>
      </c>
      <c r="F5">
        <v>4.2</v>
      </c>
      <c r="G5">
        <v>-1</v>
      </c>
      <c r="H5">
        <v>-1</v>
      </c>
      <c r="I5" t="s">
        <v>177</v>
      </c>
      <c r="P5">
        <v>2</v>
      </c>
      <c r="Q5" t="s">
        <v>87</v>
      </c>
      <c r="R5">
        <v>1373</v>
      </c>
      <c r="S5">
        <v>10</v>
      </c>
      <c r="T5" t="b">
        <v>0</v>
      </c>
      <c r="U5" t="s">
        <v>88</v>
      </c>
      <c r="V5" t="s">
        <v>89</v>
      </c>
      <c r="W5">
        <v>0</v>
      </c>
      <c r="Y5">
        <v>1</v>
      </c>
      <c r="Z5">
        <v>0</v>
      </c>
      <c r="AC5" t="s">
        <v>90</v>
      </c>
      <c r="AD5">
        <v>400</v>
      </c>
      <c r="AE5">
        <v>254</v>
      </c>
      <c r="AF5" t="s">
        <v>91</v>
      </c>
      <c r="AH5" s="3">
        <v>235</v>
      </c>
      <c r="AI5" s="3" t="e">
        <f>AH5/(AD5*Y5*Z5)</f>
        <v>#DIV/0!</v>
      </c>
      <c r="AJ5" s="3" t="e">
        <f>LN(AI5)</f>
        <v>#DIV/0!</v>
      </c>
      <c r="AM5" t="s">
        <v>184</v>
      </c>
      <c r="AN5" t="b">
        <v>0</v>
      </c>
      <c r="AO5" t="b">
        <v>0</v>
      </c>
      <c r="AP5" t="b">
        <v>1</v>
      </c>
      <c r="AQ5" t="b">
        <v>0</v>
      </c>
      <c r="AR5">
        <v>-1</v>
      </c>
      <c r="AS5">
        <v>-1</v>
      </c>
      <c r="AT5" t="s">
        <v>185</v>
      </c>
      <c r="AU5">
        <v>5.4595855141441589</v>
      </c>
      <c r="AV5">
        <v>1.9090909090909089</v>
      </c>
      <c r="AW5">
        <v>2.545454545454545</v>
      </c>
      <c r="AX5">
        <v>0.54545454545454541</v>
      </c>
      <c r="AY5">
        <v>2.9090909090909092</v>
      </c>
      <c r="AZ5">
        <v>0.2413793103448276</v>
      </c>
      <c r="BA5">
        <v>0.32183908045977011</v>
      </c>
      <c r="BB5">
        <v>6.8965517241379309E-2</v>
      </c>
      <c r="BC5">
        <v>0.36781609195402298</v>
      </c>
      <c r="BD5">
        <v>5.9816624510454544</v>
      </c>
      <c r="BE5">
        <v>14</v>
      </c>
      <c r="BF5">
        <v>0</v>
      </c>
      <c r="BG5">
        <v>0</v>
      </c>
      <c r="BI5">
        <v>0</v>
      </c>
      <c r="BL5">
        <v>0</v>
      </c>
      <c r="BM5">
        <v>0</v>
      </c>
      <c r="BO5">
        <v>0</v>
      </c>
      <c r="BR5">
        <v>164.541706117579</v>
      </c>
      <c r="BS5">
        <v>1</v>
      </c>
      <c r="BT5">
        <v>8.5084811202795069E-2</v>
      </c>
      <c r="BU5">
        <v>3.8653</v>
      </c>
      <c r="BV5">
        <v>3.8653</v>
      </c>
      <c r="BW5">
        <v>11.0131</v>
      </c>
      <c r="BZ5">
        <v>7</v>
      </c>
      <c r="CD5">
        <v>4.2542405601397527E-2</v>
      </c>
      <c r="CG5">
        <v>0.53313423594927023</v>
      </c>
    </row>
    <row r="6" spans="1:86" x14ac:dyDescent="0.3">
      <c r="A6" s="1">
        <v>45</v>
      </c>
      <c r="B6" t="s">
        <v>186</v>
      </c>
      <c r="C6" t="s">
        <v>187</v>
      </c>
      <c r="E6" t="s">
        <v>94</v>
      </c>
      <c r="F6">
        <v>4.2</v>
      </c>
      <c r="G6">
        <v>-1</v>
      </c>
      <c r="H6">
        <v>-1</v>
      </c>
      <c r="I6" t="s">
        <v>177</v>
      </c>
      <c r="P6">
        <v>2</v>
      </c>
      <c r="Q6" t="s">
        <v>87</v>
      </c>
      <c r="R6">
        <v>1373</v>
      </c>
      <c r="S6">
        <v>10</v>
      </c>
      <c r="T6" t="b">
        <v>0</v>
      </c>
      <c r="U6" t="s">
        <v>88</v>
      </c>
      <c r="V6" t="s">
        <v>89</v>
      </c>
      <c r="W6">
        <v>0</v>
      </c>
      <c r="Y6">
        <v>1</v>
      </c>
      <c r="Z6">
        <v>0</v>
      </c>
      <c r="AC6" t="s">
        <v>90</v>
      </c>
      <c r="AD6">
        <v>400</v>
      </c>
      <c r="AE6">
        <v>254</v>
      </c>
      <c r="AF6" t="s">
        <v>91</v>
      </c>
      <c r="AH6" s="3">
        <v>53</v>
      </c>
      <c r="AI6" s="3" t="e">
        <f>AH6/(AD6*Y6*Z6)</f>
        <v>#DIV/0!</v>
      </c>
      <c r="AJ6" s="3" t="e">
        <f>LN(AI6)</f>
        <v>#DIV/0!</v>
      </c>
      <c r="AM6" t="s">
        <v>188</v>
      </c>
      <c r="AN6" t="b">
        <v>0</v>
      </c>
      <c r="AO6" t="b">
        <v>0</v>
      </c>
      <c r="AP6" t="b">
        <v>1</v>
      </c>
      <c r="AQ6" t="b">
        <v>0</v>
      </c>
      <c r="AR6">
        <v>-1</v>
      </c>
      <c r="AS6">
        <v>-1</v>
      </c>
      <c r="AT6" t="s">
        <v>189</v>
      </c>
      <c r="AU6">
        <v>3.970291913552122</v>
      </c>
      <c r="AV6">
        <v>1.9090909090909089</v>
      </c>
      <c r="AW6">
        <v>2.545454545454545</v>
      </c>
      <c r="AX6">
        <v>0.54545454545454541</v>
      </c>
      <c r="AY6">
        <v>3.0909090909090908</v>
      </c>
      <c r="AZ6">
        <v>0.2359550561797753</v>
      </c>
      <c r="BA6">
        <v>0.3146067415730337</v>
      </c>
      <c r="BB6">
        <v>6.7415730337078636E-2</v>
      </c>
      <c r="BC6">
        <v>0.38202247191011229</v>
      </c>
      <c r="BD6">
        <v>5.9899904828636359</v>
      </c>
      <c r="BE6">
        <v>14</v>
      </c>
      <c r="BF6">
        <v>0</v>
      </c>
      <c r="BG6">
        <v>0</v>
      </c>
      <c r="BI6">
        <v>0</v>
      </c>
      <c r="BL6">
        <v>0</v>
      </c>
      <c r="BM6">
        <v>0</v>
      </c>
      <c r="BO6">
        <v>0</v>
      </c>
      <c r="BR6">
        <v>164.541706117579</v>
      </c>
      <c r="BS6">
        <v>1</v>
      </c>
      <c r="BT6">
        <v>8.5084811202795069E-2</v>
      </c>
      <c r="BU6">
        <v>3.8653</v>
      </c>
      <c r="BV6">
        <v>3.8653</v>
      </c>
      <c r="BW6">
        <v>11.0131</v>
      </c>
      <c r="BZ6">
        <v>7</v>
      </c>
      <c r="CD6">
        <v>4.2542405601397527E-2</v>
      </c>
      <c r="CG6">
        <v>0.53077956978118013</v>
      </c>
    </row>
    <row r="7" spans="1:86" x14ac:dyDescent="0.3">
      <c r="A7" s="1">
        <v>65</v>
      </c>
      <c r="B7" t="s">
        <v>174</v>
      </c>
      <c r="C7" t="s">
        <v>175</v>
      </c>
      <c r="E7" t="s">
        <v>94</v>
      </c>
      <c r="F7">
        <v>3.9</v>
      </c>
      <c r="G7" t="s">
        <v>176</v>
      </c>
      <c r="H7">
        <v>-1</v>
      </c>
      <c r="I7" t="s">
        <v>177</v>
      </c>
      <c r="J7">
        <v>1</v>
      </c>
      <c r="K7">
        <v>3.8849999999999998</v>
      </c>
      <c r="L7">
        <v>3.8849999999999998</v>
      </c>
      <c r="M7">
        <v>11.12</v>
      </c>
      <c r="N7" t="s">
        <v>101</v>
      </c>
      <c r="O7">
        <v>11.12</v>
      </c>
      <c r="P7">
        <v>2</v>
      </c>
      <c r="Q7" t="s">
        <v>87</v>
      </c>
      <c r="R7">
        <v>1373</v>
      </c>
      <c r="S7">
        <v>10</v>
      </c>
      <c r="T7" t="b">
        <v>0</v>
      </c>
      <c r="U7" t="s">
        <v>88</v>
      </c>
      <c r="V7" t="s">
        <v>89</v>
      </c>
      <c r="W7">
        <v>0</v>
      </c>
      <c r="Y7">
        <v>1</v>
      </c>
      <c r="AC7" t="s">
        <v>90</v>
      </c>
      <c r="AD7">
        <v>400</v>
      </c>
      <c r="AF7" t="s">
        <v>91</v>
      </c>
      <c r="AH7" s="3">
        <v>6</v>
      </c>
      <c r="AI7" s="3" t="e">
        <f>AH7/(AD7*Y7*Z7)</f>
        <v>#DIV/0!</v>
      </c>
      <c r="AJ7" s="3" t="e">
        <f>LN(AI7)</f>
        <v>#DIV/0!</v>
      </c>
      <c r="AM7" t="s">
        <v>178</v>
      </c>
      <c r="AN7" t="b">
        <v>1</v>
      </c>
      <c r="AO7" t="b">
        <v>0</v>
      </c>
      <c r="AP7" t="b">
        <v>1</v>
      </c>
      <c r="AQ7" t="b">
        <v>0</v>
      </c>
      <c r="AR7" t="s">
        <v>176</v>
      </c>
      <c r="AS7">
        <v>-1</v>
      </c>
      <c r="AT7" t="s">
        <v>242</v>
      </c>
      <c r="AU7">
        <v>1.791759469228055</v>
      </c>
      <c r="AV7">
        <v>1.9090909090909089</v>
      </c>
      <c r="AW7">
        <v>2.545454545454545</v>
      </c>
      <c r="AX7">
        <v>0.63636363636363635</v>
      </c>
      <c r="AY7">
        <v>2.545454545454545</v>
      </c>
      <c r="AZ7">
        <v>0.25</v>
      </c>
      <c r="BA7">
        <v>0.33333333333333331</v>
      </c>
      <c r="BB7">
        <v>8.3333333333333329E-2</v>
      </c>
      <c r="BC7">
        <v>0.33333333333333331</v>
      </c>
      <c r="BD7">
        <v>6.0049330374090903</v>
      </c>
      <c r="BE7">
        <v>14</v>
      </c>
      <c r="BF7">
        <v>173.0114278564659</v>
      </c>
      <c r="BG7">
        <v>1</v>
      </c>
      <c r="BH7">
        <v>8.0919510193365449E-2</v>
      </c>
      <c r="BI7">
        <v>3.9103940000000001</v>
      </c>
      <c r="BJ7">
        <v>3.9103940000000001</v>
      </c>
      <c r="BK7">
        <v>11.314458</v>
      </c>
      <c r="BL7">
        <v>0</v>
      </c>
      <c r="BM7">
        <v>0</v>
      </c>
      <c r="BO7">
        <v>0</v>
      </c>
      <c r="BR7">
        <v>164.541706117579</v>
      </c>
      <c r="BS7">
        <v>1</v>
      </c>
      <c r="BT7">
        <v>8.5084811202795069E-2</v>
      </c>
      <c r="BU7">
        <v>3.8653</v>
      </c>
      <c r="BV7">
        <v>3.8653</v>
      </c>
      <c r="BW7">
        <v>11.0131</v>
      </c>
      <c r="BX7">
        <v>167.83666199999999</v>
      </c>
      <c r="BY7">
        <v>8.3414433015832998E-2</v>
      </c>
      <c r="BZ7">
        <v>7</v>
      </c>
      <c r="CA7">
        <v>4.1707216507916499E-2</v>
      </c>
      <c r="CB7">
        <v>4.0459755096682717E-2</v>
      </c>
      <c r="CD7">
        <v>4.2542405601397527E-2</v>
      </c>
      <c r="CE7">
        <v>0.51172189361529641</v>
      </c>
      <c r="CG7">
        <v>0.5380625834554803</v>
      </c>
      <c r="CH7">
        <v>0.52749938198721436</v>
      </c>
    </row>
    <row r="8" spans="1:86" x14ac:dyDescent="0.3">
      <c r="A8" s="1">
        <v>66</v>
      </c>
      <c r="B8" t="s">
        <v>180</v>
      </c>
      <c r="C8" t="s">
        <v>181</v>
      </c>
      <c r="E8" t="s">
        <v>94</v>
      </c>
      <c r="F8">
        <v>3.5</v>
      </c>
      <c r="G8">
        <v>-1</v>
      </c>
      <c r="H8">
        <v>-1</v>
      </c>
      <c r="I8" t="s">
        <v>177</v>
      </c>
      <c r="J8">
        <v>1</v>
      </c>
      <c r="K8">
        <v>3.8839999999999999</v>
      </c>
      <c r="L8">
        <v>3.8839999999999999</v>
      </c>
      <c r="M8">
        <v>11.12</v>
      </c>
      <c r="N8" t="s">
        <v>101</v>
      </c>
      <c r="O8">
        <v>11.12</v>
      </c>
      <c r="P8">
        <v>2</v>
      </c>
      <c r="Q8" t="s">
        <v>87</v>
      </c>
      <c r="R8">
        <v>1373</v>
      </c>
      <c r="S8">
        <v>10</v>
      </c>
      <c r="T8" t="b">
        <v>0</v>
      </c>
      <c r="U8" t="s">
        <v>88</v>
      </c>
      <c r="V8" t="s">
        <v>89</v>
      </c>
      <c r="W8">
        <v>0</v>
      </c>
      <c r="Y8">
        <v>1</v>
      </c>
      <c r="AC8" t="s">
        <v>90</v>
      </c>
      <c r="AD8">
        <v>400</v>
      </c>
      <c r="AF8" t="s">
        <v>91</v>
      </c>
      <c r="AH8" s="3">
        <v>4.5</v>
      </c>
      <c r="AI8" s="3" t="e">
        <f>AH8/(AD8*Y8*Z8)</f>
        <v>#DIV/0!</v>
      </c>
      <c r="AJ8" s="3" t="e">
        <f>LN(AI8)</f>
        <v>#DIV/0!</v>
      </c>
      <c r="AN8" t="b">
        <v>0</v>
      </c>
      <c r="AO8" t="b">
        <v>0</v>
      </c>
      <c r="AP8" t="b">
        <v>1</v>
      </c>
      <c r="AQ8" t="b">
        <v>0</v>
      </c>
      <c r="AR8">
        <v>-1</v>
      </c>
      <c r="AS8">
        <v>-1</v>
      </c>
      <c r="AT8" t="s">
        <v>177</v>
      </c>
      <c r="AU8">
        <v>1.5040773967762739</v>
      </c>
      <c r="AV8">
        <v>1.9090909090909089</v>
      </c>
      <c r="AW8">
        <v>2.545454545454545</v>
      </c>
      <c r="AX8">
        <v>0.54545454545454541</v>
      </c>
      <c r="AY8">
        <v>2.8181818181818179</v>
      </c>
      <c r="AZ8">
        <v>0.2441860465116279</v>
      </c>
      <c r="BA8">
        <v>0.32558139534883718</v>
      </c>
      <c r="BB8">
        <v>6.9767441860465115E-2</v>
      </c>
      <c r="BC8">
        <v>0.3604651162790698</v>
      </c>
      <c r="BD8">
        <v>5.9797052374090907</v>
      </c>
      <c r="BE8">
        <v>14</v>
      </c>
      <c r="BF8">
        <v>0</v>
      </c>
      <c r="BG8">
        <v>0</v>
      </c>
      <c r="BI8">
        <v>0</v>
      </c>
      <c r="BL8">
        <v>0</v>
      </c>
      <c r="BM8">
        <v>0</v>
      </c>
      <c r="BO8">
        <v>0</v>
      </c>
      <c r="BR8">
        <v>164.541706117579</v>
      </c>
      <c r="BS8">
        <v>1</v>
      </c>
      <c r="BT8">
        <v>8.5084811202795069E-2</v>
      </c>
      <c r="BU8">
        <v>3.8653</v>
      </c>
      <c r="BV8">
        <v>3.8653</v>
      </c>
      <c r="BW8">
        <v>11.0131</v>
      </c>
      <c r="BX8">
        <v>167.75027072</v>
      </c>
      <c r="BY8">
        <v>8.3457391394426247E-2</v>
      </c>
      <c r="BZ8">
        <v>7</v>
      </c>
      <c r="CA8">
        <v>4.1728695697213117E-2</v>
      </c>
      <c r="CD8">
        <v>4.2542405601397527E-2</v>
      </c>
      <c r="CG8">
        <v>0.53381265134868683</v>
      </c>
      <c r="CH8">
        <v>0.52360240030056326</v>
      </c>
    </row>
    <row r="9" spans="1:86" x14ac:dyDescent="0.3">
      <c r="A9" s="1">
        <v>67</v>
      </c>
      <c r="B9" t="s">
        <v>182</v>
      </c>
      <c r="C9" t="s">
        <v>183</v>
      </c>
      <c r="E9" t="s">
        <v>94</v>
      </c>
      <c r="F9">
        <v>3.8</v>
      </c>
      <c r="G9">
        <v>-1</v>
      </c>
      <c r="H9">
        <v>-1</v>
      </c>
      <c r="I9" t="s">
        <v>177</v>
      </c>
      <c r="J9">
        <v>1</v>
      </c>
      <c r="K9">
        <v>3.8460000000000001</v>
      </c>
      <c r="L9">
        <v>3.8460000000000001</v>
      </c>
      <c r="M9">
        <v>11.1</v>
      </c>
      <c r="N9" t="s">
        <v>101</v>
      </c>
      <c r="O9">
        <v>11.1</v>
      </c>
      <c r="P9">
        <v>2</v>
      </c>
      <c r="Q9" t="s">
        <v>87</v>
      </c>
      <c r="R9">
        <v>1373</v>
      </c>
      <c r="S9">
        <v>10</v>
      </c>
      <c r="T9" t="b">
        <v>0</v>
      </c>
      <c r="U9" t="s">
        <v>88</v>
      </c>
      <c r="V9" t="s">
        <v>89</v>
      </c>
      <c r="W9">
        <v>0</v>
      </c>
      <c r="Y9">
        <v>1</v>
      </c>
      <c r="AC9" t="s">
        <v>90</v>
      </c>
      <c r="AD9">
        <v>400</v>
      </c>
      <c r="AF9" t="s">
        <v>91</v>
      </c>
      <c r="AH9" s="3">
        <v>235</v>
      </c>
      <c r="AI9" s="3" t="e">
        <f>AH9/(AD9*Y9*Z9)</f>
        <v>#DIV/0!</v>
      </c>
      <c r="AJ9" s="3" t="e">
        <f>LN(AI9)</f>
        <v>#DIV/0!</v>
      </c>
      <c r="AM9" t="s">
        <v>184</v>
      </c>
      <c r="AN9" t="b">
        <v>0</v>
      </c>
      <c r="AO9" t="b">
        <v>0</v>
      </c>
      <c r="AP9" t="b">
        <v>1</v>
      </c>
      <c r="AQ9" t="b">
        <v>0</v>
      </c>
      <c r="AR9">
        <v>-1</v>
      </c>
      <c r="AS9">
        <v>-1</v>
      </c>
      <c r="AT9" t="s">
        <v>243</v>
      </c>
      <c r="AU9">
        <v>5.4595855141441589</v>
      </c>
      <c r="AV9">
        <v>1.9090909090909089</v>
      </c>
      <c r="AW9">
        <v>2.545454545454545</v>
      </c>
      <c r="AX9">
        <v>0.54545454545454541</v>
      </c>
      <c r="AY9">
        <v>2.9090909090909092</v>
      </c>
      <c r="AZ9">
        <v>0.2413793103448276</v>
      </c>
      <c r="BA9">
        <v>0.32183908045977011</v>
      </c>
      <c r="BB9">
        <v>6.8965517241379309E-2</v>
      </c>
      <c r="BC9">
        <v>0.36781609195402298</v>
      </c>
      <c r="BD9">
        <v>5.9816624510454544</v>
      </c>
      <c r="BE9">
        <v>14</v>
      </c>
      <c r="BF9">
        <v>0</v>
      </c>
      <c r="BG9">
        <v>0</v>
      </c>
      <c r="BI9">
        <v>0</v>
      </c>
      <c r="BL9">
        <v>0</v>
      </c>
      <c r="BM9">
        <v>0</v>
      </c>
      <c r="BO9">
        <v>0</v>
      </c>
      <c r="BR9">
        <v>164.541706117579</v>
      </c>
      <c r="BS9">
        <v>1</v>
      </c>
      <c r="BT9">
        <v>8.5084811202795069E-2</v>
      </c>
      <c r="BU9">
        <v>3.8653</v>
      </c>
      <c r="BV9">
        <v>3.8653</v>
      </c>
      <c r="BW9">
        <v>11.0131</v>
      </c>
      <c r="BX9">
        <v>164.1880476</v>
      </c>
      <c r="BY9">
        <v>8.5268082571438045E-2</v>
      </c>
      <c r="BZ9">
        <v>7</v>
      </c>
      <c r="CA9">
        <v>4.2634041285719022E-2</v>
      </c>
      <c r="CD9">
        <v>4.2542405601397527E-2</v>
      </c>
      <c r="CG9">
        <v>0.53313423594927023</v>
      </c>
      <c r="CH9">
        <v>0.534282598855782</v>
      </c>
    </row>
    <row r="10" spans="1:86" x14ac:dyDescent="0.3">
      <c r="A10" s="1">
        <v>68</v>
      </c>
      <c r="B10" t="s">
        <v>186</v>
      </c>
      <c r="C10" t="s">
        <v>187</v>
      </c>
      <c r="E10" t="s">
        <v>94</v>
      </c>
      <c r="F10">
        <v>3.8</v>
      </c>
      <c r="G10">
        <v>-1</v>
      </c>
      <c r="H10">
        <v>-1</v>
      </c>
      <c r="I10" t="s">
        <v>177</v>
      </c>
      <c r="J10">
        <v>1</v>
      </c>
      <c r="K10">
        <v>3.8420000000000001</v>
      </c>
      <c r="L10">
        <v>3.8420000000000001</v>
      </c>
      <c r="M10">
        <v>11.11</v>
      </c>
      <c r="N10" t="s">
        <v>101</v>
      </c>
      <c r="O10">
        <v>11.11</v>
      </c>
      <c r="P10">
        <v>2</v>
      </c>
      <c r="Q10" t="s">
        <v>87</v>
      </c>
      <c r="R10">
        <v>1373</v>
      </c>
      <c r="S10">
        <v>10</v>
      </c>
      <c r="T10" t="b">
        <v>0</v>
      </c>
      <c r="U10" t="s">
        <v>88</v>
      </c>
      <c r="V10" t="s">
        <v>89</v>
      </c>
      <c r="W10">
        <v>0</v>
      </c>
      <c r="Y10">
        <v>1</v>
      </c>
      <c r="AC10" t="s">
        <v>90</v>
      </c>
      <c r="AD10">
        <v>400</v>
      </c>
      <c r="AF10" t="s">
        <v>91</v>
      </c>
      <c r="AH10" s="3">
        <v>53</v>
      </c>
      <c r="AI10" s="3" t="e">
        <f>AH10/(AD10*Y10*Z10)</f>
        <v>#DIV/0!</v>
      </c>
      <c r="AJ10" s="3" t="e">
        <f>LN(AI10)</f>
        <v>#DIV/0!</v>
      </c>
      <c r="AM10" t="s">
        <v>188</v>
      </c>
      <c r="AN10" t="b">
        <v>0</v>
      </c>
      <c r="AO10" t="b">
        <v>0</v>
      </c>
      <c r="AP10" t="b">
        <v>1</v>
      </c>
      <c r="AQ10" t="b">
        <v>0</v>
      </c>
      <c r="AR10">
        <v>-1</v>
      </c>
      <c r="AS10">
        <v>-1</v>
      </c>
      <c r="AT10" t="s">
        <v>244</v>
      </c>
      <c r="AU10">
        <v>3.970291913552122</v>
      </c>
      <c r="AV10">
        <v>1.9090909090909089</v>
      </c>
      <c r="AW10">
        <v>2.545454545454545</v>
      </c>
      <c r="AX10">
        <v>0.54545454545454541</v>
      </c>
      <c r="AY10">
        <v>3.0909090909090908</v>
      </c>
      <c r="AZ10">
        <v>0.2359550561797753</v>
      </c>
      <c r="BA10">
        <v>0.3146067415730337</v>
      </c>
      <c r="BB10">
        <v>6.7415730337078636E-2</v>
      </c>
      <c r="BC10">
        <v>0.38202247191011229</v>
      </c>
      <c r="BD10">
        <v>5.9899904828636359</v>
      </c>
      <c r="BE10">
        <v>14</v>
      </c>
      <c r="BF10">
        <v>0</v>
      </c>
      <c r="BG10">
        <v>0</v>
      </c>
      <c r="BI10">
        <v>0</v>
      </c>
      <c r="BL10">
        <v>0</v>
      </c>
      <c r="BM10">
        <v>0</v>
      </c>
      <c r="BO10">
        <v>0</v>
      </c>
      <c r="BR10">
        <v>164.541706117579</v>
      </c>
      <c r="BS10">
        <v>1</v>
      </c>
      <c r="BT10">
        <v>8.5084811202795069E-2</v>
      </c>
      <c r="BU10">
        <v>3.8653</v>
      </c>
      <c r="BV10">
        <v>3.8653</v>
      </c>
      <c r="BW10">
        <v>11.0131</v>
      </c>
      <c r="BX10">
        <v>163.99431003999999</v>
      </c>
      <c r="BY10">
        <v>8.5368815519180186E-2</v>
      </c>
      <c r="BZ10">
        <v>7</v>
      </c>
      <c r="CA10">
        <v>4.2684407759590093E-2</v>
      </c>
      <c r="CD10">
        <v>4.2542405601397527E-2</v>
      </c>
      <c r="CG10">
        <v>0.53077956978118013</v>
      </c>
      <c r="CH10">
        <v>0.53255125719208118</v>
      </c>
    </row>
    <row r="11" spans="1:86" x14ac:dyDescent="0.3">
      <c r="A11" s="1">
        <v>69</v>
      </c>
      <c r="B11" t="s">
        <v>245</v>
      </c>
      <c r="C11" t="s">
        <v>246</v>
      </c>
      <c r="E11" t="s">
        <v>130</v>
      </c>
      <c r="F11">
        <v>3.7</v>
      </c>
      <c r="G11">
        <v>-1</v>
      </c>
      <c r="H11">
        <v>-1</v>
      </c>
      <c r="I11" t="s">
        <v>247</v>
      </c>
      <c r="O11">
        <v>0</v>
      </c>
      <c r="Q11" t="s">
        <v>248</v>
      </c>
      <c r="T11" t="b">
        <v>0</v>
      </c>
      <c r="U11" t="s">
        <v>88</v>
      </c>
      <c r="V11" t="s">
        <v>89</v>
      </c>
      <c r="W11">
        <v>0</v>
      </c>
      <c r="Y11">
        <v>1</v>
      </c>
      <c r="AC11" t="s">
        <v>90</v>
      </c>
      <c r="AD11">
        <v>400</v>
      </c>
      <c r="AF11" t="s">
        <v>91</v>
      </c>
      <c r="AH11" s="3">
        <v>3.5</v>
      </c>
      <c r="AI11" s="3" t="e">
        <f>AH11/(AD11*Y11*Z11)</f>
        <v>#DIV/0!</v>
      </c>
      <c r="AJ11" s="3" t="e">
        <f>LN(AI11)</f>
        <v>#DIV/0!</v>
      </c>
      <c r="AN11" t="b">
        <v>0</v>
      </c>
      <c r="AO11" t="b">
        <v>0</v>
      </c>
      <c r="AP11" t="b">
        <v>1</v>
      </c>
      <c r="AQ11" t="b">
        <v>0</v>
      </c>
      <c r="AR11">
        <v>-1</v>
      </c>
      <c r="AS11">
        <v>-1</v>
      </c>
      <c r="AT11" t="s">
        <v>247</v>
      </c>
      <c r="AU11">
        <v>1.2527629684953681</v>
      </c>
      <c r="AV11">
        <v>2</v>
      </c>
      <c r="AW11">
        <v>2.8571428571428572</v>
      </c>
      <c r="AX11">
        <v>0.8571428571428571</v>
      </c>
      <c r="AY11">
        <v>4</v>
      </c>
      <c r="AZ11">
        <v>0.20588235294117649</v>
      </c>
      <c r="BA11">
        <v>0.29411764705882348</v>
      </c>
      <c r="BB11">
        <v>8.8235294117647065E-2</v>
      </c>
      <c r="BC11">
        <v>0.41176470588235298</v>
      </c>
      <c r="BD11">
        <v>6.5109071682142856</v>
      </c>
      <c r="BE11">
        <v>10</v>
      </c>
      <c r="BF11">
        <v>0</v>
      </c>
      <c r="BG11">
        <v>0</v>
      </c>
      <c r="BI11">
        <v>0</v>
      </c>
      <c r="BL11">
        <v>0</v>
      </c>
      <c r="BM11">
        <v>0</v>
      </c>
      <c r="BO11">
        <v>0</v>
      </c>
      <c r="BR11">
        <v>332.44572469099347</v>
      </c>
      <c r="BS11">
        <v>4</v>
      </c>
      <c r="BT11">
        <v>0.12032039226005931</v>
      </c>
      <c r="BU11">
        <v>12.785299999999999</v>
      </c>
      <c r="BV11">
        <v>4.8536999999999999</v>
      </c>
      <c r="BW11">
        <v>5.5275999999999996</v>
      </c>
      <c r="BZ11">
        <v>5</v>
      </c>
      <c r="CD11">
        <v>6.0160196130029632E-2</v>
      </c>
      <c r="CG11">
        <v>0.55192617747886141</v>
      </c>
    </row>
    <row r="12" spans="1:86" x14ac:dyDescent="0.3">
      <c r="A12" s="1">
        <v>70</v>
      </c>
      <c r="B12" t="s">
        <v>249</v>
      </c>
      <c r="C12" t="s">
        <v>250</v>
      </c>
      <c r="E12" t="s">
        <v>130</v>
      </c>
      <c r="F12">
        <v>3</v>
      </c>
      <c r="G12">
        <v>-1</v>
      </c>
      <c r="H12">
        <v>-1</v>
      </c>
      <c r="I12" t="s">
        <v>251</v>
      </c>
      <c r="Q12" t="s">
        <v>248</v>
      </c>
      <c r="T12" t="b">
        <v>0</v>
      </c>
      <c r="U12" t="s">
        <v>88</v>
      </c>
      <c r="V12" t="s">
        <v>89</v>
      </c>
      <c r="W12">
        <v>0</v>
      </c>
      <c r="Y12">
        <v>1</v>
      </c>
      <c r="AC12" t="s">
        <v>90</v>
      </c>
      <c r="AD12">
        <v>400</v>
      </c>
      <c r="AF12" t="s">
        <v>91</v>
      </c>
      <c r="AH12" s="3">
        <v>2</v>
      </c>
      <c r="AI12" s="3" t="e">
        <f>AH12/(AD12*Y12*Z12)</f>
        <v>#DIV/0!</v>
      </c>
      <c r="AJ12" s="3" t="e">
        <f>LN(AI12)</f>
        <v>#DIV/0!</v>
      </c>
      <c r="AN12" t="b">
        <v>0</v>
      </c>
      <c r="AO12" t="b">
        <v>0</v>
      </c>
      <c r="AP12" t="b">
        <v>1</v>
      </c>
      <c r="AQ12" t="b">
        <v>0</v>
      </c>
      <c r="AR12">
        <v>-1</v>
      </c>
      <c r="AS12">
        <v>-1</v>
      </c>
      <c r="AT12" t="s">
        <v>251</v>
      </c>
      <c r="AU12">
        <v>0.69314718055994529</v>
      </c>
      <c r="AV12">
        <v>1.714285714285714</v>
      </c>
      <c r="AW12">
        <v>2.8571428571428572</v>
      </c>
      <c r="AX12">
        <v>1.142857142857143</v>
      </c>
      <c r="AY12">
        <v>0</v>
      </c>
      <c r="AZ12">
        <v>0.3</v>
      </c>
      <c r="BA12">
        <v>0.5</v>
      </c>
      <c r="BB12">
        <v>0.2</v>
      </c>
      <c r="BC12">
        <v>0</v>
      </c>
      <c r="BD12">
        <v>6.4820252782142864</v>
      </c>
      <c r="BE12">
        <v>10</v>
      </c>
      <c r="BF12">
        <v>0</v>
      </c>
      <c r="BG12">
        <v>0</v>
      </c>
      <c r="BI12">
        <v>0</v>
      </c>
      <c r="BL12">
        <v>0</v>
      </c>
      <c r="BM12">
        <v>0</v>
      </c>
      <c r="BO12">
        <v>0</v>
      </c>
      <c r="BR12">
        <v>1351.782831723561</v>
      </c>
      <c r="BS12">
        <v>14</v>
      </c>
      <c r="BT12">
        <v>0.10356693154735221</v>
      </c>
      <c r="BU12">
        <v>19.329999999999998</v>
      </c>
      <c r="BV12">
        <v>3.823</v>
      </c>
      <c r="BW12">
        <v>20.322500000000002</v>
      </c>
      <c r="BZ12">
        <v>5</v>
      </c>
      <c r="CD12">
        <v>5.1783465773676103E-2</v>
      </c>
      <c r="CG12">
        <v>0.47507575040644112</v>
      </c>
    </row>
    <row r="13" spans="1:86" x14ac:dyDescent="0.3">
      <c r="A13" s="1">
        <v>76</v>
      </c>
      <c r="B13" t="s">
        <v>259</v>
      </c>
      <c r="C13" t="s">
        <v>260</v>
      </c>
      <c r="F13">
        <v>3.95</v>
      </c>
      <c r="G13" t="s">
        <v>261</v>
      </c>
      <c r="H13" t="s">
        <v>262</v>
      </c>
      <c r="I13">
        <v>-1</v>
      </c>
      <c r="Q13" t="s">
        <v>263</v>
      </c>
      <c r="R13">
        <v>1473</v>
      </c>
      <c r="S13">
        <v>10</v>
      </c>
      <c r="T13" t="b">
        <v>0</v>
      </c>
      <c r="U13" t="s">
        <v>88</v>
      </c>
      <c r="V13" t="s">
        <v>89</v>
      </c>
      <c r="W13">
        <v>0</v>
      </c>
      <c r="X13">
        <v>3.4</v>
      </c>
      <c r="Y13">
        <v>1.32</v>
      </c>
      <c r="Z13">
        <v>0</v>
      </c>
      <c r="AC13" t="s">
        <v>90</v>
      </c>
      <c r="AD13">
        <v>300</v>
      </c>
      <c r="AF13" t="s">
        <v>91</v>
      </c>
      <c r="AH13" s="3">
        <v>18</v>
      </c>
      <c r="AI13" s="3" t="e">
        <f>AH13/(AD13*Y13*Z13)</f>
        <v>#DIV/0!</v>
      </c>
      <c r="AJ13" s="3" t="e">
        <f>LN(AI13)</f>
        <v>#DIV/0!</v>
      </c>
      <c r="AN13" t="b">
        <v>1</v>
      </c>
      <c r="AO13" t="b">
        <v>1</v>
      </c>
      <c r="AP13" t="b">
        <v>0</v>
      </c>
      <c r="AQ13" t="b">
        <v>0</v>
      </c>
      <c r="AR13" t="s">
        <v>261</v>
      </c>
      <c r="AS13" t="s">
        <v>262</v>
      </c>
      <c r="AU13">
        <v>2.890371757896165</v>
      </c>
      <c r="AV13">
        <v>2</v>
      </c>
      <c r="AW13">
        <v>2.5263157894736841</v>
      </c>
      <c r="AX13">
        <v>0.52631578947368418</v>
      </c>
      <c r="AY13">
        <v>0</v>
      </c>
      <c r="AZ13">
        <v>0.39583333333333343</v>
      </c>
      <c r="BA13">
        <v>0.5</v>
      </c>
      <c r="BB13">
        <v>0.1041666666666667</v>
      </c>
      <c r="BC13">
        <v>0</v>
      </c>
      <c r="BD13">
        <v>5.9525998828421054</v>
      </c>
      <c r="BE13">
        <v>24</v>
      </c>
      <c r="BF13">
        <v>238.908881754341</v>
      </c>
      <c r="BG13">
        <v>1</v>
      </c>
      <c r="BH13">
        <v>0.10045670895014321</v>
      </c>
      <c r="BI13">
        <v>9.3662349099999993</v>
      </c>
      <c r="BJ13">
        <v>9.3662349099999993</v>
      </c>
      <c r="BK13">
        <v>9.3662351000000008</v>
      </c>
      <c r="BL13">
        <v>702.74902632242583</v>
      </c>
      <c r="BM13">
        <v>3</v>
      </c>
      <c r="BN13">
        <v>0.102454784429635</v>
      </c>
      <c r="BO13">
        <v>5.5609999999999999</v>
      </c>
      <c r="BP13">
        <v>5.5609999999999999</v>
      </c>
      <c r="BQ13">
        <v>26.24</v>
      </c>
      <c r="BR13">
        <v>0</v>
      </c>
      <c r="BS13">
        <v>0</v>
      </c>
      <c r="BU13">
        <v>0</v>
      </c>
      <c r="BV13">
        <v>0</v>
      </c>
      <c r="BW13">
        <v>0</v>
      </c>
      <c r="BZ13">
        <v>12</v>
      </c>
      <c r="CB13">
        <v>5.0228354475071582E-2</v>
      </c>
      <c r="CC13">
        <v>5.122739221481748E-2</v>
      </c>
      <c r="CE13">
        <v>0.5555218939519232</v>
      </c>
      <c r="CF13">
        <v>0.56657117763069742</v>
      </c>
    </row>
    <row r="14" spans="1:86" x14ac:dyDescent="0.3">
      <c r="A14" s="1">
        <v>77</v>
      </c>
      <c r="B14" t="s">
        <v>264</v>
      </c>
      <c r="C14" t="s">
        <v>265</v>
      </c>
      <c r="F14">
        <v>3.79</v>
      </c>
      <c r="G14">
        <v>-1</v>
      </c>
      <c r="H14">
        <v>-1</v>
      </c>
      <c r="I14" t="s">
        <v>266</v>
      </c>
      <c r="Q14" t="s">
        <v>263</v>
      </c>
      <c r="R14">
        <v>1373</v>
      </c>
      <c r="S14">
        <v>10</v>
      </c>
      <c r="T14" t="b">
        <v>0</v>
      </c>
      <c r="U14" t="s">
        <v>88</v>
      </c>
      <c r="V14" t="s">
        <v>89</v>
      </c>
      <c r="W14">
        <v>0</v>
      </c>
      <c r="X14">
        <v>6.2</v>
      </c>
      <c r="Y14">
        <v>1.32</v>
      </c>
      <c r="Z14">
        <v>0</v>
      </c>
      <c r="AC14" t="s">
        <v>90</v>
      </c>
      <c r="AD14">
        <v>300</v>
      </c>
      <c r="AF14" t="s">
        <v>91</v>
      </c>
      <c r="AH14" s="3">
        <v>6</v>
      </c>
      <c r="AI14" s="3" t="e">
        <f>AH14/(AD14*Y14*Z14)</f>
        <v>#DIV/0!</v>
      </c>
      <c r="AJ14" s="3" t="e">
        <f>LN(AI14)</f>
        <v>#DIV/0!</v>
      </c>
      <c r="AN14" t="b">
        <v>0</v>
      </c>
      <c r="AO14" t="b">
        <v>0</v>
      </c>
      <c r="AP14" t="b">
        <v>1</v>
      </c>
      <c r="AQ14" t="b">
        <v>0</v>
      </c>
      <c r="AR14">
        <v>-1</v>
      </c>
      <c r="AS14">
        <v>-1</v>
      </c>
      <c r="AT14" t="s">
        <v>266</v>
      </c>
      <c r="AU14">
        <v>1.791759469228055</v>
      </c>
      <c r="AV14">
        <v>2</v>
      </c>
      <c r="AW14">
        <v>2.5</v>
      </c>
      <c r="AX14">
        <v>0.5</v>
      </c>
      <c r="AY14">
        <v>0</v>
      </c>
      <c r="AZ14">
        <v>0.4</v>
      </c>
      <c r="BA14">
        <v>0.5</v>
      </c>
      <c r="BB14">
        <v>0.1</v>
      </c>
      <c r="BC14">
        <v>0</v>
      </c>
      <c r="BD14">
        <v>5.9266181448958326</v>
      </c>
      <c r="BE14">
        <v>30</v>
      </c>
      <c r="BF14">
        <v>0</v>
      </c>
      <c r="BG14">
        <v>0</v>
      </c>
      <c r="BI14">
        <v>0</v>
      </c>
      <c r="BL14">
        <v>0</v>
      </c>
      <c r="BM14">
        <v>0</v>
      </c>
      <c r="BO14">
        <v>0</v>
      </c>
      <c r="BR14">
        <v>291.95700632233951</v>
      </c>
      <c r="BS14">
        <v>1</v>
      </c>
      <c r="BT14">
        <v>0.1027548555107393</v>
      </c>
      <c r="BU14">
        <v>5.532</v>
      </c>
      <c r="BV14">
        <v>5.532</v>
      </c>
      <c r="BW14">
        <v>11.016</v>
      </c>
      <c r="BZ14">
        <v>15</v>
      </c>
      <c r="CD14">
        <v>5.1377427755369659E-2</v>
      </c>
      <c r="CG14">
        <v>0.56787298166919375</v>
      </c>
    </row>
    <row r="15" spans="1:86" x14ac:dyDescent="0.3">
      <c r="A15" s="1">
        <v>78</v>
      </c>
      <c r="B15" t="s">
        <v>267</v>
      </c>
      <c r="C15" t="s">
        <v>268</v>
      </c>
      <c r="F15">
        <v>3.82</v>
      </c>
      <c r="G15">
        <v>-1</v>
      </c>
      <c r="H15">
        <v>-1</v>
      </c>
      <c r="I15" t="s">
        <v>269</v>
      </c>
      <c r="Q15" t="s">
        <v>263</v>
      </c>
      <c r="R15">
        <v>1373</v>
      </c>
      <c r="S15">
        <v>10</v>
      </c>
      <c r="T15" t="b">
        <v>0</v>
      </c>
      <c r="U15" t="s">
        <v>88</v>
      </c>
      <c r="V15" t="s">
        <v>89</v>
      </c>
      <c r="W15">
        <v>0</v>
      </c>
      <c r="X15">
        <v>6.2</v>
      </c>
      <c r="Y15">
        <v>1.32</v>
      </c>
      <c r="Z15">
        <v>0</v>
      </c>
      <c r="AC15" t="s">
        <v>90</v>
      </c>
      <c r="AD15">
        <v>300</v>
      </c>
      <c r="AF15" t="s">
        <v>91</v>
      </c>
      <c r="AH15" s="3">
        <v>4</v>
      </c>
      <c r="AI15" s="3" t="e">
        <f>AH15/(AD15*Y15*Z15)</f>
        <v>#DIV/0!</v>
      </c>
      <c r="AJ15" s="3" t="e">
        <f>LN(AI15)</f>
        <v>#DIV/0!</v>
      </c>
      <c r="AN15" t="b">
        <v>0</v>
      </c>
      <c r="AO15" t="b">
        <v>0</v>
      </c>
      <c r="AP15" t="b">
        <v>1</v>
      </c>
      <c r="AQ15" t="b">
        <v>0</v>
      </c>
      <c r="AR15">
        <v>-1</v>
      </c>
      <c r="AS15">
        <v>-1</v>
      </c>
      <c r="AT15" t="s">
        <v>269</v>
      </c>
      <c r="AU15">
        <v>1.386294361119891</v>
      </c>
      <c r="AV15">
        <v>2</v>
      </c>
      <c r="AW15">
        <v>2.5</v>
      </c>
      <c r="AX15">
        <v>0.5</v>
      </c>
      <c r="AY15">
        <v>0</v>
      </c>
      <c r="AZ15">
        <v>0.4</v>
      </c>
      <c r="BA15">
        <v>0.5</v>
      </c>
      <c r="BB15">
        <v>0.1</v>
      </c>
      <c r="BC15">
        <v>0</v>
      </c>
      <c r="BD15">
        <v>5.9184770403124993</v>
      </c>
      <c r="BE15">
        <v>30</v>
      </c>
      <c r="BF15">
        <v>0</v>
      </c>
      <c r="BG15">
        <v>0</v>
      </c>
      <c r="BI15">
        <v>0</v>
      </c>
      <c r="BL15">
        <v>0</v>
      </c>
      <c r="BM15">
        <v>0</v>
      </c>
      <c r="BO15">
        <v>0</v>
      </c>
      <c r="BR15">
        <v>295.19382183577648</v>
      </c>
      <c r="BS15">
        <v>1</v>
      </c>
      <c r="BT15">
        <v>0.1016281432092089</v>
      </c>
      <c r="BU15">
        <v>5.55</v>
      </c>
      <c r="BV15">
        <v>5.55</v>
      </c>
      <c r="BW15">
        <v>11.066000000000001</v>
      </c>
      <c r="BZ15">
        <v>15</v>
      </c>
      <c r="CD15">
        <v>5.0814071604604459E-2</v>
      </c>
      <c r="CG15">
        <v>0.57325963355758636</v>
      </c>
    </row>
    <row r="16" spans="1:86" x14ac:dyDescent="0.3">
      <c r="A16" s="1">
        <v>79</v>
      </c>
      <c r="B16" t="s">
        <v>270</v>
      </c>
      <c r="C16" t="s">
        <v>271</v>
      </c>
      <c r="F16">
        <v>3.85</v>
      </c>
      <c r="G16" t="s">
        <v>272</v>
      </c>
      <c r="H16" t="s">
        <v>273</v>
      </c>
      <c r="I16">
        <v>-1</v>
      </c>
      <c r="Q16" t="s">
        <v>263</v>
      </c>
      <c r="R16">
        <v>1373</v>
      </c>
      <c r="S16">
        <v>10</v>
      </c>
      <c r="T16" t="b">
        <v>0</v>
      </c>
      <c r="U16" t="s">
        <v>88</v>
      </c>
      <c r="V16" t="s">
        <v>89</v>
      </c>
      <c r="W16">
        <v>0</v>
      </c>
      <c r="X16">
        <v>6.1</v>
      </c>
      <c r="Y16">
        <v>1.32</v>
      </c>
      <c r="Z16">
        <v>0</v>
      </c>
      <c r="AC16" t="s">
        <v>90</v>
      </c>
      <c r="AD16">
        <v>300</v>
      </c>
      <c r="AF16" t="s">
        <v>91</v>
      </c>
      <c r="AH16" s="3">
        <v>10</v>
      </c>
      <c r="AI16" s="3" t="e">
        <f>AH16/(AD16*Y16*Z16)</f>
        <v>#DIV/0!</v>
      </c>
      <c r="AJ16" s="3" t="e">
        <f>LN(AI16)</f>
        <v>#DIV/0!</v>
      </c>
      <c r="AN16" t="b">
        <v>1</v>
      </c>
      <c r="AO16" t="b">
        <v>1</v>
      </c>
      <c r="AP16" t="b">
        <v>0</v>
      </c>
      <c r="AQ16" t="b">
        <v>0</v>
      </c>
      <c r="AR16" t="s">
        <v>272</v>
      </c>
      <c r="AS16" t="s">
        <v>273</v>
      </c>
      <c r="AU16">
        <v>2.3025850929940459</v>
      </c>
      <c r="AV16">
        <v>2</v>
      </c>
      <c r="AW16">
        <v>2.5</v>
      </c>
      <c r="AX16">
        <v>0.5</v>
      </c>
      <c r="AY16">
        <v>0</v>
      </c>
      <c r="AZ16">
        <v>0.4</v>
      </c>
      <c r="BA16">
        <v>0.5</v>
      </c>
      <c r="BB16">
        <v>0.1</v>
      </c>
      <c r="BC16">
        <v>0</v>
      </c>
      <c r="BD16">
        <v>5.9103386476041662</v>
      </c>
      <c r="BE16">
        <v>30</v>
      </c>
      <c r="BF16">
        <v>623.81230762201892</v>
      </c>
      <c r="BG16">
        <v>2</v>
      </c>
      <c r="BH16">
        <v>9.6182776881592519E-2</v>
      </c>
      <c r="BI16">
        <v>5.6269875200000001</v>
      </c>
      <c r="BJ16">
        <v>5.6269875200000001</v>
      </c>
      <c r="BK16">
        <v>22.749475</v>
      </c>
      <c r="BL16">
        <v>602.84300974379028</v>
      </c>
      <c r="BM16">
        <v>2</v>
      </c>
      <c r="BN16">
        <v>9.952839965001857E-2</v>
      </c>
      <c r="BO16">
        <v>5.5670999999999999</v>
      </c>
      <c r="BP16">
        <v>5.5670999999999999</v>
      </c>
      <c r="BQ16">
        <v>22.4603</v>
      </c>
      <c r="BR16">
        <v>0</v>
      </c>
      <c r="BS16">
        <v>0</v>
      </c>
      <c r="BU16">
        <v>0</v>
      </c>
      <c r="BV16">
        <v>0</v>
      </c>
      <c r="BW16">
        <v>0</v>
      </c>
      <c r="BZ16">
        <v>15</v>
      </c>
      <c r="CB16">
        <v>4.8091388440796259E-2</v>
      </c>
      <c r="CC16">
        <v>4.9764199825009292E-2</v>
      </c>
      <c r="CE16">
        <v>0.55608047790729209</v>
      </c>
      <c r="CF16">
        <v>0.5754231873640403</v>
      </c>
    </row>
    <row r="17" spans="1:86" x14ac:dyDescent="0.3">
      <c r="A17" s="1">
        <v>80</v>
      </c>
      <c r="B17" t="s">
        <v>274</v>
      </c>
      <c r="C17" t="s">
        <v>275</v>
      </c>
      <c r="F17">
        <v>4.07</v>
      </c>
      <c r="G17" t="s">
        <v>276</v>
      </c>
      <c r="H17">
        <v>-1</v>
      </c>
      <c r="I17">
        <v>-1</v>
      </c>
      <c r="Q17" t="s">
        <v>263</v>
      </c>
      <c r="R17">
        <v>1073</v>
      </c>
      <c r="S17">
        <v>10</v>
      </c>
      <c r="T17" t="b">
        <v>0</v>
      </c>
      <c r="U17" t="s">
        <v>88</v>
      </c>
      <c r="V17" t="s">
        <v>89</v>
      </c>
      <c r="W17">
        <v>0</v>
      </c>
      <c r="X17">
        <v>5.8</v>
      </c>
      <c r="Y17">
        <v>1.32</v>
      </c>
      <c r="Z17">
        <v>0</v>
      </c>
      <c r="AC17" t="s">
        <v>90</v>
      </c>
      <c r="AD17">
        <v>300</v>
      </c>
      <c r="AF17" t="s">
        <v>91</v>
      </c>
      <c r="AH17" s="3">
        <v>4</v>
      </c>
      <c r="AI17" s="3" t="e">
        <f>AH17/(AD17*Y17*Z17)</f>
        <v>#DIV/0!</v>
      </c>
      <c r="AJ17" s="3" t="e">
        <f>LN(AI17)</f>
        <v>#DIV/0!</v>
      </c>
      <c r="AN17" t="b">
        <v>1</v>
      </c>
      <c r="AO17" t="b">
        <v>0</v>
      </c>
      <c r="AP17" t="b">
        <v>0</v>
      </c>
      <c r="AQ17" t="b">
        <v>0</v>
      </c>
      <c r="AR17" t="s">
        <v>276</v>
      </c>
      <c r="AS17">
        <v>-1</v>
      </c>
      <c r="AU17">
        <v>1.386294361119891</v>
      </c>
      <c r="AV17">
        <v>1.8421052631578949</v>
      </c>
      <c r="AW17">
        <v>2.5263157894736841</v>
      </c>
      <c r="AX17">
        <v>0.68421052631578949</v>
      </c>
      <c r="AY17">
        <v>0</v>
      </c>
      <c r="AZ17">
        <v>0.36458333333333343</v>
      </c>
      <c r="BA17">
        <v>0.5</v>
      </c>
      <c r="BB17">
        <v>0.13541666666666671</v>
      </c>
      <c r="BC17">
        <v>0</v>
      </c>
      <c r="BD17">
        <v>5.9521606512631573</v>
      </c>
      <c r="BE17">
        <v>24</v>
      </c>
      <c r="BF17">
        <v>275.17611786249188</v>
      </c>
      <c r="BG17">
        <v>1</v>
      </c>
      <c r="BH17">
        <v>8.7216871094871057E-2</v>
      </c>
      <c r="BI17">
        <v>9.9321903099999993</v>
      </c>
      <c r="BJ17">
        <v>9.9321903099999993</v>
      </c>
      <c r="BK17">
        <v>9.9321899499999997</v>
      </c>
      <c r="BL17">
        <v>0</v>
      </c>
      <c r="BM17">
        <v>0</v>
      </c>
      <c r="BO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Z17">
        <v>12</v>
      </c>
      <c r="CB17">
        <v>4.3608435547435528E-2</v>
      </c>
      <c r="CE17">
        <v>0.56264133404440508</v>
      </c>
    </row>
    <row r="18" spans="1:86" x14ac:dyDescent="0.3">
      <c r="A18" s="1">
        <v>81</v>
      </c>
      <c r="B18" t="s">
        <v>277</v>
      </c>
      <c r="C18" t="s">
        <v>278</v>
      </c>
      <c r="F18">
        <v>4.04</v>
      </c>
      <c r="G18" t="s">
        <v>279</v>
      </c>
      <c r="H18" t="s">
        <v>280</v>
      </c>
      <c r="I18">
        <v>-1</v>
      </c>
      <c r="O18">
        <v>0</v>
      </c>
      <c r="Q18" t="s">
        <v>263</v>
      </c>
      <c r="R18">
        <v>1073</v>
      </c>
      <c r="S18">
        <v>10</v>
      </c>
      <c r="T18" t="b">
        <v>0</v>
      </c>
      <c r="U18" t="s">
        <v>88</v>
      </c>
      <c r="V18" t="s">
        <v>89</v>
      </c>
      <c r="W18">
        <v>0</v>
      </c>
      <c r="X18">
        <v>7.9</v>
      </c>
      <c r="Y18">
        <v>1.32</v>
      </c>
      <c r="Z18">
        <v>0</v>
      </c>
      <c r="AC18" t="s">
        <v>90</v>
      </c>
      <c r="AD18">
        <v>300</v>
      </c>
      <c r="AF18" t="s">
        <v>91</v>
      </c>
      <c r="AH18" s="3">
        <v>6</v>
      </c>
      <c r="AI18" s="3" t="e">
        <f>AH18/(AD18*Y18*Z18)</f>
        <v>#DIV/0!</v>
      </c>
      <c r="AJ18" s="3" t="e">
        <f>LN(AI18)</f>
        <v>#DIV/0!</v>
      </c>
      <c r="AN18" t="b">
        <v>1</v>
      </c>
      <c r="AO18" t="b">
        <v>1</v>
      </c>
      <c r="AP18" t="b">
        <v>0</v>
      </c>
      <c r="AQ18" t="b">
        <v>0</v>
      </c>
      <c r="AR18" t="s">
        <v>279</v>
      </c>
      <c r="AS18" t="s">
        <v>280</v>
      </c>
      <c r="AU18">
        <v>1.791759469228055</v>
      </c>
      <c r="AV18">
        <v>1.833333333333333</v>
      </c>
      <c r="AW18">
        <v>2.5</v>
      </c>
      <c r="AX18">
        <v>0.66666666666666663</v>
      </c>
      <c r="AY18">
        <v>0</v>
      </c>
      <c r="AZ18">
        <v>0.36666666666666659</v>
      </c>
      <c r="BA18">
        <v>0.5</v>
      </c>
      <c r="BB18">
        <v>0.1333333333333333</v>
      </c>
      <c r="BC18">
        <v>0</v>
      </c>
      <c r="BD18">
        <v>5.9505669778124997</v>
      </c>
      <c r="BE18">
        <v>30</v>
      </c>
      <c r="BF18">
        <v>333.30247418302179</v>
      </c>
      <c r="BG18">
        <v>1</v>
      </c>
      <c r="BH18">
        <v>9.0008332742008132E-2</v>
      </c>
      <c r="BI18">
        <v>5.7458564399999998</v>
      </c>
      <c r="BJ18">
        <v>5.7458564399999998</v>
      </c>
      <c r="BK18">
        <v>11.67169612</v>
      </c>
      <c r="BL18">
        <v>638.56770625824583</v>
      </c>
      <c r="BM18">
        <v>2</v>
      </c>
      <c r="BN18">
        <v>9.3960279249911127E-2</v>
      </c>
      <c r="BO18">
        <v>5.6660000000000004</v>
      </c>
      <c r="BP18">
        <v>5.6660000000000013</v>
      </c>
      <c r="BQ18">
        <v>22.968</v>
      </c>
      <c r="BR18">
        <v>0</v>
      </c>
      <c r="BS18">
        <v>0</v>
      </c>
      <c r="BU18">
        <v>0</v>
      </c>
      <c r="BV18">
        <v>0</v>
      </c>
      <c r="BW18">
        <v>0</v>
      </c>
      <c r="BZ18">
        <v>15</v>
      </c>
      <c r="CB18">
        <v>4.5004166371004073E-2</v>
      </c>
      <c r="CC18">
        <v>4.6980139624955557E-2</v>
      </c>
      <c r="CE18">
        <v>0.54547732833861418</v>
      </c>
      <c r="CF18">
        <v>0.56942730227099381</v>
      </c>
    </row>
    <row r="19" spans="1:86" x14ac:dyDescent="0.3">
      <c r="A19" s="1">
        <v>82</v>
      </c>
      <c r="B19" t="s">
        <v>281</v>
      </c>
      <c r="C19" t="s">
        <v>282</v>
      </c>
      <c r="F19">
        <v>3.87</v>
      </c>
      <c r="G19" t="s">
        <v>283</v>
      </c>
      <c r="H19" t="s">
        <v>284</v>
      </c>
      <c r="I19">
        <v>-1</v>
      </c>
      <c r="Q19" t="s">
        <v>263</v>
      </c>
      <c r="R19">
        <v>1073</v>
      </c>
      <c r="S19">
        <v>10</v>
      </c>
      <c r="T19" t="b">
        <v>0</v>
      </c>
      <c r="U19" t="s">
        <v>88</v>
      </c>
      <c r="V19" t="s">
        <v>89</v>
      </c>
      <c r="W19">
        <v>0</v>
      </c>
      <c r="X19">
        <v>1.9</v>
      </c>
      <c r="Y19">
        <v>1.32</v>
      </c>
      <c r="Z19">
        <v>0</v>
      </c>
      <c r="AC19" t="s">
        <v>90</v>
      </c>
      <c r="AD19">
        <v>300</v>
      </c>
      <c r="AF19" t="s">
        <v>91</v>
      </c>
      <c r="AH19" s="3">
        <v>6</v>
      </c>
      <c r="AI19" s="3" t="e">
        <f>AH19/(AD19*Y19*Z19)</f>
        <v>#DIV/0!</v>
      </c>
      <c r="AJ19" s="3" t="e">
        <f>LN(AI19)</f>
        <v>#DIV/0!</v>
      </c>
      <c r="AN19" t="b">
        <v>1</v>
      </c>
      <c r="AO19" t="b">
        <v>0</v>
      </c>
      <c r="AP19" t="b">
        <v>0</v>
      </c>
      <c r="AQ19" t="b">
        <v>0</v>
      </c>
      <c r="AR19" t="s">
        <v>283</v>
      </c>
      <c r="AS19" t="s">
        <v>284</v>
      </c>
      <c r="AU19">
        <v>1.791759469228055</v>
      </c>
      <c r="AV19">
        <v>1.833333333333333</v>
      </c>
      <c r="AW19">
        <v>2.5</v>
      </c>
      <c r="AX19">
        <v>0.66666666666666663</v>
      </c>
      <c r="AY19">
        <v>0</v>
      </c>
      <c r="AZ19">
        <v>0.36666666666666659</v>
      </c>
      <c r="BA19">
        <v>0.5</v>
      </c>
      <c r="BB19">
        <v>0.1333333333333333</v>
      </c>
      <c r="BC19">
        <v>0</v>
      </c>
      <c r="BD19">
        <v>5.9098750142708329</v>
      </c>
      <c r="BE19">
        <v>30</v>
      </c>
      <c r="BF19">
        <v>353.45760058531442</v>
      </c>
      <c r="BG19">
        <v>1</v>
      </c>
      <c r="BH19">
        <v>8.487580957467307E-2</v>
      </c>
      <c r="BI19">
        <v>5.8532381300000003</v>
      </c>
      <c r="BJ19">
        <v>5.8532371599999999</v>
      </c>
      <c r="BK19">
        <v>11.912811489999999</v>
      </c>
      <c r="BL19">
        <v>342.77011164986561</v>
      </c>
      <c r="BM19">
        <v>1</v>
      </c>
      <c r="BN19">
        <v>8.7522216728874364E-2</v>
      </c>
      <c r="BO19">
        <v>5.7946</v>
      </c>
      <c r="BP19">
        <v>5.7946</v>
      </c>
      <c r="BQ19">
        <v>11.787599999999999</v>
      </c>
      <c r="BR19">
        <v>0</v>
      </c>
      <c r="BS19">
        <v>0</v>
      </c>
      <c r="BU19">
        <v>0</v>
      </c>
      <c r="BV19">
        <v>0</v>
      </c>
      <c r="BW19">
        <v>0</v>
      </c>
      <c r="BZ19">
        <v>15</v>
      </c>
      <c r="CB19">
        <v>4.2437904787336528E-2</v>
      </c>
      <c r="CC19">
        <v>4.3761108364437182E-2</v>
      </c>
      <c r="CE19">
        <v>0.57410011132036631</v>
      </c>
      <c r="CF19">
        <v>0.59200041353179089</v>
      </c>
    </row>
    <row r="20" spans="1:86" x14ac:dyDescent="0.3">
      <c r="A20" s="1">
        <v>87</v>
      </c>
      <c r="B20" t="s">
        <v>285</v>
      </c>
      <c r="C20" t="s">
        <v>286</v>
      </c>
      <c r="F20">
        <v>4.5999999999999996</v>
      </c>
      <c r="G20" t="s">
        <v>287</v>
      </c>
      <c r="H20" t="s">
        <v>288</v>
      </c>
      <c r="I20">
        <v>-1</v>
      </c>
      <c r="O20">
        <v>0</v>
      </c>
      <c r="Q20" t="s">
        <v>87</v>
      </c>
      <c r="R20">
        <v>1450</v>
      </c>
      <c r="S20">
        <v>200</v>
      </c>
      <c r="T20" t="b">
        <v>0</v>
      </c>
      <c r="U20" t="s">
        <v>88</v>
      </c>
      <c r="V20" t="s">
        <v>89</v>
      </c>
      <c r="W20">
        <v>0</v>
      </c>
      <c r="X20">
        <v>0.9</v>
      </c>
      <c r="Y20">
        <v>2.63</v>
      </c>
      <c r="Z20">
        <v>0</v>
      </c>
      <c r="AC20" t="s">
        <v>165</v>
      </c>
      <c r="AD20">
        <v>300</v>
      </c>
      <c r="AF20" t="s">
        <v>91</v>
      </c>
      <c r="AH20" s="3">
        <v>52</v>
      </c>
      <c r="AI20" s="3" t="e">
        <f>AH20/(AD20*Y20*Z20)</f>
        <v>#DIV/0!</v>
      </c>
      <c r="AJ20" s="3" t="e">
        <f>LN(AI20)</f>
        <v>#DIV/0!</v>
      </c>
      <c r="AN20" t="b">
        <v>1</v>
      </c>
      <c r="AO20" t="b">
        <v>1</v>
      </c>
      <c r="AP20" t="b">
        <v>0</v>
      </c>
      <c r="AQ20" t="b">
        <v>0</v>
      </c>
      <c r="AR20" t="s">
        <v>287</v>
      </c>
      <c r="AS20" t="s">
        <v>288</v>
      </c>
      <c r="AU20">
        <v>3.951243718581428</v>
      </c>
      <c r="AV20">
        <v>2</v>
      </c>
      <c r="AW20">
        <v>2.545454545454545</v>
      </c>
      <c r="AX20">
        <v>0.54545454545454541</v>
      </c>
      <c r="AY20">
        <v>2.545454545454545</v>
      </c>
      <c r="AZ20">
        <v>0.26190476190476192</v>
      </c>
      <c r="BA20">
        <v>0.33333333333333331</v>
      </c>
      <c r="BB20">
        <v>7.1428571428571425E-2</v>
      </c>
      <c r="BC20">
        <v>0.33333333333333331</v>
      </c>
      <c r="BD20">
        <v>6.0365865096818183</v>
      </c>
      <c r="BE20">
        <v>14</v>
      </c>
      <c r="BF20">
        <v>309.44138863753989</v>
      </c>
      <c r="BG20">
        <v>2</v>
      </c>
      <c r="BH20">
        <v>9.0485633235046756E-2</v>
      </c>
      <c r="BI20">
        <v>13.81974189</v>
      </c>
      <c r="BJ20">
        <v>13.81974189</v>
      </c>
      <c r="BK20">
        <v>5.7110870199999999</v>
      </c>
      <c r="BL20">
        <v>608.87893199999996</v>
      </c>
      <c r="BM20">
        <v>4</v>
      </c>
      <c r="BN20">
        <v>9.1972306901891634E-2</v>
      </c>
      <c r="BO20">
        <v>3.94</v>
      </c>
      <c r="BP20">
        <v>27.15</v>
      </c>
      <c r="BQ20">
        <v>5.6920000000000002</v>
      </c>
      <c r="BR20">
        <v>0</v>
      </c>
      <c r="BS20">
        <v>0</v>
      </c>
      <c r="BU20">
        <v>0</v>
      </c>
      <c r="BV20">
        <v>0</v>
      </c>
      <c r="BW20">
        <v>0</v>
      </c>
      <c r="BZ20">
        <v>7</v>
      </c>
      <c r="CB20">
        <v>4.5242816617523378E-2</v>
      </c>
      <c r="CC20">
        <v>4.5986153450945817E-2</v>
      </c>
      <c r="CE20">
        <v>0.52932707238285004</v>
      </c>
      <c r="CF20">
        <v>0.53802388525275069</v>
      </c>
    </row>
    <row r="21" spans="1:86" x14ac:dyDescent="0.3">
      <c r="A21" s="1">
        <v>88</v>
      </c>
      <c r="B21" t="s">
        <v>289</v>
      </c>
      <c r="C21" t="s">
        <v>290</v>
      </c>
      <c r="F21">
        <v>3.9</v>
      </c>
      <c r="G21" t="s">
        <v>291</v>
      </c>
      <c r="H21" t="s">
        <v>292</v>
      </c>
      <c r="I21">
        <v>-1</v>
      </c>
      <c r="O21">
        <v>0</v>
      </c>
      <c r="Q21" t="s">
        <v>87</v>
      </c>
      <c r="R21">
        <v>1370</v>
      </c>
      <c r="S21">
        <v>150</v>
      </c>
      <c r="T21" t="b">
        <v>0</v>
      </c>
      <c r="U21" t="s">
        <v>88</v>
      </c>
      <c r="V21" t="s">
        <v>89</v>
      </c>
      <c r="W21">
        <v>0</v>
      </c>
      <c r="X21">
        <v>0.7</v>
      </c>
      <c r="Y21">
        <v>2.63</v>
      </c>
      <c r="Z21">
        <v>0</v>
      </c>
      <c r="AC21" t="s">
        <v>165</v>
      </c>
      <c r="AD21">
        <v>300</v>
      </c>
      <c r="AF21" t="s">
        <v>91</v>
      </c>
      <c r="AH21" s="3">
        <v>5.9</v>
      </c>
      <c r="AI21" s="3" t="e">
        <f>AH21/(AD21*Y21*Z21)</f>
        <v>#DIV/0!</v>
      </c>
      <c r="AJ21" s="3" t="e">
        <f>LN(AI21)</f>
        <v>#DIV/0!</v>
      </c>
      <c r="AN21" t="b">
        <v>1</v>
      </c>
      <c r="AO21" t="b">
        <v>0</v>
      </c>
      <c r="AP21" t="b">
        <v>0</v>
      </c>
      <c r="AQ21" t="b">
        <v>0</v>
      </c>
      <c r="AR21" t="s">
        <v>291</v>
      </c>
      <c r="AS21" t="s">
        <v>292</v>
      </c>
      <c r="AU21">
        <v>1.774952350911674</v>
      </c>
      <c r="AV21">
        <v>1.8181818181818179</v>
      </c>
      <c r="AW21">
        <v>2.545454545454545</v>
      </c>
      <c r="AX21">
        <v>0.72727272727272729</v>
      </c>
      <c r="AY21">
        <v>0</v>
      </c>
      <c r="AZ21">
        <v>0.35714285714285721</v>
      </c>
      <c r="BA21">
        <v>0.5</v>
      </c>
      <c r="BB21">
        <v>0.1428571428571429</v>
      </c>
      <c r="BC21">
        <v>0</v>
      </c>
      <c r="BD21">
        <v>6.0182071251363629</v>
      </c>
      <c r="BE21">
        <v>14</v>
      </c>
      <c r="BF21">
        <v>1265.6493143942739</v>
      </c>
      <c r="BG21">
        <v>8</v>
      </c>
      <c r="BH21">
        <v>8.8492127105210025E-2</v>
      </c>
      <c r="BI21">
        <v>5.8017180100000001</v>
      </c>
      <c r="BJ21">
        <v>7.9756520899999996</v>
      </c>
      <c r="BK21">
        <v>27.352093400000001</v>
      </c>
      <c r="BL21">
        <v>1206.4392746112001</v>
      </c>
      <c r="BM21">
        <v>8</v>
      </c>
      <c r="BN21">
        <v>9.2835174017436004E-2</v>
      </c>
      <c r="BO21">
        <v>26.646989999999999</v>
      </c>
      <c r="BP21">
        <v>7.9359999999999999</v>
      </c>
      <c r="BQ21">
        <v>5.7050000000000001</v>
      </c>
      <c r="BR21">
        <v>0</v>
      </c>
      <c r="BS21">
        <v>0</v>
      </c>
      <c r="BU21">
        <v>0</v>
      </c>
      <c r="BV21">
        <v>0</v>
      </c>
      <c r="BW21">
        <v>0</v>
      </c>
      <c r="BZ21">
        <v>7</v>
      </c>
      <c r="CB21">
        <v>4.4246063552605013E-2</v>
      </c>
      <c r="CC21">
        <v>4.6417587008718002E-2</v>
      </c>
      <c r="CE21">
        <v>0.5176653673612065</v>
      </c>
      <c r="CF21">
        <v>0.54307152550012683</v>
      </c>
    </row>
    <row r="22" spans="1:86" x14ac:dyDescent="0.3">
      <c r="A22" s="1">
        <v>107</v>
      </c>
      <c r="B22" t="s">
        <v>354</v>
      </c>
      <c r="C22" t="s">
        <v>355</v>
      </c>
      <c r="E22" t="s">
        <v>106</v>
      </c>
      <c r="F22">
        <v>4.0999999999999996</v>
      </c>
      <c r="G22" t="s">
        <v>142</v>
      </c>
      <c r="H22" t="s">
        <v>356</v>
      </c>
      <c r="I22">
        <v>-1</v>
      </c>
      <c r="J22">
        <v>1</v>
      </c>
      <c r="K22">
        <v>3.87</v>
      </c>
      <c r="L22">
        <v>3.87</v>
      </c>
      <c r="M22">
        <v>15.1</v>
      </c>
      <c r="N22" t="s">
        <v>101</v>
      </c>
      <c r="O22">
        <v>15.1</v>
      </c>
      <c r="Q22" t="s">
        <v>87</v>
      </c>
      <c r="R22">
        <v>1273</v>
      </c>
      <c r="S22">
        <v>10</v>
      </c>
      <c r="T22" t="b">
        <v>0</v>
      </c>
      <c r="U22" t="s">
        <v>88</v>
      </c>
      <c r="V22" t="s">
        <v>89</v>
      </c>
      <c r="W22">
        <v>0</v>
      </c>
      <c r="Y22">
        <v>1</v>
      </c>
      <c r="Z22">
        <v>0</v>
      </c>
      <c r="AC22" t="s">
        <v>90</v>
      </c>
      <c r="AD22">
        <v>400</v>
      </c>
      <c r="AF22" t="s">
        <v>91</v>
      </c>
      <c r="AH22" s="3">
        <v>38</v>
      </c>
      <c r="AI22" s="3" t="e">
        <f>AH22/(AD22*Y22*Z22)</f>
        <v>#DIV/0!</v>
      </c>
      <c r="AJ22" s="3" t="e">
        <f>LN(AI22)</f>
        <v>#DIV/0!</v>
      </c>
      <c r="AN22" t="b">
        <v>1</v>
      </c>
      <c r="AO22" t="b">
        <v>1</v>
      </c>
      <c r="AP22" t="b">
        <v>0</v>
      </c>
      <c r="AQ22" t="b">
        <v>0</v>
      </c>
      <c r="AR22" t="s">
        <v>142</v>
      </c>
      <c r="AS22" t="s">
        <v>356</v>
      </c>
      <c r="AU22">
        <v>3.6375861597263861</v>
      </c>
      <c r="AV22">
        <v>1.9375</v>
      </c>
      <c r="AW22">
        <v>2.5</v>
      </c>
      <c r="AX22">
        <v>0.5625</v>
      </c>
      <c r="AY22">
        <v>2.625</v>
      </c>
      <c r="AZ22">
        <v>0.25409836065573771</v>
      </c>
      <c r="BA22">
        <v>0.32786885245901642</v>
      </c>
      <c r="BB22">
        <v>7.3770491803278687E-2</v>
      </c>
      <c r="BC22">
        <v>0.34426229508196721</v>
      </c>
      <c r="BD22">
        <v>5.9708714839196873</v>
      </c>
      <c r="BE22">
        <v>20</v>
      </c>
      <c r="BF22">
        <v>242.1279024923125</v>
      </c>
      <c r="BG22">
        <v>1</v>
      </c>
      <c r="BH22">
        <v>8.2600971611006269E-2</v>
      </c>
      <c r="BI22">
        <v>3.950634</v>
      </c>
      <c r="BJ22">
        <v>3.950634</v>
      </c>
      <c r="BK22">
        <v>15.513552000000001</v>
      </c>
      <c r="BL22">
        <v>227.970829547178</v>
      </c>
      <c r="BM22">
        <v>1</v>
      </c>
      <c r="BN22">
        <v>8.7730522539775438E-2</v>
      </c>
      <c r="BO22">
        <v>3.8658999999999999</v>
      </c>
      <c r="BP22">
        <v>3.8658999999999999</v>
      </c>
      <c r="BQ22">
        <v>15.2538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226.15119000000001</v>
      </c>
      <c r="BY22">
        <v>8.8436412826304378E-2</v>
      </c>
      <c r="BZ22">
        <v>10</v>
      </c>
      <c r="CA22">
        <v>4.4218206413152189E-2</v>
      </c>
      <c r="CB22">
        <v>4.1300485805503127E-2</v>
      </c>
      <c r="CC22">
        <v>4.3865261269887719E-2</v>
      </c>
      <c r="CE22">
        <v>0.52453741991489766</v>
      </c>
      <c r="CF22">
        <v>0.55711138795694104</v>
      </c>
      <c r="CH22">
        <v>0.56159397287594881</v>
      </c>
    </row>
    <row r="23" spans="1:86" x14ac:dyDescent="0.3">
      <c r="A23" s="1">
        <v>108</v>
      </c>
      <c r="B23" t="s">
        <v>357</v>
      </c>
      <c r="C23" t="s">
        <v>358</v>
      </c>
      <c r="D23" t="s">
        <v>359</v>
      </c>
      <c r="E23" t="s">
        <v>106</v>
      </c>
      <c r="F23">
        <v>4.3</v>
      </c>
      <c r="G23" t="s">
        <v>360</v>
      </c>
      <c r="H23">
        <v>7221084</v>
      </c>
      <c r="I23">
        <v>-1</v>
      </c>
      <c r="J23">
        <v>1</v>
      </c>
      <c r="K23">
        <v>3.87</v>
      </c>
      <c r="L23">
        <v>3.87</v>
      </c>
      <c r="M23">
        <v>17.2</v>
      </c>
      <c r="N23" t="s">
        <v>101</v>
      </c>
      <c r="O23">
        <v>17.2</v>
      </c>
      <c r="Q23" t="s">
        <v>87</v>
      </c>
      <c r="R23">
        <v>1273</v>
      </c>
      <c r="S23">
        <v>10</v>
      </c>
      <c r="T23" t="b">
        <v>0</v>
      </c>
      <c r="U23" t="s">
        <v>88</v>
      </c>
      <c r="V23" t="s">
        <v>89</v>
      </c>
      <c r="W23">
        <v>0</v>
      </c>
      <c r="Y23">
        <v>1</v>
      </c>
      <c r="Z23">
        <v>0</v>
      </c>
      <c r="AC23" t="s">
        <v>90</v>
      </c>
      <c r="AD23">
        <v>400</v>
      </c>
      <c r="AF23" t="s">
        <v>91</v>
      </c>
      <c r="AH23" s="3">
        <v>61</v>
      </c>
      <c r="AI23" s="3" t="e">
        <f>AH23/(AD23*Y23*Z23)</f>
        <v>#DIV/0!</v>
      </c>
      <c r="AJ23" s="3" t="e">
        <f>LN(AI23)</f>
        <v>#DIV/0!</v>
      </c>
      <c r="AK23" t="s">
        <v>361</v>
      </c>
      <c r="AN23" t="b">
        <v>1</v>
      </c>
      <c r="AO23" t="b">
        <v>0</v>
      </c>
      <c r="AP23" t="b">
        <v>0</v>
      </c>
      <c r="AQ23" t="b">
        <v>0</v>
      </c>
      <c r="AR23" t="s">
        <v>362</v>
      </c>
      <c r="AS23">
        <v>7221084</v>
      </c>
      <c r="AU23">
        <v>4.1108738641733114</v>
      </c>
      <c r="AV23">
        <v>1.9375</v>
      </c>
      <c r="AW23">
        <v>2.5</v>
      </c>
      <c r="AX23">
        <v>0.5625</v>
      </c>
      <c r="AY23">
        <v>2.625</v>
      </c>
      <c r="AZ23">
        <v>0.25409836065573771</v>
      </c>
      <c r="BA23">
        <v>0.32786885245901642</v>
      </c>
      <c r="BB23">
        <v>7.3770491803278687E-2</v>
      </c>
      <c r="BC23">
        <v>0.34426229508196721</v>
      </c>
      <c r="BD23">
        <v>6.0109294267394651</v>
      </c>
      <c r="BE23">
        <v>20</v>
      </c>
      <c r="BF23">
        <v>228.79463039162999</v>
      </c>
      <c r="BG23">
        <v>1</v>
      </c>
      <c r="BH23">
        <v>8.7414638908989289E-2</v>
      </c>
      <c r="BI23">
        <v>14.953465080000001</v>
      </c>
      <c r="BJ23">
        <v>14.953465080000001</v>
      </c>
      <c r="BK23">
        <v>14.953465080000001</v>
      </c>
      <c r="BL23">
        <v>435.46461117984001</v>
      </c>
      <c r="BM23">
        <v>2</v>
      </c>
      <c r="BN23">
        <v>9.1855914288016927E-2</v>
      </c>
      <c r="BO23">
        <v>3.8607</v>
      </c>
      <c r="BP23">
        <v>3.8607</v>
      </c>
      <c r="BQ23">
        <v>29.216000000000001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257.60268000000002</v>
      </c>
      <c r="BY23">
        <v>7.7638943818441636E-2</v>
      </c>
      <c r="BZ23">
        <v>10</v>
      </c>
      <c r="CA23">
        <v>3.8819471909220818E-2</v>
      </c>
      <c r="CB23">
        <v>4.3707319454494638E-2</v>
      </c>
      <c r="CC23">
        <v>4.5927957144008463E-2</v>
      </c>
      <c r="CE23">
        <v>0.47751984033781458</v>
      </c>
      <c r="CF23">
        <v>0.50178118988245535</v>
      </c>
      <c r="CH23">
        <v>0.42411816280312159</v>
      </c>
    </row>
    <row r="24" spans="1:86" x14ac:dyDescent="0.3">
      <c r="A24" s="1">
        <v>109</v>
      </c>
      <c r="B24" t="s">
        <v>363</v>
      </c>
      <c r="C24" t="s">
        <v>364</v>
      </c>
      <c r="D24" t="s">
        <v>365</v>
      </c>
      <c r="E24" t="s">
        <v>106</v>
      </c>
      <c r="F24">
        <v>4.2</v>
      </c>
      <c r="G24" t="s">
        <v>360</v>
      </c>
      <c r="H24">
        <v>-1</v>
      </c>
      <c r="I24">
        <v>-1</v>
      </c>
      <c r="J24">
        <v>1</v>
      </c>
      <c r="K24">
        <v>3.87</v>
      </c>
      <c r="L24">
        <v>3.87</v>
      </c>
      <c r="M24">
        <v>14.4</v>
      </c>
      <c r="N24" t="s">
        <v>101</v>
      </c>
      <c r="O24">
        <v>14.4</v>
      </c>
      <c r="Q24" t="s">
        <v>87</v>
      </c>
      <c r="R24">
        <v>1273</v>
      </c>
      <c r="S24">
        <v>10</v>
      </c>
      <c r="T24" t="b">
        <v>0</v>
      </c>
      <c r="U24" t="s">
        <v>88</v>
      </c>
      <c r="V24" t="s">
        <v>89</v>
      </c>
      <c r="W24">
        <v>0</v>
      </c>
      <c r="Y24">
        <v>1</v>
      </c>
      <c r="Z24">
        <v>0</v>
      </c>
      <c r="AC24" t="s">
        <v>90</v>
      </c>
      <c r="AD24">
        <v>400</v>
      </c>
      <c r="AF24" t="s">
        <v>91</v>
      </c>
      <c r="AH24" s="3">
        <v>13</v>
      </c>
      <c r="AI24" s="3" t="e">
        <f>AH24/(AD24*Y24*Z24)</f>
        <v>#DIV/0!</v>
      </c>
      <c r="AJ24" s="3" t="e">
        <f>LN(AI24)</f>
        <v>#DIV/0!</v>
      </c>
      <c r="AK24" t="s">
        <v>366</v>
      </c>
      <c r="AN24" t="b">
        <v>1</v>
      </c>
      <c r="AO24" t="b">
        <v>0</v>
      </c>
      <c r="AP24" t="b">
        <v>0</v>
      </c>
      <c r="AQ24" t="b">
        <v>0</v>
      </c>
      <c r="AR24" t="s">
        <v>367</v>
      </c>
      <c r="AU24">
        <v>2.5649493574615372</v>
      </c>
      <c r="AV24">
        <v>1.9375</v>
      </c>
      <c r="AW24">
        <v>2.5</v>
      </c>
      <c r="AX24">
        <v>0.5625</v>
      </c>
      <c r="AY24">
        <v>2.625</v>
      </c>
      <c r="AZ24">
        <v>0.25409836065573771</v>
      </c>
      <c r="BA24">
        <v>0.32786885245901642</v>
      </c>
      <c r="BB24">
        <v>7.3770491803278687E-2</v>
      </c>
      <c r="BC24">
        <v>0.34426229508196721</v>
      </c>
      <c r="BD24">
        <v>6.2465261493751134</v>
      </c>
      <c r="BE24">
        <v>20</v>
      </c>
      <c r="BF24">
        <v>228.79463039162999</v>
      </c>
      <c r="BG24">
        <v>1</v>
      </c>
      <c r="BH24">
        <v>8.7414638908989289E-2</v>
      </c>
      <c r="BI24">
        <v>14.953465080000001</v>
      </c>
      <c r="BJ24">
        <v>14.953465080000001</v>
      </c>
      <c r="BK24">
        <v>14.953465080000001</v>
      </c>
      <c r="BL24">
        <v>0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215.66736</v>
      </c>
      <c r="BY24">
        <v>9.2735405116471964E-2</v>
      </c>
      <c r="BZ24">
        <v>10</v>
      </c>
      <c r="CA24">
        <v>4.6367702558235982E-2</v>
      </c>
      <c r="CB24">
        <v>4.3707319454494638E-2</v>
      </c>
      <c r="CE24">
        <v>0.45265797121107831</v>
      </c>
      <c r="CH24">
        <v>0.48021041856803798</v>
      </c>
    </row>
    <row r="25" spans="1:86" x14ac:dyDescent="0.3">
      <c r="A25" s="1">
        <v>116</v>
      </c>
      <c r="B25" t="s">
        <v>370</v>
      </c>
      <c r="C25" t="s">
        <v>371</v>
      </c>
      <c r="E25" t="s">
        <v>372</v>
      </c>
      <c r="F25">
        <v>3.59</v>
      </c>
      <c r="G25" t="s">
        <v>373</v>
      </c>
      <c r="H25" t="s">
        <v>374</v>
      </c>
      <c r="I25">
        <v>-1</v>
      </c>
      <c r="Q25" t="s">
        <v>87</v>
      </c>
      <c r="R25">
        <v>1223</v>
      </c>
      <c r="S25">
        <v>0.5</v>
      </c>
      <c r="T25" t="b">
        <v>0</v>
      </c>
      <c r="U25" t="s">
        <v>88</v>
      </c>
      <c r="V25" t="s">
        <v>89</v>
      </c>
      <c r="W25">
        <v>0</v>
      </c>
      <c r="X25">
        <v>3.59</v>
      </c>
      <c r="Y25">
        <v>0.6</v>
      </c>
      <c r="Z25">
        <v>0</v>
      </c>
      <c r="AC25" t="s">
        <v>90</v>
      </c>
      <c r="AD25">
        <v>450</v>
      </c>
      <c r="AF25" t="s">
        <v>91</v>
      </c>
      <c r="AH25" s="3">
        <v>36</v>
      </c>
      <c r="AI25" s="3" t="e">
        <f>AH25/(AD25*Y25*Z25)</f>
        <v>#DIV/0!</v>
      </c>
      <c r="AJ25" s="3" t="e">
        <f>LN(AI25)</f>
        <v>#DIV/0!</v>
      </c>
      <c r="AN25" t="b">
        <v>1</v>
      </c>
      <c r="AO25" t="b">
        <v>1</v>
      </c>
      <c r="AP25" t="b">
        <v>0</v>
      </c>
      <c r="AQ25" t="b">
        <v>0</v>
      </c>
      <c r="AR25" t="s">
        <v>373</v>
      </c>
      <c r="AS25" t="s">
        <v>374</v>
      </c>
      <c r="AU25">
        <v>3.5835189384561099</v>
      </c>
      <c r="AV25">
        <v>1.857142857142857</v>
      </c>
      <c r="AW25">
        <v>2.285714285714286</v>
      </c>
      <c r="AX25">
        <v>0.42857142857142849</v>
      </c>
      <c r="AY25">
        <v>0</v>
      </c>
      <c r="AZ25">
        <v>0.40625000000000011</v>
      </c>
      <c r="BA25">
        <v>0.5</v>
      </c>
      <c r="BB25">
        <v>9.375E-2</v>
      </c>
      <c r="BC25">
        <v>0</v>
      </c>
      <c r="BD25">
        <v>5.585493284</v>
      </c>
      <c r="BE25">
        <v>8</v>
      </c>
      <c r="BF25">
        <v>203.79933701026059</v>
      </c>
      <c r="BG25">
        <v>2</v>
      </c>
      <c r="BH25">
        <v>7.8508596910668346E-2</v>
      </c>
      <c r="BI25">
        <v>3.8703880000000002</v>
      </c>
      <c r="BJ25">
        <v>3.8703880000000002</v>
      </c>
      <c r="BK25">
        <v>13.604850000000001</v>
      </c>
      <c r="BL25">
        <v>198.77623248847371</v>
      </c>
      <c r="BM25">
        <v>2</v>
      </c>
      <c r="BN25">
        <v>8.0492520658513728E-2</v>
      </c>
      <c r="BO25">
        <v>3.8415499999999998</v>
      </c>
      <c r="BP25">
        <v>3.8415499999999998</v>
      </c>
      <c r="BQ25">
        <v>13.4695</v>
      </c>
      <c r="BR25">
        <v>0</v>
      </c>
      <c r="BS25">
        <v>0</v>
      </c>
      <c r="BU25">
        <v>0</v>
      </c>
      <c r="BV25">
        <v>0</v>
      </c>
      <c r="BW25">
        <v>0</v>
      </c>
      <c r="BZ25">
        <v>4</v>
      </c>
      <c r="CB25">
        <v>3.9254298455334173E-2</v>
      </c>
      <c r="CC25">
        <v>4.0246260329256857E-2</v>
      </c>
      <c r="CE25">
        <v>0.55645098073491583</v>
      </c>
      <c r="CF25">
        <v>0.57051257855519022</v>
      </c>
    </row>
    <row r="26" spans="1:86" x14ac:dyDescent="0.3">
      <c r="A26" s="1">
        <v>117</v>
      </c>
      <c r="B26" t="s">
        <v>375</v>
      </c>
      <c r="C26" t="s">
        <v>376</v>
      </c>
      <c r="E26" t="s">
        <v>372</v>
      </c>
      <c r="F26">
        <v>3.74</v>
      </c>
      <c r="G26" t="s">
        <v>373</v>
      </c>
      <c r="H26" t="s">
        <v>374</v>
      </c>
      <c r="I26">
        <v>-1</v>
      </c>
      <c r="Q26" t="s">
        <v>87</v>
      </c>
      <c r="R26">
        <v>1223</v>
      </c>
      <c r="S26">
        <v>0.5</v>
      </c>
      <c r="T26" t="b">
        <v>0</v>
      </c>
      <c r="U26" t="s">
        <v>88</v>
      </c>
      <c r="V26" t="s">
        <v>89</v>
      </c>
      <c r="W26">
        <v>0</v>
      </c>
      <c r="X26">
        <v>3.74</v>
      </c>
      <c r="Y26">
        <v>0.6</v>
      </c>
      <c r="Z26">
        <v>0</v>
      </c>
      <c r="AC26" t="s">
        <v>90</v>
      </c>
      <c r="AD26">
        <v>450</v>
      </c>
      <c r="AF26" t="s">
        <v>91</v>
      </c>
      <c r="AH26" s="3">
        <v>65.400000000000006</v>
      </c>
      <c r="AI26" s="3" t="e">
        <f>AH26/(AD26*Y26*Z26)</f>
        <v>#DIV/0!</v>
      </c>
      <c r="AJ26" s="3" t="e">
        <f>LN(AI26)</f>
        <v>#DIV/0!</v>
      </c>
      <c r="AK26" t="s">
        <v>377</v>
      </c>
      <c r="AN26" t="b">
        <v>1</v>
      </c>
      <c r="AO26" t="b">
        <v>0</v>
      </c>
      <c r="AP26" t="b">
        <v>0</v>
      </c>
      <c r="AQ26" t="b">
        <v>0</v>
      </c>
      <c r="AR26" t="s">
        <v>378</v>
      </c>
      <c r="AS26" t="s">
        <v>374</v>
      </c>
      <c r="AU26">
        <v>4.180522258463153</v>
      </c>
      <c r="AV26">
        <v>1.857142857142857</v>
      </c>
      <c r="AW26">
        <v>2.285714285714286</v>
      </c>
      <c r="AX26">
        <v>0.42857142857142849</v>
      </c>
      <c r="AY26">
        <v>0</v>
      </c>
      <c r="AZ26">
        <v>0.40625000000000011</v>
      </c>
      <c r="BA26">
        <v>0.5</v>
      </c>
      <c r="BB26">
        <v>9.375E-2</v>
      </c>
      <c r="BC26">
        <v>0</v>
      </c>
      <c r="BD26">
        <v>5.5866629268571426</v>
      </c>
      <c r="BE26">
        <v>8</v>
      </c>
      <c r="BF26">
        <v>203.79933701026059</v>
      </c>
      <c r="BG26">
        <v>1</v>
      </c>
      <c r="BH26">
        <v>3.9254298455334173E-2</v>
      </c>
      <c r="BI26">
        <v>3.8703880000000002</v>
      </c>
      <c r="BJ26">
        <v>3.8703880000000002</v>
      </c>
      <c r="BK26">
        <v>13.604850000000001</v>
      </c>
      <c r="BL26">
        <v>198.77623248847371</v>
      </c>
      <c r="BM26">
        <v>2</v>
      </c>
      <c r="BN26">
        <v>8.0492520658513728E-2</v>
      </c>
      <c r="BO26">
        <v>3.8415499999999998</v>
      </c>
      <c r="BP26">
        <v>3.8415499999999998</v>
      </c>
      <c r="BQ26">
        <v>13.4695</v>
      </c>
      <c r="BR26">
        <v>0</v>
      </c>
      <c r="BS26">
        <v>0</v>
      </c>
      <c r="BU26">
        <v>0</v>
      </c>
      <c r="BV26">
        <v>0</v>
      </c>
      <c r="BW26">
        <v>0</v>
      </c>
      <c r="BZ26">
        <v>4</v>
      </c>
      <c r="CB26">
        <v>1.962714922766709E-2</v>
      </c>
      <c r="CC26">
        <v>4.0246260329256857E-2</v>
      </c>
      <c r="CE26">
        <v>0.27868293400296251</v>
      </c>
      <c r="CF26">
        <v>0.57145058516159675</v>
      </c>
    </row>
    <row r="27" spans="1:86" x14ac:dyDescent="0.3">
      <c r="A27" s="1">
        <v>118</v>
      </c>
      <c r="B27" t="s">
        <v>379</v>
      </c>
      <c r="C27" t="s">
        <v>380</v>
      </c>
      <c r="E27" t="s">
        <v>372</v>
      </c>
      <c r="F27">
        <v>3.82</v>
      </c>
      <c r="G27" t="s">
        <v>373</v>
      </c>
      <c r="H27" t="s">
        <v>374</v>
      </c>
      <c r="I27">
        <v>-1</v>
      </c>
      <c r="Q27" t="s">
        <v>87</v>
      </c>
      <c r="R27">
        <v>1223</v>
      </c>
      <c r="S27">
        <v>0.5</v>
      </c>
      <c r="T27" t="b">
        <v>0</v>
      </c>
      <c r="U27" t="s">
        <v>88</v>
      </c>
      <c r="V27" t="s">
        <v>89</v>
      </c>
      <c r="W27">
        <v>0</v>
      </c>
      <c r="X27">
        <v>3.82</v>
      </c>
      <c r="Y27">
        <v>0.6</v>
      </c>
      <c r="Z27">
        <v>0</v>
      </c>
      <c r="AC27" t="s">
        <v>90</v>
      </c>
      <c r="AD27">
        <v>450</v>
      </c>
      <c r="AF27" t="s">
        <v>91</v>
      </c>
      <c r="AH27" s="3">
        <v>84.2</v>
      </c>
      <c r="AI27" s="3" t="e">
        <f>AH27/(AD27*Y27*Z27)</f>
        <v>#DIV/0!</v>
      </c>
      <c r="AJ27" s="3" t="e">
        <f>LN(AI27)</f>
        <v>#DIV/0!</v>
      </c>
      <c r="AK27" t="s">
        <v>381</v>
      </c>
      <c r="AN27" t="b">
        <v>1</v>
      </c>
      <c r="AO27" t="b">
        <v>0</v>
      </c>
      <c r="AP27" t="b">
        <v>0</v>
      </c>
      <c r="AQ27" t="b">
        <v>0</v>
      </c>
      <c r="AR27" t="s">
        <v>382</v>
      </c>
      <c r="AS27" t="s">
        <v>374</v>
      </c>
      <c r="AU27">
        <v>4.4331949212482824</v>
      </c>
      <c r="AV27">
        <v>1.857142857142857</v>
      </c>
      <c r="AW27">
        <v>2.285714285714286</v>
      </c>
      <c r="AX27">
        <v>0.42857142857142849</v>
      </c>
      <c r="AY27">
        <v>0</v>
      </c>
      <c r="AZ27">
        <v>0.40625000000000011</v>
      </c>
      <c r="BA27">
        <v>0.5</v>
      </c>
      <c r="BB27">
        <v>9.375E-2</v>
      </c>
      <c r="BC27">
        <v>0</v>
      </c>
      <c r="BD27">
        <v>5.5890022125714278</v>
      </c>
      <c r="BE27">
        <v>8</v>
      </c>
      <c r="BF27">
        <v>203.79933701026059</v>
      </c>
      <c r="BG27">
        <v>1</v>
      </c>
      <c r="BH27">
        <v>3.9254298455334173E-2</v>
      </c>
      <c r="BI27">
        <v>3.8703880000000002</v>
      </c>
      <c r="BJ27">
        <v>3.8703880000000002</v>
      </c>
      <c r="BK27">
        <v>13.604850000000001</v>
      </c>
      <c r="BL27">
        <v>198.77623248847371</v>
      </c>
      <c r="BM27">
        <v>2</v>
      </c>
      <c r="BN27">
        <v>8.0492520658513728E-2</v>
      </c>
      <c r="BO27">
        <v>3.8415499999999998</v>
      </c>
      <c r="BP27">
        <v>3.8415499999999998</v>
      </c>
      <c r="BQ27">
        <v>13.4695</v>
      </c>
      <c r="BR27">
        <v>0</v>
      </c>
      <c r="BS27">
        <v>0</v>
      </c>
      <c r="BU27">
        <v>0</v>
      </c>
      <c r="BV27">
        <v>0</v>
      </c>
      <c r="BW27">
        <v>0</v>
      </c>
      <c r="BZ27">
        <v>4</v>
      </c>
      <c r="CB27">
        <v>1.962714922766709E-2</v>
      </c>
      <c r="CC27">
        <v>4.0246260329256857E-2</v>
      </c>
      <c r="CE27">
        <v>0.27959782127397181</v>
      </c>
      <c r="CF27">
        <v>0.57332659837441002</v>
      </c>
    </row>
    <row r="28" spans="1:86" x14ac:dyDescent="0.3">
      <c r="A28" s="1">
        <v>119</v>
      </c>
      <c r="B28" t="s">
        <v>383</v>
      </c>
      <c r="C28" t="s">
        <v>384</v>
      </c>
      <c r="E28" t="s">
        <v>372</v>
      </c>
      <c r="F28">
        <v>4.16</v>
      </c>
      <c r="G28" t="s">
        <v>373</v>
      </c>
      <c r="H28" t="s">
        <v>374</v>
      </c>
      <c r="I28">
        <v>-1</v>
      </c>
      <c r="Q28" t="s">
        <v>87</v>
      </c>
      <c r="R28">
        <v>1223</v>
      </c>
      <c r="S28">
        <v>0.5</v>
      </c>
      <c r="T28" t="b">
        <v>0</v>
      </c>
      <c r="U28" t="s">
        <v>88</v>
      </c>
      <c r="V28" t="s">
        <v>89</v>
      </c>
      <c r="W28">
        <v>0</v>
      </c>
      <c r="X28">
        <v>4.16</v>
      </c>
      <c r="Y28">
        <v>0.6</v>
      </c>
      <c r="Z28">
        <v>0</v>
      </c>
      <c r="AC28" t="s">
        <v>90</v>
      </c>
      <c r="AD28">
        <v>450</v>
      </c>
      <c r="AF28" t="s">
        <v>91</v>
      </c>
      <c r="AH28" s="3">
        <v>69.2</v>
      </c>
      <c r="AI28" s="3" t="e">
        <f>AH28/(AD28*Y28*Z28)</f>
        <v>#DIV/0!</v>
      </c>
      <c r="AJ28" s="3" t="e">
        <f>LN(AI28)</f>
        <v>#DIV/0!</v>
      </c>
      <c r="AK28" t="s">
        <v>385</v>
      </c>
      <c r="AN28" t="b">
        <v>1</v>
      </c>
      <c r="AO28" t="b">
        <v>0</v>
      </c>
      <c r="AP28" t="b">
        <v>0</v>
      </c>
      <c r="AQ28" t="b">
        <v>0</v>
      </c>
      <c r="AR28" t="s">
        <v>386</v>
      </c>
      <c r="AS28" t="s">
        <v>374</v>
      </c>
      <c r="AU28">
        <v>4.2370008626236242</v>
      </c>
      <c r="AV28">
        <v>1.857142857142857</v>
      </c>
      <c r="AW28">
        <v>2.285714285714286</v>
      </c>
      <c r="AX28">
        <v>0.42857142857142849</v>
      </c>
      <c r="AY28">
        <v>0</v>
      </c>
      <c r="AZ28">
        <v>0.40625000000000011</v>
      </c>
      <c r="BA28">
        <v>0.5</v>
      </c>
      <c r="BB28">
        <v>9.375E-2</v>
      </c>
      <c r="BC28">
        <v>0</v>
      </c>
      <c r="BD28">
        <v>5.5913414982857139</v>
      </c>
      <c r="BE28">
        <v>8</v>
      </c>
      <c r="BF28">
        <v>203.79933701026059</v>
      </c>
      <c r="BG28">
        <v>1</v>
      </c>
      <c r="BH28">
        <v>3.9254298455334173E-2</v>
      </c>
      <c r="BI28">
        <v>3.8703880000000002</v>
      </c>
      <c r="BJ28">
        <v>3.8703880000000002</v>
      </c>
      <c r="BK28">
        <v>13.604850000000001</v>
      </c>
      <c r="BL28">
        <v>198.77623248847371</v>
      </c>
      <c r="BM28">
        <v>2</v>
      </c>
      <c r="BN28">
        <v>8.0492520658513728E-2</v>
      </c>
      <c r="BO28">
        <v>3.8415499999999998</v>
      </c>
      <c r="BP28">
        <v>3.8415499999999998</v>
      </c>
      <c r="BQ28">
        <v>13.4695</v>
      </c>
      <c r="BR28">
        <v>0</v>
      </c>
      <c r="BS28">
        <v>0</v>
      </c>
      <c r="BU28">
        <v>0</v>
      </c>
      <c r="BV28">
        <v>0</v>
      </c>
      <c r="BW28">
        <v>0</v>
      </c>
      <c r="BZ28">
        <v>4</v>
      </c>
      <c r="CB28">
        <v>1.962714922766709E-2</v>
      </c>
      <c r="CC28">
        <v>4.0246260329256857E-2</v>
      </c>
      <c r="CE28">
        <v>0.28051270854498089</v>
      </c>
      <c r="CF28">
        <v>0.57520261158722319</v>
      </c>
    </row>
    <row r="29" spans="1:86" x14ac:dyDescent="0.3">
      <c r="A29" s="1">
        <v>120</v>
      </c>
      <c r="B29" t="s">
        <v>387</v>
      </c>
      <c r="C29" t="s">
        <v>388</v>
      </c>
      <c r="E29" t="s">
        <v>372</v>
      </c>
      <c r="F29">
        <v>3.52</v>
      </c>
      <c r="G29" t="s">
        <v>373</v>
      </c>
      <c r="H29" t="s">
        <v>374</v>
      </c>
      <c r="I29">
        <v>-1</v>
      </c>
      <c r="Q29" t="s">
        <v>87</v>
      </c>
      <c r="R29">
        <v>1223</v>
      </c>
      <c r="S29">
        <v>0.5</v>
      </c>
      <c r="T29" t="b">
        <v>0</v>
      </c>
      <c r="U29" t="s">
        <v>88</v>
      </c>
      <c r="V29" t="s">
        <v>89</v>
      </c>
      <c r="W29">
        <v>0</v>
      </c>
      <c r="X29">
        <v>3.52</v>
      </c>
      <c r="Y29">
        <v>0.6</v>
      </c>
      <c r="Z29">
        <v>0</v>
      </c>
      <c r="AC29" t="s">
        <v>90</v>
      </c>
      <c r="AD29">
        <v>450</v>
      </c>
      <c r="AF29" t="s">
        <v>91</v>
      </c>
      <c r="AH29" s="3">
        <v>34</v>
      </c>
      <c r="AI29" s="3" t="e">
        <f>AH29/(AD29*Y29*Z29)</f>
        <v>#DIV/0!</v>
      </c>
      <c r="AJ29" s="3" t="e">
        <f>LN(AI29)</f>
        <v>#DIV/0!</v>
      </c>
      <c r="AK29" t="s">
        <v>389</v>
      </c>
      <c r="AN29" t="b">
        <v>1</v>
      </c>
      <c r="AO29" t="b">
        <v>0</v>
      </c>
      <c r="AP29" t="b">
        <v>0</v>
      </c>
      <c r="AQ29" t="b">
        <v>0</v>
      </c>
      <c r="AR29" t="s">
        <v>390</v>
      </c>
      <c r="AS29" t="s">
        <v>374</v>
      </c>
      <c r="AU29">
        <v>3.526360524616162</v>
      </c>
      <c r="AV29">
        <v>1.857142857142857</v>
      </c>
      <c r="AW29">
        <v>2.285714285714286</v>
      </c>
      <c r="AX29">
        <v>0.42857142857142849</v>
      </c>
      <c r="AY29">
        <v>0</v>
      </c>
      <c r="AZ29">
        <v>0.40625000000000011</v>
      </c>
      <c r="BA29">
        <v>0.5</v>
      </c>
      <c r="BB29">
        <v>9.375E-2</v>
      </c>
      <c r="BC29">
        <v>0</v>
      </c>
      <c r="BD29">
        <v>5.593680784</v>
      </c>
      <c r="BE29">
        <v>8</v>
      </c>
      <c r="BF29">
        <v>203.79933701026059</v>
      </c>
      <c r="BG29">
        <v>1</v>
      </c>
      <c r="BH29">
        <v>3.9254298455334173E-2</v>
      </c>
      <c r="BI29">
        <v>3.8703880000000002</v>
      </c>
      <c r="BJ29">
        <v>3.8703880000000002</v>
      </c>
      <c r="BK29">
        <v>13.604850000000001</v>
      </c>
      <c r="BL29">
        <v>198.77623248847371</v>
      </c>
      <c r="BM29">
        <v>2</v>
      </c>
      <c r="BN29">
        <v>8.0492520658513728E-2</v>
      </c>
      <c r="BO29">
        <v>3.8415499999999998</v>
      </c>
      <c r="BP29">
        <v>3.8415499999999998</v>
      </c>
      <c r="BQ29">
        <v>13.4695</v>
      </c>
      <c r="BR29">
        <v>0</v>
      </c>
      <c r="BS29">
        <v>0</v>
      </c>
      <c r="BU29">
        <v>0</v>
      </c>
      <c r="BV29">
        <v>0</v>
      </c>
      <c r="BW29">
        <v>0</v>
      </c>
      <c r="BZ29">
        <v>4</v>
      </c>
      <c r="CB29">
        <v>1.962714922766709E-2</v>
      </c>
      <c r="CC29">
        <v>4.0246260329256857E-2</v>
      </c>
      <c r="CE29">
        <v>0.28142759581599008</v>
      </c>
      <c r="CF29">
        <v>0.57707862480003624</v>
      </c>
    </row>
    <row r="30" spans="1:86" x14ac:dyDescent="0.3">
      <c r="A30" s="1">
        <v>121</v>
      </c>
      <c r="B30" t="s">
        <v>391</v>
      </c>
      <c r="C30" t="s">
        <v>392</v>
      </c>
      <c r="E30" t="s">
        <v>372</v>
      </c>
      <c r="F30">
        <v>3.43</v>
      </c>
      <c r="G30" t="s">
        <v>373</v>
      </c>
      <c r="H30" t="s">
        <v>374</v>
      </c>
      <c r="I30">
        <v>-1</v>
      </c>
      <c r="Q30" t="s">
        <v>87</v>
      </c>
      <c r="R30">
        <v>1223</v>
      </c>
      <c r="S30">
        <v>0.5</v>
      </c>
      <c r="T30" t="b">
        <v>0</v>
      </c>
      <c r="U30" t="s">
        <v>88</v>
      </c>
      <c r="V30" t="s">
        <v>89</v>
      </c>
      <c r="W30">
        <v>0</v>
      </c>
      <c r="X30">
        <v>3.43</v>
      </c>
      <c r="Y30">
        <v>0.6</v>
      </c>
      <c r="Z30">
        <v>0</v>
      </c>
      <c r="AC30" t="s">
        <v>90</v>
      </c>
      <c r="AD30">
        <v>450</v>
      </c>
      <c r="AF30" t="s">
        <v>91</v>
      </c>
      <c r="AH30" s="3">
        <v>12.5</v>
      </c>
      <c r="AI30" s="3" t="e">
        <f>AH30/(AD30*Y30*Z30)</f>
        <v>#DIV/0!</v>
      </c>
      <c r="AJ30" s="3" t="e">
        <f>LN(AI30)</f>
        <v>#DIV/0!</v>
      </c>
      <c r="AK30" t="s">
        <v>393</v>
      </c>
      <c r="AL30" t="s">
        <v>393</v>
      </c>
      <c r="AN30" t="b">
        <v>1</v>
      </c>
      <c r="AO30" t="b">
        <v>1</v>
      </c>
      <c r="AP30" t="b">
        <v>0</v>
      </c>
      <c r="AQ30" t="b">
        <v>0</v>
      </c>
      <c r="AR30" t="s">
        <v>394</v>
      </c>
      <c r="AS30" t="s">
        <v>395</v>
      </c>
      <c r="AU30">
        <v>2.5257286443082561</v>
      </c>
      <c r="AV30">
        <v>1.857142857142857</v>
      </c>
      <c r="AW30">
        <v>2.285714285714286</v>
      </c>
      <c r="AX30">
        <v>0.42857142857142849</v>
      </c>
      <c r="AY30">
        <v>0</v>
      </c>
      <c r="AZ30">
        <v>0.40625000000000011</v>
      </c>
      <c r="BA30">
        <v>0.5</v>
      </c>
      <c r="BB30">
        <v>9.375E-2</v>
      </c>
      <c r="BC30">
        <v>0</v>
      </c>
      <c r="BD30">
        <v>5.5971897125714278</v>
      </c>
      <c r="BE30">
        <v>8</v>
      </c>
      <c r="BF30">
        <v>203.79933701026059</v>
      </c>
      <c r="BG30">
        <v>2</v>
      </c>
      <c r="BH30">
        <v>7.8508596910668346E-2</v>
      </c>
      <c r="BI30">
        <v>3.8703880000000002</v>
      </c>
      <c r="BJ30">
        <v>3.8703880000000002</v>
      </c>
      <c r="BK30">
        <v>13.604850000000001</v>
      </c>
      <c r="BL30">
        <v>198.77623248847371</v>
      </c>
      <c r="BM30">
        <v>2</v>
      </c>
      <c r="BN30">
        <v>8.0492520658513728E-2</v>
      </c>
      <c r="BO30">
        <v>3.8415499999999998</v>
      </c>
      <c r="BP30">
        <v>3.8415499999999998</v>
      </c>
      <c r="BQ30">
        <v>13.4695</v>
      </c>
      <c r="BR30">
        <v>0</v>
      </c>
      <c r="BS30">
        <v>0</v>
      </c>
      <c r="BU30">
        <v>0</v>
      </c>
      <c r="BV30">
        <v>0</v>
      </c>
      <c r="BW30">
        <v>0</v>
      </c>
      <c r="BZ30">
        <v>4</v>
      </c>
      <c r="CB30">
        <v>3.9254298455334173E-2</v>
      </c>
      <c r="CC30">
        <v>4.0246260329256857E-2</v>
      </c>
      <c r="CE30">
        <v>0.56559985344500774</v>
      </c>
      <c r="CF30">
        <v>0.57989264461925605</v>
      </c>
    </row>
    <row r="31" spans="1:86" x14ac:dyDescent="0.3">
      <c r="A31" s="1">
        <v>128</v>
      </c>
      <c r="B31" t="s">
        <v>402</v>
      </c>
      <c r="C31" t="s">
        <v>403</v>
      </c>
      <c r="E31" t="s">
        <v>404</v>
      </c>
      <c r="F31">
        <v>3.78</v>
      </c>
      <c r="G31" t="s">
        <v>405</v>
      </c>
      <c r="H31">
        <v>-1</v>
      </c>
      <c r="I31" t="s">
        <v>406</v>
      </c>
      <c r="J31">
        <v>2</v>
      </c>
      <c r="K31">
        <v>3.859</v>
      </c>
      <c r="L31">
        <v>3.859</v>
      </c>
      <c r="M31">
        <v>29.047999999999998</v>
      </c>
      <c r="N31" t="s">
        <v>206</v>
      </c>
      <c r="O31">
        <v>14.523999999999999</v>
      </c>
      <c r="P31">
        <v>3</v>
      </c>
      <c r="Q31" t="s">
        <v>87</v>
      </c>
      <c r="R31">
        <v>1323</v>
      </c>
      <c r="S31">
        <v>48</v>
      </c>
      <c r="T31" t="b">
        <v>0</v>
      </c>
      <c r="U31" t="s">
        <v>88</v>
      </c>
      <c r="V31" t="s">
        <v>89</v>
      </c>
      <c r="W31">
        <v>0</v>
      </c>
      <c r="Y31">
        <v>2</v>
      </c>
      <c r="Z31">
        <v>0</v>
      </c>
      <c r="AC31" t="s">
        <v>90</v>
      </c>
      <c r="AD31">
        <v>1000</v>
      </c>
      <c r="AE31">
        <v>300</v>
      </c>
      <c r="AF31" t="s">
        <v>407</v>
      </c>
      <c r="AG31">
        <v>298</v>
      </c>
      <c r="AH31" s="3">
        <v>4.37</v>
      </c>
      <c r="AI31" s="3" t="e">
        <f>AH31/(AD31*Y31*Z31)</f>
        <v>#DIV/0!</v>
      </c>
      <c r="AJ31" s="3" t="e">
        <f>LN(AI31)</f>
        <v>#DIV/0!</v>
      </c>
      <c r="AN31" t="b">
        <v>1</v>
      </c>
      <c r="AO31" t="b">
        <v>0</v>
      </c>
      <c r="AP31" t="b">
        <v>1</v>
      </c>
      <c r="AQ31" t="b">
        <v>0</v>
      </c>
      <c r="AR31" t="s">
        <v>405</v>
      </c>
      <c r="AS31">
        <v>-1</v>
      </c>
      <c r="AT31" t="s">
        <v>406</v>
      </c>
      <c r="AU31">
        <v>1.474763009107499</v>
      </c>
      <c r="AV31">
        <v>1.882352941176471</v>
      </c>
      <c r="AW31">
        <v>2.3529411764705879</v>
      </c>
      <c r="AX31">
        <v>0.47058823529411759</v>
      </c>
      <c r="AY31">
        <v>0</v>
      </c>
      <c r="AZ31">
        <v>0.4</v>
      </c>
      <c r="BA31">
        <v>0.5</v>
      </c>
      <c r="BB31">
        <v>9.9999999999999992E-2</v>
      </c>
      <c r="BC31">
        <v>0</v>
      </c>
      <c r="BD31">
        <v>5.6898768502941177</v>
      </c>
      <c r="BE31">
        <v>20</v>
      </c>
      <c r="BF31">
        <v>229.90248606119221</v>
      </c>
      <c r="BG31">
        <v>1</v>
      </c>
      <c r="BH31">
        <v>8.6993404650164072E-2</v>
      </c>
      <c r="BI31">
        <v>15.28115725</v>
      </c>
      <c r="BJ31">
        <v>15.28115725</v>
      </c>
      <c r="BK31">
        <v>15.28115725</v>
      </c>
      <c r="BL31">
        <v>0</v>
      </c>
      <c r="BM31">
        <v>0</v>
      </c>
      <c r="BO31">
        <v>0</v>
      </c>
      <c r="BR31">
        <v>442.10223602000008</v>
      </c>
      <c r="BS31">
        <v>2</v>
      </c>
      <c r="BT31">
        <v>9.0476809979740655E-2</v>
      </c>
      <c r="BU31">
        <v>3.8530000000000002</v>
      </c>
      <c r="BV31">
        <v>3.8530000000000002</v>
      </c>
      <c r="BW31">
        <v>29.78</v>
      </c>
      <c r="BX31">
        <v>432.57935928799998</v>
      </c>
      <c r="BY31">
        <v>9.246858210210869E-2</v>
      </c>
      <c r="BZ31">
        <v>10</v>
      </c>
      <c r="CA31">
        <v>4.6234291051054352E-2</v>
      </c>
      <c r="CB31">
        <v>4.3496702325082043E-2</v>
      </c>
      <c r="CD31">
        <v>4.5238404989870327E-2</v>
      </c>
      <c r="CE31">
        <v>0.57369840599679478</v>
      </c>
      <c r="CG31">
        <v>0.59667053926431435</v>
      </c>
      <c r="CH31">
        <v>0.60980574757472084</v>
      </c>
    </row>
    <row r="32" spans="1:86" x14ac:dyDescent="0.3">
      <c r="A32" s="1">
        <v>129</v>
      </c>
      <c r="B32" t="s">
        <v>408</v>
      </c>
      <c r="C32" t="s">
        <v>409</v>
      </c>
      <c r="E32" t="s">
        <v>404</v>
      </c>
      <c r="F32">
        <v>3.2</v>
      </c>
      <c r="G32" t="s">
        <v>405</v>
      </c>
      <c r="H32">
        <v>-1</v>
      </c>
      <c r="I32" t="s">
        <v>406</v>
      </c>
      <c r="J32">
        <v>2</v>
      </c>
      <c r="K32">
        <v>3.8650000000000002</v>
      </c>
      <c r="L32">
        <v>3.8650000000000002</v>
      </c>
      <c r="M32">
        <v>29.241</v>
      </c>
      <c r="O32">
        <v>14.6205</v>
      </c>
      <c r="P32">
        <v>3</v>
      </c>
      <c r="Q32" t="s">
        <v>87</v>
      </c>
      <c r="R32">
        <v>1323</v>
      </c>
      <c r="S32">
        <v>48</v>
      </c>
      <c r="T32" t="b">
        <v>0</v>
      </c>
      <c r="U32" t="s">
        <v>88</v>
      </c>
      <c r="V32" t="s">
        <v>89</v>
      </c>
      <c r="W32">
        <v>0</v>
      </c>
      <c r="Y32">
        <v>2</v>
      </c>
      <c r="Z32">
        <v>0</v>
      </c>
      <c r="AC32" t="s">
        <v>90</v>
      </c>
      <c r="AD32">
        <v>1000</v>
      </c>
      <c r="AE32">
        <v>300</v>
      </c>
      <c r="AF32" t="s">
        <v>407</v>
      </c>
      <c r="AG32">
        <v>298</v>
      </c>
      <c r="AH32" s="3">
        <v>6.27</v>
      </c>
      <c r="AI32" s="3" t="e">
        <f>AH32/(AD32*Y32*Z32)</f>
        <v>#DIV/0!</v>
      </c>
      <c r="AJ32" s="3" t="e">
        <f>LN(AI32)</f>
        <v>#DIV/0!</v>
      </c>
      <c r="AK32" t="s">
        <v>410</v>
      </c>
      <c r="AM32" t="s">
        <v>410</v>
      </c>
      <c r="AN32" t="b">
        <v>1</v>
      </c>
      <c r="AO32" t="b">
        <v>0</v>
      </c>
      <c r="AP32" t="b">
        <v>1</v>
      </c>
      <c r="AQ32" t="b">
        <v>0</v>
      </c>
      <c r="AR32" t="s">
        <v>411</v>
      </c>
      <c r="AS32">
        <v>-1</v>
      </c>
      <c r="AT32" t="s">
        <v>412</v>
      </c>
      <c r="AU32">
        <v>1.8357763546448289</v>
      </c>
      <c r="AV32">
        <v>1.882352941176471</v>
      </c>
      <c r="AW32">
        <v>2.3529411764705879</v>
      </c>
      <c r="AX32">
        <v>0.49411764705882361</v>
      </c>
      <c r="AY32">
        <v>0</v>
      </c>
      <c r="AZ32">
        <v>0.39800995024875618</v>
      </c>
      <c r="BA32">
        <v>0.49751243781094528</v>
      </c>
      <c r="BB32">
        <v>0.1044776119402985</v>
      </c>
      <c r="BC32">
        <v>0</v>
      </c>
      <c r="BD32">
        <v>5.6932652016176473</v>
      </c>
      <c r="BE32">
        <v>20</v>
      </c>
      <c r="BF32">
        <v>229.90248606119221</v>
      </c>
      <c r="BG32">
        <v>1</v>
      </c>
      <c r="BH32">
        <v>8.6993404650164072E-2</v>
      </c>
      <c r="BI32">
        <v>15.28115725</v>
      </c>
      <c r="BJ32">
        <v>15.28115725</v>
      </c>
      <c r="BK32">
        <v>15.28115725</v>
      </c>
      <c r="BL32">
        <v>0</v>
      </c>
      <c r="BM32">
        <v>0</v>
      </c>
      <c r="BO32">
        <v>0</v>
      </c>
      <c r="BR32">
        <v>442.10223602000008</v>
      </c>
      <c r="BS32">
        <v>1</v>
      </c>
      <c r="BT32">
        <v>4.5238404989870327E-2</v>
      </c>
      <c r="BU32">
        <v>3.8530000000000002</v>
      </c>
      <c r="BV32">
        <v>3.8530000000000002</v>
      </c>
      <c r="BW32">
        <v>29.78</v>
      </c>
      <c r="BX32">
        <v>436.80863722499998</v>
      </c>
      <c r="BY32">
        <v>9.1573280817238076E-2</v>
      </c>
      <c r="BZ32">
        <v>10</v>
      </c>
      <c r="CA32">
        <v>4.5786640408619038E-2</v>
      </c>
      <c r="CB32">
        <v>4.3496702325082043E-2</v>
      </c>
      <c r="CD32">
        <v>2.261920249493516E-2</v>
      </c>
      <c r="CE32">
        <v>0.57436378489158235</v>
      </c>
      <c r="CG32">
        <v>0.29868128068937649</v>
      </c>
      <c r="CH32">
        <v>0.60460188190863495</v>
      </c>
    </row>
    <row r="33" spans="1:86" x14ac:dyDescent="0.3">
      <c r="A33" s="1">
        <v>130</v>
      </c>
      <c r="B33" t="s">
        <v>413</v>
      </c>
      <c r="C33" t="s">
        <v>414</v>
      </c>
      <c r="E33" t="s">
        <v>404</v>
      </c>
      <c r="F33">
        <v>2.93</v>
      </c>
      <c r="G33" t="s">
        <v>405</v>
      </c>
      <c r="H33">
        <v>-1</v>
      </c>
      <c r="I33" t="s">
        <v>406</v>
      </c>
      <c r="J33">
        <v>2</v>
      </c>
      <c r="K33">
        <v>3.8660000000000001</v>
      </c>
      <c r="L33">
        <v>3.8660000000000001</v>
      </c>
      <c r="M33">
        <v>29.145</v>
      </c>
      <c r="O33">
        <v>14.5725</v>
      </c>
      <c r="P33">
        <v>3</v>
      </c>
      <c r="Q33" t="s">
        <v>87</v>
      </c>
      <c r="R33">
        <v>1323</v>
      </c>
      <c r="S33">
        <v>48</v>
      </c>
      <c r="T33" t="b">
        <v>0</v>
      </c>
      <c r="U33" t="s">
        <v>88</v>
      </c>
      <c r="V33" t="s">
        <v>89</v>
      </c>
      <c r="W33">
        <v>0</v>
      </c>
      <c r="Y33">
        <v>2</v>
      </c>
      <c r="Z33">
        <v>0</v>
      </c>
      <c r="AC33" t="s">
        <v>90</v>
      </c>
      <c r="AD33">
        <v>1000</v>
      </c>
      <c r="AE33">
        <v>300</v>
      </c>
      <c r="AF33" t="s">
        <v>407</v>
      </c>
      <c r="AG33">
        <v>298</v>
      </c>
      <c r="AH33" s="3">
        <v>22.5</v>
      </c>
      <c r="AI33" s="3" t="e">
        <f>AH33/(AD33*Y33*Z33)</f>
        <v>#DIV/0!</v>
      </c>
      <c r="AJ33" s="3" t="e">
        <f>LN(AI33)</f>
        <v>#DIV/0!</v>
      </c>
      <c r="AK33" t="s">
        <v>415</v>
      </c>
      <c r="AM33" t="s">
        <v>415</v>
      </c>
      <c r="AN33" t="b">
        <v>1</v>
      </c>
      <c r="AO33" t="b">
        <v>0</v>
      </c>
      <c r="AP33" t="b">
        <v>1</v>
      </c>
      <c r="AQ33" t="b">
        <v>0</v>
      </c>
      <c r="AR33" t="s">
        <v>416</v>
      </c>
      <c r="AS33">
        <v>-1</v>
      </c>
      <c r="AT33" t="s">
        <v>417</v>
      </c>
      <c r="AU33">
        <v>3.1135153092103738</v>
      </c>
      <c r="AV33">
        <v>1.882352941176471</v>
      </c>
      <c r="AW33">
        <v>2.3529411764705879</v>
      </c>
      <c r="AX33">
        <v>0.51764705882352946</v>
      </c>
      <c r="AY33">
        <v>0</v>
      </c>
      <c r="AZ33">
        <v>0.39603960396039611</v>
      </c>
      <c r="BA33">
        <v>0.49504950495049499</v>
      </c>
      <c r="BB33">
        <v>0.1089108910891089</v>
      </c>
      <c r="BC33">
        <v>0</v>
      </c>
      <c r="BD33">
        <v>5.6966535529411768</v>
      </c>
      <c r="BE33">
        <v>20</v>
      </c>
      <c r="BF33">
        <v>229.90248606119221</v>
      </c>
      <c r="BG33">
        <v>1</v>
      </c>
      <c r="BH33">
        <v>8.6993404650164072E-2</v>
      </c>
      <c r="BI33">
        <v>15.28115725</v>
      </c>
      <c r="BJ33">
        <v>15.28115725</v>
      </c>
      <c r="BK33">
        <v>15.28115725</v>
      </c>
      <c r="BL33">
        <v>0</v>
      </c>
      <c r="BM33">
        <v>0</v>
      </c>
      <c r="BO33">
        <v>0</v>
      </c>
      <c r="BR33">
        <v>442.10223602000008</v>
      </c>
      <c r="BS33">
        <v>1</v>
      </c>
      <c r="BT33">
        <v>4.5238404989870327E-2</v>
      </c>
      <c r="BU33">
        <v>3.8530000000000002</v>
      </c>
      <c r="BV33">
        <v>3.8530000000000002</v>
      </c>
      <c r="BW33">
        <v>29.78</v>
      </c>
      <c r="BX33">
        <v>435.59988762</v>
      </c>
      <c r="BY33">
        <v>9.1827388245091582E-2</v>
      </c>
      <c r="BZ33">
        <v>10</v>
      </c>
      <c r="CA33">
        <v>4.5913694122545791E-2</v>
      </c>
      <c r="CB33">
        <v>4.3496702325082043E-2</v>
      </c>
      <c r="CD33">
        <v>2.261920249493516E-2</v>
      </c>
      <c r="CE33">
        <v>0.57502916378636981</v>
      </c>
      <c r="CG33">
        <v>0.29902729174659581</v>
      </c>
      <c r="CH33">
        <v>0.60698194866157307</v>
      </c>
    </row>
    <row r="34" spans="1:86" x14ac:dyDescent="0.3">
      <c r="A34" s="1">
        <v>131</v>
      </c>
      <c r="B34" t="s">
        <v>418</v>
      </c>
      <c r="C34" t="s">
        <v>419</v>
      </c>
      <c r="E34" t="s">
        <v>404</v>
      </c>
      <c r="F34">
        <v>2.69</v>
      </c>
      <c r="G34" t="s">
        <v>405</v>
      </c>
      <c r="H34">
        <v>-1</v>
      </c>
      <c r="I34" t="s">
        <v>406</v>
      </c>
      <c r="J34">
        <v>2</v>
      </c>
      <c r="K34">
        <v>3.871</v>
      </c>
      <c r="L34">
        <v>3.871</v>
      </c>
      <c r="M34">
        <v>29.241</v>
      </c>
      <c r="O34">
        <v>14.6205</v>
      </c>
      <c r="P34">
        <v>3</v>
      </c>
      <c r="Q34" t="s">
        <v>87</v>
      </c>
      <c r="R34">
        <v>1323</v>
      </c>
      <c r="S34">
        <v>48</v>
      </c>
      <c r="T34" t="b">
        <v>0</v>
      </c>
      <c r="U34" t="s">
        <v>88</v>
      </c>
      <c r="V34" t="s">
        <v>89</v>
      </c>
      <c r="W34">
        <v>0</v>
      </c>
      <c r="Y34">
        <v>2</v>
      </c>
      <c r="Z34">
        <v>0</v>
      </c>
      <c r="AC34" t="s">
        <v>90</v>
      </c>
      <c r="AD34">
        <v>1000</v>
      </c>
      <c r="AE34">
        <v>300</v>
      </c>
      <c r="AF34" t="s">
        <v>407</v>
      </c>
      <c r="AG34">
        <v>298</v>
      </c>
      <c r="AH34" s="3">
        <v>8.75</v>
      </c>
      <c r="AI34" s="3" t="e">
        <f>AH34/(AD34*Y34*Z34)</f>
        <v>#DIV/0!</v>
      </c>
      <c r="AJ34" s="3" t="e">
        <f>LN(AI34)</f>
        <v>#DIV/0!</v>
      </c>
      <c r="AK34" t="s">
        <v>420</v>
      </c>
      <c r="AM34" t="s">
        <v>420</v>
      </c>
      <c r="AN34" t="b">
        <v>1</v>
      </c>
      <c r="AO34" t="b">
        <v>0</v>
      </c>
      <c r="AP34" t="b">
        <v>1</v>
      </c>
      <c r="AQ34" t="b">
        <v>0</v>
      </c>
      <c r="AR34" t="s">
        <v>421</v>
      </c>
      <c r="AS34">
        <v>-1</v>
      </c>
      <c r="AT34" t="s">
        <v>422</v>
      </c>
      <c r="AU34">
        <v>2.1690537003695232</v>
      </c>
      <c r="AV34">
        <v>1.882352941176471</v>
      </c>
      <c r="AW34">
        <v>2.3529411764705879</v>
      </c>
      <c r="AX34">
        <v>0.54117647058823526</v>
      </c>
      <c r="AY34">
        <v>0</v>
      </c>
      <c r="AZ34">
        <v>0.39408866995073888</v>
      </c>
      <c r="BA34">
        <v>0.49261083743842371</v>
      </c>
      <c r="BB34">
        <v>0.1133004926108374</v>
      </c>
      <c r="BC34">
        <v>0</v>
      </c>
      <c r="BD34">
        <v>5.7000419042647064</v>
      </c>
      <c r="BE34">
        <v>20</v>
      </c>
      <c r="BF34">
        <v>229.90248606119221</v>
      </c>
      <c r="BG34">
        <v>1</v>
      </c>
      <c r="BH34">
        <v>8.6993404650164072E-2</v>
      </c>
      <c r="BI34">
        <v>15.28115725</v>
      </c>
      <c r="BJ34">
        <v>15.28115725</v>
      </c>
      <c r="BK34">
        <v>15.28115725</v>
      </c>
      <c r="BL34">
        <v>0</v>
      </c>
      <c r="BM34">
        <v>0</v>
      </c>
      <c r="BO34">
        <v>0</v>
      </c>
      <c r="BR34">
        <v>442.10223602000008</v>
      </c>
      <c r="BS34">
        <v>1</v>
      </c>
      <c r="BT34">
        <v>4.5238404989870327E-2</v>
      </c>
      <c r="BU34">
        <v>3.8530000000000002</v>
      </c>
      <c r="BV34">
        <v>3.8530000000000002</v>
      </c>
      <c r="BW34">
        <v>29.78</v>
      </c>
      <c r="BX34">
        <v>438.16588748100003</v>
      </c>
      <c r="BY34">
        <v>9.1289626013468489E-2</v>
      </c>
      <c r="BZ34">
        <v>10</v>
      </c>
      <c r="CA34">
        <v>4.5644813006734238E-2</v>
      </c>
      <c r="CB34">
        <v>4.3496702325082043E-2</v>
      </c>
      <c r="CD34">
        <v>2.261920249493516E-2</v>
      </c>
      <c r="CE34">
        <v>0.57569454268115738</v>
      </c>
      <c r="CG34">
        <v>0.29937330280381508</v>
      </c>
      <c r="CH34">
        <v>0.60412556228489345</v>
      </c>
    </row>
    <row r="35" spans="1:86" x14ac:dyDescent="0.3">
      <c r="A35" s="1">
        <v>132</v>
      </c>
      <c r="B35" t="s">
        <v>423</v>
      </c>
      <c r="C35" t="s">
        <v>424</v>
      </c>
      <c r="E35" t="s">
        <v>404</v>
      </c>
      <c r="F35">
        <v>2.4300000000000002</v>
      </c>
      <c r="G35" t="s">
        <v>405</v>
      </c>
      <c r="H35">
        <v>-1</v>
      </c>
      <c r="I35" t="s">
        <v>406</v>
      </c>
      <c r="J35">
        <v>2</v>
      </c>
      <c r="K35">
        <v>3.8740000000000001</v>
      </c>
      <c r="L35">
        <v>3.8740000000000001</v>
      </c>
      <c r="M35">
        <v>32.945999999999998</v>
      </c>
      <c r="O35">
        <v>16.472999999999999</v>
      </c>
      <c r="P35">
        <v>3</v>
      </c>
      <c r="Q35" t="s">
        <v>87</v>
      </c>
      <c r="R35">
        <v>1323</v>
      </c>
      <c r="S35">
        <v>48</v>
      </c>
      <c r="T35" t="b">
        <v>0</v>
      </c>
      <c r="U35" t="s">
        <v>88</v>
      </c>
      <c r="V35" t="s">
        <v>89</v>
      </c>
      <c r="W35">
        <v>0</v>
      </c>
      <c r="Y35">
        <v>2</v>
      </c>
      <c r="Z35">
        <v>0</v>
      </c>
      <c r="AC35" t="s">
        <v>90</v>
      </c>
      <c r="AD35">
        <v>1000</v>
      </c>
      <c r="AE35">
        <v>300</v>
      </c>
      <c r="AF35" t="s">
        <v>407</v>
      </c>
      <c r="AG35">
        <v>298</v>
      </c>
      <c r="AH35" s="3">
        <v>1.25</v>
      </c>
      <c r="AI35" s="3" t="e">
        <f>AH35/(AD35*Y35*Z35)</f>
        <v>#DIV/0!</v>
      </c>
      <c r="AJ35" s="3" t="e">
        <f>LN(AI35)</f>
        <v>#DIV/0!</v>
      </c>
      <c r="AK35" t="s">
        <v>425</v>
      </c>
      <c r="AM35" t="s">
        <v>425</v>
      </c>
      <c r="AN35" t="b">
        <v>1</v>
      </c>
      <c r="AO35" t="b">
        <v>0</v>
      </c>
      <c r="AP35" t="b">
        <v>1</v>
      </c>
      <c r="AQ35" t="b">
        <v>0</v>
      </c>
      <c r="AR35" t="s">
        <v>426</v>
      </c>
      <c r="AS35">
        <v>-1</v>
      </c>
      <c r="AT35" t="s">
        <v>427</v>
      </c>
      <c r="AU35">
        <v>0.22314355131420979</v>
      </c>
      <c r="AV35">
        <v>1.882352941176471</v>
      </c>
      <c r="AW35">
        <v>2.3529411764705879</v>
      </c>
      <c r="AX35">
        <v>0.56470588235294128</v>
      </c>
      <c r="AY35">
        <v>0</v>
      </c>
      <c r="AZ35">
        <v>0.39215686274509798</v>
      </c>
      <c r="BA35">
        <v>0.49019607843137258</v>
      </c>
      <c r="BB35">
        <v>0.1176470588235294</v>
      </c>
      <c r="BC35">
        <v>0</v>
      </c>
      <c r="BD35">
        <v>5.703430255588235</v>
      </c>
      <c r="BE35">
        <v>20</v>
      </c>
      <c r="BF35">
        <v>229.90248606119221</v>
      </c>
      <c r="BG35">
        <v>1</v>
      </c>
      <c r="BH35">
        <v>8.6993404650164072E-2</v>
      </c>
      <c r="BI35">
        <v>15.28115725</v>
      </c>
      <c r="BJ35">
        <v>15.28115725</v>
      </c>
      <c r="BK35">
        <v>15.28115725</v>
      </c>
      <c r="BL35">
        <v>0</v>
      </c>
      <c r="BM35">
        <v>0</v>
      </c>
      <c r="BO35">
        <v>0</v>
      </c>
      <c r="BR35">
        <v>442.10223602000008</v>
      </c>
      <c r="BS35">
        <v>1</v>
      </c>
      <c r="BT35">
        <v>4.5238404989870327E-2</v>
      </c>
      <c r="BU35">
        <v>3.8530000000000002</v>
      </c>
      <c r="BV35">
        <v>3.8530000000000002</v>
      </c>
      <c r="BW35">
        <v>29.78</v>
      </c>
      <c r="BX35">
        <v>494.44948269600002</v>
      </c>
      <c r="BY35">
        <v>8.0898052075813381E-2</v>
      </c>
      <c r="BZ35">
        <v>10</v>
      </c>
      <c r="CA35">
        <v>4.0449026037906691E-2</v>
      </c>
      <c r="CB35">
        <v>4.3496702325082043E-2</v>
      </c>
      <c r="CD35">
        <v>2.261920249493516E-2</v>
      </c>
      <c r="CE35">
        <v>0.57635992157594507</v>
      </c>
      <c r="CG35">
        <v>0.29971931386103451</v>
      </c>
      <c r="CH35">
        <v>0.53597620575451965</v>
      </c>
    </row>
    <row r="36" spans="1:86" x14ac:dyDescent="0.3">
      <c r="A36" s="1">
        <v>134</v>
      </c>
      <c r="B36" t="s">
        <v>428</v>
      </c>
      <c r="C36" t="s">
        <v>429</v>
      </c>
      <c r="E36" t="s">
        <v>404</v>
      </c>
      <c r="F36">
        <v>3.06</v>
      </c>
      <c r="G36" t="s">
        <v>405</v>
      </c>
      <c r="H36">
        <v>-1</v>
      </c>
      <c r="I36" t="s">
        <v>406</v>
      </c>
      <c r="J36">
        <v>2</v>
      </c>
      <c r="K36">
        <v>3.8660000000000001</v>
      </c>
      <c r="L36">
        <v>3.8660000000000001</v>
      </c>
      <c r="M36">
        <v>29.114000000000001</v>
      </c>
      <c r="O36">
        <v>14.557</v>
      </c>
      <c r="P36">
        <v>3</v>
      </c>
      <c r="Q36" t="s">
        <v>87</v>
      </c>
      <c r="R36">
        <v>1323</v>
      </c>
      <c r="S36">
        <v>48</v>
      </c>
      <c r="T36" t="b">
        <v>0</v>
      </c>
      <c r="U36" t="s">
        <v>88</v>
      </c>
      <c r="V36" t="s">
        <v>89</v>
      </c>
      <c r="W36">
        <v>0</v>
      </c>
      <c r="Y36">
        <v>2</v>
      </c>
      <c r="Z36">
        <v>0</v>
      </c>
      <c r="AC36" t="s">
        <v>90</v>
      </c>
      <c r="AD36">
        <v>1000</v>
      </c>
      <c r="AE36">
        <v>300</v>
      </c>
      <c r="AF36" t="s">
        <v>407</v>
      </c>
      <c r="AG36">
        <v>298</v>
      </c>
      <c r="AH36" s="3">
        <v>10</v>
      </c>
      <c r="AI36" s="3" t="e">
        <f>AH36/(AD36*Y36*Z36)</f>
        <v>#DIV/0!</v>
      </c>
      <c r="AJ36" s="3" t="e">
        <f>LN(AI36)</f>
        <v>#DIV/0!</v>
      </c>
      <c r="AK36" t="s">
        <v>430</v>
      </c>
      <c r="AM36" t="s">
        <v>430</v>
      </c>
      <c r="AN36" t="b">
        <v>1</v>
      </c>
      <c r="AO36" t="b">
        <v>0</v>
      </c>
      <c r="AP36" t="b">
        <v>1</v>
      </c>
      <c r="AQ36" t="b">
        <v>0</v>
      </c>
      <c r="AR36" t="s">
        <v>431</v>
      </c>
      <c r="AS36">
        <v>-1</v>
      </c>
      <c r="AT36" t="s">
        <v>432</v>
      </c>
      <c r="AU36">
        <v>2.3025850929940459</v>
      </c>
      <c r="AV36">
        <v>1.882352941176471</v>
      </c>
      <c r="AW36">
        <v>2.3529411764705879</v>
      </c>
      <c r="AX36">
        <v>0.49411764705882361</v>
      </c>
      <c r="AY36">
        <v>0.1647058823529412</v>
      </c>
      <c r="AZ36">
        <v>0.38461538461538458</v>
      </c>
      <c r="BA36">
        <v>0.48076923076923073</v>
      </c>
      <c r="BB36">
        <v>0.10096153846153851</v>
      </c>
      <c r="BC36">
        <v>3.3653846153846159E-2</v>
      </c>
      <c r="BD36">
        <v>5.7003290021764714</v>
      </c>
      <c r="BE36">
        <v>20</v>
      </c>
      <c r="BF36">
        <v>229.90248606119221</v>
      </c>
      <c r="BG36">
        <v>1</v>
      </c>
      <c r="BH36">
        <v>8.6993404650164072E-2</v>
      </c>
      <c r="BI36">
        <v>15.28115725</v>
      </c>
      <c r="BJ36">
        <v>15.28115725</v>
      </c>
      <c r="BK36">
        <v>15.28115725</v>
      </c>
      <c r="BL36">
        <v>0</v>
      </c>
      <c r="BM36">
        <v>0</v>
      </c>
      <c r="BO36">
        <v>0</v>
      </c>
      <c r="BR36">
        <v>442.10223602000008</v>
      </c>
      <c r="BS36">
        <v>1</v>
      </c>
      <c r="BT36">
        <v>4.5238404989870327E-2</v>
      </c>
      <c r="BU36">
        <v>3.8530000000000002</v>
      </c>
      <c r="BV36">
        <v>3.8530000000000002</v>
      </c>
      <c r="BW36">
        <v>29.78</v>
      </c>
      <c r="BX36">
        <v>435.13656298400002</v>
      </c>
      <c r="BY36">
        <v>9.1925164196029197E-2</v>
      </c>
      <c r="BZ36">
        <v>10</v>
      </c>
      <c r="CA36">
        <v>4.5962582098014598E-2</v>
      </c>
      <c r="CB36">
        <v>4.3496702325082043E-2</v>
      </c>
      <c r="CD36">
        <v>2.261920249493516E-2</v>
      </c>
      <c r="CE36">
        <v>0.57366827172135415</v>
      </c>
      <c r="CG36">
        <v>0.29831959917343742</v>
      </c>
      <c r="CH36">
        <v>0.60619020814399538</v>
      </c>
    </row>
    <row r="37" spans="1:86" x14ac:dyDescent="0.3">
      <c r="A37" s="1">
        <v>135</v>
      </c>
      <c r="B37" t="s">
        <v>433</v>
      </c>
      <c r="C37" t="s">
        <v>434</v>
      </c>
      <c r="E37" t="s">
        <v>404</v>
      </c>
      <c r="F37">
        <v>2.12</v>
      </c>
      <c r="G37" t="s">
        <v>405</v>
      </c>
      <c r="H37">
        <v>-1</v>
      </c>
      <c r="I37" t="s">
        <v>406</v>
      </c>
      <c r="J37">
        <v>2</v>
      </c>
      <c r="K37">
        <v>3.8570000000000002</v>
      </c>
      <c r="L37">
        <v>3.8570000000000002</v>
      </c>
      <c r="M37">
        <v>29.533999999999999</v>
      </c>
      <c r="O37">
        <v>14.766999999999999</v>
      </c>
      <c r="P37">
        <v>3</v>
      </c>
      <c r="Q37" t="s">
        <v>87</v>
      </c>
      <c r="R37">
        <v>1323</v>
      </c>
      <c r="S37">
        <v>48</v>
      </c>
      <c r="T37" t="b">
        <v>0</v>
      </c>
      <c r="U37" t="s">
        <v>88</v>
      </c>
      <c r="V37" t="s">
        <v>89</v>
      </c>
      <c r="W37">
        <v>0</v>
      </c>
      <c r="Y37">
        <v>2</v>
      </c>
      <c r="Z37">
        <v>0</v>
      </c>
      <c r="AC37" t="s">
        <v>90</v>
      </c>
      <c r="AD37">
        <v>1000</v>
      </c>
      <c r="AE37">
        <v>300</v>
      </c>
      <c r="AF37" t="s">
        <v>407</v>
      </c>
      <c r="AG37">
        <v>298</v>
      </c>
      <c r="AH37" s="3">
        <v>2</v>
      </c>
      <c r="AI37" s="3" t="e">
        <f>AH37/(AD37*Y37*Z37)</f>
        <v>#DIV/0!</v>
      </c>
      <c r="AJ37" s="3" t="e">
        <f>LN(AI37)</f>
        <v>#DIV/0!</v>
      </c>
      <c r="AK37" t="s">
        <v>435</v>
      </c>
      <c r="AM37" t="s">
        <v>435</v>
      </c>
      <c r="AN37" t="b">
        <v>1</v>
      </c>
      <c r="AO37" t="b">
        <v>0</v>
      </c>
      <c r="AP37" t="b">
        <v>1</v>
      </c>
      <c r="AQ37" t="b">
        <v>0</v>
      </c>
      <c r="AR37" t="s">
        <v>436</v>
      </c>
      <c r="AS37">
        <v>-1</v>
      </c>
      <c r="AT37" t="s">
        <v>437</v>
      </c>
      <c r="AU37">
        <v>0.69314718055994529</v>
      </c>
      <c r="AV37">
        <v>1.882352941176471</v>
      </c>
      <c r="AW37">
        <v>2.3529411764705879</v>
      </c>
      <c r="AX37">
        <v>0.54117647058823526</v>
      </c>
      <c r="AY37">
        <v>0</v>
      </c>
      <c r="AZ37">
        <v>0.39408866995073888</v>
      </c>
      <c r="BA37">
        <v>0.49261083743842371</v>
      </c>
      <c r="BB37">
        <v>0.1133004926108374</v>
      </c>
      <c r="BC37">
        <v>0</v>
      </c>
      <c r="BD37">
        <v>5.7010143455882352</v>
      </c>
      <c r="BE37">
        <v>20</v>
      </c>
      <c r="BF37">
        <v>229.90248606119221</v>
      </c>
      <c r="BG37">
        <v>1</v>
      </c>
      <c r="BH37">
        <v>8.6993404650164072E-2</v>
      </c>
      <c r="BI37">
        <v>15.28115725</v>
      </c>
      <c r="BJ37">
        <v>15.28115725</v>
      </c>
      <c r="BK37">
        <v>15.28115725</v>
      </c>
      <c r="BL37">
        <v>0</v>
      </c>
      <c r="BM37">
        <v>0</v>
      </c>
      <c r="BO37">
        <v>0</v>
      </c>
      <c r="BR37">
        <v>442.10223602000008</v>
      </c>
      <c r="BS37">
        <v>1</v>
      </c>
      <c r="BT37">
        <v>4.5238404989870327E-2</v>
      </c>
      <c r="BU37">
        <v>3.8530000000000002</v>
      </c>
      <c r="BV37">
        <v>3.8530000000000002</v>
      </c>
      <c r="BW37">
        <v>29.78</v>
      </c>
      <c r="BX37">
        <v>439.36104476600002</v>
      </c>
      <c r="BY37">
        <v>9.1041298441248156E-2</v>
      </c>
      <c r="BZ37">
        <v>10</v>
      </c>
      <c r="CA37">
        <v>4.5520649220624078E-2</v>
      </c>
      <c r="CB37">
        <v>4.3496702325082043E-2</v>
      </c>
      <c r="CD37">
        <v>2.261920249493516E-2</v>
      </c>
      <c r="CE37">
        <v>0.57427522249847118</v>
      </c>
      <c r="CG37">
        <v>0.29863522637729911</v>
      </c>
      <c r="CH37">
        <v>0.60099684716499824</v>
      </c>
    </row>
    <row r="38" spans="1:86" x14ac:dyDescent="0.3">
      <c r="A38" s="1">
        <v>138</v>
      </c>
      <c r="B38" t="s">
        <v>413</v>
      </c>
      <c r="C38" t="s">
        <v>414</v>
      </c>
      <c r="E38" t="s">
        <v>404</v>
      </c>
      <c r="F38">
        <v>2.93</v>
      </c>
      <c r="G38" t="s">
        <v>405</v>
      </c>
      <c r="H38">
        <v>-1</v>
      </c>
      <c r="I38" t="s">
        <v>406</v>
      </c>
      <c r="J38">
        <v>2</v>
      </c>
      <c r="K38">
        <v>3.8660000000000001</v>
      </c>
      <c r="L38">
        <v>3.8660000000000001</v>
      </c>
      <c r="M38">
        <v>29.145</v>
      </c>
      <c r="O38">
        <v>14.5725</v>
      </c>
      <c r="P38">
        <v>3</v>
      </c>
      <c r="Q38" t="s">
        <v>87</v>
      </c>
      <c r="R38">
        <v>1323</v>
      </c>
      <c r="S38">
        <v>48</v>
      </c>
      <c r="T38" t="b">
        <v>0</v>
      </c>
      <c r="U38" t="s">
        <v>88</v>
      </c>
      <c r="V38" t="s">
        <v>89</v>
      </c>
      <c r="W38">
        <v>0</v>
      </c>
      <c r="Y38">
        <v>2</v>
      </c>
      <c r="Z38">
        <v>0</v>
      </c>
      <c r="AC38" t="s">
        <v>165</v>
      </c>
      <c r="AD38">
        <v>500</v>
      </c>
      <c r="AE38">
        <v>300</v>
      </c>
      <c r="AF38" t="s">
        <v>407</v>
      </c>
      <c r="AG38">
        <v>298</v>
      </c>
      <c r="AH38" s="3">
        <v>0.26250000000000001</v>
      </c>
      <c r="AI38" s="3" t="e">
        <f>AH38/(AD38*Y38*Z38)</f>
        <v>#DIV/0!</v>
      </c>
      <c r="AJ38" s="3" t="e">
        <f>LN(AI38)</f>
        <v>#DIV/0!</v>
      </c>
      <c r="AK38" t="s">
        <v>415</v>
      </c>
      <c r="AM38" t="s">
        <v>415</v>
      </c>
      <c r="AN38" t="b">
        <v>1</v>
      </c>
      <c r="AO38" t="b">
        <v>0</v>
      </c>
      <c r="AP38" t="b">
        <v>1</v>
      </c>
      <c r="AQ38" t="b">
        <v>0</v>
      </c>
      <c r="AR38" t="s">
        <v>438</v>
      </c>
      <c r="AS38">
        <v>-1</v>
      </c>
      <c r="AT38" t="s">
        <v>439</v>
      </c>
      <c r="AU38">
        <v>-1.3375041969504591</v>
      </c>
      <c r="AV38">
        <v>1.882352941176471</v>
      </c>
      <c r="AW38">
        <v>2.3529411764705879</v>
      </c>
      <c r="AX38">
        <v>0.51764705882352946</v>
      </c>
      <c r="AY38">
        <v>0</v>
      </c>
      <c r="AZ38">
        <v>0.39603960396039611</v>
      </c>
      <c r="BA38">
        <v>0.49504950495049499</v>
      </c>
      <c r="BB38">
        <v>0.1089108910891089</v>
      </c>
      <c r="BC38">
        <v>0</v>
      </c>
      <c r="BD38">
        <v>5.6966535529411768</v>
      </c>
      <c r="BE38">
        <v>20</v>
      </c>
      <c r="BF38">
        <v>229.90248606119221</v>
      </c>
      <c r="BG38">
        <v>1</v>
      </c>
      <c r="BH38">
        <v>8.6993404650164072E-2</v>
      </c>
      <c r="BI38">
        <v>15.28115725</v>
      </c>
      <c r="BJ38">
        <v>15.28115725</v>
      </c>
      <c r="BK38">
        <v>15.28115725</v>
      </c>
      <c r="BL38">
        <v>0</v>
      </c>
      <c r="BM38">
        <v>0</v>
      </c>
      <c r="BO38">
        <v>0</v>
      </c>
      <c r="BR38">
        <v>442.10223602000008</v>
      </c>
      <c r="BS38">
        <v>1</v>
      </c>
      <c r="BT38">
        <v>4.5238404989870327E-2</v>
      </c>
      <c r="BU38">
        <v>3.8530000000000002</v>
      </c>
      <c r="BV38">
        <v>3.8530000000000002</v>
      </c>
      <c r="BW38">
        <v>29.78</v>
      </c>
      <c r="BX38">
        <v>435.59988762</v>
      </c>
      <c r="BY38">
        <v>9.1827388245091582E-2</v>
      </c>
      <c r="BZ38">
        <v>10</v>
      </c>
      <c r="CA38">
        <v>4.5913694122545791E-2</v>
      </c>
      <c r="CB38">
        <v>4.3496702325082043E-2</v>
      </c>
      <c r="CD38">
        <v>2.261920249493516E-2</v>
      </c>
      <c r="CE38">
        <v>0.57502916378636981</v>
      </c>
      <c r="CG38">
        <v>0.29902729174659581</v>
      </c>
      <c r="CH38">
        <v>0.60698194866157307</v>
      </c>
    </row>
    <row r="39" spans="1:86" x14ac:dyDescent="0.3">
      <c r="A39" s="1">
        <v>139</v>
      </c>
      <c r="B39" t="s">
        <v>418</v>
      </c>
      <c r="C39" t="s">
        <v>419</v>
      </c>
      <c r="E39" t="s">
        <v>404</v>
      </c>
      <c r="F39">
        <v>2.69</v>
      </c>
      <c r="G39" t="s">
        <v>405</v>
      </c>
      <c r="H39">
        <v>-1</v>
      </c>
      <c r="I39" t="s">
        <v>406</v>
      </c>
      <c r="J39">
        <v>2</v>
      </c>
      <c r="K39">
        <v>3.871</v>
      </c>
      <c r="L39">
        <v>3.871</v>
      </c>
      <c r="M39">
        <v>29.241</v>
      </c>
      <c r="O39">
        <v>14.6205</v>
      </c>
      <c r="P39">
        <v>3</v>
      </c>
      <c r="Q39" t="s">
        <v>87</v>
      </c>
      <c r="R39">
        <v>1323</v>
      </c>
      <c r="S39">
        <v>48</v>
      </c>
      <c r="T39" t="b">
        <v>0</v>
      </c>
      <c r="U39" t="s">
        <v>88</v>
      </c>
      <c r="V39" t="s">
        <v>89</v>
      </c>
      <c r="W39">
        <v>0</v>
      </c>
      <c r="Y39">
        <v>2</v>
      </c>
      <c r="Z39">
        <v>0</v>
      </c>
      <c r="AC39" t="s">
        <v>165</v>
      </c>
      <c r="AD39">
        <v>500</v>
      </c>
      <c r="AE39">
        <v>300</v>
      </c>
      <c r="AF39" t="s">
        <v>407</v>
      </c>
      <c r="AG39">
        <v>298</v>
      </c>
      <c r="AH39" s="3">
        <v>9.375E-2</v>
      </c>
      <c r="AI39" s="3" t="e">
        <f>AH39/(AD39*Y39*Z39)</f>
        <v>#DIV/0!</v>
      </c>
      <c r="AJ39" s="3" t="e">
        <f>LN(AI39)</f>
        <v>#DIV/0!</v>
      </c>
      <c r="AK39" t="s">
        <v>420</v>
      </c>
      <c r="AM39" t="s">
        <v>420</v>
      </c>
      <c r="AN39" t="b">
        <v>1</v>
      </c>
      <c r="AO39" t="b">
        <v>0</v>
      </c>
      <c r="AP39" t="b">
        <v>1</v>
      </c>
      <c r="AQ39" t="b">
        <v>0</v>
      </c>
      <c r="AR39" t="s">
        <v>440</v>
      </c>
      <c r="AS39">
        <v>-1</v>
      </c>
      <c r="AT39" t="s">
        <v>441</v>
      </c>
      <c r="AU39">
        <v>-2.367123614131617</v>
      </c>
      <c r="AV39">
        <v>1.882352941176471</v>
      </c>
      <c r="AW39">
        <v>2.3529411764705879</v>
      </c>
      <c r="AX39">
        <v>0.54117647058823526</v>
      </c>
      <c r="AY39">
        <v>0</v>
      </c>
      <c r="AZ39">
        <v>0.39408866995073888</v>
      </c>
      <c r="BA39">
        <v>0.49261083743842371</v>
      </c>
      <c r="BB39">
        <v>0.1133004926108374</v>
      </c>
      <c r="BC39">
        <v>0</v>
      </c>
      <c r="BD39">
        <v>5.7000419042647064</v>
      </c>
      <c r="BE39">
        <v>20</v>
      </c>
      <c r="BF39">
        <v>229.90248606119221</v>
      </c>
      <c r="BG39">
        <v>1</v>
      </c>
      <c r="BH39">
        <v>8.6993404650164072E-2</v>
      </c>
      <c r="BI39">
        <v>15.28115725</v>
      </c>
      <c r="BJ39">
        <v>15.28115725</v>
      </c>
      <c r="BK39">
        <v>15.28115725</v>
      </c>
      <c r="BL39">
        <v>0</v>
      </c>
      <c r="BM39">
        <v>0</v>
      </c>
      <c r="BO39">
        <v>0</v>
      </c>
      <c r="BR39">
        <v>442.10223602000008</v>
      </c>
      <c r="BS39">
        <v>1</v>
      </c>
      <c r="BT39">
        <v>4.5238404989870327E-2</v>
      </c>
      <c r="BU39">
        <v>3.8530000000000002</v>
      </c>
      <c r="BV39">
        <v>3.8530000000000002</v>
      </c>
      <c r="BW39">
        <v>29.78</v>
      </c>
      <c r="BX39">
        <v>438.16588748100003</v>
      </c>
      <c r="BY39">
        <v>9.1289626013468489E-2</v>
      </c>
      <c r="BZ39">
        <v>10</v>
      </c>
      <c r="CA39">
        <v>4.5644813006734238E-2</v>
      </c>
      <c r="CB39">
        <v>4.3496702325082043E-2</v>
      </c>
      <c r="CD39">
        <v>2.261920249493516E-2</v>
      </c>
      <c r="CE39">
        <v>0.57569454268115738</v>
      </c>
      <c r="CG39">
        <v>0.29937330280381508</v>
      </c>
      <c r="CH39">
        <v>0.60412556228489345</v>
      </c>
    </row>
    <row r="40" spans="1:86" x14ac:dyDescent="0.3">
      <c r="A40" s="1">
        <v>142</v>
      </c>
      <c r="B40" t="s">
        <v>428</v>
      </c>
      <c r="C40" t="s">
        <v>429</v>
      </c>
      <c r="E40" t="s">
        <v>404</v>
      </c>
      <c r="F40">
        <v>3.06</v>
      </c>
      <c r="G40" t="s">
        <v>405</v>
      </c>
      <c r="H40">
        <v>-1</v>
      </c>
      <c r="I40" t="s">
        <v>406</v>
      </c>
      <c r="J40">
        <v>2</v>
      </c>
      <c r="K40">
        <v>3.8660000000000001</v>
      </c>
      <c r="L40">
        <v>3.8660000000000001</v>
      </c>
      <c r="M40">
        <v>29.114000000000001</v>
      </c>
      <c r="O40">
        <v>14.557</v>
      </c>
      <c r="P40">
        <v>3</v>
      </c>
      <c r="Q40" t="s">
        <v>87</v>
      </c>
      <c r="R40">
        <v>1323</v>
      </c>
      <c r="S40">
        <v>48</v>
      </c>
      <c r="T40" t="b">
        <v>0</v>
      </c>
      <c r="U40" t="s">
        <v>88</v>
      </c>
      <c r="V40" t="s">
        <v>89</v>
      </c>
      <c r="W40">
        <v>0</v>
      </c>
      <c r="Y40">
        <v>2</v>
      </c>
      <c r="Z40">
        <v>0</v>
      </c>
      <c r="AC40" t="s">
        <v>165</v>
      </c>
      <c r="AD40">
        <v>500</v>
      </c>
      <c r="AE40">
        <v>300</v>
      </c>
      <c r="AF40" t="s">
        <v>407</v>
      </c>
      <c r="AG40">
        <v>298</v>
      </c>
      <c r="AH40" s="3">
        <v>6.25E-2</v>
      </c>
      <c r="AI40" s="3" t="e">
        <f>AH40/(AD40*Y40*Z40)</f>
        <v>#DIV/0!</v>
      </c>
      <c r="AJ40" s="3" t="e">
        <f>LN(AI40)</f>
        <v>#DIV/0!</v>
      </c>
      <c r="AK40" t="s">
        <v>430</v>
      </c>
      <c r="AM40" t="s">
        <v>430</v>
      </c>
      <c r="AN40" t="b">
        <v>1</v>
      </c>
      <c r="AO40" t="b">
        <v>0</v>
      </c>
      <c r="AP40" t="b">
        <v>1</v>
      </c>
      <c r="AQ40" t="b">
        <v>0</v>
      </c>
      <c r="AR40" t="s">
        <v>442</v>
      </c>
      <c r="AS40">
        <v>-1</v>
      </c>
      <c r="AT40" t="s">
        <v>443</v>
      </c>
      <c r="AU40">
        <v>-2.7725887222397811</v>
      </c>
      <c r="AV40">
        <v>1.882352941176471</v>
      </c>
      <c r="AW40">
        <v>2.3529411764705879</v>
      </c>
      <c r="AX40">
        <v>0.49411764705882361</v>
      </c>
      <c r="AY40">
        <v>0.1647058823529412</v>
      </c>
      <c r="AZ40">
        <v>0.38461538461538458</v>
      </c>
      <c r="BA40">
        <v>0.48076923076923073</v>
      </c>
      <c r="BB40">
        <v>0.10096153846153851</v>
      </c>
      <c r="BC40">
        <v>3.3653846153846159E-2</v>
      </c>
      <c r="BD40">
        <v>5.7003290021764714</v>
      </c>
      <c r="BE40">
        <v>20</v>
      </c>
      <c r="BF40">
        <v>229.90248606119221</v>
      </c>
      <c r="BG40">
        <v>1</v>
      </c>
      <c r="BH40">
        <v>8.6993404650164072E-2</v>
      </c>
      <c r="BI40">
        <v>15.28115725</v>
      </c>
      <c r="BJ40">
        <v>15.28115725</v>
      </c>
      <c r="BK40">
        <v>15.28115725</v>
      </c>
      <c r="BL40">
        <v>0</v>
      </c>
      <c r="BM40">
        <v>0</v>
      </c>
      <c r="BO40">
        <v>0</v>
      </c>
      <c r="BR40">
        <v>442.10223602000008</v>
      </c>
      <c r="BS40">
        <v>1</v>
      </c>
      <c r="BT40">
        <v>4.5238404989870327E-2</v>
      </c>
      <c r="BU40">
        <v>3.8530000000000002</v>
      </c>
      <c r="BV40">
        <v>3.8530000000000002</v>
      </c>
      <c r="BW40">
        <v>29.78</v>
      </c>
      <c r="BX40">
        <v>435.13656298400002</v>
      </c>
      <c r="BY40">
        <v>9.1925164196029197E-2</v>
      </c>
      <c r="BZ40">
        <v>10</v>
      </c>
      <c r="CA40">
        <v>4.5962582098014598E-2</v>
      </c>
      <c r="CB40">
        <v>4.3496702325082043E-2</v>
      </c>
      <c r="CD40">
        <v>2.261920249493516E-2</v>
      </c>
      <c r="CE40">
        <v>0.57366827172135415</v>
      </c>
      <c r="CG40">
        <v>0.29831959917343742</v>
      </c>
      <c r="CH40">
        <v>0.60619020814399538</v>
      </c>
    </row>
    <row r="41" spans="1:86" x14ac:dyDescent="0.3">
      <c r="A41" s="1">
        <v>143</v>
      </c>
      <c r="B41" t="s">
        <v>433</v>
      </c>
      <c r="C41" t="s">
        <v>434</v>
      </c>
      <c r="E41" t="s">
        <v>404</v>
      </c>
      <c r="F41">
        <v>2.12</v>
      </c>
      <c r="G41" t="s">
        <v>405</v>
      </c>
      <c r="H41">
        <v>-1</v>
      </c>
      <c r="I41" t="s">
        <v>406</v>
      </c>
      <c r="J41">
        <v>2</v>
      </c>
      <c r="K41">
        <v>3.8570000000000002</v>
      </c>
      <c r="L41">
        <v>3.8570000000000002</v>
      </c>
      <c r="M41">
        <v>29.533999999999999</v>
      </c>
      <c r="O41">
        <v>14.766999999999999</v>
      </c>
      <c r="P41">
        <v>3</v>
      </c>
      <c r="Q41" t="s">
        <v>87</v>
      </c>
      <c r="R41">
        <v>1323</v>
      </c>
      <c r="S41">
        <v>48</v>
      </c>
      <c r="T41" t="b">
        <v>0</v>
      </c>
      <c r="U41" t="s">
        <v>88</v>
      </c>
      <c r="V41" t="s">
        <v>89</v>
      </c>
      <c r="W41">
        <v>0</v>
      </c>
      <c r="Y41">
        <v>2</v>
      </c>
      <c r="Z41">
        <v>0</v>
      </c>
      <c r="AC41" t="s">
        <v>165</v>
      </c>
      <c r="AD41">
        <v>500</v>
      </c>
      <c r="AE41">
        <v>300</v>
      </c>
      <c r="AF41" t="s">
        <v>407</v>
      </c>
      <c r="AG41">
        <v>298</v>
      </c>
      <c r="AH41" s="3">
        <v>1.2500000000000001E-2</v>
      </c>
      <c r="AI41" s="3" t="e">
        <f>AH41/(AD41*Y41*Z41)</f>
        <v>#DIV/0!</v>
      </c>
      <c r="AJ41" s="3" t="e">
        <f>LN(AI41)</f>
        <v>#DIV/0!</v>
      </c>
      <c r="AK41" t="s">
        <v>435</v>
      </c>
      <c r="AM41" t="s">
        <v>435</v>
      </c>
      <c r="AN41" t="b">
        <v>1</v>
      </c>
      <c r="AO41" t="b">
        <v>0</v>
      </c>
      <c r="AP41" t="b">
        <v>1</v>
      </c>
      <c r="AQ41" t="b">
        <v>0</v>
      </c>
      <c r="AR41" t="s">
        <v>444</v>
      </c>
      <c r="AS41">
        <v>-1</v>
      </c>
      <c r="AT41" t="s">
        <v>445</v>
      </c>
      <c r="AU41">
        <v>-4.3820266346738812</v>
      </c>
      <c r="AV41">
        <v>1.882352941176471</v>
      </c>
      <c r="AW41">
        <v>2.3529411764705879</v>
      </c>
      <c r="AX41">
        <v>0.54117647058823526</v>
      </c>
      <c r="AY41">
        <v>0</v>
      </c>
      <c r="AZ41">
        <v>0.39408866995073888</v>
      </c>
      <c r="BA41">
        <v>0.49261083743842371</v>
      </c>
      <c r="BB41">
        <v>0.1133004926108374</v>
      </c>
      <c r="BC41">
        <v>0</v>
      </c>
      <c r="BD41">
        <v>5.7010143455882352</v>
      </c>
      <c r="BE41">
        <v>20</v>
      </c>
      <c r="BF41">
        <v>229.90248606119221</v>
      </c>
      <c r="BG41">
        <v>1</v>
      </c>
      <c r="BH41">
        <v>8.6993404650164072E-2</v>
      </c>
      <c r="BI41">
        <v>15.28115725</v>
      </c>
      <c r="BJ41">
        <v>15.28115725</v>
      </c>
      <c r="BK41">
        <v>15.28115725</v>
      </c>
      <c r="BL41">
        <v>0</v>
      </c>
      <c r="BM41">
        <v>0</v>
      </c>
      <c r="BO41">
        <v>0</v>
      </c>
      <c r="BR41">
        <v>442.10223602000008</v>
      </c>
      <c r="BS41">
        <v>1</v>
      </c>
      <c r="BT41">
        <v>4.5238404989870327E-2</v>
      </c>
      <c r="BU41">
        <v>3.8530000000000002</v>
      </c>
      <c r="BV41">
        <v>3.8530000000000002</v>
      </c>
      <c r="BW41">
        <v>29.78</v>
      </c>
      <c r="BX41">
        <v>439.36104476600002</v>
      </c>
      <c r="BY41">
        <v>9.1041298441248156E-2</v>
      </c>
      <c r="BZ41">
        <v>10</v>
      </c>
      <c r="CA41">
        <v>4.5520649220624078E-2</v>
      </c>
      <c r="CB41">
        <v>4.3496702325082043E-2</v>
      </c>
      <c r="CD41">
        <v>2.261920249493516E-2</v>
      </c>
      <c r="CE41">
        <v>0.57427522249847118</v>
      </c>
      <c r="CG41">
        <v>0.29863522637729911</v>
      </c>
      <c r="CH41">
        <v>0.60099684716499824</v>
      </c>
    </row>
    <row r="42" spans="1:86" x14ac:dyDescent="0.3">
      <c r="A42" s="1">
        <v>144</v>
      </c>
      <c r="B42" t="s">
        <v>446</v>
      </c>
      <c r="C42" t="s">
        <v>447</v>
      </c>
      <c r="F42">
        <v>3.9</v>
      </c>
      <c r="G42" t="s">
        <v>448</v>
      </c>
      <c r="H42">
        <v>-1</v>
      </c>
      <c r="I42" t="s">
        <v>449</v>
      </c>
      <c r="J42">
        <v>1</v>
      </c>
      <c r="K42">
        <v>3.9037999999999999</v>
      </c>
      <c r="L42">
        <v>3.9037999999999999</v>
      </c>
      <c r="M42">
        <v>9.7742000000000004</v>
      </c>
      <c r="N42" t="s">
        <v>101</v>
      </c>
      <c r="O42">
        <v>9.7742000000000004</v>
      </c>
      <c r="P42">
        <v>3</v>
      </c>
      <c r="Q42" t="s">
        <v>87</v>
      </c>
      <c r="R42">
        <v>1173</v>
      </c>
      <c r="S42">
        <v>24</v>
      </c>
      <c r="T42" t="b">
        <v>0</v>
      </c>
      <c r="U42" t="s">
        <v>88</v>
      </c>
      <c r="V42" t="s">
        <v>89</v>
      </c>
      <c r="W42">
        <v>0</v>
      </c>
      <c r="X42">
        <v>4</v>
      </c>
      <c r="Y42">
        <v>2.5</v>
      </c>
      <c r="Z42">
        <v>0</v>
      </c>
      <c r="AC42" t="s">
        <v>90</v>
      </c>
      <c r="AD42">
        <v>400</v>
      </c>
      <c r="AF42" t="s">
        <v>91</v>
      </c>
      <c r="AH42" s="3">
        <v>770</v>
      </c>
      <c r="AI42" s="3" t="e">
        <f>AH42/(AD42*Y42*Z42)</f>
        <v>#DIV/0!</v>
      </c>
      <c r="AJ42" s="3" t="e">
        <f>LN(AI42)</f>
        <v>#DIV/0!</v>
      </c>
      <c r="AN42" t="b">
        <v>1</v>
      </c>
      <c r="AO42" t="b">
        <v>0</v>
      </c>
      <c r="AP42" t="b">
        <v>0</v>
      </c>
      <c r="AQ42" t="b">
        <v>0</v>
      </c>
      <c r="AR42" t="s">
        <v>448</v>
      </c>
      <c r="AS42">
        <v>-1</v>
      </c>
      <c r="AT42" t="s">
        <v>449</v>
      </c>
      <c r="AU42">
        <v>6.6463905148477291</v>
      </c>
      <c r="AV42">
        <v>1.833333333333333</v>
      </c>
      <c r="AW42">
        <v>2.333333333333333</v>
      </c>
      <c r="AX42">
        <v>0.5</v>
      </c>
      <c r="AY42">
        <v>2.333333333333333</v>
      </c>
      <c r="AZ42">
        <v>0.26190476190476192</v>
      </c>
      <c r="BA42">
        <v>0.33333333333333343</v>
      </c>
      <c r="BB42">
        <v>7.1428571428571425E-2</v>
      </c>
      <c r="BC42">
        <v>0.33333333333333343</v>
      </c>
      <c r="BD42">
        <v>6.4901345559335004</v>
      </c>
      <c r="BE42">
        <v>14</v>
      </c>
      <c r="BF42">
        <v>150.75696951344321</v>
      </c>
      <c r="BG42">
        <v>1</v>
      </c>
      <c r="BH42">
        <v>9.2864695046497372E-2</v>
      </c>
      <c r="BI42">
        <v>9.9051542599999998</v>
      </c>
      <c r="BJ42">
        <v>9.9051542599999998</v>
      </c>
      <c r="BK42">
        <v>9.9051542599999998</v>
      </c>
      <c r="BL42">
        <v>0</v>
      </c>
      <c r="BM42">
        <v>0</v>
      </c>
      <c r="BO42">
        <v>0</v>
      </c>
      <c r="BR42">
        <v>285.96232350000002</v>
      </c>
      <c r="BS42">
        <v>2</v>
      </c>
      <c r="BT42">
        <v>9.7914996833490184E-2</v>
      </c>
      <c r="BU42">
        <v>3.93</v>
      </c>
      <c r="BV42">
        <v>3.93</v>
      </c>
      <c r="BW42">
        <v>18.515000000000001</v>
      </c>
      <c r="BX42">
        <v>148.95543042744799</v>
      </c>
      <c r="BY42">
        <v>9.3987845624862981E-2</v>
      </c>
      <c r="BZ42">
        <v>7</v>
      </c>
      <c r="CA42">
        <v>4.6993922812431491E-2</v>
      </c>
      <c r="CB42">
        <v>4.6432347523248693E-2</v>
      </c>
      <c r="CD42">
        <v>4.8957498416745092E-2</v>
      </c>
      <c r="CE42">
        <v>0.47933993356952992</v>
      </c>
      <c r="CG42">
        <v>0.50540808920037661</v>
      </c>
      <c r="CH42">
        <v>0.48513730277806261</v>
      </c>
    </row>
    <row r="43" spans="1:86" x14ac:dyDescent="0.3">
      <c r="A43" s="1">
        <v>145</v>
      </c>
      <c r="B43" t="s">
        <v>450</v>
      </c>
      <c r="C43" t="s">
        <v>451</v>
      </c>
      <c r="F43">
        <v>3.9</v>
      </c>
      <c r="G43" t="s">
        <v>452</v>
      </c>
      <c r="H43" t="s">
        <v>453</v>
      </c>
      <c r="I43">
        <v>-1</v>
      </c>
      <c r="J43">
        <v>2</v>
      </c>
      <c r="K43">
        <v>3.847</v>
      </c>
      <c r="L43">
        <v>3.847</v>
      </c>
      <c r="M43">
        <v>18.109400000000001</v>
      </c>
      <c r="N43" t="s">
        <v>206</v>
      </c>
      <c r="O43">
        <v>9.0547000000000004</v>
      </c>
      <c r="P43">
        <v>3</v>
      </c>
      <c r="Q43" t="s">
        <v>87</v>
      </c>
      <c r="R43">
        <v>1523</v>
      </c>
      <c r="S43">
        <v>24</v>
      </c>
      <c r="T43" t="b">
        <v>0</v>
      </c>
      <c r="U43" t="s">
        <v>88</v>
      </c>
      <c r="V43" t="s">
        <v>89</v>
      </c>
      <c r="W43">
        <v>0</v>
      </c>
      <c r="X43">
        <v>0.2</v>
      </c>
      <c r="Y43">
        <v>2.5</v>
      </c>
      <c r="Z43">
        <v>0</v>
      </c>
      <c r="AC43" t="s">
        <v>90</v>
      </c>
      <c r="AD43">
        <v>400</v>
      </c>
      <c r="AF43" t="s">
        <v>91</v>
      </c>
      <c r="AH43" s="3">
        <v>29.8</v>
      </c>
      <c r="AI43" s="3" t="e">
        <f>AH43/(AD43*Y43*Z43)</f>
        <v>#DIV/0!</v>
      </c>
      <c r="AJ43" s="3" t="e">
        <f>LN(AI43)</f>
        <v>#DIV/0!</v>
      </c>
      <c r="AN43" t="b">
        <v>1</v>
      </c>
      <c r="AO43" t="b">
        <v>1</v>
      </c>
      <c r="AP43" t="b">
        <v>0</v>
      </c>
      <c r="AQ43" t="b">
        <v>0</v>
      </c>
      <c r="AR43" t="s">
        <v>452</v>
      </c>
      <c r="AS43" t="s">
        <v>453</v>
      </c>
      <c r="AU43">
        <v>3.3945083935113591</v>
      </c>
      <c r="AV43">
        <v>1.833333333333333</v>
      </c>
      <c r="AW43">
        <v>2.333333333333333</v>
      </c>
      <c r="AX43">
        <v>0.5</v>
      </c>
      <c r="AY43">
        <v>2.333333333333333</v>
      </c>
      <c r="AZ43">
        <v>0.26190476190476192</v>
      </c>
      <c r="BA43">
        <v>0.33333333333333343</v>
      </c>
      <c r="BB43">
        <v>7.1428571428571425E-2</v>
      </c>
      <c r="BC43">
        <v>0.33333333333333343</v>
      </c>
      <c r="BD43">
        <v>5.7948957581249996</v>
      </c>
      <c r="BE43">
        <v>14</v>
      </c>
      <c r="BF43">
        <v>140.22301532111419</v>
      </c>
      <c r="BG43">
        <v>1</v>
      </c>
      <c r="BH43">
        <v>9.984095669273442E-2</v>
      </c>
      <c r="BI43">
        <v>3.9407006600000001</v>
      </c>
      <c r="BJ43">
        <v>3.94070016</v>
      </c>
      <c r="BK43">
        <v>9.4498532300000004</v>
      </c>
      <c r="BL43">
        <v>283.95112218200001</v>
      </c>
      <c r="BM43">
        <v>2</v>
      </c>
      <c r="BN43">
        <v>9.8608520314468942E-2</v>
      </c>
      <c r="BO43">
        <v>3.9499</v>
      </c>
      <c r="BP43">
        <v>3.9499</v>
      </c>
      <c r="BQ43">
        <v>18.2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268.00841734459999</v>
      </c>
      <c r="BY43">
        <v>0.1044743306102888</v>
      </c>
      <c r="BZ43">
        <v>7</v>
      </c>
      <c r="CA43">
        <v>5.2237165305144398E-2</v>
      </c>
      <c r="CB43">
        <v>4.992047834636721E-2</v>
      </c>
      <c r="CC43">
        <v>4.9304260157234471E-2</v>
      </c>
      <c r="CE43">
        <v>0.55890272128424257</v>
      </c>
      <c r="CF43">
        <v>0.55200362828233829</v>
      </c>
      <c r="CH43">
        <v>0.58484002574355598</v>
      </c>
    </row>
    <row r="44" spans="1:86" x14ac:dyDescent="0.3">
      <c r="A44" s="1">
        <v>146</v>
      </c>
      <c r="B44" t="s">
        <v>454</v>
      </c>
      <c r="C44" t="s">
        <v>455</v>
      </c>
      <c r="F44">
        <v>3.9</v>
      </c>
      <c r="G44" t="s">
        <v>456</v>
      </c>
      <c r="H44">
        <v>-1</v>
      </c>
      <c r="I44">
        <v>-1</v>
      </c>
      <c r="J44">
        <v>1</v>
      </c>
      <c r="K44">
        <v>3.9973999999999998</v>
      </c>
      <c r="L44">
        <v>3.9973999999999998</v>
      </c>
      <c r="M44">
        <v>12.132999999999999</v>
      </c>
      <c r="N44" t="s">
        <v>101</v>
      </c>
      <c r="O44">
        <v>12.132999999999999</v>
      </c>
      <c r="P44">
        <v>3</v>
      </c>
      <c r="Q44" t="s">
        <v>87</v>
      </c>
      <c r="R44">
        <v>1173</v>
      </c>
      <c r="S44">
        <v>24</v>
      </c>
      <c r="T44" t="b">
        <v>0</v>
      </c>
      <c r="U44" t="s">
        <v>88</v>
      </c>
      <c r="V44" t="s">
        <v>89</v>
      </c>
      <c r="W44">
        <v>0</v>
      </c>
      <c r="X44">
        <v>1.1000000000000001</v>
      </c>
      <c r="Y44">
        <v>2.5</v>
      </c>
      <c r="Z44">
        <v>0</v>
      </c>
      <c r="AC44" t="s">
        <v>90</v>
      </c>
      <c r="AD44">
        <v>400</v>
      </c>
      <c r="AF44" t="s">
        <v>91</v>
      </c>
      <c r="AH44" s="3">
        <v>748</v>
      </c>
      <c r="AI44" s="3" t="e">
        <f>AH44/(AD44*Y44*Z44)</f>
        <v>#DIV/0!</v>
      </c>
      <c r="AJ44" s="3" t="e">
        <f>LN(AI44)</f>
        <v>#DIV/0!</v>
      </c>
      <c r="AN44" t="b">
        <v>1</v>
      </c>
      <c r="AO44" t="b">
        <v>0</v>
      </c>
      <c r="AP44" t="b">
        <v>0</v>
      </c>
      <c r="AQ44" t="b">
        <v>0</v>
      </c>
      <c r="AR44" t="s">
        <v>456</v>
      </c>
      <c r="AS44">
        <v>-1</v>
      </c>
      <c r="AU44">
        <v>6.6174029779744776</v>
      </c>
      <c r="AV44">
        <v>1.833333333333333</v>
      </c>
      <c r="AW44">
        <v>2.333333333333333</v>
      </c>
      <c r="AX44">
        <v>0.5</v>
      </c>
      <c r="AY44">
        <v>2.333333333333333</v>
      </c>
      <c r="AZ44">
        <v>0.26190476190476192</v>
      </c>
      <c r="BA44">
        <v>0.33333333333333343</v>
      </c>
      <c r="BB44">
        <v>7.1428571428571425E-2</v>
      </c>
      <c r="BC44">
        <v>0.33333333333333343</v>
      </c>
      <c r="BD44">
        <v>5.6975923117916656</v>
      </c>
      <c r="BE44">
        <v>14</v>
      </c>
      <c r="BF44">
        <v>178.29230172449789</v>
      </c>
      <c r="BG44">
        <v>1</v>
      </c>
      <c r="BH44">
        <v>7.8522739706581246E-2</v>
      </c>
      <c r="BI44">
        <v>11.40392245</v>
      </c>
      <c r="BJ44">
        <v>11.40392245</v>
      </c>
      <c r="BK44">
        <v>11.40392245</v>
      </c>
      <c r="BL44">
        <v>0</v>
      </c>
      <c r="BM44">
        <v>0</v>
      </c>
      <c r="BO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193.87571561908001</v>
      </c>
      <c r="BY44">
        <v>7.2211209925366296E-2</v>
      </c>
      <c r="BZ44">
        <v>7</v>
      </c>
      <c r="CA44">
        <v>3.6105604962683148E-2</v>
      </c>
      <c r="CB44">
        <v>3.9261369853290623E-2</v>
      </c>
      <c r="CE44">
        <v>0.57032312472571234</v>
      </c>
      <c r="CH44">
        <v>0.52448148190896005</v>
      </c>
    </row>
    <row r="45" spans="1:86" x14ac:dyDescent="0.3">
      <c r="A45" s="1">
        <v>147</v>
      </c>
      <c r="B45" t="s">
        <v>457</v>
      </c>
      <c r="C45" t="s">
        <v>458</v>
      </c>
      <c r="F45">
        <v>3.9</v>
      </c>
      <c r="G45" t="s">
        <v>456</v>
      </c>
      <c r="H45">
        <v>-1</v>
      </c>
      <c r="I45">
        <v>-1</v>
      </c>
      <c r="J45">
        <v>1</v>
      </c>
      <c r="K45">
        <v>3.9727000000000001</v>
      </c>
      <c r="L45">
        <v>3.9727000000000001</v>
      </c>
      <c r="M45">
        <v>12.763199999999999</v>
      </c>
      <c r="N45" t="s">
        <v>101</v>
      </c>
      <c r="O45">
        <v>12.763199999999999</v>
      </c>
      <c r="P45">
        <v>3</v>
      </c>
      <c r="Q45" t="s">
        <v>87</v>
      </c>
      <c r="R45">
        <v>1173</v>
      </c>
      <c r="S45">
        <v>24</v>
      </c>
      <c r="T45" t="b">
        <v>0</v>
      </c>
      <c r="U45" t="s">
        <v>88</v>
      </c>
      <c r="V45" t="s">
        <v>89</v>
      </c>
      <c r="W45">
        <v>0</v>
      </c>
      <c r="X45">
        <v>1.6</v>
      </c>
      <c r="Y45">
        <v>2.5</v>
      </c>
      <c r="Z45">
        <v>0</v>
      </c>
      <c r="AC45" t="s">
        <v>90</v>
      </c>
      <c r="AD45">
        <v>400</v>
      </c>
      <c r="AF45" t="s">
        <v>91</v>
      </c>
      <c r="AH45" s="3">
        <v>176</v>
      </c>
      <c r="AI45" s="3" t="e">
        <f>AH45/(AD45*Y45*Z45)</f>
        <v>#DIV/0!</v>
      </c>
      <c r="AJ45" s="3" t="e">
        <f>LN(AI45)</f>
        <v>#DIV/0!</v>
      </c>
      <c r="AK45" t="s">
        <v>320</v>
      </c>
      <c r="AN45" t="b">
        <v>1</v>
      </c>
      <c r="AO45" t="b">
        <v>0</v>
      </c>
      <c r="AP45" t="b">
        <v>0</v>
      </c>
      <c r="AQ45" t="b">
        <v>0</v>
      </c>
      <c r="AR45" t="s">
        <v>459</v>
      </c>
      <c r="AS45">
        <v>-1</v>
      </c>
      <c r="AU45">
        <v>5.1704839950381514</v>
      </c>
      <c r="AV45">
        <v>1.833333333333333</v>
      </c>
      <c r="AW45">
        <v>2.333333333333333</v>
      </c>
      <c r="AX45">
        <v>0.5</v>
      </c>
      <c r="AY45">
        <v>2.333333333333333</v>
      </c>
      <c r="AZ45">
        <v>0.26190476190476192</v>
      </c>
      <c r="BA45">
        <v>0.33333333333333343</v>
      </c>
      <c r="BB45">
        <v>7.1428571428571425E-2</v>
      </c>
      <c r="BC45">
        <v>0.33333333333333343</v>
      </c>
      <c r="BD45">
        <v>5.6826690992916662</v>
      </c>
      <c r="BE45">
        <v>14</v>
      </c>
      <c r="BF45">
        <v>178.29230172449789</v>
      </c>
      <c r="BG45">
        <v>1</v>
      </c>
      <c r="BH45">
        <v>7.8522739706581246E-2</v>
      </c>
      <c r="BI45">
        <v>11.40392245</v>
      </c>
      <c r="BJ45">
        <v>11.40392245</v>
      </c>
      <c r="BK45">
        <v>11.40392245</v>
      </c>
      <c r="BL45">
        <v>0</v>
      </c>
      <c r="BM45">
        <v>0</v>
      </c>
      <c r="BO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201.43322940532801</v>
      </c>
      <c r="BY45">
        <v>6.9501938887297082E-2</v>
      </c>
      <c r="BZ45">
        <v>7</v>
      </c>
      <c r="CA45">
        <v>3.4750969443648541E-2</v>
      </c>
      <c r="CB45">
        <v>3.9261369853290623E-2</v>
      </c>
      <c r="CE45">
        <v>0.6202472020308577</v>
      </c>
      <c r="CH45">
        <v>0.54899234656929097</v>
      </c>
    </row>
    <row r="46" spans="1:86" x14ac:dyDescent="0.3">
      <c r="A46" s="1">
        <v>148</v>
      </c>
      <c r="B46" t="s">
        <v>350</v>
      </c>
      <c r="C46" t="s">
        <v>351</v>
      </c>
      <c r="F46">
        <v>3.6</v>
      </c>
      <c r="G46" t="s">
        <v>352</v>
      </c>
      <c r="H46" t="s">
        <v>353</v>
      </c>
      <c r="I46">
        <v>-1</v>
      </c>
      <c r="Q46" t="s">
        <v>87</v>
      </c>
      <c r="R46">
        <v>1173</v>
      </c>
      <c r="S46">
        <v>24</v>
      </c>
      <c r="T46" t="b">
        <v>0</v>
      </c>
      <c r="U46" t="s">
        <v>88</v>
      </c>
      <c r="V46" t="s">
        <v>89</v>
      </c>
      <c r="W46">
        <v>0</v>
      </c>
      <c r="X46">
        <v>1.5</v>
      </c>
      <c r="Y46">
        <v>2.5</v>
      </c>
      <c r="Z46">
        <v>0</v>
      </c>
      <c r="AC46" t="s">
        <v>90</v>
      </c>
      <c r="AD46">
        <v>400</v>
      </c>
      <c r="AF46" t="s">
        <v>91</v>
      </c>
      <c r="AH46" s="3">
        <v>49.4</v>
      </c>
      <c r="AI46" s="3" t="e">
        <f>AH46/(AD46*Y46*Z46)</f>
        <v>#DIV/0!</v>
      </c>
      <c r="AJ46" s="3" t="e">
        <f>LN(AI46)</f>
        <v>#DIV/0!</v>
      </c>
      <c r="AN46" t="b">
        <v>1</v>
      </c>
      <c r="AO46" t="b">
        <v>1</v>
      </c>
      <c r="AP46" t="b">
        <v>0</v>
      </c>
      <c r="AQ46" t="b">
        <v>0</v>
      </c>
      <c r="AR46" t="s">
        <v>352</v>
      </c>
      <c r="AS46" t="s">
        <v>353</v>
      </c>
      <c r="AU46">
        <v>3.8999504241938769</v>
      </c>
      <c r="AV46">
        <v>1.8</v>
      </c>
      <c r="AW46">
        <v>2.4</v>
      </c>
      <c r="AX46">
        <v>0.6</v>
      </c>
      <c r="AY46">
        <v>2.8</v>
      </c>
      <c r="AZ46">
        <v>0.23684210526315791</v>
      </c>
      <c r="BA46">
        <v>0.31578947368421051</v>
      </c>
      <c r="BB46">
        <v>7.8947368421052627E-2</v>
      </c>
      <c r="BC46">
        <v>0.36842105263157893</v>
      </c>
      <c r="BD46">
        <v>5.7958057026999992</v>
      </c>
      <c r="BE46">
        <v>6</v>
      </c>
      <c r="BF46">
        <v>63.754620030366901</v>
      </c>
      <c r="BG46">
        <v>1</v>
      </c>
      <c r="BH46">
        <v>9.4110826747020773E-2</v>
      </c>
      <c r="BI46">
        <v>3.9948813699999999</v>
      </c>
      <c r="BJ46">
        <v>3.9948813699999999</v>
      </c>
      <c r="BK46">
        <v>3.9948813699999999</v>
      </c>
      <c r="BL46">
        <v>63.440041078387011</v>
      </c>
      <c r="BM46">
        <v>1</v>
      </c>
      <c r="BN46">
        <v>9.4577492353549286E-2</v>
      </c>
      <c r="BO46">
        <v>3.9883000000000002</v>
      </c>
      <c r="BP46">
        <v>3.9883000000000002</v>
      </c>
      <c r="BQ46">
        <v>3.9883000000000002</v>
      </c>
      <c r="BR46">
        <v>0</v>
      </c>
      <c r="BS46">
        <v>0</v>
      </c>
      <c r="BU46">
        <v>0</v>
      </c>
      <c r="BV46">
        <v>0</v>
      </c>
      <c r="BW46">
        <v>0</v>
      </c>
      <c r="BZ46">
        <v>3</v>
      </c>
      <c r="CB46">
        <v>4.7055413373510387E-2</v>
      </c>
      <c r="CC46">
        <v>4.7288746176774643E-2</v>
      </c>
      <c r="CE46">
        <v>0.65619545508850963</v>
      </c>
      <c r="CF46">
        <v>0.65944931928920669</v>
      </c>
    </row>
    <row r="47" spans="1:86" x14ac:dyDescent="0.3">
      <c r="A47" s="1">
        <v>152</v>
      </c>
      <c r="B47" t="s">
        <v>460</v>
      </c>
      <c r="C47" t="s">
        <v>461</v>
      </c>
      <c r="F47">
        <v>4</v>
      </c>
      <c r="G47" t="s">
        <v>462</v>
      </c>
      <c r="H47">
        <v>1540895</v>
      </c>
      <c r="I47">
        <v>-1</v>
      </c>
      <c r="Q47" t="s">
        <v>87</v>
      </c>
      <c r="R47">
        <v>1498</v>
      </c>
      <c r="S47">
        <v>15</v>
      </c>
      <c r="T47" t="b">
        <v>0</v>
      </c>
      <c r="U47" t="s">
        <v>88</v>
      </c>
      <c r="V47" t="s">
        <v>89</v>
      </c>
      <c r="W47">
        <v>0</v>
      </c>
      <c r="X47">
        <v>3.3</v>
      </c>
      <c r="Y47">
        <v>2.5</v>
      </c>
      <c r="Z47">
        <v>0</v>
      </c>
      <c r="AC47" t="s">
        <v>90</v>
      </c>
      <c r="AD47">
        <v>400</v>
      </c>
      <c r="AF47" t="s">
        <v>91</v>
      </c>
      <c r="AH47" s="3">
        <v>70</v>
      </c>
      <c r="AI47" s="3" t="e">
        <f>AH47/(AD47*Y47*Z47)</f>
        <v>#DIV/0!</v>
      </c>
      <c r="AJ47" s="3" t="e">
        <f>LN(AI47)</f>
        <v>#DIV/0!</v>
      </c>
      <c r="AN47" t="b">
        <v>1</v>
      </c>
      <c r="AO47" t="b">
        <v>1</v>
      </c>
      <c r="AP47" t="b">
        <v>0</v>
      </c>
      <c r="AQ47" t="b">
        <v>0</v>
      </c>
      <c r="AR47" t="s">
        <v>462</v>
      </c>
      <c r="AS47">
        <v>1540895</v>
      </c>
      <c r="AU47">
        <v>4.2484952420493594</v>
      </c>
      <c r="AV47">
        <v>2</v>
      </c>
      <c r="AW47">
        <v>2.7692307692307692</v>
      </c>
      <c r="AX47">
        <v>0.76923076923076927</v>
      </c>
      <c r="AY47">
        <v>3.2307692307692308</v>
      </c>
      <c r="AZ47">
        <v>0.22807017543859651</v>
      </c>
      <c r="BA47">
        <v>0.31578947368421051</v>
      </c>
      <c r="BB47">
        <v>8.771929824561403E-2</v>
      </c>
      <c r="BC47">
        <v>0.36842105263157893</v>
      </c>
      <c r="BD47">
        <v>6.3647018731153846</v>
      </c>
      <c r="BE47">
        <v>18</v>
      </c>
      <c r="BF47">
        <v>650.91495052835785</v>
      </c>
      <c r="BG47">
        <v>4</v>
      </c>
      <c r="BH47">
        <v>0.1106135293736247</v>
      </c>
      <c r="BI47">
        <v>6.6209990000000003</v>
      </c>
      <c r="BJ47">
        <v>7.7542879999999998</v>
      </c>
      <c r="BK47">
        <v>12.678235000000001</v>
      </c>
      <c r="BL47">
        <v>629.74513047537005</v>
      </c>
      <c r="BM47">
        <v>4</v>
      </c>
      <c r="BN47">
        <v>0.1143319678322086</v>
      </c>
      <c r="BO47">
        <v>6.5429000000000004</v>
      </c>
      <c r="BP47">
        <v>7.6490999999999998</v>
      </c>
      <c r="BQ47">
        <v>12.583</v>
      </c>
      <c r="BR47">
        <v>0</v>
      </c>
      <c r="BS47">
        <v>0</v>
      </c>
      <c r="BU47">
        <v>0</v>
      </c>
      <c r="BV47">
        <v>0</v>
      </c>
      <c r="BW47">
        <v>0</v>
      </c>
      <c r="BZ47">
        <v>9</v>
      </c>
      <c r="CB47">
        <v>5.5306764686812372E-2</v>
      </c>
      <c r="CC47">
        <v>5.7165983916104293E-2</v>
      </c>
      <c r="CE47">
        <v>0.5415090170432687</v>
      </c>
      <c r="CF47">
        <v>0.55971264878746796</v>
      </c>
    </row>
    <row r="48" spans="1:86" x14ac:dyDescent="0.3">
      <c r="A48" s="1">
        <v>153</v>
      </c>
      <c r="B48" t="s">
        <v>446</v>
      </c>
      <c r="C48" t="s">
        <v>447</v>
      </c>
      <c r="F48">
        <v>3.9</v>
      </c>
      <c r="G48" t="s">
        <v>448</v>
      </c>
      <c r="H48">
        <v>-1</v>
      </c>
      <c r="I48">
        <v>-1</v>
      </c>
      <c r="J48">
        <v>1</v>
      </c>
      <c r="K48">
        <v>3.9037999999999999</v>
      </c>
      <c r="L48">
        <v>3.9037999999999999</v>
      </c>
      <c r="M48">
        <v>9.7742000000000004</v>
      </c>
      <c r="O48">
        <v>9.7742000000000004</v>
      </c>
      <c r="Q48" t="s">
        <v>87</v>
      </c>
      <c r="R48">
        <v>1498</v>
      </c>
      <c r="S48">
        <v>15</v>
      </c>
      <c r="T48" t="b">
        <v>0</v>
      </c>
      <c r="U48" t="s">
        <v>88</v>
      </c>
      <c r="V48" t="s">
        <v>89</v>
      </c>
      <c r="W48">
        <v>0</v>
      </c>
      <c r="X48">
        <v>4</v>
      </c>
      <c r="Y48">
        <v>2.5</v>
      </c>
      <c r="Z48">
        <v>0</v>
      </c>
      <c r="AC48" t="s">
        <v>90</v>
      </c>
      <c r="AD48">
        <v>400</v>
      </c>
      <c r="AF48" t="s">
        <v>91</v>
      </c>
      <c r="AH48" s="3">
        <v>770</v>
      </c>
      <c r="AI48" s="3" t="e">
        <f>AH48/(AD48*Y48*Z48)</f>
        <v>#DIV/0!</v>
      </c>
      <c r="AJ48" s="3" t="e">
        <f>LN(AI48)</f>
        <v>#DIV/0!</v>
      </c>
      <c r="AN48" t="b">
        <v>1</v>
      </c>
      <c r="AO48" t="b">
        <v>0</v>
      </c>
      <c r="AP48" t="b">
        <v>0</v>
      </c>
      <c r="AQ48" t="b">
        <v>0</v>
      </c>
      <c r="AR48" t="s">
        <v>448</v>
      </c>
      <c r="AS48">
        <v>-1</v>
      </c>
      <c r="AU48">
        <v>6.6463905148477291</v>
      </c>
      <c r="AV48">
        <v>1.833333333333333</v>
      </c>
      <c r="AW48">
        <v>2.333333333333333</v>
      </c>
      <c r="AX48">
        <v>0.5</v>
      </c>
      <c r="AY48">
        <v>2.333333333333333</v>
      </c>
      <c r="AZ48">
        <v>0.26190476190476192</v>
      </c>
      <c r="BA48">
        <v>0.33333333333333343</v>
      </c>
      <c r="BB48">
        <v>7.1428571428571425E-2</v>
      </c>
      <c r="BC48">
        <v>0.33333333333333343</v>
      </c>
      <c r="BD48">
        <v>6.4901345559335004</v>
      </c>
      <c r="BE48">
        <v>14</v>
      </c>
      <c r="BF48">
        <v>150.75696951344321</v>
      </c>
      <c r="BG48">
        <v>1</v>
      </c>
      <c r="BH48">
        <v>9.2864695046497372E-2</v>
      </c>
      <c r="BI48">
        <v>9.9051542599999998</v>
      </c>
      <c r="BJ48">
        <v>9.9051542599999998</v>
      </c>
      <c r="BK48">
        <v>9.9051542599999998</v>
      </c>
      <c r="BL48">
        <v>0</v>
      </c>
      <c r="BM48">
        <v>0</v>
      </c>
      <c r="BO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148.95543042744799</v>
      </c>
      <c r="BY48">
        <v>9.3987845624862981E-2</v>
      </c>
      <c r="BZ48">
        <v>7</v>
      </c>
      <c r="CA48">
        <v>4.6993922812431491E-2</v>
      </c>
      <c r="CB48">
        <v>4.6432347523248693E-2</v>
      </c>
      <c r="CE48">
        <v>0.47933993356952992</v>
      </c>
      <c r="CH48">
        <v>0.48513730277806261</v>
      </c>
    </row>
    <row r="49" spans="1:86" x14ac:dyDescent="0.3">
      <c r="A49" s="1">
        <v>154</v>
      </c>
      <c r="B49" t="s">
        <v>350</v>
      </c>
      <c r="C49" t="s">
        <v>351</v>
      </c>
      <c r="F49">
        <v>3.6</v>
      </c>
      <c r="G49" t="s">
        <v>352</v>
      </c>
      <c r="H49" t="s">
        <v>353</v>
      </c>
      <c r="I49">
        <v>-1</v>
      </c>
      <c r="Q49" t="s">
        <v>87</v>
      </c>
      <c r="R49">
        <v>1498</v>
      </c>
      <c r="S49">
        <v>15</v>
      </c>
      <c r="T49" t="b">
        <v>0</v>
      </c>
      <c r="U49" t="s">
        <v>88</v>
      </c>
      <c r="V49" t="s">
        <v>89</v>
      </c>
      <c r="W49">
        <v>0</v>
      </c>
      <c r="X49">
        <v>4</v>
      </c>
      <c r="Y49">
        <v>2.5</v>
      </c>
      <c r="Z49">
        <v>0</v>
      </c>
      <c r="AC49" t="s">
        <v>90</v>
      </c>
      <c r="AD49">
        <v>400</v>
      </c>
      <c r="AF49" t="s">
        <v>91</v>
      </c>
      <c r="AH49" s="3">
        <v>50</v>
      </c>
      <c r="AI49" s="3" t="e">
        <f>AH49/(AD49*Y49*Z49)</f>
        <v>#DIV/0!</v>
      </c>
      <c r="AJ49" s="3" t="e">
        <f>LN(AI49)</f>
        <v>#DIV/0!</v>
      </c>
      <c r="AN49" t="b">
        <v>1</v>
      </c>
      <c r="AO49" t="b">
        <v>1</v>
      </c>
      <c r="AP49" t="b">
        <v>0</v>
      </c>
      <c r="AQ49" t="b">
        <v>0</v>
      </c>
      <c r="AR49" t="s">
        <v>352</v>
      </c>
      <c r="AS49" t="s">
        <v>353</v>
      </c>
      <c r="AU49">
        <v>3.912023005428146</v>
      </c>
      <c r="AV49">
        <v>1.8</v>
      </c>
      <c r="AW49">
        <v>2.4</v>
      </c>
      <c r="AX49">
        <v>0.6</v>
      </c>
      <c r="AY49">
        <v>2.8</v>
      </c>
      <c r="AZ49">
        <v>0.23684210526315791</v>
      </c>
      <c r="BA49">
        <v>0.31578947368421051</v>
      </c>
      <c r="BB49">
        <v>7.8947368421052627E-2</v>
      </c>
      <c r="BC49">
        <v>0.36842105263157893</v>
      </c>
      <c r="BD49">
        <v>5.7958057026999992</v>
      </c>
      <c r="BE49">
        <v>6</v>
      </c>
      <c r="BF49">
        <v>63.754620030366901</v>
      </c>
      <c r="BG49">
        <v>1</v>
      </c>
      <c r="BH49">
        <v>9.4110826747020773E-2</v>
      </c>
      <c r="BI49">
        <v>3.9948813699999999</v>
      </c>
      <c r="BJ49">
        <v>3.9948813699999999</v>
      </c>
      <c r="BK49">
        <v>3.9948813699999999</v>
      </c>
      <c r="BL49">
        <v>63.440041078387011</v>
      </c>
      <c r="BM49">
        <v>1</v>
      </c>
      <c r="BN49">
        <v>9.4577492353549286E-2</v>
      </c>
      <c r="BO49">
        <v>3.9883000000000002</v>
      </c>
      <c r="BP49">
        <v>3.9883000000000002</v>
      </c>
      <c r="BQ49">
        <v>3.9883000000000002</v>
      </c>
      <c r="BR49">
        <v>0</v>
      </c>
      <c r="BS49">
        <v>0</v>
      </c>
      <c r="BU49">
        <v>0</v>
      </c>
      <c r="BV49">
        <v>0</v>
      </c>
      <c r="BW49">
        <v>0</v>
      </c>
      <c r="BZ49">
        <v>3</v>
      </c>
      <c r="CB49">
        <v>4.7055413373510387E-2</v>
      </c>
      <c r="CC49">
        <v>4.7288746176774643E-2</v>
      </c>
      <c r="CE49">
        <v>0.65619545508850963</v>
      </c>
      <c r="CF49">
        <v>0.65944931928920669</v>
      </c>
    </row>
    <row r="50" spans="1:86" x14ac:dyDescent="0.3">
      <c r="A50" s="1">
        <v>187</v>
      </c>
      <c r="B50" t="s">
        <v>497</v>
      </c>
      <c r="C50" t="s">
        <v>498</v>
      </c>
      <c r="F50">
        <v>3.44</v>
      </c>
      <c r="G50">
        <v>-1</v>
      </c>
      <c r="H50">
        <v>-1</v>
      </c>
      <c r="I50" t="s">
        <v>499</v>
      </c>
      <c r="J50">
        <v>4</v>
      </c>
      <c r="K50">
        <v>5.492</v>
      </c>
      <c r="L50">
        <v>5.5650000000000004</v>
      </c>
      <c r="M50">
        <v>24.88</v>
      </c>
      <c r="N50" t="s">
        <v>500</v>
      </c>
      <c r="O50">
        <v>12.44</v>
      </c>
      <c r="Q50" t="s">
        <v>467</v>
      </c>
      <c r="R50">
        <v>1173</v>
      </c>
      <c r="S50">
        <v>6</v>
      </c>
      <c r="T50" t="b">
        <v>0</v>
      </c>
      <c r="U50" t="s">
        <v>88</v>
      </c>
      <c r="V50" t="s">
        <v>89</v>
      </c>
      <c r="W50">
        <v>0</v>
      </c>
      <c r="X50">
        <v>1.3</v>
      </c>
      <c r="Y50">
        <v>3.07</v>
      </c>
      <c r="Z50">
        <v>0</v>
      </c>
      <c r="AC50" t="s">
        <v>90</v>
      </c>
      <c r="AD50">
        <v>300</v>
      </c>
      <c r="AF50" t="s">
        <v>91</v>
      </c>
      <c r="AG50">
        <v>293</v>
      </c>
      <c r="AH50" s="3">
        <v>17</v>
      </c>
      <c r="AI50" s="3" t="e">
        <f>AH50/(AD50*Y50*Z50)</f>
        <v>#DIV/0!</v>
      </c>
      <c r="AJ50" s="3" t="e">
        <f>LN(AI50)</f>
        <v>#DIV/0!</v>
      </c>
      <c r="AN50" t="b">
        <v>0</v>
      </c>
      <c r="AO50" t="b">
        <v>0</v>
      </c>
      <c r="AP50" t="b">
        <v>1</v>
      </c>
      <c r="AQ50" t="b">
        <v>0</v>
      </c>
      <c r="AR50">
        <v>-1</v>
      </c>
      <c r="AS50">
        <v>-1</v>
      </c>
      <c r="AT50" t="s">
        <v>499</v>
      </c>
      <c r="AU50">
        <v>2.8332133440562162</v>
      </c>
      <c r="AV50">
        <v>1.964285714285714</v>
      </c>
      <c r="AW50">
        <v>3</v>
      </c>
      <c r="AX50">
        <v>1.892857142857143</v>
      </c>
      <c r="AY50">
        <v>4</v>
      </c>
      <c r="AZ50">
        <v>0.1809210526315789</v>
      </c>
      <c r="BA50">
        <v>0.27631578947368418</v>
      </c>
      <c r="BB50">
        <v>0.17434210526315791</v>
      </c>
      <c r="BC50">
        <v>0.36842105263157893</v>
      </c>
      <c r="BD50">
        <v>6.1933361807499994</v>
      </c>
      <c r="BE50">
        <v>18</v>
      </c>
      <c r="BF50">
        <v>0</v>
      </c>
      <c r="BG50">
        <v>0</v>
      </c>
      <c r="BI50">
        <v>0</v>
      </c>
      <c r="BL50">
        <v>0</v>
      </c>
      <c r="BM50">
        <v>0</v>
      </c>
      <c r="BO50">
        <v>0</v>
      </c>
      <c r="BR50">
        <v>760.63553945599995</v>
      </c>
      <c r="BS50">
        <v>2</v>
      </c>
      <c r="BT50">
        <v>4.7328842964328093E-2</v>
      </c>
      <c r="BU50">
        <v>25.071999999999999</v>
      </c>
      <c r="BV50">
        <v>5.5039999999999996</v>
      </c>
      <c r="BW50">
        <v>5.5119999999999996</v>
      </c>
      <c r="BX50">
        <v>760.40694240000005</v>
      </c>
      <c r="BY50">
        <v>9.4686142360501407E-2</v>
      </c>
      <c r="BZ50">
        <v>9</v>
      </c>
      <c r="CA50">
        <v>4.7343071180250697E-2</v>
      </c>
      <c r="CD50">
        <v>2.3664421482164039E-2</v>
      </c>
      <c r="CG50">
        <v>0.27222602110589023</v>
      </c>
      <c r="CH50">
        <v>0.54461571790573182</v>
      </c>
    </row>
    <row r="51" spans="1:86" x14ac:dyDescent="0.3">
      <c r="A51" s="1">
        <v>196</v>
      </c>
      <c r="B51" t="s">
        <v>516</v>
      </c>
      <c r="C51" t="s">
        <v>517</v>
      </c>
      <c r="E51" t="s">
        <v>94</v>
      </c>
      <c r="F51">
        <v>3.85</v>
      </c>
      <c r="G51" t="s">
        <v>518</v>
      </c>
      <c r="H51" t="s">
        <v>519</v>
      </c>
      <c r="I51">
        <v>-1</v>
      </c>
      <c r="J51">
        <v>1</v>
      </c>
      <c r="K51">
        <v>3.85</v>
      </c>
      <c r="L51">
        <v>3.85</v>
      </c>
      <c r="M51">
        <v>12.77</v>
      </c>
      <c r="N51" t="s">
        <v>206</v>
      </c>
      <c r="O51">
        <v>12.77</v>
      </c>
      <c r="P51">
        <v>2</v>
      </c>
      <c r="Q51" t="s">
        <v>87</v>
      </c>
      <c r="R51">
        <v>1373</v>
      </c>
      <c r="S51">
        <v>10</v>
      </c>
      <c r="T51" t="b">
        <v>0</v>
      </c>
      <c r="U51" t="s">
        <v>88</v>
      </c>
      <c r="V51" t="s">
        <v>89</v>
      </c>
      <c r="W51">
        <v>0</v>
      </c>
      <c r="Y51">
        <v>1</v>
      </c>
      <c r="Z51">
        <v>0</v>
      </c>
      <c r="AC51" t="s">
        <v>90</v>
      </c>
      <c r="AD51">
        <v>400</v>
      </c>
      <c r="AF51" t="s">
        <v>91</v>
      </c>
      <c r="AH51" s="3">
        <v>5</v>
      </c>
      <c r="AI51" s="3" t="e">
        <f>AH51/(AD51*Y51*Z51)</f>
        <v>#DIV/0!</v>
      </c>
      <c r="AJ51" s="3" t="e">
        <f>LN(AI51)</f>
        <v>#DIV/0!</v>
      </c>
      <c r="AN51" t="b">
        <v>1</v>
      </c>
      <c r="AO51" t="b">
        <v>1</v>
      </c>
      <c r="AP51" t="b">
        <v>0</v>
      </c>
      <c r="AQ51" t="b">
        <v>0</v>
      </c>
      <c r="AR51" t="s">
        <v>518</v>
      </c>
      <c r="AS51" t="s">
        <v>519</v>
      </c>
      <c r="AU51">
        <v>1.6094379124341001</v>
      </c>
      <c r="AV51">
        <v>1.9090909090909089</v>
      </c>
      <c r="AW51">
        <v>2.545454545454545</v>
      </c>
      <c r="AX51">
        <v>0.63636363636363635</v>
      </c>
      <c r="AY51">
        <v>2.545454545454545</v>
      </c>
      <c r="AZ51">
        <v>0.25</v>
      </c>
      <c r="BA51">
        <v>0.33333333333333331</v>
      </c>
      <c r="BB51">
        <v>8.3333333333333329E-2</v>
      </c>
      <c r="BC51">
        <v>0.33333333333333331</v>
      </c>
      <c r="BD51">
        <v>6.0514766237727269</v>
      </c>
      <c r="BE51">
        <v>14</v>
      </c>
      <c r="BF51">
        <v>167.3639996655379</v>
      </c>
      <c r="BG51">
        <v>1</v>
      </c>
      <c r="BH51">
        <v>8.365000853216796E-2</v>
      </c>
      <c r="BI51">
        <v>11.210029909999999</v>
      </c>
      <c r="BJ51">
        <v>11.210029909999999</v>
      </c>
      <c r="BK51">
        <v>11.210029909999999</v>
      </c>
      <c r="BL51">
        <v>325.28959047900003</v>
      </c>
      <c r="BM51">
        <v>2</v>
      </c>
      <c r="BN51">
        <v>8.607714731593176E-2</v>
      </c>
      <c r="BO51">
        <v>3.8955000000000002</v>
      </c>
      <c r="BP51">
        <v>3.8955000000000002</v>
      </c>
      <c r="BQ51">
        <v>21.436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189.28332499999999</v>
      </c>
      <c r="BY51">
        <v>7.3963197761873628E-2</v>
      </c>
      <c r="BZ51">
        <v>7</v>
      </c>
      <c r="CA51">
        <v>3.6981598880936807E-2</v>
      </c>
      <c r="CB51">
        <v>4.182500426608398E-2</v>
      </c>
      <c r="CC51">
        <v>4.303857365796588E-2</v>
      </c>
      <c r="CE51">
        <v>0.45356967584663083</v>
      </c>
      <c r="CF51">
        <v>0.46673018318792042</v>
      </c>
      <c r="CH51">
        <v>0.40104554945182641</v>
      </c>
    </row>
    <row r="52" spans="1:86" x14ac:dyDescent="0.3">
      <c r="A52" s="1">
        <v>197</v>
      </c>
      <c r="B52" t="s">
        <v>174</v>
      </c>
      <c r="C52" t="s">
        <v>175</v>
      </c>
      <c r="E52" t="s">
        <v>94</v>
      </c>
      <c r="F52">
        <v>3.9</v>
      </c>
      <c r="G52" t="s">
        <v>176</v>
      </c>
      <c r="H52">
        <v>-1</v>
      </c>
      <c r="I52">
        <v>-1</v>
      </c>
      <c r="J52">
        <v>1</v>
      </c>
      <c r="K52">
        <v>3.88</v>
      </c>
      <c r="L52">
        <v>3.88</v>
      </c>
      <c r="M52">
        <v>11.07</v>
      </c>
      <c r="N52" t="s">
        <v>101</v>
      </c>
      <c r="O52">
        <v>11.07</v>
      </c>
      <c r="P52">
        <v>2</v>
      </c>
      <c r="Q52" t="s">
        <v>87</v>
      </c>
      <c r="R52">
        <v>1373</v>
      </c>
      <c r="S52">
        <v>10</v>
      </c>
      <c r="T52" t="b">
        <v>0</v>
      </c>
      <c r="U52" t="s">
        <v>88</v>
      </c>
      <c r="V52" t="s">
        <v>89</v>
      </c>
      <c r="W52">
        <v>0</v>
      </c>
      <c r="Y52">
        <v>1</v>
      </c>
      <c r="Z52">
        <v>0</v>
      </c>
      <c r="AC52" t="s">
        <v>90</v>
      </c>
      <c r="AD52">
        <v>400</v>
      </c>
      <c r="AF52" t="s">
        <v>91</v>
      </c>
      <c r="AH52" s="3">
        <v>10</v>
      </c>
      <c r="AI52" s="3" t="e">
        <f>AH52/(AD52*Y52*Z52)</f>
        <v>#DIV/0!</v>
      </c>
      <c r="AJ52" s="3" t="e">
        <f>LN(AI52)</f>
        <v>#DIV/0!</v>
      </c>
      <c r="AN52" t="b">
        <v>1</v>
      </c>
      <c r="AO52" t="b">
        <v>0</v>
      </c>
      <c r="AP52" t="b">
        <v>0</v>
      </c>
      <c r="AQ52" t="b">
        <v>0</v>
      </c>
      <c r="AR52" t="s">
        <v>176</v>
      </c>
      <c r="AS52">
        <v>-1</v>
      </c>
      <c r="AU52">
        <v>2.3025850929940459</v>
      </c>
      <c r="AV52">
        <v>1.9090909090909089</v>
      </c>
      <c r="AW52">
        <v>2.545454545454545</v>
      </c>
      <c r="AX52">
        <v>0.63636363636363635</v>
      </c>
      <c r="AY52">
        <v>2.545454545454545</v>
      </c>
      <c r="AZ52">
        <v>0.25</v>
      </c>
      <c r="BA52">
        <v>0.33333333333333331</v>
      </c>
      <c r="BB52">
        <v>8.3333333333333329E-2</v>
      </c>
      <c r="BC52">
        <v>0.33333333333333331</v>
      </c>
      <c r="BD52">
        <v>6.0049330374090903</v>
      </c>
      <c r="BE52">
        <v>14</v>
      </c>
      <c r="BF52">
        <v>173.0114278564659</v>
      </c>
      <c r="BG52">
        <v>1</v>
      </c>
      <c r="BH52">
        <v>8.0919510193365449E-2</v>
      </c>
      <c r="BI52">
        <v>3.9103940000000001</v>
      </c>
      <c r="BJ52">
        <v>3.9103940000000001</v>
      </c>
      <c r="BK52">
        <v>11.314458</v>
      </c>
      <c r="BL52">
        <v>0</v>
      </c>
      <c r="BM52">
        <v>0</v>
      </c>
      <c r="BO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166.652208</v>
      </c>
      <c r="BY52">
        <v>8.4007287800231242E-2</v>
      </c>
      <c r="BZ52">
        <v>7</v>
      </c>
      <c r="CA52">
        <v>4.2003643900115621E-2</v>
      </c>
      <c r="CB52">
        <v>4.0459755096682717E-2</v>
      </c>
      <c r="CE52">
        <v>0.51172189361529641</v>
      </c>
      <c r="CH52">
        <v>0.53124849974863197</v>
      </c>
    </row>
    <row r="53" spans="1:86" x14ac:dyDescent="0.3">
      <c r="A53" s="1">
        <v>198</v>
      </c>
      <c r="B53" t="s">
        <v>520</v>
      </c>
      <c r="C53" t="s">
        <v>521</v>
      </c>
      <c r="E53" t="s">
        <v>94</v>
      </c>
      <c r="F53">
        <v>3.95</v>
      </c>
      <c r="G53" t="s">
        <v>518</v>
      </c>
      <c r="H53">
        <v>-1</v>
      </c>
      <c r="I53" t="s">
        <v>522</v>
      </c>
      <c r="J53">
        <v>1</v>
      </c>
      <c r="K53">
        <v>3.88</v>
      </c>
      <c r="L53">
        <v>3.88</v>
      </c>
      <c r="M53">
        <v>11.07</v>
      </c>
      <c r="N53" t="s">
        <v>101</v>
      </c>
      <c r="O53">
        <v>11.07</v>
      </c>
      <c r="P53">
        <v>2</v>
      </c>
      <c r="Q53" t="s">
        <v>87</v>
      </c>
      <c r="R53">
        <v>1373</v>
      </c>
      <c r="S53">
        <v>10</v>
      </c>
      <c r="T53" t="b">
        <v>0</v>
      </c>
      <c r="U53" t="s">
        <v>88</v>
      </c>
      <c r="V53" t="s">
        <v>89</v>
      </c>
      <c r="W53">
        <v>0</v>
      </c>
      <c r="Y53">
        <v>1</v>
      </c>
      <c r="Z53">
        <v>0</v>
      </c>
      <c r="AC53" t="s">
        <v>90</v>
      </c>
      <c r="AD53">
        <v>400</v>
      </c>
      <c r="AF53" t="s">
        <v>91</v>
      </c>
      <c r="AH53" s="3">
        <v>15</v>
      </c>
      <c r="AI53" s="3" t="e">
        <f>AH53/(AD53*Y53*Z53)</f>
        <v>#DIV/0!</v>
      </c>
      <c r="AJ53" s="3" t="e">
        <f>LN(AI53)</f>
        <v>#DIV/0!</v>
      </c>
      <c r="AK53" t="s">
        <v>523</v>
      </c>
      <c r="AM53" t="s">
        <v>524</v>
      </c>
      <c r="AN53" t="b">
        <v>1</v>
      </c>
      <c r="AO53" t="b">
        <v>0</v>
      </c>
      <c r="AP53" t="b">
        <v>1</v>
      </c>
      <c r="AQ53" t="b">
        <v>0</v>
      </c>
      <c r="AR53" t="s">
        <v>525</v>
      </c>
      <c r="AS53">
        <v>-1</v>
      </c>
      <c r="AT53" t="s">
        <v>526</v>
      </c>
      <c r="AU53">
        <v>2.7080502011022101</v>
      </c>
      <c r="AV53">
        <v>1.9090909090909089</v>
      </c>
      <c r="AW53">
        <v>2.545454545454545</v>
      </c>
      <c r="AX53">
        <v>0.63636363636363635</v>
      </c>
      <c r="AY53">
        <v>2.545454545454545</v>
      </c>
      <c r="AZ53">
        <v>0.25</v>
      </c>
      <c r="BA53">
        <v>0.33333333333333331</v>
      </c>
      <c r="BB53">
        <v>8.3333333333333329E-2</v>
      </c>
      <c r="BC53">
        <v>0.33333333333333331</v>
      </c>
      <c r="BD53">
        <v>5.9914084808377268</v>
      </c>
      <c r="BE53">
        <v>14</v>
      </c>
      <c r="BF53">
        <v>167.3639996655379</v>
      </c>
      <c r="BG53">
        <v>1</v>
      </c>
      <c r="BH53">
        <v>8.365000853216796E-2</v>
      </c>
      <c r="BI53">
        <v>11.210029909999999</v>
      </c>
      <c r="BJ53">
        <v>11.210029909999999</v>
      </c>
      <c r="BK53">
        <v>11.210029909999999</v>
      </c>
      <c r="BL53">
        <v>0</v>
      </c>
      <c r="BM53">
        <v>0</v>
      </c>
      <c r="BO53">
        <v>0</v>
      </c>
      <c r="BR53">
        <v>171.98132883066</v>
      </c>
      <c r="BS53">
        <v>1</v>
      </c>
      <c r="BT53">
        <v>8.1404185531005993E-2</v>
      </c>
      <c r="BU53">
        <v>3.8898000000000001</v>
      </c>
      <c r="BV53">
        <v>3.8898000000000001</v>
      </c>
      <c r="BW53">
        <v>11.3665</v>
      </c>
      <c r="BX53">
        <v>166.652208</v>
      </c>
      <c r="BY53">
        <v>8.4007287800231242E-2</v>
      </c>
      <c r="BZ53">
        <v>7</v>
      </c>
      <c r="CA53">
        <v>4.2003643900115621E-2</v>
      </c>
      <c r="CB53">
        <v>4.182500426608398E-2</v>
      </c>
      <c r="CD53">
        <v>4.0702092765502997E-2</v>
      </c>
      <c r="CE53">
        <v>0.5629132334743242</v>
      </c>
      <c r="CG53">
        <v>0.54780022261421246</v>
      </c>
      <c r="CH53">
        <v>0.56531750373762613</v>
      </c>
    </row>
    <row r="54" spans="1:86" x14ac:dyDescent="0.3">
      <c r="A54" s="1">
        <v>199</v>
      </c>
      <c r="B54" t="s">
        <v>527</v>
      </c>
      <c r="C54" t="s">
        <v>528</v>
      </c>
      <c r="E54" t="s">
        <v>94</v>
      </c>
      <c r="F54">
        <v>3.55</v>
      </c>
      <c r="G54" t="s">
        <v>518</v>
      </c>
      <c r="H54">
        <v>-1</v>
      </c>
      <c r="I54">
        <v>-1</v>
      </c>
      <c r="J54">
        <v>1</v>
      </c>
      <c r="K54">
        <v>3.9</v>
      </c>
      <c r="L54">
        <v>3.9</v>
      </c>
      <c r="M54">
        <v>11.07</v>
      </c>
      <c r="N54" t="s">
        <v>529</v>
      </c>
      <c r="O54">
        <v>11.07</v>
      </c>
      <c r="P54">
        <v>2</v>
      </c>
      <c r="Q54" t="s">
        <v>87</v>
      </c>
      <c r="R54">
        <v>1373</v>
      </c>
      <c r="S54">
        <v>10</v>
      </c>
      <c r="T54" t="b">
        <v>0</v>
      </c>
      <c r="U54" t="s">
        <v>88</v>
      </c>
      <c r="V54" t="s">
        <v>89</v>
      </c>
      <c r="W54">
        <v>0</v>
      </c>
      <c r="Y54">
        <v>1</v>
      </c>
      <c r="Z54">
        <v>0</v>
      </c>
      <c r="AC54" t="s">
        <v>90</v>
      </c>
      <c r="AD54">
        <v>400</v>
      </c>
      <c r="AF54" t="s">
        <v>91</v>
      </c>
      <c r="AH54" s="3">
        <v>5</v>
      </c>
      <c r="AI54" s="3" t="e">
        <f>AH54/(AD54*Y54*Z54)</f>
        <v>#DIV/0!</v>
      </c>
      <c r="AJ54" s="3" t="e">
        <f>LN(AI54)</f>
        <v>#DIV/0!</v>
      </c>
      <c r="AK54" t="s">
        <v>530</v>
      </c>
      <c r="AN54" t="b">
        <v>1</v>
      </c>
      <c r="AO54" t="b">
        <v>0</v>
      </c>
      <c r="AP54" t="b">
        <v>0</v>
      </c>
      <c r="AQ54" t="b">
        <v>0</v>
      </c>
      <c r="AR54" t="s">
        <v>531</v>
      </c>
      <c r="AS54">
        <v>-1</v>
      </c>
      <c r="AU54">
        <v>1.6094379124341001</v>
      </c>
      <c r="AV54">
        <v>1.9090909090909089</v>
      </c>
      <c r="AW54">
        <v>2.545454545454545</v>
      </c>
      <c r="AX54">
        <v>0.54545454545454541</v>
      </c>
      <c r="AY54">
        <v>2.8181818181818179</v>
      </c>
      <c r="AZ54">
        <v>0.2441860465116279</v>
      </c>
      <c r="BA54">
        <v>0.32558139534883718</v>
      </c>
      <c r="BB54">
        <v>6.9767441860465115E-2</v>
      </c>
      <c r="BC54">
        <v>0.3604651162790698</v>
      </c>
      <c r="BD54">
        <v>6.4201409410319084</v>
      </c>
      <c r="BE54">
        <v>14</v>
      </c>
      <c r="BF54">
        <v>167.3639996655379</v>
      </c>
      <c r="BG54">
        <v>1</v>
      </c>
      <c r="BH54">
        <v>8.365000853216796E-2</v>
      </c>
      <c r="BI54">
        <v>11.210029909999999</v>
      </c>
      <c r="BJ54">
        <v>11.210029909999999</v>
      </c>
      <c r="BK54">
        <v>11.210029909999999</v>
      </c>
      <c r="BL54">
        <v>0</v>
      </c>
      <c r="BM54">
        <v>0</v>
      </c>
      <c r="BO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168.37469999999999</v>
      </c>
      <c r="BY54">
        <v>8.3147883856660179E-2</v>
      </c>
      <c r="BZ54">
        <v>7</v>
      </c>
      <c r="CA54">
        <v>4.157394192833009E-2</v>
      </c>
      <c r="CB54">
        <v>4.182500426608398E-2</v>
      </c>
      <c r="CE54">
        <v>0.41032546885248727</v>
      </c>
      <c r="CH54">
        <v>0.40786241419755681</v>
      </c>
    </row>
    <row r="55" spans="1:86" x14ac:dyDescent="0.3">
      <c r="A55" s="1">
        <v>200</v>
      </c>
      <c r="B55" t="s">
        <v>532</v>
      </c>
      <c r="C55" t="s">
        <v>533</v>
      </c>
      <c r="E55" t="s">
        <v>94</v>
      </c>
      <c r="F55">
        <v>3.55</v>
      </c>
      <c r="G55" t="s">
        <v>518</v>
      </c>
      <c r="H55">
        <v>-1</v>
      </c>
      <c r="I55">
        <v>-1</v>
      </c>
      <c r="J55">
        <v>1</v>
      </c>
      <c r="K55">
        <v>3.88</v>
      </c>
      <c r="L55">
        <v>3.88</v>
      </c>
      <c r="M55">
        <v>11.297000000000001</v>
      </c>
      <c r="N55" t="s">
        <v>101</v>
      </c>
      <c r="O55">
        <v>11.297000000000001</v>
      </c>
      <c r="P55">
        <v>2</v>
      </c>
      <c r="Q55" t="s">
        <v>87</v>
      </c>
      <c r="R55">
        <v>1373</v>
      </c>
      <c r="S55">
        <v>10</v>
      </c>
      <c r="T55" t="b">
        <v>0</v>
      </c>
      <c r="U55" t="s">
        <v>88</v>
      </c>
      <c r="V55" t="s">
        <v>89</v>
      </c>
      <c r="W55">
        <v>0</v>
      </c>
      <c r="Y55">
        <v>1</v>
      </c>
      <c r="Z55">
        <v>0</v>
      </c>
      <c r="AC55" t="s">
        <v>90</v>
      </c>
      <c r="AD55">
        <v>400</v>
      </c>
      <c r="AF55" t="s">
        <v>91</v>
      </c>
      <c r="AH55" s="3">
        <v>5</v>
      </c>
      <c r="AI55" s="3" t="e">
        <f>AH55/(AD55*Y55*Z55)</f>
        <v>#DIV/0!</v>
      </c>
      <c r="AJ55" s="3" t="e">
        <f>LN(AI55)</f>
        <v>#DIV/0!</v>
      </c>
      <c r="AK55" t="s">
        <v>534</v>
      </c>
      <c r="AN55" t="b">
        <v>1</v>
      </c>
      <c r="AO55" t="b">
        <v>0</v>
      </c>
      <c r="AP55" t="b">
        <v>0</v>
      </c>
      <c r="AQ55" t="b">
        <v>0</v>
      </c>
      <c r="AR55" t="s">
        <v>535</v>
      </c>
      <c r="AS55">
        <v>-1</v>
      </c>
      <c r="AU55">
        <v>1.6094379124341001</v>
      </c>
      <c r="AV55">
        <v>1.9090909090909089</v>
      </c>
      <c r="AW55">
        <v>2.545454545454545</v>
      </c>
      <c r="AX55">
        <v>0.54545454545454541</v>
      </c>
      <c r="AY55">
        <v>2.8181818181818179</v>
      </c>
      <c r="AZ55">
        <v>0.2441860465116279</v>
      </c>
      <c r="BA55">
        <v>0.32558139534883718</v>
      </c>
      <c r="BB55">
        <v>6.9767441860465115E-2</v>
      </c>
      <c r="BC55">
        <v>0.3604651162790698</v>
      </c>
      <c r="BD55">
        <v>6.0262488237727272</v>
      </c>
      <c r="BE55">
        <v>14</v>
      </c>
      <c r="BF55">
        <v>167.3639996655379</v>
      </c>
      <c r="BG55">
        <v>1</v>
      </c>
      <c r="BH55">
        <v>8.365000853216796E-2</v>
      </c>
      <c r="BI55">
        <v>11.210029909999999</v>
      </c>
      <c r="BJ55">
        <v>11.210029909999999</v>
      </c>
      <c r="BK55">
        <v>11.210029909999999</v>
      </c>
      <c r="BL55">
        <v>0</v>
      </c>
      <c r="BM55">
        <v>0</v>
      </c>
      <c r="BO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170.06955679999999</v>
      </c>
      <c r="BY55">
        <v>8.2319259621896068E-2</v>
      </c>
      <c r="BZ55">
        <v>7</v>
      </c>
      <c r="CA55">
        <v>4.1159629810948027E-2</v>
      </c>
      <c r="CB55">
        <v>4.182500426608398E-2</v>
      </c>
      <c r="CE55">
        <v>0.44939141121903392</v>
      </c>
      <c r="CH55">
        <v>0.44224225318236371</v>
      </c>
    </row>
    <row r="56" spans="1:86" x14ac:dyDescent="0.3">
      <c r="A56" s="1">
        <v>201</v>
      </c>
      <c r="B56" t="s">
        <v>180</v>
      </c>
      <c r="C56" t="s">
        <v>181</v>
      </c>
      <c r="E56" t="s">
        <v>94</v>
      </c>
      <c r="F56">
        <v>3.55</v>
      </c>
      <c r="G56" t="s">
        <v>518</v>
      </c>
      <c r="H56">
        <v>-1</v>
      </c>
      <c r="I56" t="s">
        <v>177</v>
      </c>
      <c r="J56">
        <v>1</v>
      </c>
      <c r="K56">
        <v>3.88</v>
      </c>
      <c r="L56">
        <v>3.88</v>
      </c>
      <c r="M56">
        <v>10.647</v>
      </c>
      <c r="N56" t="s">
        <v>101</v>
      </c>
      <c r="O56">
        <v>10.647</v>
      </c>
      <c r="P56">
        <v>2</v>
      </c>
      <c r="Q56" t="s">
        <v>87</v>
      </c>
      <c r="R56">
        <v>1373</v>
      </c>
      <c r="S56">
        <v>10</v>
      </c>
      <c r="T56" t="b">
        <v>0</v>
      </c>
      <c r="U56" t="s">
        <v>88</v>
      </c>
      <c r="V56" t="s">
        <v>89</v>
      </c>
      <c r="W56">
        <v>0</v>
      </c>
      <c r="Y56">
        <v>1</v>
      </c>
      <c r="Z56">
        <v>0</v>
      </c>
      <c r="AC56" t="s">
        <v>90</v>
      </c>
      <c r="AD56">
        <v>400</v>
      </c>
      <c r="AF56" t="s">
        <v>91</v>
      </c>
      <c r="AH56" s="3">
        <v>5</v>
      </c>
      <c r="AI56" s="3" t="e">
        <f>AH56/(AD56*Y56*Z56)</f>
        <v>#DIV/0!</v>
      </c>
      <c r="AJ56" s="3" t="e">
        <f>LN(AI56)</f>
        <v>#DIV/0!</v>
      </c>
      <c r="AK56" t="s">
        <v>536</v>
      </c>
      <c r="AN56" t="b">
        <v>1</v>
      </c>
      <c r="AO56" t="b">
        <v>0</v>
      </c>
      <c r="AP56" t="b">
        <v>1</v>
      </c>
      <c r="AQ56" t="b">
        <v>0</v>
      </c>
      <c r="AR56" t="s">
        <v>537</v>
      </c>
      <c r="AS56">
        <v>-1</v>
      </c>
      <c r="AT56" t="s">
        <v>177</v>
      </c>
      <c r="AU56">
        <v>1.6094379124341001</v>
      </c>
      <c r="AV56">
        <v>1.9090909090909089</v>
      </c>
      <c r="AW56">
        <v>2.545454545454545</v>
      </c>
      <c r="AX56">
        <v>0.54545454545454541</v>
      </c>
      <c r="AY56">
        <v>2.8181818181818179</v>
      </c>
      <c r="AZ56">
        <v>0.2441860465116279</v>
      </c>
      <c r="BA56">
        <v>0.32558139534883718</v>
      </c>
      <c r="BB56">
        <v>6.9767441860465115E-2</v>
      </c>
      <c r="BC56">
        <v>0.3604651162790698</v>
      </c>
      <c r="BD56">
        <v>5.9797052374090907</v>
      </c>
      <c r="BE56">
        <v>14</v>
      </c>
      <c r="BF56">
        <v>167.3639996655379</v>
      </c>
      <c r="BG56">
        <v>1</v>
      </c>
      <c r="BH56">
        <v>8.365000853216796E-2</v>
      </c>
      <c r="BI56">
        <v>11.210029909999999</v>
      </c>
      <c r="BJ56">
        <v>11.210029909999999</v>
      </c>
      <c r="BK56">
        <v>11.210029909999999</v>
      </c>
      <c r="BL56">
        <v>0</v>
      </c>
      <c r="BM56">
        <v>0</v>
      </c>
      <c r="BO56">
        <v>0</v>
      </c>
      <c r="BR56">
        <v>164.541706117579</v>
      </c>
      <c r="BS56">
        <v>1</v>
      </c>
      <c r="BT56">
        <v>8.5084811202795069E-2</v>
      </c>
      <c r="BU56">
        <v>3.8653</v>
      </c>
      <c r="BV56">
        <v>3.8653</v>
      </c>
      <c r="BW56">
        <v>11.0131</v>
      </c>
      <c r="BX56">
        <v>160.28419679999999</v>
      </c>
      <c r="BY56">
        <v>8.7344855447408651E-2</v>
      </c>
      <c r="BZ56">
        <v>7</v>
      </c>
      <c r="CA56">
        <v>4.3672427723704332E-2</v>
      </c>
      <c r="CB56">
        <v>4.182500426608398E-2</v>
      </c>
      <c r="CD56">
        <v>4.2542405601397527E-2</v>
      </c>
      <c r="CE56">
        <v>0.52481085882023992</v>
      </c>
      <c r="CG56">
        <v>0.53381265134868683</v>
      </c>
      <c r="CH56">
        <v>0.54799191781620038</v>
      </c>
    </row>
    <row r="57" spans="1:86" x14ac:dyDescent="0.3">
      <c r="A57" s="1">
        <v>202</v>
      </c>
      <c r="B57" t="s">
        <v>538</v>
      </c>
      <c r="C57" t="s">
        <v>539</v>
      </c>
      <c r="E57" t="s">
        <v>94</v>
      </c>
      <c r="F57">
        <v>3.55</v>
      </c>
      <c r="G57" t="s">
        <v>518</v>
      </c>
      <c r="H57">
        <v>-1</v>
      </c>
      <c r="I57" t="s">
        <v>522</v>
      </c>
      <c r="J57">
        <v>1</v>
      </c>
      <c r="K57">
        <v>3.88</v>
      </c>
      <c r="L57">
        <v>3.88</v>
      </c>
      <c r="M57">
        <v>11.066000000000001</v>
      </c>
      <c r="N57" t="s">
        <v>101</v>
      </c>
      <c r="O57">
        <v>11.066000000000001</v>
      </c>
      <c r="P57">
        <v>2</v>
      </c>
      <c r="Q57" t="s">
        <v>87</v>
      </c>
      <c r="R57">
        <v>1373</v>
      </c>
      <c r="S57">
        <v>10</v>
      </c>
      <c r="T57" t="b">
        <v>0</v>
      </c>
      <c r="U57" t="s">
        <v>88</v>
      </c>
      <c r="V57" t="s">
        <v>89</v>
      </c>
      <c r="W57">
        <v>0</v>
      </c>
      <c r="Y57">
        <v>1</v>
      </c>
      <c r="Z57">
        <v>0</v>
      </c>
      <c r="AC57" t="s">
        <v>90</v>
      </c>
      <c r="AD57">
        <v>400</v>
      </c>
      <c r="AF57" t="s">
        <v>91</v>
      </c>
      <c r="AH57" s="3">
        <v>5</v>
      </c>
      <c r="AI57" s="3" t="e">
        <f>AH57/(AD57*Y57*Z57)</f>
        <v>#DIV/0!</v>
      </c>
      <c r="AJ57" s="3" t="e">
        <f>LN(AI57)</f>
        <v>#DIV/0!</v>
      </c>
      <c r="AK57" t="s">
        <v>540</v>
      </c>
      <c r="AM57" t="s">
        <v>541</v>
      </c>
      <c r="AN57" t="b">
        <v>1</v>
      </c>
      <c r="AO57" t="b">
        <v>0</v>
      </c>
      <c r="AP57" t="b">
        <v>1</v>
      </c>
      <c r="AQ57" t="b">
        <v>0</v>
      </c>
      <c r="AR57" t="s">
        <v>542</v>
      </c>
      <c r="AS57">
        <v>-1</v>
      </c>
      <c r="AT57" t="s">
        <v>543</v>
      </c>
      <c r="AU57">
        <v>1.6094379124341001</v>
      </c>
      <c r="AV57">
        <v>1.9090909090909089</v>
      </c>
      <c r="AW57">
        <v>2.545454545454545</v>
      </c>
      <c r="AX57">
        <v>0.54545454545454541</v>
      </c>
      <c r="AY57">
        <v>2.8181818181818179</v>
      </c>
      <c r="AZ57">
        <v>0.2441860465116279</v>
      </c>
      <c r="BA57">
        <v>0.32558139534883718</v>
      </c>
      <c r="BB57">
        <v>6.9767441860465115E-2</v>
      </c>
      <c r="BC57">
        <v>0.3604651162790698</v>
      </c>
      <c r="BD57">
        <v>5.9661806808377271</v>
      </c>
      <c r="BE57">
        <v>14</v>
      </c>
      <c r="BF57">
        <v>167.3639996655379</v>
      </c>
      <c r="BG57">
        <v>1</v>
      </c>
      <c r="BH57">
        <v>8.365000853216796E-2</v>
      </c>
      <c r="BI57">
        <v>11.210029909999999</v>
      </c>
      <c r="BJ57">
        <v>11.210029909999999</v>
      </c>
      <c r="BK57">
        <v>11.210029909999999</v>
      </c>
      <c r="BL57">
        <v>0</v>
      </c>
      <c r="BM57">
        <v>0</v>
      </c>
      <c r="BO57">
        <v>0</v>
      </c>
      <c r="BR57">
        <v>171.98132883066</v>
      </c>
      <c r="BS57">
        <v>1</v>
      </c>
      <c r="BT57">
        <v>8.1404185531005993E-2</v>
      </c>
      <c r="BU57">
        <v>3.8898000000000001</v>
      </c>
      <c r="BV57">
        <v>3.8898000000000001</v>
      </c>
      <c r="BW57">
        <v>11.3665</v>
      </c>
      <c r="BX57">
        <v>166.59199039999999</v>
      </c>
      <c r="BY57">
        <v>8.4037653709430671E-2</v>
      </c>
      <c r="BZ57">
        <v>7</v>
      </c>
      <c r="CA57">
        <v>4.2018826854715342E-2</v>
      </c>
      <c r="CB57">
        <v>4.182500426608398E-2</v>
      </c>
      <c r="CD57">
        <v>4.0702092765502997E-2</v>
      </c>
      <c r="CE57">
        <v>0.55873496884672724</v>
      </c>
      <c r="CG57">
        <v>0.54373413541457105</v>
      </c>
      <c r="CH57">
        <v>0.56132422041815022</v>
      </c>
    </row>
    <row r="58" spans="1:86" x14ac:dyDescent="0.3">
      <c r="A58" s="1">
        <v>203</v>
      </c>
      <c r="B58" t="s">
        <v>544</v>
      </c>
      <c r="C58" t="s">
        <v>545</v>
      </c>
      <c r="E58" t="s">
        <v>94</v>
      </c>
      <c r="F58">
        <v>4.2</v>
      </c>
      <c r="G58" t="s">
        <v>518</v>
      </c>
      <c r="H58">
        <v>-1</v>
      </c>
      <c r="I58">
        <v>-1</v>
      </c>
      <c r="J58">
        <v>1</v>
      </c>
      <c r="K58">
        <v>3.92</v>
      </c>
      <c r="L58">
        <v>3.92</v>
      </c>
      <c r="M58">
        <v>11.065</v>
      </c>
      <c r="N58" t="s">
        <v>101</v>
      </c>
      <c r="O58">
        <v>11.065</v>
      </c>
      <c r="P58">
        <v>2</v>
      </c>
      <c r="Q58" t="s">
        <v>87</v>
      </c>
      <c r="R58">
        <v>1373</v>
      </c>
      <c r="S58">
        <v>10</v>
      </c>
      <c r="T58" t="b">
        <v>0</v>
      </c>
      <c r="U58" t="s">
        <v>88</v>
      </c>
      <c r="V58" t="s">
        <v>89</v>
      </c>
      <c r="W58">
        <v>0</v>
      </c>
      <c r="Y58">
        <v>1</v>
      </c>
      <c r="Z58">
        <v>0</v>
      </c>
      <c r="AC58" t="s">
        <v>90</v>
      </c>
      <c r="AD58">
        <v>400</v>
      </c>
      <c r="AF58" t="s">
        <v>91</v>
      </c>
      <c r="AH58" s="3">
        <v>10</v>
      </c>
      <c r="AI58" s="3" t="e">
        <f>AH58/(AD58*Y58*Z58)</f>
        <v>#DIV/0!</v>
      </c>
      <c r="AJ58" s="3" t="e">
        <f>LN(AI58)</f>
        <v>#DIV/0!</v>
      </c>
      <c r="AK58" t="s">
        <v>546</v>
      </c>
      <c r="AN58" t="b">
        <v>1</v>
      </c>
      <c r="AO58" t="b">
        <v>0</v>
      </c>
      <c r="AP58" t="b">
        <v>0</v>
      </c>
      <c r="AQ58" t="b">
        <v>0</v>
      </c>
      <c r="AR58" t="s">
        <v>547</v>
      </c>
      <c r="AS58">
        <v>-1</v>
      </c>
      <c r="AU58">
        <v>2.3025850929940459</v>
      </c>
      <c r="AV58">
        <v>1.9090909090909089</v>
      </c>
      <c r="AW58">
        <v>2.545454545454545</v>
      </c>
      <c r="AX58">
        <v>0.54545454545454541</v>
      </c>
      <c r="AY58">
        <v>2.9090909090909092</v>
      </c>
      <c r="AZ58">
        <v>0.2413793103448276</v>
      </c>
      <c r="BA58">
        <v>0.32183908045977011</v>
      </c>
      <c r="BB58">
        <v>6.8965517241379309E-2</v>
      </c>
      <c r="BC58">
        <v>0.36781609195402298</v>
      </c>
      <c r="BD58">
        <v>6.4220981546682721</v>
      </c>
      <c r="BE58">
        <v>14</v>
      </c>
      <c r="BF58">
        <v>167.3639996655379</v>
      </c>
      <c r="BG58">
        <v>1</v>
      </c>
      <c r="BH58">
        <v>8.365000853216796E-2</v>
      </c>
      <c r="BI58">
        <v>11.210029909999999</v>
      </c>
      <c r="BJ58">
        <v>11.210029909999999</v>
      </c>
      <c r="BK58">
        <v>11.210029909999999</v>
      </c>
      <c r="BL58">
        <v>0</v>
      </c>
      <c r="BM58">
        <v>0</v>
      </c>
      <c r="BO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170.02921599999999</v>
      </c>
      <c r="BY58">
        <v>8.2338790528799485E-2</v>
      </c>
      <c r="BZ58">
        <v>7</v>
      </c>
      <c r="CA58">
        <v>4.1169395264399743E-2</v>
      </c>
      <c r="CB58">
        <v>4.182500426608398E-2</v>
      </c>
      <c r="CE58">
        <v>0.40965849371148011</v>
      </c>
      <c r="CH58">
        <v>0.40323707664753872</v>
      </c>
    </row>
    <row r="59" spans="1:86" x14ac:dyDescent="0.3">
      <c r="A59" s="1">
        <v>204</v>
      </c>
      <c r="B59" t="s">
        <v>548</v>
      </c>
      <c r="C59" t="s">
        <v>549</v>
      </c>
      <c r="E59" t="s">
        <v>94</v>
      </c>
      <c r="F59">
        <v>4.1500000000000004</v>
      </c>
      <c r="G59" t="s">
        <v>518</v>
      </c>
      <c r="H59">
        <v>-1</v>
      </c>
      <c r="I59">
        <v>-1</v>
      </c>
      <c r="J59">
        <v>1</v>
      </c>
      <c r="K59">
        <v>3.92</v>
      </c>
      <c r="L59">
        <v>3.92</v>
      </c>
      <c r="M59">
        <v>11.7911</v>
      </c>
      <c r="N59" t="s">
        <v>101</v>
      </c>
      <c r="O59">
        <v>11.7911</v>
      </c>
      <c r="P59">
        <v>2</v>
      </c>
      <c r="Q59" t="s">
        <v>87</v>
      </c>
      <c r="R59">
        <v>1373</v>
      </c>
      <c r="S59">
        <v>10</v>
      </c>
      <c r="T59" t="b">
        <v>0</v>
      </c>
      <c r="U59" t="s">
        <v>88</v>
      </c>
      <c r="V59" t="s">
        <v>89</v>
      </c>
      <c r="W59">
        <v>0</v>
      </c>
      <c r="Y59">
        <v>1</v>
      </c>
      <c r="Z59">
        <v>0</v>
      </c>
      <c r="AC59" t="s">
        <v>90</v>
      </c>
      <c r="AD59">
        <v>400</v>
      </c>
      <c r="AF59" t="s">
        <v>91</v>
      </c>
      <c r="AH59" s="3">
        <v>15</v>
      </c>
      <c r="AI59" s="3" t="e">
        <f>AH59/(AD59*Y59*Z59)</f>
        <v>#DIV/0!</v>
      </c>
      <c r="AJ59" s="3" t="e">
        <f>LN(AI59)</f>
        <v>#DIV/0!</v>
      </c>
      <c r="AK59" t="s">
        <v>550</v>
      </c>
      <c r="AN59" t="b">
        <v>1</v>
      </c>
      <c r="AO59" t="b">
        <v>0</v>
      </c>
      <c r="AP59" t="b">
        <v>0</v>
      </c>
      <c r="AQ59" t="b">
        <v>0</v>
      </c>
      <c r="AR59" t="s">
        <v>551</v>
      </c>
      <c r="AS59">
        <v>-1</v>
      </c>
      <c r="AU59">
        <v>2.7080502011022101</v>
      </c>
      <c r="AV59">
        <v>1.9090909090909089</v>
      </c>
      <c r="AW59">
        <v>2.545454545454545</v>
      </c>
      <c r="AX59">
        <v>0.54545454545454541</v>
      </c>
      <c r="AY59">
        <v>2.9090909090909092</v>
      </c>
      <c r="AZ59">
        <v>0.2413793103448276</v>
      </c>
      <c r="BA59">
        <v>0.32183908045977011</v>
      </c>
      <c r="BB59">
        <v>6.8965517241379309E-2</v>
      </c>
      <c r="BC59">
        <v>0.36781609195402298</v>
      </c>
      <c r="BD59">
        <v>6.0282060374090909</v>
      </c>
      <c r="BE59">
        <v>14</v>
      </c>
      <c r="BF59">
        <v>167.3639996655379</v>
      </c>
      <c r="BG59">
        <v>1</v>
      </c>
      <c r="BH59">
        <v>8.365000853216796E-2</v>
      </c>
      <c r="BI59">
        <v>11.210029909999999</v>
      </c>
      <c r="BJ59">
        <v>11.210029909999999</v>
      </c>
      <c r="BK59">
        <v>11.210029909999999</v>
      </c>
      <c r="BL59">
        <v>0</v>
      </c>
      <c r="BM59">
        <v>0</v>
      </c>
      <c r="BO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181.18675904</v>
      </c>
      <c r="BY59">
        <v>7.7268339442559744E-2</v>
      </c>
      <c r="BZ59">
        <v>7</v>
      </c>
      <c r="CA59">
        <v>3.8634169721279872E-2</v>
      </c>
      <c r="CB59">
        <v>4.182500426608398E-2</v>
      </c>
      <c r="CE59">
        <v>0.4487244360780267</v>
      </c>
      <c r="CH59">
        <v>0.41449119553544128</v>
      </c>
    </row>
    <row r="60" spans="1:86" x14ac:dyDescent="0.3">
      <c r="A60" s="1">
        <v>205</v>
      </c>
      <c r="B60" t="s">
        <v>182</v>
      </c>
      <c r="C60" t="s">
        <v>183</v>
      </c>
      <c r="E60" t="s">
        <v>94</v>
      </c>
      <c r="F60">
        <v>4.1500000000000004</v>
      </c>
      <c r="G60" t="s">
        <v>518</v>
      </c>
      <c r="H60">
        <v>-1</v>
      </c>
      <c r="I60">
        <v>-1</v>
      </c>
      <c r="J60">
        <v>1</v>
      </c>
      <c r="K60">
        <v>3.92</v>
      </c>
      <c r="L60">
        <v>3.92</v>
      </c>
      <c r="M60">
        <v>11.5395</v>
      </c>
      <c r="N60" t="s">
        <v>101</v>
      </c>
      <c r="O60">
        <v>11.5395</v>
      </c>
      <c r="P60">
        <v>2</v>
      </c>
      <c r="Q60" t="s">
        <v>87</v>
      </c>
      <c r="R60">
        <v>1373</v>
      </c>
      <c r="S60">
        <v>10</v>
      </c>
      <c r="T60" t="b">
        <v>0</v>
      </c>
      <c r="U60" t="s">
        <v>88</v>
      </c>
      <c r="V60" t="s">
        <v>89</v>
      </c>
      <c r="W60">
        <v>0</v>
      </c>
      <c r="Y60">
        <v>1</v>
      </c>
      <c r="Z60">
        <v>0</v>
      </c>
      <c r="AC60" t="s">
        <v>90</v>
      </c>
      <c r="AD60">
        <v>400</v>
      </c>
      <c r="AF60" t="s">
        <v>91</v>
      </c>
      <c r="AH60" s="3">
        <v>235</v>
      </c>
      <c r="AI60" s="3" t="e">
        <f>AH60/(AD60*Y60*Z60)</f>
        <v>#DIV/0!</v>
      </c>
      <c r="AJ60" s="3" t="e">
        <f>LN(AI60)</f>
        <v>#DIV/0!</v>
      </c>
      <c r="AK60" t="s">
        <v>552</v>
      </c>
      <c r="AN60" t="b">
        <v>1</v>
      </c>
      <c r="AO60" t="b">
        <v>0</v>
      </c>
      <c r="AP60" t="b">
        <v>0</v>
      </c>
      <c r="AQ60" t="b">
        <v>0</v>
      </c>
      <c r="AR60" t="s">
        <v>553</v>
      </c>
      <c r="AS60">
        <v>-1</v>
      </c>
      <c r="AU60">
        <v>5.4595855141441589</v>
      </c>
      <c r="AV60">
        <v>1.9090909090909089</v>
      </c>
      <c r="AW60">
        <v>2.545454545454545</v>
      </c>
      <c r="AX60">
        <v>0.54545454545454541</v>
      </c>
      <c r="AY60">
        <v>2.9090909090909092</v>
      </c>
      <c r="AZ60">
        <v>0.2413793103448276</v>
      </c>
      <c r="BA60">
        <v>0.32183908045977011</v>
      </c>
      <c r="BB60">
        <v>6.8965517241379309E-2</v>
      </c>
      <c r="BC60">
        <v>0.36781609195402298</v>
      </c>
      <c r="BD60">
        <v>5.9816624510454544</v>
      </c>
      <c r="BE60">
        <v>14</v>
      </c>
      <c r="BF60">
        <v>167.3639996655379</v>
      </c>
      <c r="BG60">
        <v>1</v>
      </c>
      <c r="BH60">
        <v>8.365000853216796E-2</v>
      </c>
      <c r="BI60">
        <v>11.210029909999999</v>
      </c>
      <c r="BJ60">
        <v>11.210029909999999</v>
      </c>
      <c r="BK60">
        <v>11.210029909999999</v>
      </c>
      <c r="BL60">
        <v>0</v>
      </c>
      <c r="BM60">
        <v>0</v>
      </c>
      <c r="BO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177.32057280000001</v>
      </c>
      <c r="BY60">
        <v>7.8953049716293272E-2</v>
      </c>
      <c r="BZ60">
        <v>7</v>
      </c>
      <c r="CA60">
        <v>3.9476524858146643E-2</v>
      </c>
      <c r="CB60">
        <v>4.182500426608398E-2</v>
      </c>
      <c r="CE60">
        <v>0.52414388367923281</v>
      </c>
      <c r="CH60">
        <v>0.49471313670821188</v>
      </c>
    </row>
    <row r="61" spans="1:86" x14ac:dyDescent="0.3">
      <c r="A61" s="1">
        <v>206</v>
      </c>
      <c r="B61" t="s">
        <v>554</v>
      </c>
      <c r="C61" t="s">
        <v>555</v>
      </c>
      <c r="E61" t="s">
        <v>94</v>
      </c>
      <c r="F61">
        <v>4.1500000000000004</v>
      </c>
      <c r="G61" t="s">
        <v>518</v>
      </c>
      <c r="H61">
        <v>-1</v>
      </c>
      <c r="I61" t="s">
        <v>522</v>
      </c>
      <c r="J61">
        <v>1</v>
      </c>
      <c r="K61">
        <v>3.84</v>
      </c>
      <c r="L61">
        <v>3.84</v>
      </c>
      <c r="M61">
        <v>11.5395</v>
      </c>
      <c r="N61" t="s">
        <v>101</v>
      </c>
      <c r="O61">
        <v>11.5395</v>
      </c>
      <c r="P61">
        <v>2</v>
      </c>
      <c r="Q61" t="s">
        <v>87</v>
      </c>
      <c r="R61">
        <v>1373</v>
      </c>
      <c r="S61">
        <v>10</v>
      </c>
      <c r="T61" t="b">
        <v>0</v>
      </c>
      <c r="U61" t="s">
        <v>88</v>
      </c>
      <c r="V61" t="s">
        <v>89</v>
      </c>
      <c r="W61">
        <v>0</v>
      </c>
      <c r="Y61">
        <v>1</v>
      </c>
      <c r="Z61">
        <v>0</v>
      </c>
      <c r="AC61" t="s">
        <v>90</v>
      </c>
      <c r="AD61">
        <v>400</v>
      </c>
      <c r="AF61" t="s">
        <v>91</v>
      </c>
      <c r="AH61" s="3">
        <v>70</v>
      </c>
      <c r="AI61" s="3" t="e">
        <f>AH61/(AD61*Y61*Z61)</f>
        <v>#DIV/0!</v>
      </c>
      <c r="AJ61" s="3" t="e">
        <f>LN(AI61)</f>
        <v>#DIV/0!</v>
      </c>
      <c r="AK61" t="s">
        <v>556</v>
      </c>
      <c r="AN61" t="b">
        <v>1</v>
      </c>
      <c r="AO61" t="b">
        <v>0</v>
      </c>
      <c r="AP61" t="b">
        <v>1</v>
      </c>
      <c r="AQ61" t="b">
        <v>0</v>
      </c>
      <c r="AR61" t="s">
        <v>557</v>
      </c>
      <c r="AS61">
        <v>-1</v>
      </c>
      <c r="AT61" t="s">
        <v>522</v>
      </c>
      <c r="AU61">
        <v>4.2484952420493594</v>
      </c>
      <c r="AV61">
        <v>1.9090909090909089</v>
      </c>
      <c r="AW61">
        <v>2.545454545454545</v>
      </c>
      <c r="AX61">
        <v>0.54545454545454541</v>
      </c>
      <c r="AY61">
        <v>2.9090909090909092</v>
      </c>
      <c r="AZ61">
        <v>0.2413793103448276</v>
      </c>
      <c r="BA61">
        <v>0.32183908045977011</v>
      </c>
      <c r="BB61">
        <v>6.8965517241379309E-2</v>
      </c>
      <c r="BC61">
        <v>0.36781609195402298</v>
      </c>
      <c r="BD61">
        <v>5.9681378944740908</v>
      </c>
      <c r="BE61">
        <v>14</v>
      </c>
      <c r="BF61">
        <v>167.3639996655379</v>
      </c>
      <c r="BG61">
        <v>1</v>
      </c>
      <c r="BH61">
        <v>8.365000853216796E-2</v>
      </c>
      <c r="BI61">
        <v>11.210029909999999</v>
      </c>
      <c r="BJ61">
        <v>11.210029909999999</v>
      </c>
      <c r="BK61">
        <v>11.210029909999999</v>
      </c>
      <c r="BL61">
        <v>0</v>
      </c>
      <c r="BM61">
        <v>0</v>
      </c>
      <c r="BO61">
        <v>0</v>
      </c>
      <c r="BR61">
        <v>171.98132883066</v>
      </c>
      <c r="BS61">
        <v>1</v>
      </c>
      <c r="BT61">
        <v>8.1404185531005993E-2</v>
      </c>
      <c r="BU61">
        <v>3.8898000000000001</v>
      </c>
      <c r="BV61">
        <v>3.8898000000000001</v>
      </c>
      <c r="BW61">
        <v>11.3665</v>
      </c>
      <c r="BX61">
        <v>170.15685120000001</v>
      </c>
      <c r="BY61">
        <v>8.2277027937855962E-2</v>
      </c>
      <c r="BZ61">
        <v>7</v>
      </c>
      <c r="CA61">
        <v>4.1138513968927981E-2</v>
      </c>
      <c r="CB61">
        <v>4.182500426608398E-2</v>
      </c>
      <c r="CD61">
        <v>4.0702092765502997E-2</v>
      </c>
      <c r="CE61">
        <v>0.55806799370572002</v>
      </c>
      <c r="CG61">
        <v>0.54308506712305693</v>
      </c>
      <c r="CH61">
        <v>0.5489082035382159</v>
      </c>
    </row>
    <row r="62" spans="1:86" x14ac:dyDescent="0.3">
      <c r="A62" s="1">
        <v>207</v>
      </c>
      <c r="B62" t="s">
        <v>558</v>
      </c>
      <c r="C62" t="s">
        <v>559</v>
      </c>
      <c r="E62" t="s">
        <v>94</v>
      </c>
      <c r="F62">
        <v>4.1500000000000004</v>
      </c>
      <c r="G62" t="s">
        <v>518</v>
      </c>
      <c r="H62">
        <v>-1</v>
      </c>
      <c r="I62">
        <v>-1</v>
      </c>
      <c r="J62">
        <v>1</v>
      </c>
      <c r="K62">
        <v>3.85</v>
      </c>
      <c r="L62">
        <v>3.85</v>
      </c>
      <c r="M62">
        <v>10.95</v>
      </c>
      <c r="N62" t="s">
        <v>101</v>
      </c>
      <c r="O62">
        <v>10.95</v>
      </c>
      <c r="P62">
        <v>2</v>
      </c>
      <c r="Q62" t="s">
        <v>87</v>
      </c>
      <c r="R62">
        <v>1373</v>
      </c>
      <c r="S62">
        <v>10</v>
      </c>
      <c r="T62" t="b">
        <v>0</v>
      </c>
      <c r="U62" t="s">
        <v>88</v>
      </c>
      <c r="V62" t="s">
        <v>89</v>
      </c>
      <c r="W62">
        <v>0</v>
      </c>
      <c r="Y62">
        <v>1</v>
      </c>
      <c r="Z62">
        <v>0</v>
      </c>
      <c r="AC62" t="s">
        <v>90</v>
      </c>
      <c r="AD62">
        <v>400</v>
      </c>
      <c r="AF62" t="s">
        <v>91</v>
      </c>
      <c r="AH62" s="3">
        <v>5</v>
      </c>
      <c r="AI62" s="3" t="e">
        <f>AH62/(AD62*Y62*Z62)</f>
        <v>#DIV/0!</v>
      </c>
      <c r="AJ62" s="3" t="e">
        <f>LN(AI62)</f>
        <v>#DIV/0!</v>
      </c>
      <c r="AK62" t="s">
        <v>560</v>
      </c>
      <c r="AN62" t="b">
        <v>1</v>
      </c>
      <c r="AO62" t="b">
        <v>0</v>
      </c>
      <c r="AP62" t="b">
        <v>0</v>
      </c>
      <c r="AQ62" t="b">
        <v>0</v>
      </c>
      <c r="AR62" t="s">
        <v>561</v>
      </c>
      <c r="AS62">
        <v>-1</v>
      </c>
      <c r="AU62">
        <v>1.6094379124341001</v>
      </c>
      <c r="AV62">
        <v>1.9090909090909089</v>
      </c>
      <c r="AW62">
        <v>2.545454545454545</v>
      </c>
      <c r="AX62">
        <v>0.54545454545454541</v>
      </c>
      <c r="AY62">
        <v>3.0909090909090908</v>
      </c>
      <c r="AZ62">
        <v>0.2359550561797753</v>
      </c>
      <c r="BA62">
        <v>0.3146067415730337</v>
      </c>
      <c r="BB62">
        <v>6.7415730337078636E-2</v>
      </c>
      <c r="BC62">
        <v>0.38202247191011229</v>
      </c>
      <c r="BD62">
        <v>6.4304261864864536</v>
      </c>
      <c r="BE62">
        <v>14</v>
      </c>
      <c r="BF62">
        <v>167.3639996655379</v>
      </c>
      <c r="BG62">
        <v>1</v>
      </c>
      <c r="BH62">
        <v>8.365000853216796E-2</v>
      </c>
      <c r="BI62">
        <v>11.210029909999999</v>
      </c>
      <c r="BJ62">
        <v>11.210029909999999</v>
      </c>
      <c r="BK62">
        <v>11.210029909999999</v>
      </c>
      <c r="BL62">
        <v>0</v>
      </c>
      <c r="BM62">
        <v>0</v>
      </c>
      <c r="BO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162.306375</v>
      </c>
      <c r="BY62">
        <v>8.6256624239189617E-2</v>
      </c>
      <c r="BZ62">
        <v>7</v>
      </c>
      <c r="CA62">
        <v>4.3128312119594808E-2</v>
      </c>
      <c r="CB62">
        <v>4.182500426608398E-2</v>
      </c>
      <c r="CE62">
        <v>0.40734353476326451</v>
      </c>
      <c r="CH62">
        <v>0.42003675589377198</v>
      </c>
    </row>
    <row r="63" spans="1:86" x14ac:dyDescent="0.3">
      <c r="A63" s="1">
        <v>208</v>
      </c>
      <c r="B63" t="s">
        <v>562</v>
      </c>
      <c r="C63" t="s">
        <v>563</v>
      </c>
      <c r="E63" t="s">
        <v>94</v>
      </c>
      <c r="F63">
        <v>4.25</v>
      </c>
      <c r="G63" t="s">
        <v>518</v>
      </c>
      <c r="H63">
        <v>-1</v>
      </c>
      <c r="I63">
        <v>-1</v>
      </c>
      <c r="J63">
        <v>1</v>
      </c>
      <c r="K63">
        <v>3.88</v>
      </c>
      <c r="L63">
        <v>3.88</v>
      </c>
      <c r="M63">
        <v>11.54</v>
      </c>
      <c r="N63" t="s">
        <v>101</v>
      </c>
      <c r="O63">
        <v>11.54</v>
      </c>
      <c r="P63">
        <v>2</v>
      </c>
      <c r="Q63" t="s">
        <v>87</v>
      </c>
      <c r="R63">
        <v>1373</v>
      </c>
      <c r="S63">
        <v>10</v>
      </c>
      <c r="T63" t="b">
        <v>0</v>
      </c>
      <c r="U63" t="s">
        <v>88</v>
      </c>
      <c r="V63" t="s">
        <v>89</v>
      </c>
      <c r="W63">
        <v>0</v>
      </c>
      <c r="Y63">
        <v>1</v>
      </c>
      <c r="Z63">
        <v>0</v>
      </c>
      <c r="AC63" t="s">
        <v>90</v>
      </c>
      <c r="AD63">
        <v>400</v>
      </c>
      <c r="AF63" t="s">
        <v>91</v>
      </c>
      <c r="AH63" s="3">
        <v>10</v>
      </c>
      <c r="AI63" s="3" t="e">
        <f>AH63/(AD63*Y63*Z63)</f>
        <v>#DIV/0!</v>
      </c>
      <c r="AJ63" s="3" t="e">
        <f>LN(AI63)</f>
        <v>#DIV/0!</v>
      </c>
      <c r="AK63" t="s">
        <v>564</v>
      </c>
      <c r="AN63" t="b">
        <v>1</v>
      </c>
      <c r="AO63" t="b">
        <v>0</v>
      </c>
      <c r="AP63" t="b">
        <v>0</v>
      </c>
      <c r="AQ63" t="b">
        <v>0</v>
      </c>
      <c r="AR63" t="s">
        <v>565</v>
      </c>
      <c r="AS63">
        <v>-1</v>
      </c>
      <c r="AU63">
        <v>2.3025850929940459</v>
      </c>
      <c r="AV63">
        <v>1.9090909090909089</v>
      </c>
      <c r="AW63">
        <v>2.545454545454545</v>
      </c>
      <c r="AX63">
        <v>0.54545454545454541</v>
      </c>
      <c r="AY63">
        <v>3.0909090909090908</v>
      </c>
      <c r="AZ63">
        <v>0.2359550561797753</v>
      </c>
      <c r="BA63">
        <v>0.3146067415730337</v>
      </c>
      <c r="BB63">
        <v>6.7415730337078636E-2</v>
      </c>
      <c r="BC63">
        <v>0.38202247191011229</v>
      </c>
      <c r="BD63">
        <v>6.0365340692272724</v>
      </c>
      <c r="BE63">
        <v>14</v>
      </c>
      <c r="BF63">
        <v>167.3639996655379</v>
      </c>
      <c r="BG63">
        <v>1</v>
      </c>
      <c r="BH63">
        <v>8.365000853216796E-2</v>
      </c>
      <c r="BI63">
        <v>11.210029909999999</v>
      </c>
      <c r="BJ63">
        <v>11.210029909999999</v>
      </c>
      <c r="BK63">
        <v>11.210029909999999</v>
      </c>
      <c r="BL63">
        <v>0</v>
      </c>
      <c r="BM63">
        <v>0</v>
      </c>
      <c r="BO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173.72777600000001</v>
      </c>
      <c r="BY63">
        <v>8.0585847135923747E-2</v>
      </c>
      <c r="BZ63">
        <v>7</v>
      </c>
      <c r="CA63">
        <v>4.0292923567961873E-2</v>
      </c>
      <c r="CB63">
        <v>4.182500426608398E-2</v>
      </c>
      <c r="CE63">
        <v>0.44640947712981099</v>
      </c>
      <c r="CH63">
        <v>0.4300571693328224</v>
      </c>
    </row>
    <row r="64" spans="1:86" x14ac:dyDescent="0.3">
      <c r="A64" s="1">
        <v>209</v>
      </c>
      <c r="B64" t="s">
        <v>186</v>
      </c>
      <c r="C64" t="s">
        <v>187</v>
      </c>
      <c r="E64" t="s">
        <v>94</v>
      </c>
      <c r="F64">
        <v>4.25</v>
      </c>
      <c r="G64" t="s">
        <v>518</v>
      </c>
      <c r="H64">
        <v>-1</v>
      </c>
      <c r="I64">
        <v>-1</v>
      </c>
      <c r="J64">
        <v>1</v>
      </c>
      <c r="K64">
        <v>3.85</v>
      </c>
      <c r="L64">
        <v>3.85</v>
      </c>
      <c r="M64">
        <v>11.3</v>
      </c>
      <c r="N64" t="s">
        <v>101</v>
      </c>
      <c r="O64">
        <v>11.3</v>
      </c>
      <c r="P64">
        <v>2</v>
      </c>
      <c r="Q64" t="s">
        <v>87</v>
      </c>
      <c r="R64">
        <v>1373</v>
      </c>
      <c r="S64">
        <v>10</v>
      </c>
      <c r="T64" t="b">
        <v>0</v>
      </c>
      <c r="U64" t="s">
        <v>88</v>
      </c>
      <c r="V64" t="s">
        <v>89</v>
      </c>
      <c r="W64">
        <v>0</v>
      </c>
      <c r="Y64">
        <v>1</v>
      </c>
      <c r="Z64">
        <v>0</v>
      </c>
      <c r="AC64" t="s">
        <v>90</v>
      </c>
      <c r="AD64">
        <v>400</v>
      </c>
      <c r="AF64" t="s">
        <v>91</v>
      </c>
      <c r="AH64" s="3">
        <v>60</v>
      </c>
      <c r="AI64" s="3" t="e">
        <f>AH64/(AD64*Y64*Z64)</f>
        <v>#DIV/0!</v>
      </c>
      <c r="AJ64" s="3" t="e">
        <f>LN(AI64)</f>
        <v>#DIV/0!</v>
      </c>
      <c r="AK64" t="s">
        <v>566</v>
      </c>
      <c r="AN64" t="b">
        <v>1</v>
      </c>
      <c r="AO64" t="b">
        <v>0</v>
      </c>
      <c r="AP64" t="b">
        <v>0</v>
      </c>
      <c r="AQ64" t="b">
        <v>0</v>
      </c>
      <c r="AR64" t="s">
        <v>567</v>
      </c>
      <c r="AS64">
        <v>-1</v>
      </c>
      <c r="AU64">
        <v>4.0943445622221004</v>
      </c>
      <c r="AV64">
        <v>1.9090909090909089</v>
      </c>
      <c r="AW64">
        <v>2.545454545454545</v>
      </c>
      <c r="AX64">
        <v>0.54545454545454541</v>
      </c>
      <c r="AY64">
        <v>3.0909090909090908</v>
      </c>
      <c r="AZ64">
        <v>0.2359550561797753</v>
      </c>
      <c r="BA64">
        <v>0.3146067415730337</v>
      </c>
      <c r="BB64">
        <v>6.7415730337078636E-2</v>
      </c>
      <c r="BC64">
        <v>0.38202247191011229</v>
      </c>
      <c r="BD64">
        <v>5.9899904828636359</v>
      </c>
      <c r="BE64">
        <v>14</v>
      </c>
      <c r="BF64">
        <v>167.3639996655379</v>
      </c>
      <c r="BG64">
        <v>1</v>
      </c>
      <c r="BH64">
        <v>8.365000853216796E-2</v>
      </c>
      <c r="BI64">
        <v>11.210029909999999</v>
      </c>
      <c r="BJ64">
        <v>11.210029909999999</v>
      </c>
      <c r="BK64">
        <v>11.210029909999999</v>
      </c>
      <c r="BL64">
        <v>0</v>
      </c>
      <c r="BM64">
        <v>0</v>
      </c>
      <c r="BO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167.49424999999999</v>
      </c>
      <c r="BY64">
        <v>8.3584958886648339E-2</v>
      </c>
      <c r="BZ64">
        <v>7</v>
      </c>
      <c r="CA64">
        <v>4.1792479443324169E-2</v>
      </c>
      <c r="CB64">
        <v>4.182500426608398E-2</v>
      </c>
      <c r="CE64">
        <v>0.52182892473101716</v>
      </c>
      <c r="CH64">
        <v>0.52142312935608204</v>
      </c>
    </row>
    <row r="65" spans="1:86" x14ac:dyDescent="0.3">
      <c r="A65" s="1">
        <v>210</v>
      </c>
      <c r="B65" t="s">
        <v>568</v>
      </c>
      <c r="C65" t="s">
        <v>569</v>
      </c>
      <c r="E65" t="s">
        <v>94</v>
      </c>
      <c r="F65">
        <v>4.25</v>
      </c>
      <c r="G65" t="s">
        <v>518</v>
      </c>
      <c r="H65">
        <v>-1</v>
      </c>
      <c r="I65" t="s">
        <v>522</v>
      </c>
      <c r="J65">
        <v>1</v>
      </c>
      <c r="K65">
        <v>3.76</v>
      </c>
      <c r="L65">
        <v>3.76</v>
      </c>
      <c r="M65">
        <v>11.41</v>
      </c>
      <c r="N65" t="s">
        <v>101</v>
      </c>
      <c r="O65">
        <v>11.41</v>
      </c>
      <c r="P65">
        <v>2</v>
      </c>
      <c r="Q65" t="s">
        <v>87</v>
      </c>
      <c r="R65">
        <v>1373</v>
      </c>
      <c r="S65">
        <v>10</v>
      </c>
      <c r="T65" t="b">
        <v>0</v>
      </c>
      <c r="U65" t="s">
        <v>88</v>
      </c>
      <c r="V65" t="s">
        <v>89</v>
      </c>
      <c r="W65">
        <v>0</v>
      </c>
      <c r="Y65">
        <v>1</v>
      </c>
      <c r="Z65">
        <v>0</v>
      </c>
      <c r="AC65" t="s">
        <v>90</v>
      </c>
      <c r="AD65">
        <v>400</v>
      </c>
      <c r="AF65" t="s">
        <v>91</v>
      </c>
      <c r="AH65" s="3">
        <v>10</v>
      </c>
      <c r="AI65" s="3" t="e">
        <f>AH65/(AD65*Y65*Z65)</f>
        <v>#DIV/0!</v>
      </c>
      <c r="AJ65" s="3" t="e">
        <f>LN(AI65)</f>
        <v>#DIV/0!</v>
      </c>
      <c r="AK65" t="s">
        <v>570</v>
      </c>
      <c r="AM65" t="s">
        <v>571</v>
      </c>
      <c r="AN65" t="b">
        <v>1</v>
      </c>
      <c r="AO65" t="b">
        <v>0</v>
      </c>
      <c r="AP65" t="b">
        <v>1</v>
      </c>
      <c r="AQ65" t="b">
        <v>0</v>
      </c>
      <c r="AR65" t="s">
        <v>572</v>
      </c>
      <c r="AS65">
        <v>-1</v>
      </c>
      <c r="AT65" t="s">
        <v>573</v>
      </c>
      <c r="AU65">
        <v>2.3025850929940459</v>
      </c>
      <c r="AV65">
        <v>1.9090909090909089</v>
      </c>
      <c r="AW65">
        <v>2.545454545454545</v>
      </c>
      <c r="AX65">
        <v>0.54545454545454541</v>
      </c>
      <c r="AY65">
        <v>3.0909090909090908</v>
      </c>
      <c r="AZ65">
        <v>0.2359550561797753</v>
      </c>
      <c r="BA65">
        <v>0.3146067415730337</v>
      </c>
      <c r="BB65">
        <v>6.7415730337078636E-2</v>
      </c>
      <c r="BC65">
        <v>0.38202247191011229</v>
      </c>
      <c r="BD65">
        <v>5.9764659262922724</v>
      </c>
      <c r="BE65">
        <v>14</v>
      </c>
      <c r="BF65">
        <v>167.3639996655379</v>
      </c>
      <c r="BG65">
        <v>1</v>
      </c>
      <c r="BH65">
        <v>8.365000853216796E-2</v>
      </c>
      <c r="BI65">
        <v>11.210029909999999</v>
      </c>
      <c r="BJ65">
        <v>11.210029909999999</v>
      </c>
      <c r="BK65">
        <v>11.210029909999999</v>
      </c>
      <c r="BL65">
        <v>0</v>
      </c>
      <c r="BM65">
        <v>0</v>
      </c>
      <c r="BO65">
        <v>0</v>
      </c>
      <c r="BR65">
        <v>171.98132883066</v>
      </c>
      <c r="BS65">
        <v>1</v>
      </c>
      <c r="BT65">
        <v>8.1404185531005993E-2</v>
      </c>
      <c r="BU65">
        <v>3.8898000000000001</v>
      </c>
      <c r="BV65">
        <v>3.8898000000000001</v>
      </c>
      <c r="BW65">
        <v>11.3665</v>
      </c>
      <c r="BX65">
        <v>161.31001599999999</v>
      </c>
      <c r="BY65">
        <v>8.678940308331505E-2</v>
      </c>
      <c r="BZ65">
        <v>7</v>
      </c>
      <c r="CA65">
        <v>4.3394701541657532E-2</v>
      </c>
      <c r="CB65">
        <v>4.182500426608398E-2</v>
      </c>
      <c r="CD65">
        <v>4.0702092765502997E-2</v>
      </c>
      <c r="CE65">
        <v>0.55575303475750448</v>
      </c>
      <c r="CG65">
        <v>0.54083225984874872</v>
      </c>
      <c r="CH65">
        <v>0.57661051080223458</v>
      </c>
    </row>
    <row r="66" spans="1:86" x14ac:dyDescent="0.3">
      <c r="A66" s="1">
        <v>274</v>
      </c>
      <c r="B66" t="s">
        <v>281</v>
      </c>
      <c r="C66" t="s">
        <v>282</v>
      </c>
      <c r="F66">
        <v>3.9</v>
      </c>
      <c r="G66" t="s">
        <v>283</v>
      </c>
      <c r="H66" t="s">
        <v>284</v>
      </c>
      <c r="I66">
        <v>-1</v>
      </c>
      <c r="Q66" t="s">
        <v>87</v>
      </c>
      <c r="R66">
        <v>1473</v>
      </c>
      <c r="S66">
        <v>10</v>
      </c>
      <c r="T66" t="b">
        <v>0</v>
      </c>
      <c r="U66" t="s">
        <v>88</v>
      </c>
      <c r="V66" t="s">
        <v>89</v>
      </c>
      <c r="W66">
        <v>0</v>
      </c>
      <c r="X66">
        <v>0.7</v>
      </c>
      <c r="Y66">
        <v>1.32</v>
      </c>
      <c r="Z66">
        <v>0</v>
      </c>
      <c r="AC66" t="s">
        <v>90</v>
      </c>
      <c r="AD66">
        <v>400</v>
      </c>
      <c r="AF66" t="s">
        <v>91</v>
      </c>
      <c r="AH66" s="3">
        <v>20</v>
      </c>
      <c r="AI66" s="3" t="e">
        <f>AH66/(AD66*Y66*Z66)</f>
        <v>#DIV/0!</v>
      </c>
      <c r="AJ66" s="3" t="e">
        <f>LN(AI66)</f>
        <v>#DIV/0!</v>
      </c>
      <c r="AN66" t="b">
        <v>1</v>
      </c>
      <c r="AO66" t="b">
        <v>0</v>
      </c>
      <c r="AP66" t="b">
        <v>0</v>
      </c>
      <c r="AQ66" t="b">
        <v>0</v>
      </c>
      <c r="AR66" t="s">
        <v>283</v>
      </c>
      <c r="AS66" t="s">
        <v>284</v>
      </c>
      <c r="AU66">
        <v>2.9957322735539909</v>
      </c>
      <c r="AV66">
        <v>1.833333333333333</v>
      </c>
      <c r="AW66">
        <v>2.5</v>
      </c>
      <c r="AX66">
        <v>0.66666666666666663</v>
      </c>
      <c r="AY66">
        <v>0</v>
      </c>
      <c r="AZ66">
        <v>0.36666666666666659</v>
      </c>
      <c r="BA66">
        <v>0.5</v>
      </c>
      <c r="BB66">
        <v>0.1333333333333333</v>
      </c>
      <c r="BC66">
        <v>0</v>
      </c>
      <c r="BD66">
        <v>5.9098750142708329</v>
      </c>
      <c r="BE66">
        <v>30</v>
      </c>
      <c r="BF66">
        <v>353.45760058531442</v>
      </c>
      <c r="BG66">
        <v>1</v>
      </c>
      <c r="BH66">
        <v>8.487580957467307E-2</v>
      </c>
      <c r="BI66">
        <v>5.8532381300000003</v>
      </c>
      <c r="BJ66">
        <v>5.8532371599999999</v>
      </c>
      <c r="BK66">
        <v>11.912811489999999</v>
      </c>
      <c r="BL66">
        <v>342.77011164986561</v>
      </c>
      <c r="BM66">
        <v>1</v>
      </c>
      <c r="BN66">
        <v>8.7522216728874364E-2</v>
      </c>
      <c r="BO66">
        <v>5.7946</v>
      </c>
      <c r="BP66">
        <v>5.7946</v>
      </c>
      <c r="BQ66">
        <v>11.787599999999999</v>
      </c>
      <c r="BR66">
        <v>0</v>
      </c>
      <c r="BS66">
        <v>0</v>
      </c>
      <c r="BU66">
        <v>0</v>
      </c>
      <c r="BV66">
        <v>0</v>
      </c>
      <c r="BW66">
        <v>0</v>
      </c>
      <c r="BZ66">
        <v>15</v>
      </c>
      <c r="CB66">
        <v>4.2437904787336528E-2</v>
      </c>
      <c r="CC66">
        <v>4.3761108364437182E-2</v>
      </c>
      <c r="CE66">
        <v>0.57410011132036631</v>
      </c>
      <c r="CF66">
        <v>0.59200041353179089</v>
      </c>
    </row>
    <row r="67" spans="1:86" x14ac:dyDescent="0.3">
      <c r="A67" s="1">
        <v>276</v>
      </c>
      <c r="B67" t="s">
        <v>281</v>
      </c>
      <c r="C67" t="s">
        <v>282</v>
      </c>
      <c r="F67">
        <v>3.9</v>
      </c>
      <c r="G67" t="s">
        <v>283</v>
      </c>
      <c r="H67" t="s">
        <v>284</v>
      </c>
      <c r="I67">
        <v>-1</v>
      </c>
      <c r="Q67" t="s">
        <v>467</v>
      </c>
      <c r="R67">
        <v>973</v>
      </c>
      <c r="S67">
        <v>10</v>
      </c>
      <c r="T67" t="b">
        <v>0</v>
      </c>
      <c r="U67" t="s">
        <v>88</v>
      </c>
      <c r="V67" t="s">
        <v>89</v>
      </c>
      <c r="W67">
        <v>0</v>
      </c>
      <c r="X67">
        <v>0.7</v>
      </c>
      <c r="Y67">
        <v>1.32</v>
      </c>
      <c r="Z67">
        <v>0</v>
      </c>
      <c r="AC67" t="s">
        <v>90</v>
      </c>
      <c r="AD67">
        <v>400</v>
      </c>
      <c r="AF67" t="s">
        <v>91</v>
      </c>
      <c r="AH67" s="3">
        <v>6</v>
      </c>
      <c r="AI67" s="3" t="e">
        <f>AH67/(AD67*Y67*Z67)</f>
        <v>#DIV/0!</v>
      </c>
      <c r="AJ67" s="3" t="e">
        <f>LN(AI67)</f>
        <v>#DIV/0!</v>
      </c>
      <c r="AN67" t="b">
        <v>1</v>
      </c>
      <c r="AO67" t="b">
        <v>0</v>
      </c>
      <c r="AP67" t="b">
        <v>0</v>
      </c>
      <c r="AQ67" t="b">
        <v>0</v>
      </c>
      <c r="AR67" t="s">
        <v>283</v>
      </c>
      <c r="AS67" t="s">
        <v>284</v>
      </c>
      <c r="AU67">
        <v>1.791759469228055</v>
      </c>
      <c r="AV67">
        <v>1.833333333333333</v>
      </c>
      <c r="AW67">
        <v>2.5</v>
      </c>
      <c r="AX67">
        <v>0.66666666666666663</v>
      </c>
      <c r="AY67">
        <v>0</v>
      </c>
      <c r="AZ67">
        <v>0.36666666666666659</v>
      </c>
      <c r="BA67">
        <v>0.5</v>
      </c>
      <c r="BB67">
        <v>0.1333333333333333</v>
      </c>
      <c r="BC67">
        <v>0</v>
      </c>
      <c r="BD67">
        <v>5.9098750142708329</v>
      </c>
      <c r="BE67">
        <v>30</v>
      </c>
      <c r="BF67">
        <v>353.45760058531442</v>
      </c>
      <c r="BG67">
        <v>1</v>
      </c>
      <c r="BH67">
        <v>8.487580957467307E-2</v>
      </c>
      <c r="BI67">
        <v>5.8532381300000003</v>
      </c>
      <c r="BJ67">
        <v>5.8532371599999999</v>
      </c>
      <c r="BK67">
        <v>11.912811489999999</v>
      </c>
      <c r="BL67">
        <v>342.77011164986561</v>
      </c>
      <c r="BM67">
        <v>1</v>
      </c>
      <c r="BN67">
        <v>8.7522216728874364E-2</v>
      </c>
      <c r="BO67">
        <v>5.7946</v>
      </c>
      <c r="BP67">
        <v>5.7946</v>
      </c>
      <c r="BQ67">
        <v>11.787599999999999</v>
      </c>
      <c r="BR67">
        <v>0</v>
      </c>
      <c r="BS67">
        <v>0</v>
      </c>
      <c r="BU67">
        <v>0</v>
      </c>
      <c r="BV67">
        <v>0</v>
      </c>
      <c r="BW67">
        <v>0</v>
      </c>
      <c r="BZ67">
        <v>15</v>
      </c>
      <c r="CB67">
        <v>4.2437904787336528E-2</v>
      </c>
      <c r="CC67">
        <v>4.3761108364437182E-2</v>
      </c>
      <c r="CE67">
        <v>0.57410011132036631</v>
      </c>
      <c r="CF67">
        <v>0.59200041353179089</v>
      </c>
    </row>
    <row r="68" spans="1:86" x14ac:dyDescent="0.3">
      <c r="A68" s="1">
        <v>293</v>
      </c>
      <c r="B68" t="s">
        <v>690</v>
      </c>
      <c r="C68" t="s">
        <v>691</v>
      </c>
      <c r="E68" t="s">
        <v>690</v>
      </c>
      <c r="F68">
        <v>3.82</v>
      </c>
      <c r="G68" t="s">
        <v>692</v>
      </c>
      <c r="H68">
        <v>1001022</v>
      </c>
      <c r="I68">
        <v>-1</v>
      </c>
      <c r="J68">
        <v>4</v>
      </c>
      <c r="K68">
        <v>13.01</v>
      </c>
      <c r="L68">
        <v>5.5439999999999996</v>
      </c>
      <c r="M68">
        <v>7.81</v>
      </c>
      <c r="N68" t="s">
        <v>730</v>
      </c>
      <c r="O68">
        <v>13.01</v>
      </c>
      <c r="Q68" t="s">
        <v>87</v>
      </c>
      <c r="R68">
        <v>1423</v>
      </c>
      <c r="S68">
        <v>10</v>
      </c>
      <c r="T68" t="b">
        <v>0</v>
      </c>
      <c r="U68" t="s">
        <v>88</v>
      </c>
      <c r="V68" t="s">
        <v>89</v>
      </c>
      <c r="W68">
        <v>0</v>
      </c>
      <c r="Y68">
        <v>2</v>
      </c>
      <c r="Z68">
        <v>0</v>
      </c>
      <c r="AC68" t="s">
        <v>90</v>
      </c>
      <c r="AD68">
        <v>450</v>
      </c>
      <c r="AE68">
        <v>200</v>
      </c>
      <c r="AF68" t="s">
        <v>91</v>
      </c>
      <c r="AH68" s="3">
        <v>10</v>
      </c>
      <c r="AI68" s="3" t="e">
        <f>AH68/(AD68*Y68*Z68)</f>
        <v>#DIV/0!</v>
      </c>
      <c r="AJ68" s="3" t="e">
        <f>LN(AI68)</f>
        <v>#DIV/0!</v>
      </c>
      <c r="AN68" t="b">
        <v>1</v>
      </c>
      <c r="AO68" t="b">
        <v>0</v>
      </c>
      <c r="AP68" t="b">
        <v>0</v>
      </c>
      <c r="AQ68" t="b">
        <v>0</v>
      </c>
      <c r="AR68" t="s">
        <v>692</v>
      </c>
      <c r="AS68">
        <v>1001022</v>
      </c>
      <c r="AU68">
        <v>2.3025850929940459</v>
      </c>
      <c r="AV68">
        <v>2</v>
      </c>
      <c r="AW68">
        <v>2.545454545454545</v>
      </c>
      <c r="AX68">
        <v>0.54545454545454541</v>
      </c>
      <c r="AY68">
        <v>0</v>
      </c>
      <c r="AZ68">
        <v>0.39285714285714279</v>
      </c>
      <c r="BA68">
        <v>0.5</v>
      </c>
      <c r="BB68">
        <v>0.1071428571428571</v>
      </c>
      <c r="BC68">
        <v>0</v>
      </c>
      <c r="BD68">
        <v>5.9831999205909083</v>
      </c>
      <c r="BE68">
        <v>14</v>
      </c>
      <c r="BF68">
        <v>288.33429290182369</v>
      </c>
      <c r="BG68">
        <v>2</v>
      </c>
      <c r="BH68">
        <v>9.7109503410799117E-2</v>
      </c>
      <c r="BI68">
        <v>7.41544296</v>
      </c>
      <c r="BJ68">
        <v>7.4154429599999991</v>
      </c>
      <c r="BK68">
        <v>7.41544296</v>
      </c>
      <c r="BL68">
        <v>556.51188553357167</v>
      </c>
      <c r="BM68">
        <v>4</v>
      </c>
      <c r="BN68">
        <v>0.10062678166578309</v>
      </c>
      <c r="BO68">
        <v>7.8</v>
      </c>
      <c r="BP68">
        <v>13.010999999999999</v>
      </c>
      <c r="BQ68">
        <v>5.5460000000000003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563.31530639999994</v>
      </c>
      <c r="BY68">
        <v>9.9411465237614932E-2</v>
      </c>
      <c r="BZ68">
        <v>7</v>
      </c>
      <c r="CA68">
        <v>4.9705732618807473E-2</v>
      </c>
      <c r="CB68">
        <v>4.8554751705399558E-2</v>
      </c>
      <c r="CC68">
        <v>5.0313390832891547E-2</v>
      </c>
      <c r="CE68">
        <v>0.52442413903612495</v>
      </c>
      <c r="CF68">
        <v>0.54341863036636617</v>
      </c>
      <c r="CH68">
        <v>0.53685551090727035</v>
      </c>
    </row>
    <row r="69" spans="1:86" x14ac:dyDescent="0.3">
      <c r="A69" s="1">
        <v>294</v>
      </c>
      <c r="B69" t="s">
        <v>731</v>
      </c>
      <c r="C69" t="s">
        <v>732</v>
      </c>
      <c r="E69" t="s">
        <v>690</v>
      </c>
      <c r="F69">
        <v>3.68</v>
      </c>
      <c r="G69" t="s">
        <v>692</v>
      </c>
      <c r="H69" t="s">
        <v>693</v>
      </c>
      <c r="I69">
        <v>-1</v>
      </c>
      <c r="J69">
        <v>4</v>
      </c>
      <c r="K69">
        <v>13.02</v>
      </c>
      <c r="L69">
        <v>5.5119999999999996</v>
      </c>
      <c r="M69">
        <v>7.7450000000000001</v>
      </c>
      <c r="N69" t="s">
        <v>730</v>
      </c>
      <c r="O69">
        <v>13.02</v>
      </c>
      <c r="Q69" t="s">
        <v>87</v>
      </c>
      <c r="R69">
        <v>1423</v>
      </c>
      <c r="S69">
        <v>10</v>
      </c>
      <c r="T69" t="b">
        <v>0</v>
      </c>
      <c r="U69" t="s">
        <v>88</v>
      </c>
      <c r="V69" t="s">
        <v>89</v>
      </c>
      <c r="W69">
        <v>0</v>
      </c>
      <c r="Y69">
        <v>2</v>
      </c>
      <c r="Z69">
        <v>0</v>
      </c>
      <c r="AC69" t="s">
        <v>90</v>
      </c>
      <c r="AD69">
        <v>450</v>
      </c>
      <c r="AE69">
        <v>200</v>
      </c>
      <c r="AF69" t="s">
        <v>91</v>
      </c>
      <c r="AH69" s="3">
        <v>6</v>
      </c>
      <c r="AI69" s="3" t="e">
        <f>AH69/(AD69*Y69*Z69)</f>
        <v>#DIV/0!</v>
      </c>
      <c r="AJ69" s="3" t="e">
        <f>LN(AI69)</f>
        <v>#DIV/0!</v>
      </c>
      <c r="AK69" t="s">
        <v>733</v>
      </c>
      <c r="AN69" t="b">
        <v>1</v>
      </c>
      <c r="AO69" t="b">
        <v>0</v>
      </c>
      <c r="AP69" t="b">
        <v>0</v>
      </c>
      <c r="AQ69" t="b">
        <v>0</v>
      </c>
      <c r="AR69" t="s">
        <v>734</v>
      </c>
      <c r="AS69" t="s">
        <v>693</v>
      </c>
      <c r="AU69">
        <v>1.791759469228055</v>
      </c>
      <c r="AV69">
        <v>2</v>
      </c>
      <c r="AW69">
        <v>2.545454545454545</v>
      </c>
      <c r="AX69">
        <v>0.45454545454545447</v>
      </c>
      <c r="AY69">
        <v>0.36363636363636359</v>
      </c>
      <c r="AZ69">
        <v>0.3728813559322034</v>
      </c>
      <c r="BA69">
        <v>0.47457627118644069</v>
      </c>
      <c r="BB69">
        <v>8.4745762711864403E-2</v>
      </c>
      <c r="BC69">
        <v>6.7796610169491525E-2</v>
      </c>
      <c r="BD69">
        <v>5.9599293342272723</v>
      </c>
      <c r="BE69">
        <v>14</v>
      </c>
      <c r="BF69">
        <v>288.33429290182369</v>
      </c>
      <c r="BG69">
        <v>2</v>
      </c>
      <c r="BH69">
        <v>9.7109503410799117E-2</v>
      </c>
      <c r="BI69">
        <v>7.41544296</v>
      </c>
      <c r="BJ69">
        <v>7.4154429599999991</v>
      </c>
      <c r="BK69">
        <v>7.41544296</v>
      </c>
      <c r="BL69">
        <v>556.51188553357167</v>
      </c>
      <c r="BM69">
        <v>4</v>
      </c>
      <c r="BN69">
        <v>0.10062678166578309</v>
      </c>
      <c r="BO69">
        <v>7.8</v>
      </c>
      <c r="BP69">
        <v>13.010999999999999</v>
      </c>
      <c r="BQ69">
        <v>5.5460000000000003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555.82952879999993</v>
      </c>
      <c r="BY69">
        <v>0.10075031479687729</v>
      </c>
      <c r="BZ69">
        <v>7</v>
      </c>
      <c r="CA69">
        <v>5.0375157398438668E-2</v>
      </c>
      <c r="CB69">
        <v>4.8554751705399558E-2</v>
      </c>
      <c r="CC69">
        <v>5.0313390832891547E-2</v>
      </c>
      <c r="CE69">
        <v>0.51879928811151954</v>
      </c>
      <c r="CF69">
        <v>0.5375900489607085</v>
      </c>
      <c r="CH69">
        <v>0.5382500142392741</v>
      </c>
    </row>
    <row r="70" spans="1:86" x14ac:dyDescent="0.3">
      <c r="A70" s="1">
        <v>295</v>
      </c>
      <c r="B70" t="s">
        <v>735</v>
      </c>
      <c r="C70" t="s">
        <v>736</v>
      </c>
      <c r="E70" t="s">
        <v>690</v>
      </c>
      <c r="F70">
        <v>3.65</v>
      </c>
      <c r="G70" t="s">
        <v>737</v>
      </c>
      <c r="H70" t="s">
        <v>738</v>
      </c>
      <c r="I70">
        <v>-1</v>
      </c>
      <c r="J70">
        <v>4</v>
      </c>
      <c r="K70">
        <v>13.02</v>
      </c>
      <c r="L70">
        <v>5.48</v>
      </c>
      <c r="M70">
        <v>7.68</v>
      </c>
      <c r="N70" t="s">
        <v>730</v>
      </c>
      <c r="O70">
        <v>13.02</v>
      </c>
      <c r="Q70" t="s">
        <v>87</v>
      </c>
      <c r="R70">
        <v>1423</v>
      </c>
      <c r="S70">
        <v>10</v>
      </c>
      <c r="T70" t="b">
        <v>0</v>
      </c>
      <c r="U70" t="s">
        <v>88</v>
      </c>
      <c r="V70" t="s">
        <v>89</v>
      </c>
      <c r="W70">
        <v>0</v>
      </c>
      <c r="Y70">
        <v>2</v>
      </c>
      <c r="Z70">
        <v>0</v>
      </c>
      <c r="AC70" t="s">
        <v>90</v>
      </c>
      <c r="AD70">
        <v>450</v>
      </c>
      <c r="AE70">
        <v>200</v>
      </c>
      <c r="AF70" t="s">
        <v>91</v>
      </c>
      <c r="AH70" s="3">
        <v>4</v>
      </c>
      <c r="AI70" s="3" t="e">
        <f>AH70/(AD70*Y70*Z70)</f>
        <v>#DIV/0!</v>
      </c>
      <c r="AJ70" s="3" t="e">
        <f>LN(AI70)</f>
        <v>#DIV/0!</v>
      </c>
      <c r="AN70" t="b">
        <v>1</v>
      </c>
      <c r="AO70" t="b">
        <v>0</v>
      </c>
      <c r="AP70" t="b">
        <v>0</v>
      </c>
      <c r="AQ70" t="b">
        <v>0</v>
      </c>
      <c r="AR70" t="s">
        <v>737</v>
      </c>
      <c r="AS70" t="s">
        <v>738</v>
      </c>
      <c r="AU70">
        <v>1.386294361119891</v>
      </c>
      <c r="AV70">
        <v>2</v>
      </c>
      <c r="AW70">
        <v>2.545454545454545</v>
      </c>
      <c r="AX70">
        <v>0.36363636363636359</v>
      </c>
      <c r="AY70">
        <v>0.72727272727272729</v>
      </c>
      <c r="AZ70">
        <v>0.35483870967741932</v>
      </c>
      <c r="BA70">
        <v>0.45161290322580638</v>
      </c>
      <c r="BB70">
        <v>6.4516129032258063E-2</v>
      </c>
      <c r="BC70">
        <v>0.1290322580645161</v>
      </c>
      <c r="BD70">
        <v>5.9366587478636346</v>
      </c>
      <c r="BE70">
        <v>14</v>
      </c>
      <c r="BF70">
        <v>273.44070809730869</v>
      </c>
      <c r="BG70">
        <v>2</v>
      </c>
      <c r="BH70">
        <v>0.1023987986091511</v>
      </c>
      <c r="BI70">
        <v>7.2854997800000012</v>
      </c>
      <c r="BJ70">
        <v>7.2855000099999998</v>
      </c>
      <c r="BK70">
        <v>7.28550129</v>
      </c>
      <c r="BL70">
        <v>1077.884035254056</v>
      </c>
      <c r="BM70">
        <v>8</v>
      </c>
      <c r="BN70">
        <v>0.1039072816155049</v>
      </c>
      <c r="BO70">
        <v>7.6769999999999996</v>
      </c>
      <c r="BP70">
        <v>5.4560000000000004</v>
      </c>
      <c r="BQ70">
        <v>26.012989999999999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547.9649280000001</v>
      </c>
      <c r="BY70">
        <v>0.1021963215864793</v>
      </c>
      <c r="BZ70">
        <v>7</v>
      </c>
      <c r="CA70">
        <v>5.1098160793239672E-2</v>
      </c>
      <c r="CB70">
        <v>5.1199399304575573E-2</v>
      </c>
      <c r="CC70">
        <v>5.1953640807752437E-2</v>
      </c>
      <c r="CE70">
        <v>0.54112567770605691</v>
      </c>
      <c r="CF70">
        <v>0.54909724475770683</v>
      </c>
      <c r="CH70">
        <v>0.54005568940930559</v>
      </c>
    </row>
    <row r="71" spans="1:86" x14ac:dyDescent="0.3">
      <c r="A71" s="1">
        <v>296</v>
      </c>
      <c r="B71" t="s">
        <v>739</v>
      </c>
      <c r="C71" t="s">
        <v>740</v>
      </c>
      <c r="E71" t="s">
        <v>690</v>
      </c>
      <c r="F71">
        <v>2.99</v>
      </c>
      <c r="G71" t="s">
        <v>737</v>
      </c>
      <c r="H71">
        <v>2002197</v>
      </c>
      <c r="I71">
        <v>-1</v>
      </c>
      <c r="J71">
        <v>4</v>
      </c>
      <c r="K71">
        <v>12.996</v>
      </c>
      <c r="L71">
        <v>5.4850000000000003</v>
      </c>
      <c r="M71">
        <v>7.7039999999999997</v>
      </c>
      <c r="N71" t="s">
        <v>730</v>
      </c>
      <c r="O71">
        <v>12.996</v>
      </c>
      <c r="Q71" t="s">
        <v>87</v>
      </c>
      <c r="R71">
        <v>1423</v>
      </c>
      <c r="S71">
        <v>10</v>
      </c>
      <c r="T71" t="b">
        <v>0</v>
      </c>
      <c r="U71" t="s">
        <v>88</v>
      </c>
      <c r="V71" t="s">
        <v>89</v>
      </c>
      <c r="W71">
        <v>0</v>
      </c>
      <c r="Y71">
        <v>2</v>
      </c>
      <c r="Z71">
        <v>0</v>
      </c>
      <c r="AC71" t="s">
        <v>90</v>
      </c>
      <c r="AD71">
        <v>450</v>
      </c>
      <c r="AE71">
        <v>200</v>
      </c>
      <c r="AF71" t="s">
        <v>91</v>
      </c>
      <c r="AH71" s="3">
        <v>5</v>
      </c>
      <c r="AI71" s="3" t="e">
        <f>AH71/(AD71*Y71*Z71)</f>
        <v>#DIV/0!</v>
      </c>
      <c r="AJ71" s="3" t="e">
        <f>LN(AI71)</f>
        <v>#DIV/0!</v>
      </c>
      <c r="AK71" t="s">
        <v>541</v>
      </c>
      <c r="AL71" t="s">
        <v>541</v>
      </c>
      <c r="AN71" t="b">
        <v>1</v>
      </c>
      <c r="AO71" t="b">
        <v>1</v>
      </c>
      <c r="AP71" t="b">
        <v>0</v>
      </c>
      <c r="AQ71" t="b">
        <v>0</v>
      </c>
      <c r="AR71" t="s">
        <v>741</v>
      </c>
      <c r="AS71" t="s">
        <v>742</v>
      </c>
      <c r="AU71">
        <v>1.6094379124341001</v>
      </c>
      <c r="AV71">
        <v>2</v>
      </c>
      <c r="AW71">
        <v>2.545454545454545</v>
      </c>
      <c r="AX71">
        <v>0.36363636363636359</v>
      </c>
      <c r="AY71">
        <v>0.54545454545454541</v>
      </c>
      <c r="AZ71">
        <v>0.3666666666666667</v>
      </c>
      <c r="BA71">
        <v>0.46666666666666667</v>
      </c>
      <c r="BB71">
        <v>6.666666666666668E-2</v>
      </c>
      <c r="BC71">
        <v>0.1</v>
      </c>
      <c r="BD71">
        <v>5.9327443205909089</v>
      </c>
      <c r="BE71">
        <v>14</v>
      </c>
      <c r="BF71">
        <v>273.44070809730869</v>
      </c>
      <c r="BG71">
        <v>2</v>
      </c>
      <c r="BH71">
        <v>0.1023987986091511</v>
      </c>
      <c r="BI71">
        <v>7.2854997800000012</v>
      </c>
      <c r="BJ71">
        <v>7.2855000099999998</v>
      </c>
      <c r="BK71">
        <v>7.28550129</v>
      </c>
      <c r="BL71">
        <v>1077.884035254056</v>
      </c>
      <c r="BM71">
        <v>8</v>
      </c>
      <c r="BN71">
        <v>0.1039072816155049</v>
      </c>
      <c r="BO71">
        <v>7.6769999999999996</v>
      </c>
      <c r="BP71">
        <v>5.4560000000000004</v>
      </c>
      <c r="BQ71">
        <v>26.012989999999999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549.16469424000002</v>
      </c>
      <c r="BY71">
        <v>0.1019730521414883</v>
      </c>
      <c r="BZ71">
        <v>7</v>
      </c>
      <c r="CA71">
        <v>5.0986526070744151E-2</v>
      </c>
      <c r="CB71">
        <v>5.1199399304575573E-2</v>
      </c>
      <c r="CC71">
        <v>5.1953640807752437E-2</v>
      </c>
      <c r="CE71">
        <v>0.5427586112667282</v>
      </c>
      <c r="CF71">
        <v>0.5507542338010617</v>
      </c>
      <c r="CH71">
        <v>0.54050196797912087</v>
      </c>
    </row>
    <row r="72" spans="1:86" x14ac:dyDescent="0.3">
      <c r="A72" s="1">
        <v>297</v>
      </c>
      <c r="B72" t="s">
        <v>743</v>
      </c>
      <c r="C72" t="s">
        <v>744</v>
      </c>
      <c r="E72" t="s">
        <v>690</v>
      </c>
      <c r="F72">
        <v>2.98</v>
      </c>
      <c r="G72" t="s">
        <v>692</v>
      </c>
      <c r="H72" t="s">
        <v>693</v>
      </c>
      <c r="I72">
        <v>-1</v>
      </c>
      <c r="J72">
        <v>4</v>
      </c>
      <c r="K72">
        <v>13.003</v>
      </c>
      <c r="L72">
        <v>5.5149999999999997</v>
      </c>
      <c r="M72">
        <v>7.7569999999999997</v>
      </c>
      <c r="N72" t="s">
        <v>730</v>
      </c>
      <c r="O72">
        <v>13.003</v>
      </c>
      <c r="Q72" t="s">
        <v>87</v>
      </c>
      <c r="R72">
        <v>1423</v>
      </c>
      <c r="S72">
        <v>10</v>
      </c>
      <c r="T72" t="b">
        <v>0</v>
      </c>
      <c r="U72" t="s">
        <v>88</v>
      </c>
      <c r="V72" t="s">
        <v>89</v>
      </c>
      <c r="W72">
        <v>0</v>
      </c>
      <c r="Y72">
        <v>2</v>
      </c>
      <c r="Z72">
        <v>0</v>
      </c>
      <c r="AC72" t="s">
        <v>90</v>
      </c>
      <c r="AD72">
        <v>450</v>
      </c>
      <c r="AE72">
        <v>200</v>
      </c>
      <c r="AF72" t="s">
        <v>91</v>
      </c>
      <c r="AH72" s="3">
        <v>8</v>
      </c>
      <c r="AI72" s="3" t="e">
        <f>AH72/(AD72*Y72*Z72)</f>
        <v>#DIV/0!</v>
      </c>
      <c r="AJ72" s="3" t="e">
        <f>LN(AI72)</f>
        <v>#DIV/0!</v>
      </c>
      <c r="AK72" t="s">
        <v>745</v>
      </c>
      <c r="AN72" t="b">
        <v>1</v>
      </c>
      <c r="AO72" t="b">
        <v>0</v>
      </c>
      <c r="AP72" t="b">
        <v>0</v>
      </c>
      <c r="AQ72" t="b">
        <v>0</v>
      </c>
      <c r="AR72" t="s">
        <v>746</v>
      </c>
      <c r="AS72" t="s">
        <v>693</v>
      </c>
      <c r="AU72">
        <v>2.0794415416798362</v>
      </c>
      <c r="AV72">
        <v>2</v>
      </c>
      <c r="AW72">
        <v>2.545454545454545</v>
      </c>
      <c r="AX72">
        <v>0.45454545454545447</v>
      </c>
      <c r="AY72">
        <v>0.27272727272727271</v>
      </c>
      <c r="AZ72">
        <v>0.37931034482758619</v>
      </c>
      <c r="BA72">
        <v>0.48275862068965519</v>
      </c>
      <c r="BB72">
        <v>8.6206896551724144E-2</v>
      </c>
      <c r="BC72">
        <v>5.1724137931034482E-2</v>
      </c>
      <c r="BD72">
        <v>5.9579721205909086</v>
      </c>
      <c r="BE72">
        <v>14</v>
      </c>
      <c r="BF72">
        <v>288.33429290182369</v>
      </c>
      <c r="BG72">
        <v>2</v>
      </c>
      <c r="BH72">
        <v>9.7109503410799117E-2</v>
      </c>
      <c r="BI72">
        <v>7.41544296</v>
      </c>
      <c r="BJ72">
        <v>7.4154429599999991</v>
      </c>
      <c r="BK72">
        <v>7.41544296</v>
      </c>
      <c r="BL72">
        <v>556.51188553357167</v>
      </c>
      <c r="BM72">
        <v>4</v>
      </c>
      <c r="BN72">
        <v>0.10062678166578309</v>
      </c>
      <c r="BO72">
        <v>7.8</v>
      </c>
      <c r="BP72">
        <v>13.010999999999999</v>
      </c>
      <c r="BQ72">
        <v>5.5460000000000003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556.266454565</v>
      </c>
      <c r="BY72">
        <v>0.1006711793250088</v>
      </c>
      <c r="BZ72">
        <v>7</v>
      </c>
      <c r="CA72">
        <v>5.0335589662504419E-2</v>
      </c>
      <c r="CB72">
        <v>4.8554751705399558E-2</v>
      </c>
      <c r="CC72">
        <v>5.0313390832891547E-2</v>
      </c>
      <c r="CE72">
        <v>0.51957358121521546</v>
      </c>
      <c r="CF72">
        <v>0.53839238673769541</v>
      </c>
      <c r="CH72">
        <v>0.53862993146803873</v>
      </c>
    </row>
    <row r="73" spans="1:86" x14ac:dyDescent="0.3">
      <c r="A73" s="1">
        <v>453</v>
      </c>
      <c r="B73" t="s">
        <v>281</v>
      </c>
      <c r="C73" t="s">
        <v>282</v>
      </c>
      <c r="F73">
        <v>3.92</v>
      </c>
      <c r="G73" t="s">
        <v>283</v>
      </c>
      <c r="H73" t="s">
        <v>284</v>
      </c>
      <c r="I73">
        <v>-1</v>
      </c>
      <c r="Q73" t="s">
        <v>821</v>
      </c>
      <c r="R73">
        <v>473</v>
      </c>
      <c r="S73">
        <v>12</v>
      </c>
      <c r="T73" t="b">
        <v>0</v>
      </c>
      <c r="U73" t="s">
        <v>88</v>
      </c>
      <c r="V73" t="s">
        <v>89</v>
      </c>
      <c r="W73">
        <v>0</v>
      </c>
      <c r="X73">
        <v>1.6</v>
      </c>
      <c r="Y73">
        <v>0.83</v>
      </c>
      <c r="Z73">
        <v>0</v>
      </c>
      <c r="AC73" t="s">
        <v>90</v>
      </c>
      <c r="AD73">
        <v>450</v>
      </c>
      <c r="AF73" t="s">
        <v>91</v>
      </c>
      <c r="AG73">
        <v>298</v>
      </c>
      <c r="AH73" s="3">
        <v>15</v>
      </c>
      <c r="AI73" s="3" t="e">
        <f>AH73/(AD73*Y73*Z73)</f>
        <v>#DIV/0!</v>
      </c>
      <c r="AJ73" s="3" t="e">
        <f>LN(AI73)</f>
        <v>#DIV/0!</v>
      </c>
      <c r="AN73" t="b">
        <v>1</v>
      </c>
      <c r="AO73" t="b">
        <v>0</v>
      </c>
      <c r="AP73" t="b">
        <v>0</v>
      </c>
      <c r="AQ73" t="b">
        <v>0</v>
      </c>
      <c r="AR73" t="s">
        <v>283</v>
      </c>
      <c r="AS73" t="s">
        <v>284</v>
      </c>
      <c r="AU73">
        <v>2.7080502011022101</v>
      </c>
      <c r="AV73">
        <v>1.833333333333333</v>
      </c>
      <c r="AW73">
        <v>2.5</v>
      </c>
      <c r="AX73">
        <v>0.66666666666666663</v>
      </c>
      <c r="AY73">
        <v>0</v>
      </c>
      <c r="AZ73">
        <v>0.36666666666666659</v>
      </c>
      <c r="BA73">
        <v>0.5</v>
      </c>
      <c r="BB73">
        <v>0.1333333333333333</v>
      </c>
      <c r="BC73">
        <v>0</v>
      </c>
      <c r="BD73">
        <v>5.9098750142708329</v>
      </c>
      <c r="BE73">
        <v>30</v>
      </c>
      <c r="BF73">
        <v>353.45760058531442</v>
      </c>
      <c r="BG73">
        <v>1</v>
      </c>
      <c r="BH73">
        <v>8.487580957467307E-2</v>
      </c>
      <c r="BI73">
        <v>5.8532381300000003</v>
      </c>
      <c r="BJ73">
        <v>5.8532371599999999</v>
      </c>
      <c r="BK73">
        <v>11.912811489999999</v>
      </c>
      <c r="BL73">
        <v>342.77011164986561</v>
      </c>
      <c r="BM73">
        <v>1</v>
      </c>
      <c r="BN73">
        <v>8.7522216728874364E-2</v>
      </c>
      <c r="BO73">
        <v>5.7946</v>
      </c>
      <c r="BP73">
        <v>5.7946</v>
      </c>
      <c r="BQ73">
        <v>11.787599999999999</v>
      </c>
      <c r="BR73">
        <v>0</v>
      </c>
      <c r="BS73">
        <v>0</v>
      </c>
      <c r="BU73">
        <v>0</v>
      </c>
      <c r="BV73">
        <v>0</v>
      </c>
      <c r="BW73">
        <v>0</v>
      </c>
      <c r="BZ73">
        <v>15</v>
      </c>
      <c r="CB73">
        <v>4.2437904787336528E-2</v>
      </c>
      <c r="CC73">
        <v>4.3761108364437182E-2</v>
      </c>
      <c r="CE73">
        <v>0.57410011132036631</v>
      </c>
      <c r="CF73">
        <v>0.59200041353179089</v>
      </c>
    </row>
    <row r="74" spans="1:86" x14ac:dyDescent="0.3">
      <c r="A74" s="1">
        <v>454</v>
      </c>
      <c r="B74" t="s">
        <v>281</v>
      </c>
      <c r="C74" t="s">
        <v>282</v>
      </c>
      <c r="F74">
        <v>3.84</v>
      </c>
      <c r="G74" t="s">
        <v>283</v>
      </c>
      <c r="H74" t="s">
        <v>284</v>
      </c>
      <c r="I74">
        <v>-1</v>
      </c>
      <c r="Q74" t="s">
        <v>821</v>
      </c>
      <c r="R74">
        <v>473</v>
      </c>
      <c r="S74">
        <v>12</v>
      </c>
      <c r="T74" t="b">
        <v>0</v>
      </c>
      <c r="U74" t="s">
        <v>88</v>
      </c>
      <c r="V74" t="s">
        <v>89</v>
      </c>
      <c r="W74">
        <v>0</v>
      </c>
      <c r="X74">
        <v>10.9</v>
      </c>
      <c r="Y74">
        <v>0.83</v>
      </c>
      <c r="Z74">
        <v>0</v>
      </c>
      <c r="AC74" t="s">
        <v>90</v>
      </c>
      <c r="AD74">
        <v>450</v>
      </c>
      <c r="AF74" t="s">
        <v>91</v>
      </c>
      <c r="AG74">
        <v>298</v>
      </c>
      <c r="AH74" s="3">
        <v>35.200000000000003</v>
      </c>
      <c r="AI74" s="3" t="e">
        <f>AH74/(AD74*Y74*Z74)</f>
        <v>#DIV/0!</v>
      </c>
      <c r="AJ74" s="3" t="e">
        <f>LN(AI74)</f>
        <v>#DIV/0!</v>
      </c>
      <c r="AN74" t="b">
        <v>1</v>
      </c>
      <c r="AO74" t="b">
        <v>0</v>
      </c>
      <c r="AP74" t="b">
        <v>0</v>
      </c>
      <c r="AQ74" t="b">
        <v>0</v>
      </c>
      <c r="AR74" t="s">
        <v>283</v>
      </c>
      <c r="AS74" t="s">
        <v>284</v>
      </c>
      <c r="AU74">
        <v>3.5610460826040509</v>
      </c>
      <c r="AV74">
        <v>1.833333333333333</v>
      </c>
      <c r="AW74">
        <v>2.5</v>
      </c>
      <c r="AX74">
        <v>0.66666666666666663</v>
      </c>
      <c r="AY74">
        <v>0</v>
      </c>
      <c r="AZ74">
        <v>0.36666666666666659</v>
      </c>
      <c r="BA74">
        <v>0.5</v>
      </c>
      <c r="BB74">
        <v>0.1333333333333333</v>
      </c>
      <c r="BC74">
        <v>0</v>
      </c>
      <c r="BD74">
        <v>5.9098750142708329</v>
      </c>
      <c r="BE74">
        <v>30</v>
      </c>
      <c r="BF74">
        <v>353.45760058531442</v>
      </c>
      <c r="BG74">
        <v>1</v>
      </c>
      <c r="BH74">
        <v>8.487580957467307E-2</v>
      </c>
      <c r="BI74">
        <v>5.8532381300000003</v>
      </c>
      <c r="BJ74">
        <v>5.8532371599999999</v>
      </c>
      <c r="BK74">
        <v>11.912811489999999</v>
      </c>
      <c r="BL74">
        <v>342.77011164986561</v>
      </c>
      <c r="BM74">
        <v>1</v>
      </c>
      <c r="BN74">
        <v>8.7522216728874364E-2</v>
      </c>
      <c r="BO74">
        <v>5.7946</v>
      </c>
      <c r="BP74">
        <v>5.7946</v>
      </c>
      <c r="BQ74">
        <v>11.787599999999999</v>
      </c>
      <c r="BR74">
        <v>0</v>
      </c>
      <c r="BS74">
        <v>0</v>
      </c>
      <c r="BU74">
        <v>0</v>
      </c>
      <c r="BV74">
        <v>0</v>
      </c>
      <c r="BW74">
        <v>0</v>
      </c>
      <c r="BZ74">
        <v>15</v>
      </c>
      <c r="CB74">
        <v>4.2437904787336528E-2</v>
      </c>
      <c r="CC74">
        <v>4.3761108364437182E-2</v>
      </c>
      <c r="CE74">
        <v>0.57410011132036631</v>
      </c>
      <c r="CF74">
        <v>0.59200041353179089</v>
      </c>
    </row>
    <row r="75" spans="1:86" x14ac:dyDescent="0.3">
      <c r="A75" s="1">
        <v>455</v>
      </c>
      <c r="B75" t="s">
        <v>281</v>
      </c>
      <c r="C75" t="s">
        <v>282</v>
      </c>
      <c r="F75">
        <v>3.92</v>
      </c>
      <c r="G75" t="s">
        <v>283</v>
      </c>
      <c r="H75" t="s">
        <v>284</v>
      </c>
      <c r="I75">
        <v>-1</v>
      </c>
      <c r="Q75" t="s">
        <v>821</v>
      </c>
      <c r="R75">
        <v>473</v>
      </c>
      <c r="S75">
        <v>12</v>
      </c>
      <c r="T75" t="b">
        <v>0</v>
      </c>
      <c r="U75" t="s">
        <v>172</v>
      </c>
      <c r="V75" t="s">
        <v>173</v>
      </c>
      <c r="W75">
        <v>0</v>
      </c>
      <c r="X75">
        <v>1.6</v>
      </c>
      <c r="Y75">
        <v>0.83</v>
      </c>
      <c r="Z75">
        <v>0</v>
      </c>
      <c r="AC75" t="s">
        <v>90</v>
      </c>
      <c r="AD75">
        <v>450</v>
      </c>
      <c r="AF75" t="s">
        <v>91</v>
      </c>
      <c r="AG75">
        <v>298</v>
      </c>
      <c r="AH75" s="3">
        <v>94.5</v>
      </c>
      <c r="AI75" s="3" t="e">
        <f>AH75/(AD75*Y75*Z75)</f>
        <v>#DIV/0!</v>
      </c>
      <c r="AJ75" s="3" t="e">
        <f>LN(AI75)</f>
        <v>#DIV/0!</v>
      </c>
      <c r="AN75" t="b">
        <v>1</v>
      </c>
      <c r="AO75" t="b">
        <v>0</v>
      </c>
      <c r="AP75" t="b">
        <v>0</v>
      </c>
      <c r="AQ75" t="b">
        <v>0</v>
      </c>
      <c r="AR75" t="s">
        <v>283</v>
      </c>
      <c r="AS75" t="s">
        <v>284</v>
      </c>
      <c r="AU75">
        <v>4.5485998344996972</v>
      </c>
      <c r="AV75">
        <v>1.833333333333333</v>
      </c>
      <c r="AW75">
        <v>2.5</v>
      </c>
      <c r="AX75">
        <v>0.66666666666666663</v>
      </c>
      <c r="AY75">
        <v>0</v>
      </c>
      <c r="AZ75">
        <v>0.36666666666666659</v>
      </c>
      <c r="BA75">
        <v>0.5</v>
      </c>
      <c r="BB75">
        <v>0.1333333333333333</v>
      </c>
      <c r="BC75">
        <v>0</v>
      </c>
      <c r="BD75">
        <v>5.9098750142708329</v>
      </c>
      <c r="BE75">
        <v>30</v>
      </c>
      <c r="BF75">
        <v>353.45760058531442</v>
      </c>
      <c r="BG75">
        <v>1</v>
      </c>
      <c r="BH75">
        <v>8.487580957467307E-2</v>
      </c>
      <c r="BI75">
        <v>5.8532381300000003</v>
      </c>
      <c r="BJ75">
        <v>5.8532371599999999</v>
      </c>
      <c r="BK75">
        <v>11.912811489999999</v>
      </c>
      <c r="BL75">
        <v>342.77011164986561</v>
      </c>
      <c r="BM75">
        <v>1</v>
      </c>
      <c r="BN75">
        <v>8.7522216728874364E-2</v>
      </c>
      <c r="BO75">
        <v>5.7946</v>
      </c>
      <c r="BP75">
        <v>5.7946</v>
      </c>
      <c r="BQ75">
        <v>11.787599999999999</v>
      </c>
      <c r="BR75">
        <v>0</v>
      </c>
      <c r="BS75">
        <v>0</v>
      </c>
      <c r="BU75">
        <v>0</v>
      </c>
      <c r="BV75">
        <v>0</v>
      </c>
      <c r="BW75">
        <v>0</v>
      </c>
      <c r="BZ75">
        <v>15</v>
      </c>
      <c r="CB75">
        <v>4.2437904787336528E-2</v>
      </c>
      <c r="CC75">
        <v>4.3761108364437182E-2</v>
      </c>
      <c r="CE75">
        <v>0.57410011132036631</v>
      </c>
      <c r="CF75">
        <v>0.59200041353179089</v>
      </c>
    </row>
    <row r="76" spans="1:86" x14ac:dyDescent="0.3">
      <c r="A76" s="1">
        <v>456</v>
      </c>
      <c r="B76" t="s">
        <v>281</v>
      </c>
      <c r="C76" t="s">
        <v>282</v>
      </c>
      <c r="F76">
        <v>3.84</v>
      </c>
      <c r="G76" t="s">
        <v>283</v>
      </c>
      <c r="H76" t="s">
        <v>284</v>
      </c>
      <c r="I76">
        <v>-1</v>
      </c>
      <c r="Q76" t="s">
        <v>821</v>
      </c>
      <c r="R76">
        <v>473</v>
      </c>
      <c r="S76">
        <v>12</v>
      </c>
      <c r="T76" t="b">
        <v>0</v>
      </c>
      <c r="U76" t="s">
        <v>172</v>
      </c>
      <c r="V76" t="s">
        <v>173</v>
      </c>
      <c r="W76">
        <v>0</v>
      </c>
      <c r="X76">
        <v>10.9</v>
      </c>
      <c r="Y76">
        <v>0.83</v>
      </c>
      <c r="Z76">
        <v>0</v>
      </c>
      <c r="AC76" t="s">
        <v>90</v>
      </c>
      <c r="AD76">
        <v>450</v>
      </c>
      <c r="AF76" t="s">
        <v>91</v>
      </c>
      <c r="AG76">
        <v>298</v>
      </c>
      <c r="AH76" s="3">
        <v>321.60000000000002</v>
      </c>
      <c r="AI76" s="3" t="e">
        <f>AH76/(AD76*Y76*Z76)</f>
        <v>#DIV/0!</v>
      </c>
      <c r="AJ76" s="3" t="e">
        <f>LN(AI76)</f>
        <v>#DIV/0!</v>
      </c>
      <c r="AN76" t="b">
        <v>1</v>
      </c>
      <c r="AO76" t="b">
        <v>0</v>
      </c>
      <c r="AP76" t="b">
        <v>0</v>
      </c>
      <c r="AQ76" t="b">
        <v>0</v>
      </c>
      <c r="AR76" t="s">
        <v>283</v>
      </c>
      <c r="AS76" t="s">
        <v>284</v>
      </c>
      <c r="AU76">
        <v>5.7733085373048114</v>
      </c>
      <c r="AV76">
        <v>1.833333333333333</v>
      </c>
      <c r="AW76">
        <v>2.5</v>
      </c>
      <c r="AX76">
        <v>0.66666666666666663</v>
      </c>
      <c r="AY76">
        <v>0</v>
      </c>
      <c r="AZ76">
        <v>0.36666666666666659</v>
      </c>
      <c r="BA76">
        <v>0.5</v>
      </c>
      <c r="BB76">
        <v>0.1333333333333333</v>
      </c>
      <c r="BC76">
        <v>0</v>
      </c>
      <c r="BD76">
        <v>5.9098750142708329</v>
      </c>
      <c r="BE76">
        <v>30</v>
      </c>
      <c r="BF76">
        <v>353.45760058531442</v>
      </c>
      <c r="BG76">
        <v>1</v>
      </c>
      <c r="BH76">
        <v>8.487580957467307E-2</v>
      </c>
      <c r="BI76">
        <v>5.8532381300000003</v>
      </c>
      <c r="BJ76">
        <v>5.8532371599999999</v>
      </c>
      <c r="BK76">
        <v>11.912811489999999</v>
      </c>
      <c r="BL76">
        <v>342.77011164986561</v>
      </c>
      <c r="BM76">
        <v>1</v>
      </c>
      <c r="BN76">
        <v>8.7522216728874364E-2</v>
      </c>
      <c r="BO76">
        <v>5.7946</v>
      </c>
      <c r="BP76">
        <v>5.7946</v>
      </c>
      <c r="BQ76">
        <v>11.787599999999999</v>
      </c>
      <c r="BR76">
        <v>0</v>
      </c>
      <c r="BS76">
        <v>0</v>
      </c>
      <c r="BU76">
        <v>0</v>
      </c>
      <c r="BV76">
        <v>0</v>
      </c>
      <c r="BW76">
        <v>0</v>
      </c>
      <c r="BZ76">
        <v>15</v>
      </c>
      <c r="CB76">
        <v>4.2437904787336528E-2</v>
      </c>
      <c r="CC76">
        <v>4.3761108364437182E-2</v>
      </c>
      <c r="CE76">
        <v>0.57410011132036631</v>
      </c>
      <c r="CF76">
        <v>0.59200041353179089</v>
      </c>
    </row>
    <row r="77" spans="1:86" x14ac:dyDescent="0.3">
      <c r="A77" s="1">
        <v>561</v>
      </c>
      <c r="B77" t="s">
        <v>151</v>
      </c>
      <c r="C77" t="s">
        <v>152</v>
      </c>
      <c r="E77" t="s">
        <v>106</v>
      </c>
      <c r="F77">
        <v>3.26</v>
      </c>
      <c r="G77" t="s">
        <v>142</v>
      </c>
      <c r="H77">
        <v>1522043</v>
      </c>
      <c r="I77">
        <v>-1</v>
      </c>
      <c r="J77">
        <v>1</v>
      </c>
      <c r="K77">
        <v>3.89</v>
      </c>
      <c r="L77">
        <v>3.89</v>
      </c>
      <c r="M77">
        <v>16.399999999999999</v>
      </c>
      <c r="O77">
        <v>16.399999999999999</v>
      </c>
      <c r="Q77" t="s">
        <v>87</v>
      </c>
      <c r="R77">
        <v>1573</v>
      </c>
      <c r="S77">
        <v>10</v>
      </c>
      <c r="T77" t="b">
        <v>0</v>
      </c>
      <c r="U77" t="s">
        <v>88</v>
      </c>
      <c r="V77" t="s">
        <v>89</v>
      </c>
      <c r="W77">
        <v>0</v>
      </c>
      <c r="X77">
        <v>3.1</v>
      </c>
      <c r="Y77">
        <v>0.5</v>
      </c>
      <c r="Z77">
        <v>0</v>
      </c>
      <c r="AC77" t="s">
        <v>90</v>
      </c>
      <c r="AD77">
        <v>125</v>
      </c>
      <c r="AE77">
        <v>220</v>
      </c>
      <c r="AF77" t="s">
        <v>91</v>
      </c>
      <c r="AG77">
        <v>288</v>
      </c>
      <c r="AH77" s="3">
        <v>23.2</v>
      </c>
      <c r="AI77" s="3" t="e">
        <f>AH77/(AD77*Y77*Z77)</f>
        <v>#DIV/0!</v>
      </c>
      <c r="AJ77" s="3" t="e">
        <f>LN(AI77)</f>
        <v>#DIV/0!</v>
      </c>
      <c r="AK77" t="s">
        <v>153</v>
      </c>
      <c r="AL77" t="s">
        <v>153</v>
      </c>
      <c r="AN77" t="b">
        <v>1</v>
      </c>
      <c r="AO77" t="b">
        <v>1</v>
      </c>
      <c r="AP77" t="b">
        <v>0</v>
      </c>
      <c r="AQ77" t="b">
        <v>0</v>
      </c>
      <c r="AR77" t="s">
        <v>1024</v>
      </c>
      <c r="AS77" t="s">
        <v>1025</v>
      </c>
      <c r="AU77">
        <v>3.144152278672264</v>
      </c>
      <c r="AV77">
        <v>1.75</v>
      </c>
      <c r="AW77">
        <v>2.5</v>
      </c>
      <c r="AX77">
        <v>0.75</v>
      </c>
      <c r="AY77">
        <v>0</v>
      </c>
      <c r="AZ77">
        <v>0.35</v>
      </c>
      <c r="BA77">
        <v>0.5</v>
      </c>
      <c r="BB77">
        <v>0.15</v>
      </c>
      <c r="BC77">
        <v>0</v>
      </c>
      <c r="BD77">
        <v>6.2395921087406876</v>
      </c>
      <c r="BE77">
        <v>20</v>
      </c>
      <c r="BF77">
        <v>242.1279024923125</v>
      </c>
      <c r="BG77">
        <v>1</v>
      </c>
      <c r="BH77">
        <v>8.2600971611006269E-2</v>
      </c>
      <c r="BI77">
        <v>3.950634</v>
      </c>
      <c r="BJ77">
        <v>3.950634</v>
      </c>
      <c r="BK77">
        <v>15.513552000000001</v>
      </c>
      <c r="BL77">
        <v>227.970829547178</v>
      </c>
      <c r="BM77">
        <v>1</v>
      </c>
      <c r="BN77">
        <v>8.7730522539775438E-2</v>
      </c>
      <c r="BO77">
        <v>3.8658999999999999</v>
      </c>
      <c r="BP77">
        <v>3.8658999999999999</v>
      </c>
      <c r="BQ77">
        <v>15.2538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248.16643999999999</v>
      </c>
      <c r="BY77">
        <v>8.0591074280631989E-2</v>
      </c>
      <c r="BZ77">
        <v>10</v>
      </c>
      <c r="CA77">
        <v>4.0295537140315987E-2</v>
      </c>
      <c r="CB77">
        <v>4.1300485805503127E-2</v>
      </c>
      <c r="CC77">
        <v>4.3865261269887719E-2</v>
      </c>
      <c r="CE77">
        <v>0.45027090848362911</v>
      </c>
      <c r="CF77">
        <v>0.47823289866077828</v>
      </c>
      <c r="CH77">
        <v>0.43931464151417537</v>
      </c>
    </row>
    <row r="78" spans="1:86" x14ac:dyDescent="0.3">
      <c r="A78" s="1">
        <v>562</v>
      </c>
      <c r="B78" t="s">
        <v>140</v>
      </c>
      <c r="C78" t="s">
        <v>141</v>
      </c>
      <c r="E78" t="s">
        <v>106</v>
      </c>
      <c r="F78">
        <v>3.5</v>
      </c>
      <c r="G78" t="s">
        <v>142</v>
      </c>
      <c r="H78">
        <v>1522043</v>
      </c>
      <c r="I78">
        <v>-1</v>
      </c>
      <c r="J78">
        <v>1</v>
      </c>
      <c r="K78">
        <v>3.82</v>
      </c>
      <c r="L78">
        <v>3.82</v>
      </c>
      <c r="M78">
        <v>16</v>
      </c>
      <c r="O78">
        <v>16</v>
      </c>
      <c r="Q78" t="s">
        <v>87</v>
      </c>
      <c r="R78">
        <v>1373</v>
      </c>
      <c r="S78">
        <v>24</v>
      </c>
      <c r="T78" t="b">
        <v>0</v>
      </c>
      <c r="U78" t="s">
        <v>88</v>
      </c>
      <c r="V78" t="s">
        <v>89</v>
      </c>
      <c r="W78">
        <v>0</v>
      </c>
      <c r="X78">
        <v>7.6</v>
      </c>
      <c r="Y78">
        <v>0.5</v>
      </c>
      <c r="Z78">
        <v>0</v>
      </c>
      <c r="AC78" t="s">
        <v>90</v>
      </c>
      <c r="AD78">
        <v>125</v>
      </c>
      <c r="AE78">
        <v>220</v>
      </c>
      <c r="AF78" t="s">
        <v>91</v>
      </c>
      <c r="AG78">
        <v>288</v>
      </c>
      <c r="AH78" s="3">
        <v>160</v>
      </c>
      <c r="AI78" s="3" t="e">
        <f>AH78/(AD78*Y78*Z78)</f>
        <v>#DIV/0!</v>
      </c>
      <c r="AJ78" s="3" t="e">
        <f>LN(AI78)</f>
        <v>#DIV/0!</v>
      </c>
      <c r="AK78" t="s">
        <v>144</v>
      </c>
      <c r="AL78" t="s">
        <v>144</v>
      </c>
      <c r="AN78" t="b">
        <v>1</v>
      </c>
      <c r="AO78" t="b">
        <v>1</v>
      </c>
      <c r="AP78" t="b">
        <v>0</v>
      </c>
      <c r="AQ78" t="b">
        <v>0</v>
      </c>
      <c r="AR78" t="s">
        <v>1026</v>
      </c>
      <c r="AS78" t="s">
        <v>1027</v>
      </c>
      <c r="AU78">
        <v>5.0751738152338266</v>
      </c>
      <c r="AV78">
        <v>1.75</v>
      </c>
      <c r="AW78">
        <v>2.5</v>
      </c>
      <c r="AX78">
        <v>0.75</v>
      </c>
      <c r="AY78">
        <v>0</v>
      </c>
      <c r="AZ78">
        <v>0.35</v>
      </c>
      <c r="BA78">
        <v>0.5</v>
      </c>
      <c r="BB78">
        <v>0.15</v>
      </c>
      <c r="BC78">
        <v>0</v>
      </c>
      <c r="BD78">
        <v>6.2640154224906874</v>
      </c>
      <c r="BE78">
        <v>20</v>
      </c>
      <c r="BF78">
        <v>242.1279024923125</v>
      </c>
      <c r="BG78">
        <v>1</v>
      </c>
      <c r="BH78">
        <v>8.2600971611006269E-2</v>
      </c>
      <c r="BI78">
        <v>3.950634</v>
      </c>
      <c r="BJ78">
        <v>3.950634</v>
      </c>
      <c r="BK78">
        <v>15.513552000000001</v>
      </c>
      <c r="BL78">
        <v>227.970829547178</v>
      </c>
      <c r="BM78">
        <v>1</v>
      </c>
      <c r="BN78">
        <v>8.7730522539775438E-2</v>
      </c>
      <c r="BO78">
        <v>3.8658999999999999</v>
      </c>
      <c r="BP78">
        <v>3.8658999999999999</v>
      </c>
      <c r="BQ78">
        <v>15.2538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233.47839999999999</v>
      </c>
      <c r="BY78">
        <v>8.5661029028809524E-2</v>
      </c>
      <c r="BZ78">
        <v>10</v>
      </c>
      <c r="CA78">
        <v>4.2830514514404762E-2</v>
      </c>
      <c r="CB78">
        <v>4.1300485805503127E-2</v>
      </c>
      <c r="CC78">
        <v>4.3865261269887719E-2</v>
      </c>
      <c r="CE78">
        <v>0.42195359024583579</v>
      </c>
      <c r="CF78">
        <v>0.44815706447294301</v>
      </c>
      <c r="CH78">
        <v>0.43758539443188288</v>
      </c>
    </row>
    <row r="79" spans="1:86" x14ac:dyDescent="0.3">
      <c r="A79" s="1">
        <v>563</v>
      </c>
      <c r="B79" t="s">
        <v>151</v>
      </c>
      <c r="C79" t="s">
        <v>152</v>
      </c>
      <c r="E79" t="s">
        <v>106</v>
      </c>
      <c r="F79">
        <v>3.26</v>
      </c>
      <c r="G79" t="s">
        <v>142</v>
      </c>
      <c r="H79">
        <v>1522043</v>
      </c>
      <c r="I79">
        <v>-1</v>
      </c>
      <c r="J79">
        <v>1</v>
      </c>
      <c r="K79">
        <v>3.89</v>
      </c>
      <c r="L79">
        <v>3.89</v>
      </c>
      <c r="M79">
        <v>16.399999999999999</v>
      </c>
      <c r="O79">
        <v>16.399999999999999</v>
      </c>
      <c r="Q79" t="s">
        <v>87</v>
      </c>
      <c r="R79">
        <v>1573</v>
      </c>
      <c r="S79">
        <v>10</v>
      </c>
      <c r="T79" t="b">
        <v>0</v>
      </c>
      <c r="U79" t="s">
        <v>88</v>
      </c>
      <c r="V79" t="s">
        <v>89</v>
      </c>
      <c r="W79">
        <v>0</v>
      </c>
      <c r="X79">
        <v>103</v>
      </c>
      <c r="Y79">
        <v>0.5</v>
      </c>
      <c r="Z79">
        <v>0</v>
      </c>
      <c r="AC79" t="s">
        <v>90</v>
      </c>
      <c r="AD79">
        <v>125</v>
      </c>
      <c r="AE79">
        <v>220</v>
      </c>
      <c r="AF79" t="s">
        <v>91</v>
      </c>
      <c r="AG79">
        <v>288</v>
      </c>
      <c r="AH79" s="3">
        <v>84</v>
      </c>
      <c r="AI79" s="3" t="e">
        <f>AH79/(AD79*Y79*Z79)</f>
        <v>#DIV/0!</v>
      </c>
      <c r="AJ79" s="3" t="e">
        <f>LN(AI79)</f>
        <v>#DIV/0!</v>
      </c>
      <c r="AK79" t="s">
        <v>153</v>
      </c>
      <c r="AL79" t="s">
        <v>153</v>
      </c>
      <c r="AN79" t="b">
        <v>1</v>
      </c>
      <c r="AO79" t="b">
        <v>1</v>
      </c>
      <c r="AP79" t="b">
        <v>0</v>
      </c>
      <c r="AQ79" t="b">
        <v>0</v>
      </c>
      <c r="AR79" t="s">
        <v>1028</v>
      </c>
      <c r="AS79" t="s">
        <v>1029</v>
      </c>
      <c r="AU79">
        <v>4.4308167988433134</v>
      </c>
      <c r="AV79">
        <v>1.75</v>
      </c>
      <c r="AW79">
        <v>2.5</v>
      </c>
      <c r="AX79">
        <v>0.75</v>
      </c>
      <c r="AY79">
        <v>0</v>
      </c>
      <c r="AZ79">
        <v>0.35</v>
      </c>
      <c r="BA79">
        <v>0.5</v>
      </c>
      <c r="BB79">
        <v>0.15</v>
      </c>
      <c r="BC79">
        <v>0</v>
      </c>
      <c r="BD79">
        <v>6.2395921087406876</v>
      </c>
      <c r="BE79">
        <v>20</v>
      </c>
      <c r="BF79">
        <v>242.1279024923125</v>
      </c>
      <c r="BG79">
        <v>1</v>
      </c>
      <c r="BH79">
        <v>8.2600971611006269E-2</v>
      </c>
      <c r="BI79">
        <v>3.950634</v>
      </c>
      <c r="BJ79">
        <v>3.950634</v>
      </c>
      <c r="BK79">
        <v>15.513552000000001</v>
      </c>
      <c r="BL79">
        <v>227.970829547178</v>
      </c>
      <c r="BM79">
        <v>1</v>
      </c>
      <c r="BN79">
        <v>8.7730522539775438E-2</v>
      </c>
      <c r="BO79">
        <v>3.8658999999999999</v>
      </c>
      <c r="BP79">
        <v>3.8658999999999999</v>
      </c>
      <c r="BQ79">
        <v>15.2538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248.16643999999999</v>
      </c>
      <c r="BY79">
        <v>8.0591074280631989E-2</v>
      </c>
      <c r="BZ79">
        <v>10</v>
      </c>
      <c r="CA79">
        <v>4.0295537140315987E-2</v>
      </c>
      <c r="CB79">
        <v>4.1300485805503127E-2</v>
      </c>
      <c r="CC79">
        <v>4.3865261269887719E-2</v>
      </c>
      <c r="CE79">
        <v>0.45027090848362911</v>
      </c>
      <c r="CF79">
        <v>0.47823289866077828</v>
      </c>
      <c r="CH79">
        <v>0.43931464151417537</v>
      </c>
    </row>
    <row r="80" spans="1:86" x14ac:dyDescent="0.3">
      <c r="A80" s="1">
        <v>564</v>
      </c>
      <c r="B80" t="s">
        <v>140</v>
      </c>
      <c r="C80" t="s">
        <v>141</v>
      </c>
      <c r="E80" t="s">
        <v>106</v>
      </c>
      <c r="F80">
        <v>3.38</v>
      </c>
      <c r="G80" t="s">
        <v>142</v>
      </c>
      <c r="H80">
        <v>1522043</v>
      </c>
      <c r="I80">
        <v>-1</v>
      </c>
      <c r="J80">
        <v>1</v>
      </c>
      <c r="K80">
        <v>3.82</v>
      </c>
      <c r="L80">
        <v>3.82</v>
      </c>
      <c r="M80">
        <v>16</v>
      </c>
      <c r="O80">
        <v>16</v>
      </c>
      <c r="Q80" t="s">
        <v>87</v>
      </c>
      <c r="R80">
        <v>1373</v>
      </c>
      <c r="S80">
        <v>24</v>
      </c>
      <c r="T80" t="b">
        <v>0</v>
      </c>
      <c r="U80" t="s">
        <v>88</v>
      </c>
      <c r="V80" t="s">
        <v>89</v>
      </c>
      <c r="W80">
        <v>0</v>
      </c>
      <c r="X80">
        <v>76.3</v>
      </c>
      <c r="Y80">
        <v>0.5</v>
      </c>
      <c r="Z80">
        <v>0</v>
      </c>
      <c r="AC80" t="s">
        <v>90</v>
      </c>
      <c r="AD80">
        <v>125</v>
      </c>
      <c r="AE80">
        <v>220</v>
      </c>
      <c r="AF80" t="s">
        <v>91</v>
      </c>
      <c r="AG80">
        <v>288</v>
      </c>
      <c r="AH80" s="3">
        <v>55.999999999999993</v>
      </c>
      <c r="AI80" s="3" t="e">
        <f>AH80/(AD80*Y80*Z80)</f>
        <v>#DIV/0!</v>
      </c>
      <c r="AJ80" s="3" t="e">
        <f>LN(AI80)</f>
        <v>#DIV/0!</v>
      </c>
      <c r="AK80" t="s">
        <v>144</v>
      </c>
      <c r="AL80" t="s">
        <v>144</v>
      </c>
      <c r="AN80" t="b">
        <v>1</v>
      </c>
      <c r="AO80" t="b">
        <v>1</v>
      </c>
      <c r="AP80" t="b">
        <v>0</v>
      </c>
      <c r="AQ80" t="b">
        <v>0</v>
      </c>
      <c r="AR80" t="s">
        <v>1030</v>
      </c>
      <c r="AS80" t="s">
        <v>1031</v>
      </c>
      <c r="AU80">
        <v>4.0253516907351488</v>
      </c>
      <c r="AV80">
        <v>1.75</v>
      </c>
      <c r="AW80">
        <v>2.5</v>
      </c>
      <c r="AX80">
        <v>0.75</v>
      </c>
      <c r="AY80">
        <v>0</v>
      </c>
      <c r="AZ80">
        <v>0.35</v>
      </c>
      <c r="BA80">
        <v>0.5</v>
      </c>
      <c r="BB80">
        <v>0.15</v>
      </c>
      <c r="BC80">
        <v>0</v>
      </c>
      <c r="BD80">
        <v>6.2640154224906874</v>
      </c>
      <c r="BE80">
        <v>20</v>
      </c>
      <c r="BF80">
        <v>242.1279024923125</v>
      </c>
      <c r="BG80">
        <v>1</v>
      </c>
      <c r="BH80">
        <v>8.2600971611006269E-2</v>
      </c>
      <c r="BI80">
        <v>3.950634</v>
      </c>
      <c r="BJ80">
        <v>3.950634</v>
      </c>
      <c r="BK80">
        <v>15.513552000000001</v>
      </c>
      <c r="BL80">
        <v>227.970829547178</v>
      </c>
      <c r="BM80">
        <v>1</v>
      </c>
      <c r="BN80">
        <v>8.7730522539775438E-2</v>
      </c>
      <c r="BO80">
        <v>3.8658999999999999</v>
      </c>
      <c r="BP80">
        <v>3.8658999999999999</v>
      </c>
      <c r="BQ80">
        <v>15.2538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233.47839999999999</v>
      </c>
      <c r="BY80">
        <v>8.5661029028809524E-2</v>
      </c>
      <c r="BZ80">
        <v>10</v>
      </c>
      <c r="CA80">
        <v>4.2830514514404762E-2</v>
      </c>
      <c r="CB80">
        <v>4.1300485805503127E-2</v>
      </c>
      <c r="CC80">
        <v>4.3865261269887719E-2</v>
      </c>
      <c r="CE80">
        <v>0.42195359024583579</v>
      </c>
      <c r="CF80">
        <v>0.44815706447294301</v>
      </c>
      <c r="CH80">
        <v>0.43758539443188288</v>
      </c>
    </row>
    <row r="81" spans="1:86" x14ac:dyDescent="0.3">
      <c r="A81" s="1">
        <v>569</v>
      </c>
      <c r="B81" t="s">
        <v>106</v>
      </c>
      <c r="C81" t="s">
        <v>107</v>
      </c>
      <c r="E81" t="s">
        <v>106</v>
      </c>
      <c r="F81">
        <v>3.54</v>
      </c>
      <c r="G81" t="s">
        <v>108</v>
      </c>
      <c r="H81" t="s">
        <v>109</v>
      </c>
      <c r="I81">
        <v>-1</v>
      </c>
      <c r="J81">
        <v>2</v>
      </c>
      <c r="K81">
        <v>3.86</v>
      </c>
      <c r="L81">
        <v>3.86</v>
      </c>
      <c r="M81">
        <v>29.4</v>
      </c>
      <c r="O81">
        <v>14.7</v>
      </c>
      <c r="Q81" t="s">
        <v>87</v>
      </c>
      <c r="R81">
        <v>1373</v>
      </c>
      <c r="S81">
        <v>24</v>
      </c>
      <c r="T81" t="b">
        <v>0</v>
      </c>
      <c r="U81" t="s">
        <v>88</v>
      </c>
      <c r="V81" t="s">
        <v>89</v>
      </c>
      <c r="W81">
        <v>0</v>
      </c>
      <c r="X81">
        <v>3.8</v>
      </c>
      <c r="Y81">
        <v>0.5</v>
      </c>
      <c r="Z81">
        <v>0</v>
      </c>
      <c r="AC81" t="s">
        <v>90</v>
      </c>
      <c r="AD81">
        <v>125</v>
      </c>
      <c r="AE81">
        <v>220</v>
      </c>
      <c r="AF81" t="s">
        <v>91</v>
      </c>
      <c r="AG81">
        <v>288</v>
      </c>
      <c r="AH81" s="3">
        <v>37.599999999999987</v>
      </c>
      <c r="AI81" s="3" t="e">
        <f>AH81/(AD81*Y81*Z81)</f>
        <v>#DIV/0!</v>
      </c>
      <c r="AJ81" s="3" t="e">
        <f>LN(AI81)</f>
        <v>#DIV/0!</v>
      </c>
      <c r="AN81" t="b">
        <v>1</v>
      </c>
      <c r="AO81" t="b">
        <v>1</v>
      </c>
      <c r="AP81" t="b">
        <v>0</v>
      </c>
      <c r="AQ81" t="b">
        <v>0</v>
      </c>
      <c r="AR81" t="s">
        <v>108</v>
      </c>
      <c r="AS81" t="s">
        <v>109</v>
      </c>
      <c r="AU81">
        <v>3.6270040503958478</v>
      </c>
      <c r="AV81">
        <v>1.75</v>
      </c>
      <c r="AW81">
        <v>2.5</v>
      </c>
      <c r="AX81">
        <v>0.75</v>
      </c>
      <c r="AY81">
        <v>0</v>
      </c>
      <c r="AZ81">
        <v>0.35</v>
      </c>
      <c r="BA81">
        <v>0.5</v>
      </c>
      <c r="BB81">
        <v>0.15</v>
      </c>
      <c r="BC81">
        <v>0</v>
      </c>
      <c r="BD81">
        <v>5.9668120809374994</v>
      </c>
      <c r="BE81">
        <v>20</v>
      </c>
      <c r="BF81">
        <v>924.74694800021894</v>
      </c>
      <c r="BG81">
        <v>4</v>
      </c>
      <c r="BH81">
        <v>8.6510153045653584E-2</v>
      </c>
      <c r="BI81">
        <v>7.8084429999999996</v>
      </c>
      <c r="BJ81">
        <v>7.8548809999999998</v>
      </c>
      <c r="BK81">
        <v>15.19056011</v>
      </c>
      <c r="BL81">
        <v>883.22940750240002</v>
      </c>
      <c r="BM81">
        <v>4</v>
      </c>
      <c r="BN81">
        <v>9.0576694254581439E-2</v>
      </c>
      <c r="BO81">
        <v>3.8801999999999999</v>
      </c>
      <c r="BP81">
        <v>29.507999999999999</v>
      </c>
      <c r="BQ81">
        <v>7.7140000000000004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438.04824000000002</v>
      </c>
      <c r="BY81">
        <v>9.1314143848631832E-2</v>
      </c>
      <c r="BZ81">
        <v>10</v>
      </c>
      <c r="CA81">
        <v>4.5657071924315923E-2</v>
      </c>
      <c r="CB81">
        <v>4.3255076522826792E-2</v>
      </c>
      <c r="CC81">
        <v>4.5288347127290719E-2</v>
      </c>
      <c r="CE81">
        <v>0.50555206026575006</v>
      </c>
      <c r="CF81">
        <v>0.52931630311992839</v>
      </c>
      <c r="CH81">
        <v>0.53362584539316393</v>
      </c>
    </row>
    <row r="82" spans="1:86" x14ac:dyDescent="0.3">
      <c r="A82" s="1">
        <v>570</v>
      </c>
      <c r="B82" t="s">
        <v>140</v>
      </c>
      <c r="C82" t="s">
        <v>141</v>
      </c>
      <c r="E82" t="s">
        <v>106</v>
      </c>
      <c r="F82">
        <v>3.5</v>
      </c>
      <c r="G82" t="s">
        <v>142</v>
      </c>
      <c r="H82">
        <v>1522043</v>
      </c>
      <c r="I82">
        <v>-1</v>
      </c>
      <c r="J82">
        <v>1</v>
      </c>
      <c r="K82">
        <v>3.82</v>
      </c>
      <c r="L82">
        <v>3.82</v>
      </c>
      <c r="M82">
        <v>16</v>
      </c>
      <c r="O82">
        <v>16</v>
      </c>
      <c r="Q82" t="s">
        <v>87</v>
      </c>
      <c r="R82">
        <v>1373</v>
      </c>
      <c r="S82">
        <v>24</v>
      </c>
      <c r="T82" t="b">
        <v>0</v>
      </c>
      <c r="U82" t="s">
        <v>88</v>
      </c>
      <c r="V82" t="s">
        <v>89</v>
      </c>
      <c r="W82">
        <v>0</v>
      </c>
      <c r="X82">
        <v>5.6</v>
      </c>
      <c r="Y82">
        <v>0.5</v>
      </c>
      <c r="Z82">
        <v>0</v>
      </c>
      <c r="AC82" t="s">
        <v>90</v>
      </c>
      <c r="AD82">
        <v>125</v>
      </c>
      <c r="AE82">
        <v>220</v>
      </c>
      <c r="AF82" t="s">
        <v>91</v>
      </c>
      <c r="AG82">
        <v>288</v>
      </c>
      <c r="AH82" s="3">
        <v>520</v>
      </c>
      <c r="AI82" s="3" t="e">
        <f>AH82/(AD82*Y82*Z82)</f>
        <v>#DIV/0!</v>
      </c>
      <c r="AJ82" s="3" t="e">
        <f>LN(AI82)</f>
        <v>#DIV/0!</v>
      </c>
      <c r="AK82" t="s">
        <v>144</v>
      </c>
      <c r="AL82" t="s">
        <v>144</v>
      </c>
      <c r="AN82" t="b">
        <v>1</v>
      </c>
      <c r="AO82" t="b">
        <v>1</v>
      </c>
      <c r="AP82" t="b">
        <v>0</v>
      </c>
      <c r="AQ82" t="b">
        <v>0</v>
      </c>
      <c r="AR82" t="s">
        <v>1040</v>
      </c>
      <c r="AS82" t="s">
        <v>1041</v>
      </c>
      <c r="AU82">
        <v>6.253828811575473</v>
      </c>
      <c r="AV82">
        <v>1.75</v>
      </c>
      <c r="AW82">
        <v>2.5</v>
      </c>
      <c r="AX82">
        <v>0.75</v>
      </c>
      <c r="AY82">
        <v>0</v>
      </c>
      <c r="AZ82">
        <v>0.35</v>
      </c>
      <c r="BA82">
        <v>0.5</v>
      </c>
      <c r="BB82">
        <v>0.15</v>
      </c>
      <c r="BC82">
        <v>0</v>
      </c>
      <c r="BD82">
        <v>6.2640154224906874</v>
      </c>
      <c r="BE82">
        <v>20</v>
      </c>
      <c r="BF82">
        <v>242.1279024923125</v>
      </c>
      <c r="BG82">
        <v>1</v>
      </c>
      <c r="BH82">
        <v>8.2600971611006269E-2</v>
      </c>
      <c r="BI82">
        <v>3.950634</v>
      </c>
      <c r="BJ82">
        <v>3.950634</v>
      </c>
      <c r="BK82">
        <v>15.513552000000001</v>
      </c>
      <c r="BL82">
        <v>227.970829547178</v>
      </c>
      <c r="BM82">
        <v>1</v>
      </c>
      <c r="BN82">
        <v>8.7730522539775438E-2</v>
      </c>
      <c r="BO82">
        <v>3.8658999999999999</v>
      </c>
      <c r="BP82">
        <v>3.8658999999999999</v>
      </c>
      <c r="BQ82">
        <v>15.2538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233.47839999999999</v>
      </c>
      <c r="BY82">
        <v>8.5661029028809524E-2</v>
      </c>
      <c r="BZ82">
        <v>10</v>
      </c>
      <c r="CA82">
        <v>4.2830514514404762E-2</v>
      </c>
      <c r="CB82">
        <v>4.1300485805503127E-2</v>
      </c>
      <c r="CC82">
        <v>4.3865261269887719E-2</v>
      </c>
      <c r="CE82">
        <v>0.42195359024583579</v>
      </c>
      <c r="CF82">
        <v>0.44815706447294301</v>
      </c>
      <c r="CH82">
        <v>0.43758539443188288</v>
      </c>
    </row>
    <row r="83" spans="1:86" x14ac:dyDescent="0.3">
      <c r="A83" s="1">
        <v>573</v>
      </c>
      <c r="B83" t="s">
        <v>673</v>
      </c>
      <c r="C83" t="s">
        <v>674</v>
      </c>
      <c r="E83" t="s">
        <v>404</v>
      </c>
      <c r="F83">
        <v>3.6</v>
      </c>
      <c r="G83" t="s">
        <v>405</v>
      </c>
      <c r="H83">
        <v>-1</v>
      </c>
      <c r="I83">
        <v>-1</v>
      </c>
      <c r="J83">
        <v>2</v>
      </c>
      <c r="K83">
        <v>3.895</v>
      </c>
      <c r="L83">
        <v>3.895</v>
      </c>
      <c r="M83">
        <v>30.46</v>
      </c>
      <c r="N83" t="s">
        <v>206</v>
      </c>
      <c r="O83">
        <v>15.23</v>
      </c>
      <c r="Q83" t="s">
        <v>87</v>
      </c>
      <c r="R83">
        <v>1273</v>
      </c>
      <c r="S83">
        <v>10</v>
      </c>
      <c r="T83" t="b">
        <v>0</v>
      </c>
      <c r="U83" t="s">
        <v>88</v>
      </c>
      <c r="V83" t="s">
        <v>89</v>
      </c>
      <c r="W83">
        <v>0</v>
      </c>
      <c r="X83">
        <v>1.4</v>
      </c>
      <c r="Y83">
        <v>0.5</v>
      </c>
      <c r="Z83">
        <v>0</v>
      </c>
      <c r="AC83" t="s">
        <v>90</v>
      </c>
      <c r="AD83">
        <v>125</v>
      </c>
      <c r="AE83">
        <v>220</v>
      </c>
      <c r="AF83" t="s">
        <v>91</v>
      </c>
      <c r="AG83">
        <v>288</v>
      </c>
      <c r="AH83" s="3">
        <v>707.99999999999989</v>
      </c>
      <c r="AI83" s="3" t="e">
        <f>AH83/(AD83*Y83*Z83)</f>
        <v>#DIV/0!</v>
      </c>
      <c r="AJ83" s="3" t="e">
        <f>LN(AI83)</f>
        <v>#DIV/0!</v>
      </c>
      <c r="AK83" t="s">
        <v>320</v>
      </c>
      <c r="AN83" t="b">
        <v>1</v>
      </c>
      <c r="AO83" t="b">
        <v>0</v>
      </c>
      <c r="AP83" t="b">
        <v>0</v>
      </c>
      <c r="AQ83" t="b">
        <v>0</v>
      </c>
      <c r="AR83" t="s">
        <v>1044</v>
      </c>
      <c r="AS83">
        <v>-1</v>
      </c>
      <c r="AU83">
        <v>6.5624440936937196</v>
      </c>
      <c r="AV83">
        <v>1.882352941176471</v>
      </c>
      <c r="AW83">
        <v>2.3529411764705879</v>
      </c>
      <c r="AX83">
        <v>0.47058823529411759</v>
      </c>
      <c r="AY83">
        <v>0</v>
      </c>
      <c r="AZ83">
        <v>0.4</v>
      </c>
      <c r="BA83">
        <v>0.5</v>
      </c>
      <c r="BB83">
        <v>9.9999999999999992E-2</v>
      </c>
      <c r="BC83">
        <v>0</v>
      </c>
      <c r="BD83">
        <v>5.6793428179411762</v>
      </c>
      <c r="BE83">
        <v>20</v>
      </c>
      <c r="BF83">
        <v>229.90248606119221</v>
      </c>
      <c r="BG83">
        <v>1</v>
      </c>
      <c r="BH83">
        <v>8.6993404650164072E-2</v>
      </c>
      <c r="BI83">
        <v>15.28115725</v>
      </c>
      <c r="BJ83">
        <v>15.28115725</v>
      </c>
      <c r="BK83">
        <v>15.28115725</v>
      </c>
      <c r="BL83">
        <v>0</v>
      </c>
      <c r="BM83">
        <v>0</v>
      </c>
      <c r="BO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462.1094215</v>
      </c>
      <c r="BY83">
        <v>8.655958554179792E-2</v>
      </c>
      <c r="BZ83">
        <v>10</v>
      </c>
      <c r="CA83">
        <v>4.327979277089896E-2</v>
      </c>
      <c r="CB83">
        <v>4.3496702325082043E-2</v>
      </c>
      <c r="CE83">
        <v>0.61241516285620945</v>
      </c>
      <c r="CH83">
        <v>0.60936116811984309</v>
      </c>
    </row>
    <row r="84" spans="1:86" x14ac:dyDescent="0.3">
      <c r="A84" s="1">
        <v>574</v>
      </c>
      <c r="B84" t="s">
        <v>1045</v>
      </c>
      <c r="C84" t="s">
        <v>1046</v>
      </c>
      <c r="E84" t="s">
        <v>404</v>
      </c>
      <c r="F84">
        <v>3.65</v>
      </c>
      <c r="G84" t="s">
        <v>405</v>
      </c>
      <c r="H84">
        <v>-1</v>
      </c>
      <c r="I84">
        <v>-1</v>
      </c>
      <c r="J84">
        <v>2</v>
      </c>
      <c r="K84">
        <v>3.84</v>
      </c>
      <c r="L84">
        <v>3.84</v>
      </c>
      <c r="M84">
        <v>32.520000000000003</v>
      </c>
      <c r="N84" t="s">
        <v>1047</v>
      </c>
      <c r="O84">
        <v>16.260000000000002</v>
      </c>
      <c r="Q84" t="s">
        <v>87</v>
      </c>
      <c r="R84">
        <v>1273</v>
      </c>
      <c r="S84">
        <v>10</v>
      </c>
      <c r="T84" t="b">
        <v>0</v>
      </c>
      <c r="U84" t="s">
        <v>88</v>
      </c>
      <c r="V84" t="s">
        <v>89</v>
      </c>
      <c r="W84">
        <v>0</v>
      </c>
      <c r="X84">
        <v>7.1</v>
      </c>
      <c r="Y84">
        <v>0.5</v>
      </c>
      <c r="Z84">
        <v>0</v>
      </c>
      <c r="AC84" t="s">
        <v>90</v>
      </c>
      <c r="AD84">
        <v>125</v>
      </c>
      <c r="AE84">
        <v>220</v>
      </c>
      <c r="AF84" t="s">
        <v>91</v>
      </c>
      <c r="AG84">
        <v>288</v>
      </c>
      <c r="AH84" s="3">
        <v>244</v>
      </c>
      <c r="AI84" s="3" t="e">
        <f>AH84/(AD84*Y84*Z84)</f>
        <v>#DIV/0!</v>
      </c>
      <c r="AJ84" s="3" t="e">
        <f>LN(AI84)</f>
        <v>#DIV/0!</v>
      </c>
      <c r="AK84" t="s">
        <v>1048</v>
      </c>
      <c r="AN84" t="b">
        <v>1</v>
      </c>
      <c r="AO84" t="b">
        <v>0</v>
      </c>
      <c r="AP84" t="b">
        <v>0</v>
      </c>
      <c r="AQ84" t="b">
        <v>0</v>
      </c>
      <c r="AR84" t="s">
        <v>1049</v>
      </c>
      <c r="AS84">
        <v>-1</v>
      </c>
      <c r="AU84">
        <v>5.4971682252932021</v>
      </c>
      <c r="AV84">
        <v>1.882352941176471</v>
      </c>
      <c r="AW84">
        <v>2.3529411764705879</v>
      </c>
      <c r="AX84">
        <v>0.47058823529411759</v>
      </c>
      <c r="AY84">
        <v>0</v>
      </c>
      <c r="AZ84">
        <v>0.4</v>
      </c>
      <c r="BA84">
        <v>0.5</v>
      </c>
      <c r="BB84">
        <v>9.9999999999999992E-2</v>
      </c>
      <c r="BC84">
        <v>0</v>
      </c>
      <c r="BD84">
        <v>5.9643306261677056</v>
      </c>
      <c r="BE84">
        <v>20</v>
      </c>
      <c r="BF84">
        <v>229.90248606119221</v>
      </c>
      <c r="BG84">
        <v>1</v>
      </c>
      <c r="BH84">
        <v>8.6993404650164072E-2</v>
      </c>
      <c r="BI84">
        <v>15.28115725</v>
      </c>
      <c r="BJ84">
        <v>15.28115725</v>
      </c>
      <c r="BK84">
        <v>15.28115725</v>
      </c>
      <c r="BL84">
        <v>0</v>
      </c>
      <c r="BM84">
        <v>0</v>
      </c>
      <c r="BO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479.52691199999998</v>
      </c>
      <c r="BY84">
        <v>8.3415547697143627E-2</v>
      </c>
      <c r="BZ84">
        <v>10</v>
      </c>
      <c r="CA84">
        <v>4.1707773848571807E-2</v>
      </c>
      <c r="CB84">
        <v>4.3496702325082043E-2</v>
      </c>
      <c r="CE84">
        <v>0.52907229390101251</v>
      </c>
      <c r="CH84">
        <v>0.50731265599516773</v>
      </c>
    </row>
    <row r="85" spans="1:86" x14ac:dyDescent="0.3">
      <c r="A85" s="1">
        <v>575</v>
      </c>
      <c r="B85" t="s">
        <v>1050</v>
      </c>
      <c r="C85" t="s">
        <v>1051</v>
      </c>
      <c r="E85" t="s">
        <v>404</v>
      </c>
      <c r="F85">
        <v>3.58</v>
      </c>
      <c r="G85" t="s">
        <v>405</v>
      </c>
      <c r="H85">
        <v>-1</v>
      </c>
      <c r="I85">
        <v>-1</v>
      </c>
      <c r="J85">
        <v>1</v>
      </c>
      <c r="K85">
        <v>3.82</v>
      </c>
      <c r="L85">
        <v>3.82</v>
      </c>
      <c r="M85">
        <v>14.9</v>
      </c>
      <c r="N85" t="s">
        <v>101</v>
      </c>
      <c r="O85">
        <v>14.9</v>
      </c>
      <c r="Q85" t="s">
        <v>87</v>
      </c>
      <c r="R85">
        <v>1273</v>
      </c>
      <c r="S85">
        <v>10</v>
      </c>
      <c r="T85" t="b">
        <v>0</v>
      </c>
      <c r="U85" t="s">
        <v>88</v>
      </c>
      <c r="V85" t="s">
        <v>89</v>
      </c>
      <c r="W85">
        <v>0</v>
      </c>
      <c r="X85">
        <v>7.8</v>
      </c>
      <c r="Y85">
        <v>0.5</v>
      </c>
      <c r="Z85">
        <v>0</v>
      </c>
      <c r="AC85" t="s">
        <v>90</v>
      </c>
      <c r="AD85">
        <v>125</v>
      </c>
      <c r="AE85">
        <v>220</v>
      </c>
      <c r="AF85" t="s">
        <v>91</v>
      </c>
      <c r="AG85">
        <v>288</v>
      </c>
      <c r="AH85" s="3">
        <v>47.999999999999993</v>
      </c>
      <c r="AI85" s="3" t="e">
        <f>AH85/(AD85*Y85*Z85)</f>
        <v>#DIV/0!</v>
      </c>
      <c r="AJ85" s="3" t="e">
        <f>LN(AI85)</f>
        <v>#DIV/0!</v>
      </c>
      <c r="AK85" t="s">
        <v>1052</v>
      </c>
      <c r="AN85" t="b">
        <v>1</v>
      </c>
      <c r="AO85" t="b">
        <v>0</v>
      </c>
      <c r="AP85" t="b">
        <v>0</v>
      </c>
      <c r="AQ85" t="b">
        <v>0</v>
      </c>
      <c r="AR85" t="s">
        <v>1053</v>
      </c>
      <c r="AS85">
        <v>-1</v>
      </c>
      <c r="AU85">
        <v>3.8712010109078911</v>
      </c>
      <c r="AV85">
        <v>1.882352941176471</v>
      </c>
      <c r="AW85">
        <v>2.3529411764705879</v>
      </c>
      <c r="AX85">
        <v>0.47058823529411759</v>
      </c>
      <c r="AY85">
        <v>0</v>
      </c>
      <c r="AZ85">
        <v>0.4</v>
      </c>
      <c r="BA85">
        <v>0.5</v>
      </c>
      <c r="BB85">
        <v>9.9999999999999992E-2</v>
      </c>
      <c r="BC85">
        <v>0</v>
      </c>
      <c r="BD85">
        <v>6.1068245302809707</v>
      </c>
      <c r="BE85">
        <v>20</v>
      </c>
      <c r="BF85">
        <v>229.90248606119221</v>
      </c>
      <c r="BG85">
        <v>1</v>
      </c>
      <c r="BH85">
        <v>8.6993404650164072E-2</v>
      </c>
      <c r="BI85">
        <v>15.28115725</v>
      </c>
      <c r="BJ85">
        <v>15.28115725</v>
      </c>
      <c r="BK85">
        <v>15.28115725</v>
      </c>
      <c r="BL85">
        <v>0</v>
      </c>
      <c r="BM85">
        <v>0</v>
      </c>
      <c r="BO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217.42676</v>
      </c>
      <c r="BY85">
        <v>9.1984997614829006E-2</v>
      </c>
      <c r="BZ85">
        <v>10</v>
      </c>
      <c r="CA85">
        <v>4.5992498807414503E-2</v>
      </c>
      <c r="CB85">
        <v>4.3496702325082043E-2</v>
      </c>
      <c r="CE85">
        <v>0.4874008594234141</v>
      </c>
      <c r="CH85">
        <v>0.51536742436765637</v>
      </c>
    </row>
    <row r="86" spans="1:86" x14ac:dyDescent="0.3">
      <c r="A86" s="1">
        <v>576</v>
      </c>
      <c r="B86" t="s">
        <v>1054</v>
      </c>
      <c r="C86" t="s">
        <v>1055</v>
      </c>
      <c r="E86" t="s">
        <v>404</v>
      </c>
      <c r="F86">
        <v>3.55</v>
      </c>
      <c r="G86" t="s">
        <v>405</v>
      </c>
      <c r="H86">
        <v>-1</v>
      </c>
      <c r="I86" t="s">
        <v>1056</v>
      </c>
      <c r="J86">
        <v>2</v>
      </c>
      <c r="K86">
        <v>3.8050000000000002</v>
      </c>
      <c r="L86">
        <v>3.8050000000000002</v>
      </c>
      <c r="M86">
        <v>27.44</v>
      </c>
      <c r="N86" t="s">
        <v>1047</v>
      </c>
      <c r="O86">
        <v>13.72</v>
      </c>
      <c r="Q86" t="s">
        <v>87</v>
      </c>
      <c r="R86">
        <v>1273</v>
      </c>
      <c r="S86">
        <v>10</v>
      </c>
      <c r="T86" t="b">
        <v>0</v>
      </c>
      <c r="U86" t="s">
        <v>88</v>
      </c>
      <c r="V86" t="s">
        <v>89</v>
      </c>
      <c r="W86">
        <v>0</v>
      </c>
      <c r="X86">
        <v>8.1</v>
      </c>
      <c r="Y86">
        <v>0.5</v>
      </c>
      <c r="Z86">
        <v>0</v>
      </c>
      <c r="AC86" t="s">
        <v>90</v>
      </c>
      <c r="AD86">
        <v>125</v>
      </c>
      <c r="AE86">
        <v>220</v>
      </c>
      <c r="AF86" t="s">
        <v>91</v>
      </c>
      <c r="AG86">
        <v>288</v>
      </c>
      <c r="AH86" s="3">
        <v>16</v>
      </c>
      <c r="AI86" s="3" t="e">
        <f>AH86/(AD86*Y86*Z86)</f>
        <v>#DIV/0!</v>
      </c>
      <c r="AJ86" s="3" t="e">
        <f>LN(AI86)</f>
        <v>#DIV/0!</v>
      </c>
      <c r="AK86" t="s">
        <v>136</v>
      </c>
      <c r="AN86" t="b">
        <v>1</v>
      </c>
      <c r="AO86" t="b">
        <v>0</v>
      </c>
      <c r="AP86" t="b">
        <v>0</v>
      </c>
      <c r="AQ86" t="b">
        <v>0</v>
      </c>
      <c r="AR86" t="s">
        <v>1057</v>
      </c>
      <c r="AS86">
        <v>-1</v>
      </c>
      <c r="AT86" t="s">
        <v>1056</v>
      </c>
      <c r="AU86">
        <v>2.7725887222397811</v>
      </c>
      <c r="AV86">
        <v>1.882352941176471</v>
      </c>
      <c r="AW86">
        <v>2.3529411764705879</v>
      </c>
      <c r="AX86">
        <v>0.47058823529411759</v>
      </c>
      <c r="AY86">
        <v>0</v>
      </c>
      <c r="AZ86">
        <v>0.4</v>
      </c>
      <c r="BA86">
        <v>0.5</v>
      </c>
      <c r="BB86">
        <v>9.9999999999999992E-2</v>
      </c>
      <c r="BC86">
        <v>0</v>
      </c>
      <c r="BD86">
        <v>6.249318434394235</v>
      </c>
      <c r="BE86">
        <v>20</v>
      </c>
      <c r="BF86">
        <v>229.90248606119221</v>
      </c>
      <c r="BG86">
        <v>1</v>
      </c>
      <c r="BH86">
        <v>8.6993404650164072E-2</v>
      </c>
      <c r="BI86">
        <v>15.28115725</v>
      </c>
      <c r="BJ86">
        <v>15.28115725</v>
      </c>
      <c r="BK86">
        <v>15.28115725</v>
      </c>
      <c r="BL86">
        <v>0</v>
      </c>
      <c r="BM86">
        <v>0</v>
      </c>
      <c r="BO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397.27700599999997</v>
      </c>
      <c r="BY86">
        <v>0.1006854144485775</v>
      </c>
      <c r="BZ86">
        <v>10</v>
      </c>
      <c r="CA86">
        <v>5.0342707224288727E-2</v>
      </c>
      <c r="CB86">
        <v>4.3496702325082043E-2</v>
      </c>
      <c r="CE86">
        <v>0.44572942494581569</v>
      </c>
      <c r="CH86">
        <v>0.51588338291931557</v>
      </c>
    </row>
    <row r="87" spans="1:86" x14ac:dyDescent="0.3">
      <c r="A87" s="1">
        <v>577</v>
      </c>
      <c r="B87" t="s">
        <v>128</v>
      </c>
      <c r="C87" t="s">
        <v>129</v>
      </c>
      <c r="E87" t="s">
        <v>130</v>
      </c>
      <c r="F87">
        <v>3.2</v>
      </c>
      <c r="G87" t="s">
        <v>131</v>
      </c>
      <c r="H87" t="s">
        <v>132</v>
      </c>
      <c r="I87">
        <v>-1</v>
      </c>
      <c r="O87">
        <v>0</v>
      </c>
      <c r="Q87" t="s">
        <v>1058</v>
      </c>
      <c r="T87" t="b">
        <v>0</v>
      </c>
      <c r="U87" t="s">
        <v>88</v>
      </c>
      <c r="V87" t="s">
        <v>89</v>
      </c>
      <c r="W87">
        <v>0</v>
      </c>
      <c r="X87">
        <v>49</v>
      </c>
      <c r="Y87">
        <v>0.5</v>
      </c>
      <c r="Z87">
        <v>0</v>
      </c>
      <c r="AC87" t="s">
        <v>90</v>
      </c>
      <c r="AD87">
        <v>125</v>
      </c>
      <c r="AE87">
        <v>220</v>
      </c>
      <c r="AF87" t="s">
        <v>91</v>
      </c>
      <c r="AG87">
        <v>288</v>
      </c>
      <c r="AH87" s="3">
        <v>32</v>
      </c>
      <c r="AI87" s="3" t="e">
        <f>AH87/(AD87*Y87*Z87)</f>
        <v>#DIV/0!</v>
      </c>
      <c r="AJ87" s="3" t="e">
        <f>LN(AI87)</f>
        <v>#DIV/0!</v>
      </c>
      <c r="AN87" t="b">
        <v>1</v>
      </c>
      <c r="AO87" t="b">
        <v>0</v>
      </c>
      <c r="AP87" t="b">
        <v>0</v>
      </c>
      <c r="AQ87" t="b">
        <v>0</v>
      </c>
      <c r="AR87" t="s">
        <v>131</v>
      </c>
      <c r="AS87" t="s">
        <v>132</v>
      </c>
      <c r="AU87">
        <v>3.465735902799727</v>
      </c>
      <c r="AV87">
        <v>2</v>
      </c>
      <c r="AW87">
        <v>2.666666666666667</v>
      </c>
      <c r="AX87">
        <v>0.66666666666666663</v>
      </c>
      <c r="AY87">
        <v>0</v>
      </c>
      <c r="AZ87">
        <v>0.375</v>
      </c>
      <c r="BA87">
        <v>0.5</v>
      </c>
      <c r="BB87">
        <v>0.125</v>
      </c>
      <c r="BC87">
        <v>0</v>
      </c>
      <c r="BD87">
        <v>6.1770001596666662</v>
      </c>
      <c r="BE87">
        <v>4</v>
      </c>
      <c r="BF87">
        <v>1182.741260108548</v>
      </c>
      <c r="BG87">
        <v>30</v>
      </c>
      <c r="BH87">
        <v>0.1014592151701775</v>
      </c>
      <c r="BI87">
        <v>10.59112378</v>
      </c>
      <c r="BJ87">
        <v>10.784736629999999</v>
      </c>
      <c r="BK87">
        <v>10.486176179999999</v>
      </c>
      <c r="BL87">
        <v>130.36387300000001</v>
      </c>
      <c r="BM87">
        <v>4</v>
      </c>
      <c r="BN87">
        <v>0.1227333894874388</v>
      </c>
      <c r="BO87">
        <v>3.73</v>
      </c>
      <c r="BP87">
        <v>3.73</v>
      </c>
      <c r="BQ87">
        <v>9.3699999999999992</v>
      </c>
      <c r="BR87">
        <v>0</v>
      </c>
      <c r="BS87">
        <v>0</v>
      </c>
      <c r="BU87">
        <v>0</v>
      </c>
      <c r="BV87">
        <v>0</v>
      </c>
      <c r="BW87">
        <v>0</v>
      </c>
      <c r="BZ87">
        <v>2</v>
      </c>
      <c r="CB87">
        <v>5.0729607585088737E-2</v>
      </c>
      <c r="CC87">
        <v>6.1366694743719377E-2</v>
      </c>
      <c r="CE87">
        <v>0.46900407026869612</v>
      </c>
      <c r="CF87">
        <v>0.56734579634715776</v>
      </c>
    </row>
    <row r="88" spans="1:86" x14ac:dyDescent="0.3">
      <c r="A88" s="1">
        <v>700</v>
      </c>
      <c r="B88" t="s">
        <v>1086</v>
      </c>
      <c r="C88" t="s">
        <v>1087</v>
      </c>
      <c r="E88" t="s">
        <v>404</v>
      </c>
      <c r="F88">
        <v>3.4</v>
      </c>
      <c r="G88" t="s">
        <v>1088</v>
      </c>
      <c r="H88">
        <v>-1</v>
      </c>
      <c r="I88">
        <v>-1</v>
      </c>
      <c r="J88">
        <v>2</v>
      </c>
      <c r="K88">
        <v>3.835</v>
      </c>
      <c r="L88">
        <v>3.835</v>
      </c>
      <c r="M88">
        <v>34.43</v>
      </c>
      <c r="N88" t="s">
        <v>101</v>
      </c>
      <c r="O88">
        <v>17.215</v>
      </c>
      <c r="Q88" t="s">
        <v>87</v>
      </c>
      <c r="R88">
        <v>1273</v>
      </c>
      <c r="S88">
        <v>10</v>
      </c>
      <c r="T88" t="b">
        <v>0</v>
      </c>
      <c r="U88" t="s">
        <v>88</v>
      </c>
      <c r="V88" t="s">
        <v>89</v>
      </c>
      <c r="W88">
        <v>0</v>
      </c>
      <c r="Y88">
        <v>0.5</v>
      </c>
      <c r="Z88">
        <v>0</v>
      </c>
      <c r="AC88" t="s">
        <v>90</v>
      </c>
      <c r="AD88">
        <v>125</v>
      </c>
      <c r="AE88">
        <v>220</v>
      </c>
      <c r="AF88" t="s">
        <v>91</v>
      </c>
      <c r="AG88">
        <v>288</v>
      </c>
      <c r="AH88" s="3">
        <v>3.28</v>
      </c>
      <c r="AI88" s="3" t="e">
        <f>AH88/(AD88*Y88*Z88)</f>
        <v>#DIV/0!</v>
      </c>
      <c r="AJ88" s="3" t="e">
        <f>LN(AI88)</f>
        <v>#DIV/0!</v>
      </c>
      <c r="AK88" t="s">
        <v>136</v>
      </c>
      <c r="AN88" t="b">
        <v>1</v>
      </c>
      <c r="AO88" t="b">
        <v>0</v>
      </c>
      <c r="AP88" t="b">
        <v>0</v>
      </c>
      <c r="AQ88" t="b">
        <v>0</v>
      </c>
      <c r="AR88" t="s">
        <v>1197</v>
      </c>
      <c r="AU88">
        <v>1.1878434223960519</v>
      </c>
      <c r="AV88">
        <v>1.452054794520548</v>
      </c>
      <c r="AW88">
        <v>1.068493150684932</v>
      </c>
      <c r="AX88">
        <v>0.1095890410958904</v>
      </c>
      <c r="AY88">
        <v>0</v>
      </c>
      <c r="AZ88">
        <v>0.55208333333333337</v>
      </c>
      <c r="BA88">
        <v>0.40625000000000011</v>
      </c>
      <c r="BB88">
        <v>4.1666666666666657E-2</v>
      </c>
      <c r="BC88">
        <v>0</v>
      </c>
      <c r="BD88">
        <v>6.7613944421512322</v>
      </c>
      <c r="BE88">
        <v>20</v>
      </c>
      <c r="BF88">
        <v>1015.4396556</v>
      </c>
      <c r="BG88">
        <v>2</v>
      </c>
      <c r="BH88">
        <v>3.9391804111062523E-2</v>
      </c>
      <c r="BI88">
        <v>3.8530000000000002</v>
      </c>
      <c r="BJ88">
        <v>3.8530000000000002</v>
      </c>
      <c r="BK88">
        <v>68.400000000000006</v>
      </c>
      <c r="BL88">
        <v>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506.36975675000002</v>
      </c>
      <c r="BY88">
        <v>7.8993659212053646E-2</v>
      </c>
      <c r="BZ88">
        <v>10</v>
      </c>
      <c r="CA88">
        <v>3.9496829606026823E-2</v>
      </c>
      <c r="CB88">
        <v>1.9695902055531261E-2</v>
      </c>
      <c r="CE88">
        <v>0.2433493705793833</v>
      </c>
      <c r="CH88">
        <v>0.48799636581298611</v>
      </c>
    </row>
    <row r="89" spans="1:86" x14ac:dyDescent="0.3">
      <c r="A89" s="1">
        <v>582</v>
      </c>
      <c r="B89" t="s">
        <v>182</v>
      </c>
      <c r="C89" t="s">
        <v>183</v>
      </c>
      <c r="E89" t="s">
        <v>94</v>
      </c>
      <c r="F89">
        <v>4.54</v>
      </c>
      <c r="G89">
        <v>-1</v>
      </c>
      <c r="H89">
        <v>-1</v>
      </c>
      <c r="I89" t="s">
        <v>1068</v>
      </c>
      <c r="Q89" t="s">
        <v>87</v>
      </c>
      <c r="R89">
        <v>1373</v>
      </c>
      <c r="S89">
        <v>10</v>
      </c>
      <c r="T89" t="b">
        <v>0</v>
      </c>
      <c r="U89" t="s">
        <v>88</v>
      </c>
      <c r="V89" t="s">
        <v>89</v>
      </c>
      <c r="W89">
        <v>0</v>
      </c>
      <c r="X89">
        <v>0.8</v>
      </c>
      <c r="Y89">
        <v>0.5</v>
      </c>
      <c r="Z89">
        <v>0.1</v>
      </c>
      <c r="AC89" t="s">
        <v>90</v>
      </c>
      <c r="AD89">
        <v>125</v>
      </c>
      <c r="AE89">
        <v>220</v>
      </c>
      <c r="AF89" t="s">
        <v>91</v>
      </c>
      <c r="AG89">
        <v>288</v>
      </c>
      <c r="AH89" s="3">
        <v>10520</v>
      </c>
      <c r="AI89" s="3">
        <f>AH89/(AD89*Y89*Z89)</f>
        <v>1683.2</v>
      </c>
      <c r="AJ89" s="3">
        <f>LN(AI89)</f>
        <v>7.4284520225433903</v>
      </c>
      <c r="AN89" t="b">
        <v>0</v>
      </c>
      <c r="AO89" t="b">
        <v>0</v>
      </c>
      <c r="AP89" t="b">
        <v>1</v>
      </c>
      <c r="AQ89" t="b">
        <v>0</v>
      </c>
      <c r="AR89">
        <v>-1</v>
      </c>
      <c r="AS89">
        <v>-1</v>
      </c>
      <c r="AT89" t="s">
        <v>1068</v>
      </c>
      <c r="AU89">
        <v>9.2610334862917014</v>
      </c>
      <c r="AV89">
        <v>1.9090909090909089</v>
      </c>
      <c r="AW89">
        <v>2.545454545454545</v>
      </c>
      <c r="AX89">
        <v>0.54545454545454541</v>
      </c>
      <c r="AY89">
        <v>2.9090909090909092</v>
      </c>
      <c r="AZ89">
        <v>0.2413793103448276</v>
      </c>
      <c r="BA89">
        <v>0.32183908045977011</v>
      </c>
      <c r="BB89">
        <v>6.8965517241379309E-2</v>
      </c>
      <c r="BC89">
        <v>0.36781609195402298</v>
      </c>
      <c r="BD89">
        <v>5.9816624510454544</v>
      </c>
      <c r="BE89">
        <v>14</v>
      </c>
      <c r="BF89">
        <v>0</v>
      </c>
      <c r="BG89">
        <v>0</v>
      </c>
      <c r="BI89">
        <v>0</v>
      </c>
      <c r="BL89">
        <v>0</v>
      </c>
      <c r="BM89">
        <v>0</v>
      </c>
      <c r="BO89">
        <v>0</v>
      </c>
      <c r="BR89">
        <v>163.0253881575</v>
      </c>
      <c r="BS89">
        <v>1</v>
      </c>
      <c r="BT89">
        <v>8.5876194856683907E-2</v>
      </c>
      <c r="BU89">
        <v>3.8445</v>
      </c>
      <c r="BV89">
        <v>3.8445</v>
      </c>
      <c r="BW89">
        <v>11.03</v>
      </c>
      <c r="BZ89">
        <v>7</v>
      </c>
      <c r="CD89">
        <v>4.2938097428341947E-2</v>
      </c>
      <c r="CG89">
        <v>0.53809297903977504</v>
      </c>
    </row>
    <row r="90" spans="1:86" x14ac:dyDescent="0.3">
      <c r="A90" s="1">
        <v>583</v>
      </c>
      <c r="B90" t="s">
        <v>554</v>
      </c>
      <c r="C90" t="s">
        <v>555</v>
      </c>
      <c r="E90" t="s">
        <v>94</v>
      </c>
      <c r="F90">
        <v>4.4000000000000004</v>
      </c>
      <c r="G90">
        <v>-1</v>
      </c>
      <c r="H90">
        <v>-1</v>
      </c>
      <c r="I90" t="s">
        <v>522</v>
      </c>
      <c r="J90">
        <v>1</v>
      </c>
      <c r="K90">
        <v>3.84</v>
      </c>
      <c r="L90">
        <v>3.84</v>
      </c>
      <c r="M90">
        <v>11.5395</v>
      </c>
      <c r="O90">
        <v>11.5395</v>
      </c>
      <c r="Q90" t="s">
        <v>87</v>
      </c>
      <c r="R90">
        <v>1373</v>
      </c>
      <c r="S90">
        <v>10</v>
      </c>
      <c r="T90" t="b">
        <v>0</v>
      </c>
      <c r="U90" t="s">
        <v>88</v>
      </c>
      <c r="V90" t="s">
        <v>89</v>
      </c>
      <c r="W90">
        <v>0</v>
      </c>
      <c r="X90">
        <v>2</v>
      </c>
      <c r="Y90">
        <v>0.5</v>
      </c>
      <c r="Z90">
        <v>0.1</v>
      </c>
      <c r="AC90" t="s">
        <v>90</v>
      </c>
      <c r="AD90">
        <v>125</v>
      </c>
      <c r="AE90">
        <v>220</v>
      </c>
      <c r="AF90" t="s">
        <v>91</v>
      </c>
      <c r="AG90">
        <v>288</v>
      </c>
      <c r="AH90" s="3">
        <v>7320</v>
      </c>
      <c r="AI90" s="3">
        <f>AH90/(AD90*Y90*Z90)</f>
        <v>1171.2</v>
      </c>
      <c r="AJ90" s="3">
        <f>LN(AI90)</f>
        <v>7.065784143207047</v>
      </c>
      <c r="AN90" t="b">
        <v>0</v>
      </c>
      <c r="AO90" t="b">
        <v>0</v>
      </c>
      <c r="AP90" t="b">
        <v>1</v>
      </c>
      <c r="AQ90" t="b">
        <v>0</v>
      </c>
      <c r="AR90">
        <v>-1</v>
      </c>
      <c r="AS90">
        <v>-1</v>
      </c>
      <c r="AT90" t="s">
        <v>522</v>
      </c>
      <c r="AU90">
        <v>8.8983656069553572</v>
      </c>
      <c r="AV90">
        <v>1.9090909090909089</v>
      </c>
      <c r="AW90">
        <v>2.545454545454545</v>
      </c>
      <c r="AX90">
        <v>0.54545454545454541</v>
      </c>
      <c r="AY90">
        <v>2.9090909090909092</v>
      </c>
      <c r="AZ90">
        <v>0.2413793103448276</v>
      </c>
      <c r="BA90">
        <v>0.32183908045977011</v>
      </c>
      <c r="BB90">
        <v>6.8965517241379309E-2</v>
      </c>
      <c r="BC90">
        <v>0.36781609195402298</v>
      </c>
      <c r="BD90">
        <v>5.9681378944740908</v>
      </c>
      <c r="BE90">
        <v>14</v>
      </c>
      <c r="BF90">
        <v>0</v>
      </c>
      <c r="BG90">
        <v>0</v>
      </c>
      <c r="BI90">
        <v>0</v>
      </c>
      <c r="BL90">
        <v>0</v>
      </c>
      <c r="BM90">
        <v>0</v>
      </c>
      <c r="BO90">
        <v>0</v>
      </c>
      <c r="BR90">
        <v>171.98132883066</v>
      </c>
      <c r="BS90">
        <v>1</v>
      </c>
      <c r="BT90">
        <v>8.1404185531005993E-2</v>
      </c>
      <c r="BU90">
        <v>3.8898000000000001</v>
      </c>
      <c r="BV90">
        <v>3.8898000000000001</v>
      </c>
      <c r="BW90">
        <v>11.3665</v>
      </c>
      <c r="BX90">
        <v>170.15685120000001</v>
      </c>
      <c r="BY90">
        <v>8.2277027937855962E-2</v>
      </c>
      <c r="BZ90">
        <v>7</v>
      </c>
      <c r="CA90">
        <v>4.1138513968927981E-2</v>
      </c>
      <c r="CD90">
        <v>4.0702092765502997E-2</v>
      </c>
      <c r="CG90">
        <v>0.54308506712305693</v>
      </c>
      <c r="CH90">
        <v>0.5489082035382159</v>
      </c>
    </row>
    <row r="91" spans="1:86" x14ac:dyDescent="0.3">
      <c r="A91" s="1">
        <v>580</v>
      </c>
      <c r="B91" t="s">
        <v>548</v>
      </c>
      <c r="C91" t="s">
        <v>549</v>
      </c>
      <c r="E91" t="s">
        <v>94</v>
      </c>
      <c r="F91">
        <v>4.38</v>
      </c>
      <c r="G91">
        <v>-1</v>
      </c>
      <c r="H91">
        <v>-1</v>
      </c>
      <c r="I91" t="s">
        <v>1064</v>
      </c>
      <c r="J91">
        <v>2</v>
      </c>
      <c r="K91">
        <v>3.92</v>
      </c>
      <c r="L91">
        <v>3.92</v>
      </c>
      <c r="M91">
        <v>21.024000000000001</v>
      </c>
      <c r="O91">
        <v>10.512</v>
      </c>
      <c r="Q91" t="s">
        <v>87</v>
      </c>
      <c r="R91">
        <v>1373</v>
      </c>
      <c r="S91">
        <v>10</v>
      </c>
      <c r="T91" t="b">
        <v>0</v>
      </c>
      <c r="U91" t="s">
        <v>88</v>
      </c>
      <c r="V91" t="s">
        <v>89</v>
      </c>
      <c r="W91">
        <v>0</v>
      </c>
      <c r="X91">
        <v>5</v>
      </c>
      <c r="Y91">
        <v>0.5</v>
      </c>
      <c r="Z91">
        <v>0.1</v>
      </c>
      <c r="AC91" t="s">
        <v>90</v>
      </c>
      <c r="AD91">
        <v>125</v>
      </c>
      <c r="AE91">
        <v>220</v>
      </c>
      <c r="AF91" t="s">
        <v>91</v>
      </c>
      <c r="AG91">
        <v>288</v>
      </c>
      <c r="AH91" s="3">
        <v>4160</v>
      </c>
      <c r="AI91" s="3">
        <f>AH91/(AD91*Y91*Z91)</f>
        <v>665.6</v>
      </c>
      <c r="AJ91" s="3">
        <f>LN(AI91)</f>
        <v>6.500688889506999</v>
      </c>
      <c r="AN91" t="b">
        <v>0</v>
      </c>
      <c r="AO91" t="b">
        <v>0</v>
      </c>
      <c r="AP91" t="b">
        <v>1</v>
      </c>
      <c r="AQ91" t="b">
        <v>0</v>
      </c>
      <c r="AR91">
        <v>-1</v>
      </c>
      <c r="AS91">
        <v>-1</v>
      </c>
      <c r="AT91" t="s">
        <v>1064</v>
      </c>
      <c r="AU91">
        <v>8.3332703532553083</v>
      </c>
      <c r="AV91">
        <v>1.9090909090909089</v>
      </c>
      <c r="AW91">
        <v>2.545454545454545</v>
      </c>
      <c r="AX91">
        <v>0.54545454545454541</v>
      </c>
      <c r="AY91">
        <v>2.9090909090909092</v>
      </c>
      <c r="AZ91">
        <v>0.2413793103448276</v>
      </c>
      <c r="BA91">
        <v>0.32183908045977011</v>
      </c>
      <c r="BB91">
        <v>6.8965517241379309E-2</v>
      </c>
      <c r="BC91">
        <v>0.36781609195402298</v>
      </c>
      <c r="BD91">
        <v>6.0282060374090909</v>
      </c>
      <c r="BE91">
        <v>14</v>
      </c>
      <c r="BF91">
        <v>0</v>
      </c>
      <c r="BG91">
        <v>0</v>
      </c>
      <c r="BI91">
        <v>0</v>
      </c>
      <c r="BL91">
        <v>0</v>
      </c>
      <c r="BM91">
        <v>0</v>
      </c>
      <c r="BO91">
        <v>0</v>
      </c>
      <c r="BR91">
        <v>632.03960647162</v>
      </c>
      <c r="BS91">
        <v>4</v>
      </c>
      <c r="BT91">
        <v>8.8602042382472948E-2</v>
      </c>
      <c r="BU91">
        <v>5.4686000000000003</v>
      </c>
      <c r="BV91">
        <v>5.4686000000000003</v>
      </c>
      <c r="BW91">
        <v>21.134499999999999</v>
      </c>
      <c r="BX91">
        <v>323.06319359999998</v>
      </c>
      <c r="BY91">
        <v>8.6670349809852193E-2</v>
      </c>
      <c r="BZ91">
        <v>7</v>
      </c>
      <c r="CA91">
        <v>4.3335174904926103E-2</v>
      </c>
      <c r="CD91">
        <v>4.4301021191236467E-2</v>
      </c>
      <c r="CG91">
        <v>0.4752886724231179</v>
      </c>
      <c r="CH91">
        <v>0.46492647789934771</v>
      </c>
    </row>
    <row r="92" spans="1:86" x14ac:dyDescent="0.3">
      <c r="A92" s="1">
        <v>578</v>
      </c>
      <c r="B92" t="s">
        <v>544</v>
      </c>
      <c r="C92" t="s">
        <v>545</v>
      </c>
      <c r="E92" t="s">
        <v>94</v>
      </c>
      <c r="F92">
        <v>4.3600000000000003</v>
      </c>
      <c r="G92">
        <v>-1</v>
      </c>
      <c r="H92">
        <v>-1</v>
      </c>
      <c r="I92" t="s">
        <v>1059</v>
      </c>
      <c r="J92">
        <v>1</v>
      </c>
      <c r="K92">
        <v>3.89</v>
      </c>
      <c r="L92">
        <v>3.89</v>
      </c>
      <c r="M92">
        <v>10.48</v>
      </c>
      <c r="N92" t="s">
        <v>206</v>
      </c>
      <c r="O92">
        <v>10.48</v>
      </c>
      <c r="Q92" t="s">
        <v>87</v>
      </c>
      <c r="R92">
        <v>1373</v>
      </c>
      <c r="S92">
        <v>10</v>
      </c>
      <c r="T92" t="b">
        <v>0</v>
      </c>
      <c r="U92" t="s">
        <v>88</v>
      </c>
      <c r="V92" t="s">
        <v>89</v>
      </c>
      <c r="W92">
        <v>0</v>
      </c>
      <c r="X92">
        <v>3.9</v>
      </c>
      <c r="Y92">
        <v>0.5</v>
      </c>
      <c r="Z92">
        <v>0.1</v>
      </c>
      <c r="AC92" t="s">
        <v>90</v>
      </c>
      <c r="AD92">
        <v>125</v>
      </c>
      <c r="AE92">
        <v>220</v>
      </c>
      <c r="AF92" t="s">
        <v>91</v>
      </c>
      <c r="AG92">
        <v>288</v>
      </c>
      <c r="AH92" s="3">
        <v>1800</v>
      </c>
      <c r="AI92" s="3">
        <f>AH92/(AD92*Y92*Z92)</f>
        <v>288</v>
      </c>
      <c r="AJ92" s="3">
        <f>LN(AI92)</f>
        <v>5.6629604801359461</v>
      </c>
      <c r="AM92" t="s">
        <v>1060</v>
      </c>
      <c r="AN92" t="b">
        <v>0</v>
      </c>
      <c r="AO92" t="b">
        <v>0</v>
      </c>
      <c r="AP92" t="b">
        <v>1</v>
      </c>
      <c r="AQ92" t="b">
        <v>0</v>
      </c>
      <c r="AR92">
        <v>-1</v>
      </c>
      <c r="AS92">
        <v>-1</v>
      </c>
      <c r="AT92" t="s">
        <v>1061</v>
      </c>
      <c r="AU92">
        <v>7.4955419438842563</v>
      </c>
      <c r="AV92">
        <v>1.9090909090909089</v>
      </c>
      <c r="AW92">
        <v>2.545454545454545</v>
      </c>
      <c r="AX92">
        <v>0.54545454545454541</v>
      </c>
      <c r="AY92">
        <v>2.9090909090909092</v>
      </c>
      <c r="AZ92">
        <v>0.2413793103448276</v>
      </c>
      <c r="BA92">
        <v>0.32183908045977011</v>
      </c>
      <c r="BB92">
        <v>6.8965517241379309E-2</v>
      </c>
      <c r="BC92">
        <v>0.36781609195402298</v>
      </c>
      <c r="BD92">
        <v>6.4220981546682721</v>
      </c>
      <c r="BE92">
        <v>14</v>
      </c>
      <c r="BF92">
        <v>0</v>
      </c>
      <c r="BG92">
        <v>0</v>
      </c>
      <c r="BI92">
        <v>0</v>
      </c>
      <c r="BL92">
        <v>0</v>
      </c>
      <c r="BM92">
        <v>0</v>
      </c>
      <c r="BO92">
        <v>0</v>
      </c>
      <c r="BR92">
        <v>603.56576793812405</v>
      </c>
      <c r="BS92">
        <v>4</v>
      </c>
      <c r="BT92">
        <v>9.2781935250080272E-2</v>
      </c>
      <c r="BU92">
        <v>5.4092000000000002</v>
      </c>
      <c r="BV92">
        <v>20.501100000000001</v>
      </c>
      <c r="BW92">
        <v>5.4427000000000003</v>
      </c>
      <c r="BX92">
        <v>158.584408</v>
      </c>
      <c r="BY92">
        <v>8.8281062284509063E-2</v>
      </c>
      <c r="BZ92">
        <v>7</v>
      </c>
      <c r="CA92">
        <v>4.4140531142254531E-2</v>
      </c>
      <c r="CD92">
        <v>4.6390967625040143E-2</v>
      </c>
      <c r="CG92">
        <v>0.4543802027655201</v>
      </c>
      <c r="CH92">
        <v>0.43233811488272478</v>
      </c>
    </row>
    <row r="93" spans="1:86" x14ac:dyDescent="0.3">
      <c r="A93" s="1">
        <v>581</v>
      </c>
      <c r="B93" t="s">
        <v>1065</v>
      </c>
      <c r="C93" t="s">
        <v>1066</v>
      </c>
      <c r="E93" t="s">
        <v>94</v>
      </c>
      <c r="F93">
        <v>4.38</v>
      </c>
      <c r="G93">
        <v>-1</v>
      </c>
      <c r="H93">
        <v>-1</v>
      </c>
      <c r="I93" t="s">
        <v>1067</v>
      </c>
      <c r="Q93" t="s">
        <v>87</v>
      </c>
      <c r="R93">
        <v>1373</v>
      </c>
      <c r="S93">
        <v>10</v>
      </c>
      <c r="T93" t="b">
        <v>0</v>
      </c>
      <c r="U93" t="s">
        <v>88</v>
      </c>
      <c r="V93" t="s">
        <v>89</v>
      </c>
      <c r="W93">
        <v>0</v>
      </c>
      <c r="X93">
        <v>1.2</v>
      </c>
      <c r="Y93">
        <v>0.5</v>
      </c>
      <c r="Z93">
        <v>0.1</v>
      </c>
      <c r="AC93" t="s">
        <v>90</v>
      </c>
      <c r="AD93">
        <v>125</v>
      </c>
      <c r="AE93">
        <v>220</v>
      </c>
      <c r="AF93" t="s">
        <v>91</v>
      </c>
      <c r="AG93">
        <v>288</v>
      </c>
      <c r="AH93" s="3">
        <v>1680</v>
      </c>
      <c r="AI93" s="3">
        <f>AH93/(AD93*Y93*Z93)</f>
        <v>268.8</v>
      </c>
      <c r="AJ93" s="3">
        <f>LN(AI93)</f>
        <v>5.5939676086489944</v>
      </c>
      <c r="AN93" t="b">
        <v>0</v>
      </c>
      <c r="AO93" t="b">
        <v>0</v>
      </c>
      <c r="AP93" t="b">
        <v>1</v>
      </c>
      <c r="AQ93" t="b">
        <v>0</v>
      </c>
      <c r="AR93">
        <v>-1</v>
      </c>
      <c r="AS93">
        <v>-1</v>
      </c>
      <c r="AT93" t="s">
        <v>1067</v>
      </c>
      <c r="AU93">
        <v>7.4265490723973047</v>
      </c>
      <c r="AV93">
        <v>1.9090909090909089</v>
      </c>
      <c r="AW93">
        <v>2.545454545454545</v>
      </c>
      <c r="AX93">
        <v>0.54545454545454541</v>
      </c>
      <c r="AY93">
        <v>2.9090909090909092</v>
      </c>
      <c r="AZ93">
        <v>0.2413793103448276</v>
      </c>
      <c r="BA93">
        <v>0.32183908045977011</v>
      </c>
      <c r="BB93">
        <v>6.8965517241379309E-2</v>
      </c>
      <c r="BC93">
        <v>0.36781609195402298</v>
      </c>
      <c r="BD93">
        <v>5.9898023851363629</v>
      </c>
      <c r="BE93">
        <v>14</v>
      </c>
      <c r="BF93">
        <v>0</v>
      </c>
      <c r="BG93">
        <v>0</v>
      </c>
      <c r="BI93">
        <v>0</v>
      </c>
      <c r="BL93">
        <v>0</v>
      </c>
      <c r="BM93">
        <v>0</v>
      </c>
      <c r="BO93">
        <v>0</v>
      </c>
      <c r="BR93">
        <v>647.38147984939201</v>
      </c>
      <c r="BS93">
        <v>4</v>
      </c>
      <c r="BT93">
        <v>8.6502320105029784E-2</v>
      </c>
      <c r="BU93">
        <v>7.7018000000000004</v>
      </c>
      <c r="BV93">
        <v>21.768799999999999</v>
      </c>
      <c r="BW93">
        <v>3.8613</v>
      </c>
      <c r="BZ93">
        <v>7</v>
      </c>
      <c r="CD93">
        <v>4.3251160052514892E-2</v>
      </c>
      <c r="CG93">
        <v>0.51451751424865833</v>
      </c>
    </row>
    <row r="94" spans="1:86" x14ac:dyDescent="0.3">
      <c r="A94" s="1">
        <v>803</v>
      </c>
      <c r="B94" t="s">
        <v>1340</v>
      </c>
      <c r="C94" t="s">
        <v>1341</v>
      </c>
      <c r="E94" t="s">
        <v>130</v>
      </c>
      <c r="F94">
        <v>5.0999999999999996</v>
      </c>
      <c r="G94" t="s">
        <v>1342</v>
      </c>
      <c r="H94">
        <v>-1</v>
      </c>
      <c r="I94" t="s">
        <v>1343</v>
      </c>
      <c r="O94">
        <v>0</v>
      </c>
      <c r="Q94" t="s">
        <v>821</v>
      </c>
      <c r="R94">
        <v>513</v>
      </c>
      <c r="S94">
        <v>4</v>
      </c>
      <c r="T94" t="b">
        <v>0</v>
      </c>
      <c r="U94" t="s">
        <v>88</v>
      </c>
      <c r="V94" t="s">
        <v>89</v>
      </c>
      <c r="W94">
        <v>0</v>
      </c>
      <c r="X94">
        <v>140</v>
      </c>
      <c r="Y94">
        <v>0.5</v>
      </c>
      <c r="Z94">
        <v>0.1</v>
      </c>
      <c r="AC94" t="s">
        <v>90</v>
      </c>
      <c r="AD94">
        <v>125</v>
      </c>
      <c r="AE94">
        <v>220</v>
      </c>
      <c r="AF94" t="s">
        <v>91</v>
      </c>
      <c r="AG94">
        <v>288</v>
      </c>
      <c r="AH94" s="3">
        <v>652</v>
      </c>
      <c r="AI94" s="3">
        <f>AH94/(AD94*Y94*Z94)</f>
        <v>104.32</v>
      </c>
      <c r="AJ94" s="3">
        <f>LN(AI94)</f>
        <v>4.6474630981783429</v>
      </c>
      <c r="AN94" t="b">
        <v>0</v>
      </c>
      <c r="AO94" t="b">
        <v>0</v>
      </c>
      <c r="AP94" t="b">
        <v>1</v>
      </c>
      <c r="AQ94" t="b">
        <v>0</v>
      </c>
      <c r="AR94" t="s">
        <v>1342</v>
      </c>
      <c r="AT94" t="s">
        <v>1343</v>
      </c>
      <c r="AU94">
        <v>6.4800445619266531</v>
      </c>
      <c r="AV94">
        <v>2</v>
      </c>
      <c r="AW94">
        <v>2.666666666666667</v>
      </c>
      <c r="AX94">
        <v>0.66666666666666663</v>
      </c>
      <c r="AY94">
        <v>0</v>
      </c>
      <c r="AZ94">
        <v>0.375</v>
      </c>
      <c r="BA94">
        <v>0.5</v>
      </c>
      <c r="BB94">
        <v>0.125</v>
      </c>
      <c r="BC94">
        <v>0</v>
      </c>
      <c r="BD94">
        <v>6.2042918263333329</v>
      </c>
      <c r="BE94">
        <v>4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0</v>
      </c>
      <c r="BR94">
        <v>253.865612</v>
      </c>
      <c r="BS94">
        <v>8</v>
      </c>
      <c r="BT94">
        <v>0.12605094383559129</v>
      </c>
      <c r="BU94">
        <v>4.9400000000000004</v>
      </c>
      <c r="BV94">
        <v>9.94</v>
      </c>
      <c r="BW94">
        <v>5.17</v>
      </c>
      <c r="BZ94">
        <v>2</v>
      </c>
      <c r="CD94">
        <v>6.3025471917795631E-2</v>
      </c>
      <c r="CG94">
        <v>0.61205976749226443</v>
      </c>
    </row>
    <row r="95" spans="1:86" x14ac:dyDescent="0.3">
      <c r="A95" s="1">
        <v>638</v>
      </c>
      <c r="B95" t="s">
        <v>1115</v>
      </c>
      <c r="C95" t="s">
        <v>1116</v>
      </c>
      <c r="E95" t="s">
        <v>404</v>
      </c>
      <c r="F95">
        <v>3.58</v>
      </c>
      <c r="G95" t="s">
        <v>1080</v>
      </c>
      <c r="H95">
        <v>-1</v>
      </c>
      <c r="I95">
        <v>-1</v>
      </c>
      <c r="J95">
        <v>1</v>
      </c>
      <c r="K95">
        <v>3.802</v>
      </c>
      <c r="L95">
        <v>3.802</v>
      </c>
      <c r="M95">
        <v>24.7</v>
      </c>
      <c r="N95" t="s">
        <v>101</v>
      </c>
      <c r="O95">
        <v>24.7</v>
      </c>
      <c r="Q95" t="s">
        <v>87</v>
      </c>
      <c r="R95">
        <v>1273</v>
      </c>
      <c r="S95">
        <v>10</v>
      </c>
      <c r="T95" t="b">
        <v>0</v>
      </c>
      <c r="U95" t="s">
        <v>125</v>
      </c>
      <c r="V95" t="s">
        <v>126</v>
      </c>
      <c r="W95">
        <v>0</v>
      </c>
      <c r="Y95">
        <v>0.5</v>
      </c>
      <c r="Z95">
        <v>1</v>
      </c>
      <c r="AC95" t="s">
        <v>90</v>
      </c>
      <c r="AD95">
        <v>125</v>
      </c>
      <c r="AE95">
        <v>220</v>
      </c>
      <c r="AF95" t="s">
        <v>91</v>
      </c>
      <c r="AG95">
        <v>288</v>
      </c>
      <c r="AH95" s="3">
        <v>6000</v>
      </c>
      <c r="AI95" s="3">
        <f>AH95/(AD95*Y95*Z95)</f>
        <v>96</v>
      </c>
      <c r="AJ95" s="3">
        <f>LN(AI95)</f>
        <v>4.5643481914678361</v>
      </c>
      <c r="AK95" t="s">
        <v>972</v>
      </c>
      <c r="AN95" t="b">
        <v>1</v>
      </c>
      <c r="AO95" t="b">
        <v>0</v>
      </c>
      <c r="AP95" t="b">
        <v>0</v>
      </c>
      <c r="AQ95" t="b">
        <v>0</v>
      </c>
      <c r="AR95" t="s">
        <v>1165</v>
      </c>
      <c r="AU95">
        <v>8.6995147482101913</v>
      </c>
      <c r="AV95">
        <v>1.510204081632653</v>
      </c>
      <c r="AW95">
        <v>1.2653061224489801</v>
      </c>
      <c r="AX95">
        <v>0.1224489795918367</v>
      </c>
      <c r="AY95">
        <v>0.16326530612244899</v>
      </c>
      <c r="AZ95">
        <v>0.49333333333333329</v>
      </c>
      <c r="BA95">
        <v>0.41333333333333339</v>
      </c>
      <c r="BB95">
        <v>0.04</v>
      </c>
      <c r="BC95">
        <v>5.333333333333333E-2</v>
      </c>
      <c r="BD95">
        <v>6.6971257268453872</v>
      </c>
      <c r="BE95">
        <v>20</v>
      </c>
      <c r="BF95">
        <v>733.37308460000008</v>
      </c>
      <c r="BG95">
        <v>2</v>
      </c>
      <c r="BH95">
        <v>5.4542497999932729E-2</v>
      </c>
      <c r="BI95">
        <v>3.8530000000000002</v>
      </c>
      <c r="BJ95">
        <v>3.8530000000000002</v>
      </c>
      <c r="BK95">
        <v>49.4</v>
      </c>
      <c r="BL95">
        <v>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U95">
        <v>0</v>
      </c>
      <c r="BV95">
        <v>0</v>
      </c>
      <c r="BW95">
        <v>0</v>
      </c>
      <c r="BX95">
        <v>357.04353880000002</v>
      </c>
      <c r="BY95">
        <v>5.6015577448113731E-2</v>
      </c>
      <c r="BZ95">
        <v>10</v>
      </c>
      <c r="CA95">
        <v>2.8007788724056869E-2</v>
      </c>
      <c r="CB95">
        <v>2.7271248999966361E-2</v>
      </c>
      <c r="CE95">
        <v>0.33005342247707181</v>
      </c>
      <c r="CH95">
        <v>0.33896747906196412</v>
      </c>
    </row>
    <row r="96" spans="1:86" x14ac:dyDescent="0.3">
      <c r="A96" s="1">
        <v>594</v>
      </c>
      <c r="B96" t="s">
        <v>1086</v>
      </c>
      <c r="C96" t="s">
        <v>1087</v>
      </c>
      <c r="E96" t="s">
        <v>404</v>
      </c>
      <c r="F96">
        <v>3.4</v>
      </c>
      <c r="G96" t="s">
        <v>1088</v>
      </c>
      <c r="H96">
        <v>-1</v>
      </c>
      <c r="I96">
        <v>-1</v>
      </c>
      <c r="J96">
        <v>1</v>
      </c>
      <c r="K96">
        <v>3.85</v>
      </c>
      <c r="L96">
        <v>3.85</v>
      </c>
      <c r="M96">
        <v>34.200000000000003</v>
      </c>
      <c r="N96" t="s">
        <v>529</v>
      </c>
      <c r="O96">
        <v>34.200000000000003</v>
      </c>
      <c r="Q96" t="s">
        <v>87</v>
      </c>
      <c r="R96">
        <v>1373</v>
      </c>
      <c r="S96">
        <v>12</v>
      </c>
      <c r="T96" t="b">
        <v>0</v>
      </c>
      <c r="U96" t="s">
        <v>88</v>
      </c>
      <c r="V96" t="s">
        <v>89</v>
      </c>
      <c r="W96">
        <v>0</v>
      </c>
      <c r="X96">
        <v>4.38</v>
      </c>
      <c r="Y96">
        <v>0.5</v>
      </c>
      <c r="Z96">
        <v>1</v>
      </c>
      <c r="AC96" t="s">
        <v>90</v>
      </c>
      <c r="AD96">
        <v>125</v>
      </c>
      <c r="AE96">
        <v>220</v>
      </c>
      <c r="AF96" t="s">
        <v>91</v>
      </c>
      <c r="AG96">
        <v>288</v>
      </c>
      <c r="AH96" s="3">
        <v>5960</v>
      </c>
      <c r="AI96" s="3">
        <f>AH96/(AD96*Y96*Z96)</f>
        <v>95.36</v>
      </c>
      <c r="AJ96" s="3">
        <f>LN(AI96)</f>
        <v>4.5576592033170398</v>
      </c>
      <c r="AK96" t="s">
        <v>136</v>
      </c>
      <c r="AN96" t="b">
        <v>1</v>
      </c>
      <c r="AO96" t="b">
        <v>0</v>
      </c>
      <c r="AP96" t="b">
        <v>0</v>
      </c>
      <c r="AQ96" t="b">
        <v>0</v>
      </c>
      <c r="AR96" t="s">
        <v>1089</v>
      </c>
      <c r="AS96">
        <v>-1</v>
      </c>
      <c r="AU96">
        <v>8.6928257600593959</v>
      </c>
      <c r="AV96">
        <v>1.452054794520548</v>
      </c>
      <c r="AW96">
        <v>1.068493150684932</v>
      </c>
      <c r="AX96">
        <v>0.1095890410958904</v>
      </c>
      <c r="AY96">
        <v>0</v>
      </c>
      <c r="AZ96">
        <v>0.55208333333333337</v>
      </c>
      <c r="BA96">
        <v>0.40625000000000011</v>
      </c>
      <c r="BB96">
        <v>4.1666666666666657E-2</v>
      </c>
      <c r="BC96">
        <v>0</v>
      </c>
      <c r="BD96">
        <v>6.7613944421512322</v>
      </c>
      <c r="BE96">
        <v>20</v>
      </c>
      <c r="BF96">
        <v>1015.4396556</v>
      </c>
      <c r="BG96">
        <v>2</v>
      </c>
      <c r="BH96">
        <v>3.9391804111062523E-2</v>
      </c>
      <c r="BI96">
        <v>3.8530000000000002</v>
      </c>
      <c r="BJ96">
        <v>3.8530000000000002</v>
      </c>
      <c r="BK96">
        <v>68.400000000000006</v>
      </c>
      <c r="BL96">
        <v>0</v>
      </c>
      <c r="BM96">
        <v>0</v>
      </c>
      <c r="BO96">
        <v>0</v>
      </c>
      <c r="BR96">
        <v>0</v>
      </c>
      <c r="BS96">
        <v>0</v>
      </c>
      <c r="BU96">
        <v>0</v>
      </c>
      <c r="BV96">
        <v>0</v>
      </c>
      <c r="BW96">
        <v>0</v>
      </c>
      <c r="BX96">
        <v>506.92950000000008</v>
      </c>
      <c r="BY96">
        <v>3.9453217853764669E-2</v>
      </c>
      <c r="BZ96">
        <v>10</v>
      </c>
      <c r="CA96">
        <v>1.9726608926882331E-2</v>
      </c>
      <c r="CB96">
        <v>1.9695902055531261E-2</v>
      </c>
      <c r="CE96">
        <v>0.2433493705793833</v>
      </c>
      <c r="CH96">
        <v>0.2437287641098079</v>
      </c>
    </row>
    <row r="97" spans="1:86" x14ac:dyDescent="0.3">
      <c r="A97" s="1">
        <v>602</v>
      </c>
      <c r="B97" t="s">
        <v>1115</v>
      </c>
      <c r="C97" t="s">
        <v>1116</v>
      </c>
      <c r="E97" t="s">
        <v>404</v>
      </c>
      <c r="F97">
        <v>3.33</v>
      </c>
      <c r="G97" t="s">
        <v>1080</v>
      </c>
      <c r="H97">
        <v>-1</v>
      </c>
      <c r="I97">
        <v>-1</v>
      </c>
      <c r="J97">
        <v>1</v>
      </c>
      <c r="K97">
        <v>3.78</v>
      </c>
      <c r="L97">
        <v>3.78</v>
      </c>
      <c r="M97">
        <v>24.4</v>
      </c>
      <c r="N97" t="s">
        <v>529</v>
      </c>
      <c r="O97">
        <v>24.4</v>
      </c>
      <c r="Q97" t="s">
        <v>87</v>
      </c>
      <c r="R97">
        <v>1373</v>
      </c>
      <c r="S97">
        <v>12</v>
      </c>
      <c r="T97" t="b">
        <v>0</v>
      </c>
      <c r="U97" t="s">
        <v>88</v>
      </c>
      <c r="V97" t="s">
        <v>89</v>
      </c>
      <c r="W97">
        <v>0</v>
      </c>
      <c r="X97">
        <v>3.89</v>
      </c>
      <c r="Y97">
        <v>0.5</v>
      </c>
      <c r="Z97">
        <v>1</v>
      </c>
      <c r="AC97" t="s">
        <v>90</v>
      </c>
      <c r="AD97">
        <v>125</v>
      </c>
      <c r="AE97">
        <v>220</v>
      </c>
      <c r="AF97" t="s">
        <v>91</v>
      </c>
      <c r="AG97">
        <v>288</v>
      </c>
      <c r="AH97" s="3">
        <v>5880</v>
      </c>
      <c r="AI97" s="3">
        <f>AH97/(AD97*Y97*Z97)</f>
        <v>94.08</v>
      </c>
      <c r="AJ97" s="3">
        <f>LN(AI97)</f>
        <v>4.5441454841503166</v>
      </c>
      <c r="AK97" t="s">
        <v>972</v>
      </c>
      <c r="AN97" t="b">
        <v>1</v>
      </c>
      <c r="AO97" t="b">
        <v>0</v>
      </c>
      <c r="AP97" t="b">
        <v>0</v>
      </c>
      <c r="AQ97" t="b">
        <v>0</v>
      </c>
      <c r="AR97" t="s">
        <v>1117</v>
      </c>
      <c r="AS97">
        <v>-1</v>
      </c>
      <c r="AU97">
        <v>8.6793120408926718</v>
      </c>
      <c r="AV97">
        <v>1.510204081632653</v>
      </c>
      <c r="AW97">
        <v>1.2653061224489801</v>
      </c>
      <c r="AX97">
        <v>0.1224489795918367</v>
      </c>
      <c r="AY97">
        <v>0.16326530612244899</v>
      </c>
      <c r="AZ97">
        <v>0.49333333333333329</v>
      </c>
      <c r="BA97">
        <v>0.41333333333333339</v>
      </c>
      <c r="BB97">
        <v>0.04</v>
      </c>
      <c r="BC97">
        <v>5.333333333333333E-2</v>
      </c>
      <c r="BD97">
        <v>6.6971257268453872</v>
      </c>
      <c r="BE97">
        <v>20</v>
      </c>
      <c r="BF97">
        <v>733.37308460000008</v>
      </c>
      <c r="BG97">
        <v>2</v>
      </c>
      <c r="BH97">
        <v>5.4542497999932729E-2</v>
      </c>
      <c r="BI97">
        <v>3.8530000000000002</v>
      </c>
      <c r="BJ97">
        <v>3.8530000000000002</v>
      </c>
      <c r="BK97">
        <v>49.4</v>
      </c>
      <c r="BL97">
        <v>0</v>
      </c>
      <c r="BM97">
        <v>0</v>
      </c>
      <c r="BO97">
        <v>0</v>
      </c>
      <c r="BR97">
        <v>0</v>
      </c>
      <c r="BS97">
        <v>0</v>
      </c>
      <c r="BU97">
        <v>0</v>
      </c>
      <c r="BV97">
        <v>0</v>
      </c>
      <c r="BW97">
        <v>0</v>
      </c>
      <c r="BX97">
        <v>348.63695999999999</v>
      </c>
      <c r="BY97">
        <v>5.7366264322635217E-2</v>
      </c>
      <c r="BZ97">
        <v>10</v>
      </c>
      <c r="CA97">
        <v>2.8683132161317609E-2</v>
      </c>
      <c r="CB97">
        <v>2.7271248999966361E-2</v>
      </c>
      <c r="CE97">
        <v>0.33005342247707181</v>
      </c>
      <c r="CH97">
        <v>0.34714090055855978</v>
      </c>
    </row>
    <row r="98" spans="1:86" x14ac:dyDescent="0.3">
      <c r="A98" s="1">
        <v>600</v>
      </c>
      <c r="B98" t="s">
        <v>1109</v>
      </c>
      <c r="C98" t="s">
        <v>1110</v>
      </c>
      <c r="E98" t="s">
        <v>404</v>
      </c>
      <c r="F98">
        <v>3.4</v>
      </c>
      <c r="G98" t="s">
        <v>1072</v>
      </c>
      <c r="H98">
        <v>-1</v>
      </c>
      <c r="I98">
        <v>-1</v>
      </c>
      <c r="J98">
        <v>2</v>
      </c>
      <c r="K98">
        <v>3.81</v>
      </c>
      <c r="L98">
        <v>3.81</v>
      </c>
      <c r="M98">
        <v>35.4</v>
      </c>
      <c r="N98" t="s">
        <v>529</v>
      </c>
      <c r="O98">
        <v>17.7</v>
      </c>
      <c r="Q98" t="s">
        <v>87</v>
      </c>
      <c r="R98">
        <v>1373</v>
      </c>
      <c r="S98">
        <v>12</v>
      </c>
      <c r="T98" t="b">
        <v>0</v>
      </c>
      <c r="U98" t="s">
        <v>88</v>
      </c>
      <c r="V98" t="s">
        <v>89</v>
      </c>
      <c r="W98">
        <v>0</v>
      </c>
      <c r="X98">
        <v>3.72</v>
      </c>
      <c r="Y98">
        <v>0.5</v>
      </c>
      <c r="Z98">
        <v>1</v>
      </c>
      <c r="AC98" t="s">
        <v>90</v>
      </c>
      <c r="AD98">
        <v>125</v>
      </c>
      <c r="AE98">
        <v>220</v>
      </c>
      <c r="AF98" t="s">
        <v>91</v>
      </c>
      <c r="AG98">
        <v>288</v>
      </c>
      <c r="AH98" s="3">
        <v>5200</v>
      </c>
      <c r="AI98" s="3">
        <f>AH98/(AD98*Y98*Z98)</f>
        <v>83.2</v>
      </c>
      <c r="AJ98" s="3">
        <f>LN(AI98)</f>
        <v>4.4212473478271628</v>
      </c>
      <c r="AK98" t="s">
        <v>972</v>
      </c>
      <c r="AN98" t="b">
        <v>1</v>
      </c>
      <c r="AO98" t="b">
        <v>0</v>
      </c>
      <c r="AP98" t="b">
        <v>0</v>
      </c>
      <c r="AQ98" t="b">
        <v>0</v>
      </c>
      <c r="AR98" t="s">
        <v>1111</v>
      </c>
      <c r="AS98">
        <v>-1</v>
      </c>
      <c r="AU98">
        <v>8.5564139045695189</v>
      </c>
      <c r="AV98">
        <v>1.612903225806452</v>
      </c>
      <c r="AW98">
        <v>1.612903225806452</v>
      </c>
      <c r="AX98">
        <v>0.19354838709677419</v>
      </c>
      <c r="AY98">
        <v>0.25806451612903231</v>
      </c>
      <c r="AZ98">
        <v>0.43859649122807021</v>
      </c>
      <c r="BA98">
        <v>0.43859649122807021</v>
      </c>
      <c r="BB98">
        <v>5.2631578947368432E-2</v>
      </c>
      <c r="BC98">
        <v>7.0175438596491224E-2</v>
      </c>
      <c r="BD98">
        <v>6.5960048401358709</v>
      </c>
      <c r="BE98">
        <v>20</v>
      </c>
      <c r="BF98">
        <v>442.10225086560899</v>
      </c>
      <c r="BG98">
        <v>2</v>
      </c>
      <c r="BH98">
        <v>9.0476806941567164E-2</v>
      </c>
      <c r="BI98">
        <v>3.8530000000000002</v>
      </c>
      <c r="BJ98">
        <v>3.8530000000000002</v>
      </c>
      <c r="BK98">
        <v>29.780000999999999</v>
      </c>
      <c r="BL98">
        <v>0</v>
      </c>
      <c r="BM98">
        <v>0</v>
      </c>
      <c r="BO98">
        <v>0</v>
      </c>
      <c r="BR98">
        <v>0</v>
      </c>
      <c r="BS98">
        <v>0</v>
      </c>
      <c r="BU98">
        <v>0</v>
      </c>
      <c r="BV98">
        <v>0</v>
      </c>
      <c r="BW98">
        <v>0</v>
      </c>
      <c r="BX98">
        <v>513.86993999999993</v>
      </c>
      <c r="BY98">
        <v>7.7840708098239814E-2</v>
      </c>
      <c r="BZ98">
        <v>10</v>
      </c>
      <c r="CA98">
        <v>3.8920354049119907E-2</v>
      </c>
      <c r="CB98">
        <v>4.5238403470783582E-2</v>
      </c>
      <c r="CE98">
        <v>0.54443134767909995</v>
      </c>
      <c r="CH98">
        <v>0.4683954158725982</v>
      </c>
    </row>
    <row r="99" spans="1:86" x14ac:dyDescent="0.3">
      <c r="A99" s="1">
        <v>804</v>
      </c>
      <c r="B99" t="s">
        <v>1340</v>
      </c>
      <c r="C99" t="s">
        <v>1341</v>
      </c>
      <c r="E99" t="s">
        <v>130</v>
      </c>
      <c r="F99">
        <v>5.0999999999999996</v>
      </c>
      <c r="G99" t="s">
        <v>1342</v>
      </c>
      <c r="H99">
        <v>-1</v>
      </c>
      <c r="I99" t="s">
        <v>1343</v>
      </c>
      <c r="O99">
        <v>0</v>
      </c>
      <c r="Q99" t="s">
        <v>821</v>
      </c>
      <c r="R99">
        <v>513</v>
      </c>
      <c r="S99">
        <v>4</v>
      </c>
      <c r="T99" t="b">
        <v>0</v>
      </c>
      <c r="U99" t="s">
        <v>88</v>
      </c>
      <c r="V99" t="s">
        <v>89</v>
      </c>
      <c r="W99">
        <v>0</v>
      </c>
      <c r="X99">
        <v>121</v>
      </c>
      <c r="Y99">
        <v>0.5</v>
      </c>
      <c r="Z99">
        <v>0.1</v>
      </c>
      <c r="AC99" t="s">
        <v>90</v>
      </c>
      <c r="AD99">
        <v>125</v>
      </c>
      <c r="AE99">
        <v>220</v>
      </c>
      <c r="AF99" t="s">
        <v>91</v>
      </c>
      <c r="AG99">
        <v>288</v>
      </c>
      <c r="AH99" s="3">
        <v>496</v>
      </c>
      <c r="AI99" s="3">
        <f>AH99/(AD99*Y99*Z99)</f>
        <v>79.36</v>
      </c>
      <c r="AJ99" s="3">
        <f>LN(AI99)</f>
        <v>4.3739944629766176</v>
      </c>
      <c r="AN99" t="b">
        <v>0</v>
      </c>
      <c r="AO99" t="b">
        <v>0</v>
      </c>
      <c r="AP99" t="b">
        <v>1</v>
      </c>
      <c r="AQ99" t="b">
        <v>0</v>
      </c>
      <c r="AR99" t="s">
        <v>1342</v>
      </c>
      <c r="AT99" t="s">
        <v>1343</v>
      </c>
      <c r="AU99">
        <v>6.2065759267249279</v>
      </c>
      <c r="AV99">
        <v>2</v>
      </c>
      <c r="AW99">
        <v>2.666666666666667</v>
      </c>
      <c r="AX99">
        <v>0.66666666666666663</v>
      </c>
      <c r="AY99">
        <v>0</v>
      </c>
      <c r="AZ99">
        <v>0.375</v>
      </c>
      <c r="BA99">
        <v>0.5</v>
      </c>
      <c r="BB99">
        <v>0.125</v>
      </c>
      <c r="BC99">
        <v>0</v>
      </c>
      <c r="BD99">
        <v>6.2042918263333329</v>
      </c>
      <c r="BE99">
        <v>4</v>
      </c>
      <c r="BF99">
        <v>0</v>
      </c>
      <c r="BG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O99">
        <v>0</v>
      </c>
      <c r="BP99">
        <v>0</v>
      </c>
      <c r="BQ99">
        <v>0</v>
      </c>
      <c r="BR99">
        <v>253.865612</v>
      </c>
      <c r="BS99">
        <v>8</v>
      </c>
      <c r="BT99">
        <v>0.12605094383559129</v>
      </c>
      <c r="BU99">
        <v>4.9400000000000004</v>
      </c>
      <c r="BV99">
        <v>9.94</v>
      </c>
      <c r="BW99">
        <v>5.17</v>
      </c>
      <c r="BZ99">
        <v>2</v>
      </c>
      <c r="CD99">
        <v>6.3025471917795631E-2</v>
      </c>
      <c r="CG99">
        <v>0.61205976749226443</v>
      </c>
    </row>
    <row r="100" spans="1:86" x14ac:dyDescent="0.3">
      <c r="A100" s="1">
        <v>605</v>
      </c>
      <c r="B100" t="s">
        <v>1124</v>
      </c>
      <c r="C100" t="s">
        <v>1125</v>
      </c>
      <c r="E100" t="s">
        <v>404</v>
      </c>
      <c r="F100">
        <v>3.33</v>
      </c>
      <c r="G100" t="s">
        <v>1092</v>
      </c>
      <c r="H100">
        <v>-1</v>
      </c>
      <c r="I100">
        <v>-1</v>
      </c>
      <c r="J100">
        <v>2</v>
      </c>
      <c r="K100">
        <v>3.76</v>
      </c>
      <c r="L100">
        <v>3.76</v>
      </c>
      <c r="M100">
        <v>34.1</v>
      </c>
      <c r="N100" t="s">
        <v>529</v>
      </c>
      <c r="O100">
        <v>17.05</v>
      </c>
      <c r="Q100" t="s">
        <v>87</v>
      </c>
      <c r="R100">
        <v>1373</v>
      </c>
      <c r="S100">
        <v>12</v>
      </c>
      <c r="T100" t="b">
        <v>0</v>
      </c>
      <c r="U100" t="s">
        <v>88</v>
      </c>
      <c r="V100" t="s">
        <v>89</v>
      </c>
      <c r="W100">
        <v>0</v>
      </c>
      <c r="X100">
        <v>4.51</v>
      </c>
      <c r="Y100">
        <v>0.5</v>
      </c>
      <c r="Z100">
        <v>1</v>
      </c>
      <c r="AC100" t="s">
        <v>90</v>
      </c>
      <c r="AD100">
        <v>125</v>
      </c>
      <c r="AE100">
        <v>220</v>
      </c>
      <c r="AF100" t="s">
        <v>91</v>
      </c>
      <c r="AG100">
        <v>288</v>
      </c>
      <c r="AH100" s="3">
        <v>4600</v>
      </c>
      <c r="AI100" s="3">
        <f>AH100/(AD100*Y100*Z100)</f>
        <v>73.599999999999994</v>
      </c>
      <c r="AJ100" s="3">
        <f>LN(AI100)</f>
        <v>4.2986450257348308</v>
      </c>
      <c r="AK100" t="s">
        <v>972</v>
      </c>
      <c r="AN100" t="b">
        <v>1</v>
      </c>
      <c r="AO100" t="b">
        <v>0</v>
      </c>
      <c r="AP100" t="b">
        <v>0</v>
      </c>
      <c r="AQ100" t="b">
        <v>0</v>
      </c>
      <c r="AR100" t="s">
        <v>1126</v>
      </c>
      <c r="AS100">
        <v>-1</v>
      </c>
      <c r="AU100">
        <v>8.4338115824771869</v>
      </c>
      <c r="AV100">
        <v>1.655172413793103</v>
      </c>
      <c r="AW100">
        <v>1.7931034482758621</v>
      </c>
      <c r="AX100">
        <v>0.2068965517241379</v>
      </c>
      <c r="AY100">
        <v>0.27586206896551718</v>
      </c>
      <c r="AZ100">
        <v>0.4210526315789474</v>
      </c>
      <c r="BA100">
        <v>0.45614035087719301</v>
      </c>
      <c r="BB100">
        <v>5.2631578947368432E-2</v>
      </c>
      <c r="BC100">
        <v>7.0175438596491224E-2</v>
      </c>
      <c r="BD100">
        <v>6.5771916632244816</v>
      </c>
      <c r="BE100">
        <v>24</v>
      </c>
      <c r="BF100">
        <v>442.10225086560899</v>
      </c>
      <c r="BG100">
        <v>2</v>
      </c>
      <c r="BH100">
        <v>0.10857216832988061</v>
      </c>
      <c r="BI100">
        <v>3.8530000000000002</v>
      </c>
      <c r="BJ100">
        <v>3.8530000000000002</v>
      </c>
      <c r="BK100">
        <v>29.780000999999999</v>
      </c>
      <c r="BL100">
        <v>0</v>
      </c>
      <c r="BM100">
        <v>0</v>
      </c>
      <c r="BO100">
        <v>0</v>
      </c>
      <c r="BR100">
        <v>0</v>
      </c>
      <c r="BS100">
        <v>0</v>
      </c>
      <c r="BU100">
        <v>0</v>
      </c>
      <c r="BV100">
        <v>0</v>
      </c>
      <c r="BW100">
        <v>0</v>
      </c>
      <c r="BX100">
        <v>482.09215999999998</v>
      </c>
      <c r="BY100">
        <v>9.9566024886196036E-2</v>
      </c>
      <c r="BZ100">
        <v>12</v>
      </c>
      <c r="CA100">
        <v>4.9783012443098018E-2</v>
      </c>
      <c r="CB100">
        <v>5.4286084164940303E-2</v>
      </c>
      <c r="CE100">
        <v>0.53307685633329149</v>
      </c>
      <c r="CH100">
        <v>0.48885772809354761</v>
      </c>
    </row>
    <row r="101" spans="1:86" x14ac:dyDescent="0.3">
      <c r="A101" s="1">
        <v>597</v>
      </c>
      <c r="B101" t="s">
        <v>1098</v>
      </c>
      <c r="C101" t="s">
        <v>1099</v>
      </c>
      <c r="E101" t="s">
        <v>404</v>
      </c>
      <c r="F101">
        <v>3.4</v>
      </c>
      <c r="G101" t="s">
        <v>1100</v>
      </c>
      <c r="H101">
        <v>-1</v>
      </c>
      <c r="I101">
        <v>-1</v>
      </c>
      <c r="J101">
        <v>2</v>
      </c>
      <c r="K101">
        <v>3.82</v>
      </c>
      <c r="L101">
        <v>3.82</v>
      </c>
      <c r="M101">
        <v>48.5</v>
      </c>
      <c r="N101" t="s">
        <v>529</v>
      </c>
      <c r="O101">
        <v>24.25</v>
      </c>
      <c r="Q101" t="s">
        <v>87</v>
      </c>
      <c r="R101">
        <v>1373</v>
      </c>
      <c r="S101">
        <v>12</v>
      </c>
      <c r="T101" t="b">
        <v>0</v>
      </c>
      <c r="U101" t="s">
        <v>88</v>
      </c>
      <c r="V101" t="s">
        <v>89</v>
      </c>
      <c r="W101">
        <v>0</v>
      </c>
      <c r="X101">
        <v>4.1900000000000004</v>
      </c>
      <c r="Y101">
        <v>0.5</v>
      </c>
      <c r="Z101">
        <v>1</v>
      </c>
      <c r="AC101" t="s">
        <v>90</v>
      </c>
      <c r="AD101">
        <v>125</v>
      </c>
      <c r="AE101">
        <v>220</v>
      </c>
      <c r="AF101" t="s">
        <v>91</v>
      </c>
      <c r="AG101">
        <v>288</v>
      </c>
      <c r="AH101" s="3">
        <v>4560</v>
      </c>
      <c r="AI101" s="3">
        <f>AH101/(AD101*Y101*Z101)</f>
        <v>72.959999999999994</v>
      </c>
      <c r="AJ101" s="3">
        <f>LN(AI101)</f>
        <v>4.2899113457660762</v>
      </c>
      <c r="AK101" t="s">
        <v>136</v>
      </c>
      <c r="AN101" t="b">
        <v>1</v>
      </c>
      <c r="AO101" t="b">
        <v>0</v>
      </c>
      <c r="AP101" t="b">
        <v>0</v>
      </c>
      <c r="AQ101" t="b">
        <v>0</v>
      </c>
      <c r="AR101" t="s">
        <v>1101</v>
      </c>
      <c r="AS101">
        <v>-1</v>
      </c>
      <c r="AU101">
        <v>8.4250779025084324</v>
      </c>
      <c r="AV101">
        <v>1.531914893617021</v>
      </c>
      <c r="AW101">
        <v>1.361702127659574</v>
      </c>
      <c r="AX101">
        <v>0.1702127659574468</v>
      </c>
      <c r="AY101">
        <v>0</v>
      </c>
      <c r="AZ101">
        <v>0.5</v>
      </c>
      <c r="BA101">
        <v>0.44444444444444442</v>
      </c>
      <c r="BB101">
        <v>5.5555555555555552E-2</v>
      </c>
      <c r="BC101">
        <v>0</v>
      </c>
      <c r="BD101">
        <v>6.7007132277600423</v>
      </c>
      <c r="BE101">
        <v>24</v>
      </c>
      <c r="BF101">
        <v>733.37308460000008</v>
      </c>
      <c r="BG101">
        <v>2</v>
      </c>
      <c r="BH101">
        <v>6.5450997599919278E-2</v>
      </c>
      <c r="BI101">
        <v>3.8530000000000002</v>
      </c>
      <c r="BJ101">
        <v>3.8530000000000002</v>
      </c>
      <c r="BK101">
        <v>49.4</v>
      </c>
      <c r="BL101">
        <v>0</v>
      </c>
      <c r="BM101">
        <v>0</v>
      </c>
      <c r="BO101">
        <v>0</v>
      </c>
      <c r="BR101">
        <v>0</v>
      </c>
      <c r="BS101">
        <v>0</v>
      </c>
      <c r="BU101">
        <v>0</v>
      </c>
      <c r="BV101">
        <v>0</v>
      </c>
      <c r="BW101">
        <v>0</v>
      </c>
      <c r="BX101">
        <v>707.73140000000001</v>
      </c>
      <c r="BY101">
        <v>6.7822340509407941E-2</v>
      </c>
      <c r="BZ101">
        <v>12</v>
      </c>
      <c r="CA101">
        <v>3.3911170254703971E-2</v>
      </c>
      <c r="CB101">
        <v>3.2725498799959639E-2</v>
      </c>
      <c r="CE101">
        <v>0.32763150191485713</v>
      </c>
      <c r="CH101">
        <v>0.33950185786787129</v>
      </c>
    </row>
    <row r="102" spans="1:86" x14ac:dyDescent="0.3">
      <c r="A102" s="1">
        <v>601</v>
      </c>
      <c r="B102" t="s">
        <v>1112</v>
      </c>
      <c r="C102" t="s">
        <v>1113</v>
      </c>
      <c r="E102" t="s">
        <v>404</v>
      </c>
      <c r="F102">
        <v>3.32</v>
      </c>
      <c r="G102" t="s">
        <v>1076</v>
      </c>
      <c r="H102">
        <v>-1</v>
      </c>
      <c r="I102">
        <v>-1</v>
      </c>
      <c r="J102">
        <v>1</v>
      </c>
      <c r="K102">
        <v>3.8</v>
      </c>
      <c r="L102">
        <v>3.8</v>
      </c>
      <c r="M102">
        <v>19.899999999999999</v>
      </c>
      <c r="N102" t="s">
        <v>529</v>
      </c>
      <c r="O102">
        <v>19.899999999999999</v>
      </c>
      <c r="Q102" t="s">
        <v>87</v>
      </c>
      <c r="R102">
        <v>1373</v>
      </c>
      <c r="S102">
        <v>12</v>
      </c>
      <c r="T102" t="b">
        <v>0</v>
      </c>
      <c r="U102" t="s">
        <v>88</v>
      </c>
      <c r="V102" t="s">
        <v>89</v>
      </c>
      <c r="W102">
        <v>0</v>
      </c>
      <c r="Y102">
        <v>0.5</v>
      </c>
      <c r="Z102">
        <v>1</v>
      </c>
      <c r="AC102" t="s">
        <v>90</v>
      </c>
      <c r="AD102">
        <v>125</v>
      </c>
      <c r="AE102">
        <v>220</v>
      </c>
      <c r="AF102" t="s">
        <v>91</v>
      </c>
      <c r="AG102">
        <v>288</v>
      </c>
      <c r="AH102" s="3">
        <v>4240</v>
      </c>
      <c r="AI102" s="3">
        <f>AH102/(AD102*Y102*Z102)</f>
        <v>67.84</v>
      </c>
      <c r="AJ102" s="3">
        <f>LN(AI102)</f>
        <v>4.2171519914836475</v>
      </c>
      <c r="AK102" t="s">
        <v>972</v>
      </c>
      <c r="AN102" t="b">
        <v>1</v>
      </c>
      <c r="AO102" t="b">
        <v>0</v>
      </c>
      <c r="AP102" t="b">
        <v>0</v>
      </c>
      <c r="AQ102" t="b">
        <v>0</v>
      </c>
      <c r="AR102" t="s">
        <v>1114</v>
      </c>
      <c r="AS102">
        <v>-1</v>
      </c>
      <c r="AU102">
        <v>8.3523185482260036</v>
      </c>
      <c r="AV102">
        <v>1.567567567567568</v>
      </c>
      <c r="AW102">
        <v>1.459459459459459</v>
      </c>
      <c r="AX102">
        <v>0.1621621621621622</v>
      </c>
      <c r="AY102">
        <v>0.2162162162162162</v>
      </c>
      <c r="AZ102">
        <v>0.46031746031746029</v>
      </c>
      <c r="BA102">
        <v>0.4285714285714286</v>
      </c>
      <c r="BB102">
        <v>4.7619047619047623E-2</v>
      </c>
      <c r="BC102">
        <v>6.3492063492063502E-2</v>
      </c>
      <c r="BD102">
        <v>6.6406437901247566</v>
      </c>
      <c r="BE102">
        <v>20</v>
      </c>
      <c r="BF102">
        <v>599.76260360000003</v>
      </c>
      <c r="BG102">
        <v>2</v>
      </c>
      <c r="BH102">
        <v>6.6693054485066267E-2</v>
      </c>
      <c r="BI102">
        <v>3.8530000000000002</v>
      </c>
      <c r="BJ102">
        <v>3.8530000000000002</v>
      </c>
      <c r="BK102">
        <v>40.4</v>
      </c>
      <c r="BL102">
        <v>0</v>
      </c>
      <c r="BM102">
        <v>0</v>
      </c>
      <c r="BO102">
        <v>0</v>
      </c>
      <c r="BR102">
        <v>0</v>
      </c>
      <c r="BS102">
        <v>0</v>
      </c>
      <c r="BU102">
        <v>0</v>
      </c>
      <c r="BV102">
        <v>0</v>
      </c>
      <c r="BW102">
        <v>0</v>
      </c>
      <c r="BX102">
        <v>287.35599999999999</v>
      </c>
      <c r="BY102">
        <v>6.9600077952087308E-2</v>
      </c>
      <c r="BZ102">
        <v>10</v>
      </c>
      <c r="CA102">
        <v>3.4800038976043647E-2</v>
      </c>
      <c r="CB102">
        <v>3.3346527242533133E-2</v>
      </c>
      <c r="CE102">
        <v>0.40207071969469671</v>
      </c>
      <c r="CH102">
        <v>0.41959621806299002</v>
      </c>
    </row>
    <row r="103" spans="1:86" x14ac:dyDescent="0.3">
      <c r="A103" s="1">
        <v>608</v>
      </c>
      <c r="B103" t="s">
        <v>1133</v>
      </c>
      <c r="C103" t="s">
        <v>1134</v>
      </c>
      <c r="E103" t="s">
        <v>404</v>
      </c>
      <c r="F103">
        <v>3.35</v>
      </c>
      <c r="G103" t="s">
        <v>1104</v>
      </c>
      <c r="H103">
        <v>-1</v>
      </c>
      <c r="I103">
        <v>-1</v>
      </c>
      <c r="J103">
        <v>1</v>
      </c>
      <c r="K103">
        <v>3.81</v>
      </c>
      <c r="L103">
        <v>3.81</v>
      </c>
      <c r="M103">
        <v>28.3</v>
      </c>
      <c r="N103" t="s">
        <v>529</v>
      </c>
      <c r="O103">
        <v>28.3</v>
      </c>
      <c r="Q103" t="s">
        <v>87</v>
      </c>
      <c r="R103">
        <v>1373</v>
      </c>
      <c r="S103">
        <v>12</v>
      </c>
      <c r="T103" t="b">
        <v>0</v>
      </c>
      <c r="U103" t="s">
        <v>88</v>
      </c>
      <c r="V103" t="s">
        <v>89</v>
      </c>
      <c r="W103">
        <v>0</v>
      </c>
      <c r="Y103">
        <v>0.5</v>
      </c>
      <c r="Z103">
        <v>1</v>
      </c>
      <c r="AC103" t="s">
        <v>90</v>
      </c>
      <c r="AD103">
        <v>125</v>
      </c>
      <c r="AE103">
        <v>220</v>
      </c>
      <c r="AF103" t="s">
        <v>91</v>
      </c>
      <c r="AG103">
        <v>288</v>
      </c>
      <c r="AH103" s="3">
        <v>3916</v>
      </c>
      <c r="AI103" s="3">
        <f>AH103/(AD103*Y103*Z103)</f>
        <v>62.655999999999999</v>
      </c>
      <c r="AJ103" s="3">
        <f>LN(AI103)</f>
        <v>4.137659446908045</v>
      </c>
      <c r="AK103" t="s">
        <v>972</v>
      </c>
      <c r="AN103" t="b">
        <v>1</v>
      </c>
      <c r="AO103" t="b">
        <v>0</v>
      </c>
      <c r="AP103" t="b">
        <v>0</v>
      </c>
      <c r="AQ103" t="b">
        <v>0</v>
      </c>
      <c r="AR103" t="s">
        <v>1135</v>
      </c>
      <c r="AS103">
        <v>-1</v>
      </c>
      <c r="AU103">
        <v>8.2728260036504011</v>
      </c>
      <c r="AV103">
        <v>1.491525423728814</v>
      </c>
      <c r="AW103">
        <v>1.220338983050848</v>
      </c>
      <c r="AX103">
        <v>0.10169491525423729</v>
      </c>
      <c r="AY103">
        <v>0.13559322033898311</v>
      </c>
      <c r="AZ103">
        <v>0.50574712643678155</v>
      </c>
      <c r="BA103">
        <v>0.41379310344827591</v>
      </c>
      <c r="BB103">
        <v>3.4482758620689648E-2</v>
      </c>
      <c r="BC103">
        <v>4.5977011494252873E-2</v>
      </c>
      <c r="BD103">
        <v>6.7267272743310169</v>
      </c>
      <c r="BE103">
        <v>24</v>
      </c>
      <c r="BF103">
        <v>872.92180919999998</v>
      </c>
      <c r="BG103">
        <v>2</v>
      </c>
      <c r="BH103">
        <v>5.4987742881564841E-2</v>
      </c>
      <c r="BI103">
        <v>3.8530000000000002</v>
      </c>
      <c r="BJ103">
        <v>3.8530000000000002</v>
      </c>
      <c r="BK103">
        <v>58.8</v>
      </c>
      <c r="BL103">
        <v>0</v>
      </c>
      <c r="BM103">
        <v>0</v>
      </c>
      <c r="BO103">
        <v>0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410.80563000000001</v>
      </c>
      <c r="BY103">
        <v>5.8421789399526969E-2</v>
      </c>
      <c r="BZ103">
        <v>12</v>
      </c>
      <c r="CA103">
        <v>2.9210894699763481E-2</v>
      </c>
      <c r="CB103">
        <v>2.7493871440782421E-2</v>
      </c>
      <c r="CE103">
        <v>0.27257626362986881</v>
      </c>
      <c r="CH103">
        <v>0.28959895850594991</v>
      </c>
    </row>
    <row r="104" spans="1:86" x14ac:dyDescent="0.3">
      <c r="A104" s="1">
        <v>669</v>
      </c>
      <c r="B104" t="s">
        <v>140</v>
      </c>
      <c r="C104" t="s">
        <v>141</v>
      </c>
      <c r="E104" t="s">
        <v>106</v>
      </c>
      <c r="F104">
        <v>3.45</v>
      </c>
      <c r="G104" t="s">
        <v>142</v>
      </c>
      <c r="H104">
        <v>1522043</v>
      </c>
      <c r="I104">
        <v>-1</v>
      </c>
      <c r="J104">
        <v>1</v>
      </c>
      <c r="K104">
        <v>3.8531</v>
      </c>
      <c r="L104">
        <v>3.8531</v>
      </c>
      <c r="M104">
        <v>16.2151</v>
      </c>
      <c r="N104" t="s">
        <v>1175</v>
      </c>
      <c r="O104">
        <v>16.2151</v>
      </c>
      <c r="Q104" t="s">
        <v>87</v>
      </c>
      <c r="R104">
        <v>1373</v>
      </c>
      <c r="S104">
        <v>24</v>
      </c>
      <c r="T104" t="b">
        <v>0</v>
      </c>
      <c r="U104" t="s">
        <v>88</v>
      </c>
      <c r="V104" t="s">
        <v>89</v>
      </c>
      <c r="W104">
        <v>0</v>
      </c>
      <c r="Y104">
        <v>0.5</v>
      </c>
      <c r="Z104">
        <v>1</v>
      </c>
      <c r="AC104" t="s">
        <v>90</v>
      </c>
      <c r="AD104">
        <v>125</v>
      </c>
      <c r="AE104">
        <v>220</v>
      </c>
      <c r="AF104" t="s">
        <v>91</v>
      </c>
      <c r="AG104">
        <v>288</v>
      </c>
      <c r="AH104" s="3">
        <v>3896.3136115165939</v>
      </c>
      <c r="AI104" s="3">
        <f>AH104/(AD104*Y104*Z104)</f>
        <v>62.341017784265503</v>
      </c>
      <c r="AJ104" s="3">
        <f>LN(AI104)</f>
        <v>4.1326196005496056</v>
      </c>
      <c r="AK104" t="s">
        <v>144</v>
      </c>
      <c r="AL104" t="s">
        <v>144</v>
      </c>
      <c r="AN104" t="b">
        <v>1</v>
      </c>
      <c r="AO104" t="b">
        <v>1</v>
      </c>
      <c r="AP104" t="b">
        <v>0</v>
      </c>
      <c r="AQ104" t="b">
        <v>0</v>
      </c>
      <c r="AR104" t="s">
        <v>1176</v>
      </c>
      <c r="AS104" t="s">
        <v>1177</v>
      </c>
      <c r="AU104">
        <v>8.2677861572919618</v>
      </c>
      <c r="AV104">
        <v>1.75</v>
      </c>
      <c r="AW104">
        <v>2.5</v>
      </c>
      <c r="AX104">
        <v>0.75</v>
      </c>
      <c r="AY104">
        <v>0</v>
      </c>
      <c r="AZ104">
        <v>0.35</v>
      </c>
      <c r="BA104">
        <v>0.5</v>
      </c>
      <c r="BB104">
        <v>0.15</v>
      </c>
      <c r="BC104">
        <v>0</v>
      </c>
      <c r="BD104">
        <v>6.2640154224906874</v>
      </c>
      <c r="BE104">
        <v>20</v>
      </c>
      <c r="BF104">
        <v>242.1279024923125</v>
      </c>
      <c r="BG104">
        <v>1</v>
      </c>
      <c r="BH104">
        <v>8.2600971611006269E-2</v>
      </c>
      <c r="BI104">
        <v>3.950634</v>
      </c>
      <c r="BJ104">
        <v>3.950634</v>
      </c>
      <c r="BK104">
        <v>15.513552000000001</v>
      </c>
      <c r="BL104">
        <v>227.970829547178</v>
      </c>
      <c r="BM104">
        <v>1</v>
      </c>
      <c r="BN104">
        <v>8.7730522539775438E-2</v>
      </c>
      <c r="BO104">
        <v>3.8658999999999999</v>
      </c>
      <c r="BP104">
        <v>3.8658999999999999</v>
      </c>
      <c r="BQ104">
        <v>15.2538</v>
      </c>
      <c r="BR104">
        <v>0</v>
      </c>
      <c r="BS104">
        <v>0</v>
      </c>
      <c r="BU104">
        <v>0</v>
      </c>
      <c r="BV104">
        <v>0</v>
      </c>
      <c r="BW104">
        <v>0</v>
      </c>
      <c r="BX104">
        <v>240.73553001411099</v>
      </c>
      <c r="BY104">
        <v>8.3078721279022161E-2</v>
      </c>
      <c r="BZ104">
        <v>10</v>
      </c>
      <c r="CA104">
        <v>4.153936063951108E-2</v>
      </c>
      <c r="CB104">
        <v>4.1300485805503127E-2</v>
      </c>
      <c r="CC104">
        <v>4.3865261269887719E-2</v>
      </c>
      <c r="CE104">
        <v>0.42195359024583579</v>
      </c>
      <c r="CF104">
        <v>0.44815706447294301</v>
      </c>
      <c r="CH104">
        <v>0.42439409649807952</v>
      </c>
    </row>
    <row r="105" spans="1:86" x14ac:dyDescent="0.3">
      <c r="A105" s="1">
        <v>595</v>
      </c>
      <c r="B105" t="s">
        <v>1090</v>
      </c>
      <c r="C105" t="s">
        <v>1091</v>
      </c>
      <c r="E105" t="s">
        <v>404</v>
      </c>
      <c r="F105">
        <v>3.33</v>
      </c>
      <c r="G105" t="s">
        <v>1092</v>
      </c>
      <c r="H105">
        <v>-1</v>
      </c>
      <c r="I105">
        <v>-1</v>
      </c>
      <c r="J105">
        <v>2</v>
      </c>
      <c r="K105">
        <v>3.81</v>
      </c>
      <c r="L105">
        <v>3.81</v>
      </c>
      <c r="M105">
        <v>35.1</v>
      </c>
      <c r="N105" t="s">
        <v>529</v>
      </c>
      <c r="O105">
        <v>17.55</v>
      </c>
      <c r="Q105" t="s">
        <v>87</v>
      </c>
      <c r="R105">
        <v>1373</v>
      </c>
      <c r="S105">
        <v>12</v>
      </c>
      <c r="T105" t="b">
        <v>0</v>
      </c>
      <c r="U105" t="s">
        <v>88</v>
      </c>
      <c r="V105" t="s">
        <v>89</v>
      </c>
      <c r="W105">
        <v>0</v>
      </c>
      <c r="X105">
        <v>5.73</v>
      </c>
      <c r="Y105">
        <v>0.5</v>
      </c>
      <c r="Z105">
        <v>1</v>
      </c>
      <c r="AC105" t="s">
        <v>90</v>
      </c>
      <c r="AD105">
        <v>125</v>
      </c>
      <c r="AE105">
        <v>220</v>
      </c>
      <c r="AF105" t="s">
        <v>91</v>
      </c>
      <c r="AG105">
        <v>288</v>
      </c>
      <c r="AH105" s="3">
        <v>3712</v>
      </c>
      <c r="AI105" s="3">
        <f>AH105/(AD105*Y105*Z105)</f>
        <v>59.392000000000003</v>
      </c>
      <c r="AJ105" s="3">
        <f>LN(AI105)</f>
        <v>4.0841595371637354</v>
      </c>
      <c r="AK105" t="s">
        <v>136</v>
      </c>
      <c r="AN105" t="b">
        <v>1</v>
      </c>
      <c r="AO105" t="b">
        <v>0</v>
      </c>
      <c r="AP105" t="b">
        <v>0</v>
      </c>
      <c r="AQ105" t="b">
        <v>0</v>
      </c>
      <c r="AR105" t="s">
        <v>1093</v>
      </c>
      <c r="AS105">
        <v>-1</v>
      </c>
      <c r="AU105">
        <v>8.2193260939060906</v>
      </c>
      <c r="AV105">
        <v>1.655172413793103</v>
      </c>
      <c r="AW105">
        <v>1.7931034482758621</v>
      </c>
      <c r="AX105">
        <v>0.27586206896551718</v>
      </c>
      <c r="AY105">
        <v>0</v>
      </c>
      <c r="AZ105">
        <v>0.44444444444444448</v>
      </c>
      <c r="BA105">
        <v>0.48148148148148151</v>
      </c>
      <c r="BB105">
        <v>7.407407407407407E-2</v>
      </c>
      <c r="BC105">
        <v>0</v>
      </c>
      <c r="BD105">
        <v>6.5948452115003446</v>
      </c>
      <c r="BE105">
        <v>24</v>
      </c>
      <c r="BF105">
        <v>442.10225086560899</v>
      </c>
      <c r="BG105">
        <v>2</v>
      </c>
      <c r="BH105">
        <v>0.10857216832988061</v>
      </c>
      <c r="BI105">
        <v>3.8530000000000002</v>
      </c>
      <c r="BJ105">
        <v>3.8530000000000002</v>
      </c>
      <c r="BK105">
        <v>29.780000999999999</v>
      </c>
      <c r="BL105">
        <v>0</v>
      </c>
      <c r="BM105">
        <v>0</v>
      </c>
      <c r="BO105">
        <v>0</v>
      </c>
      <c r="BR105">
        <v>0</v>
      </c>
      <c r="BS105">
        <v>0</v>
      </c>
      <c r="BU105">
        <v>0</v>
      </c>
      <c r="BV105">
        <v>0</v>
      </c>
      <c r="BW105">
        <v>0</v>
      </c>
      <c r="BX105">
        <v>509.51510999999999</v>
      </c>
      <c r="BY105">
        <v>9.4207215954792783E-2</v>
      </c>
      <c r="BZ105">
        <v>12</v>
      </c>
      <c r="CA105">
        <v>4.7103607977396392E-2</v>
      </c>
      <c r="CB105">
        <v>5.4286084164940303E-2</v>
      </c>
      <c r="CE105">
        <v>0.5404137898632555</v>
      </c>
      <c r="CH105">
        <v>0.46891279219836968</v>
      </c>
    </row>
    <row r="106" spans="1:86" x14ac:dyDescent="0.3">
      <c r="A106" s="1">
        <v>798</v>
      </c>
      <c r="B106" t="s">
        <v>1331</v>
      </c>
      <c r="C106" t="s">
        <v>1332</v>
      </c>
      <c r="E106" t="s">
        <v>404</v>
      </c>
      <c r="F106">
        <v>3.54</v>
      </c>
      <c r="G106" t="s">
        <v>405</v>
      </c>
      <c r="H106">
        <v>-1</v>
      </c>
      <c r="I106">
        <v>-1</v>
      </c>
      <c r="J106">
        <v>2</v>
      </c>
      <c r="K106">
        <v>3.78</v>
      </c>
      <c r="L106">
        <v>3.78</v>
      </c>
      <c r="M106">
        <v>27.2</v>
      </c>
      <c r="N106" t="s">
        <v>529</v>
      </c>
      <c r="O106">
        <v>13.6</v>
      </c>
      <c r="Q106" t="s">
        <v>87</v>
      </c>
      <c r="R106">
        <v>1273</v>
      </c>
      <c r="S106">
        <v>10</v>
      </c>
      <c r="T106" t="b">
        <v>0</v>
      </c>
      <c r="U106" t="s">
        <v>88</v>
      </c>
      <c r="V106" t="s">
        <v>89</v>
      </c>
      <c r="W106">
        <v>0</v>
      </c>
      <c r="Y106">
        <v>0.5</v>
      </c>
      <c r="Z106">
        <v>0.1</v>
      </c>
      <c r="AC106" t="s">
        <v>90</v>
      </c>
      <c r="AD106">
        <v>125</v>
      </c>
      <c r="AE106">
        <v>220</v>
      </c>
      <c r="AF106" t="s">
        <v>91</v>
      </c>
      <c r="AG106">
        <v>288</v>
      </c>
      <c r="AH106" s="3">
        <v>347.99999999999989</v>
      </c>
      <c r="AI106" s="3">
        <f>AH106/(AD106*Y106*Z106)</f>
        <v>55.679999999999978</v>
      </c>
      <c r="AJ106" s="3">
        <f>LN(AI106)</f>
        <v>4.0196210160261634</v>
      </c>
      <c r="AK106" t="s">
        <v>1333</v>
      </c>
      <c r="AN106" t="b">
        <v>1</v>
      </c>
      <c r="AO106" t="b">
        <v>0</v>
      </c>
      <c r="AP106" t="b">
        <v>0</v>
      </c>
      <c r="AQ106" t="b">
        <v>0</v>
      </c>
      <c r="AR106" t="s">
        <v>1334</v>
      </c>
      <c r="AU106">
        <v>5.8522024797744736</v>
      </c>
      <c r="AV106">
        <v>1.882352941176471</v>
      </c>
      <c r="AW106">
        <v>2.3529411764705879</v>
      </c>
      <c r="AX106">
        <v>0.35294117647058831</v>
      </c>
      <c r="AY106">
        <v>0.47058823529411759</v>
      </c>
      <c r="AZ106">
        <v>0.37209302325581389</v>
      </c>
      <c r="BA106">
        <v>0.46511627906976749</v>
      </c>
      <c r="BB106">
        <v>6.9767441860465129E-2</v>
      </c>
      <c r="BC106">
        <v>9.3023255813953487E-2</v>
      </c>
      <c r="BD106">
        <v>5.9342157496971177</v>
      </c>
      <c r="BE106">
        <v>20</v>
      </c>
      <c r="BF106">
        <v>229.90248606119221</v>
      </c>
      <c r="BG106">
        <v>1</v>
      </c>
      <c r="BH106">
        <v>8.6993404650164072E-2</v>
      </c>
      <c r="BI106">
        <v>15.28115725</v>
      </c>
      <c r="BJ106">
        <v>15.28115725</v>
      </c>
      <c r="BK106">
        <v>15.28115725</v>
      </c>
      <c r="BL106">
        <v>0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U106">
        <v>0</v>
      </c>
      <c r="BV106">
        <v>0</v>
      </c>
      <c r="BW106">
        <v>0</v>
      </c>
      <c r="BX106">
        <v>388.64447999999999</v>
      </c>
      <c r="BY106">
        <v>0.1029218271670808</v>
      </c>
      <c r="BZ106">
        <v>10</v>
      </c>
      <c r="CA106">
        <v>5.1460913583540407E-2</v>
      </c>
      <c r="CB106">
        <v>4.3496702325082043E-2</v>
      </c>
      <c r="CE106">
        <v>0.52201783597926332</v>
      </c>
      <c r="CH106">
        <v>0.61759888245378569</v>
      </c>
    </row>
    <row r="107" spans="1:86" x14ac:dyDescent="0.3">
      <c r="A107" s="1">
        <v>802</v>
      </c>
      <c r="B107" t="s">
        <v>1340</v>
      </c>
      <c r="C107" t="s">
        <v>1341</v>
      </c>
      <c r="E107" t="s">
        <v>130</v>
      </c>
      <c r="F107">
        <v>5.0999999999999996</v>
      </c>
      <c r="G107" t="s">
        <v>1342</v>
      </c>
      <c r="H107">
        <v>-1</v>
      </c>
      <c r="I107" t="s">
        <v>1343</v>
      </c>
      <c r="O107">
        <v>0</v>
      </c>
      <c r="Q107" t="s">
        <v>821</v>
      </c>
      <c r="R107">
        <v>513</v>
      </c>
      <c r="S107">
        <v>4</v>
      </c>
      <c r="T107" t="b">
        <v>0</v>
      </c>
      <c r="U107" t="s">
        <v>88</v>
      </c>
      <c r="V107" t="s">
        <v>89</v>
      </c>
      <c r="W107">
        <v>0</v>
      </c>
      <c r="X107">
        <v>87</v>
      </c>
      <c r="Y107">
        <v>0.5</v>
      </c>
      <c r="Z107">
        <v>0.1</v>
      </c>
      <c r="AC107" t="s">
        <v>90</v>
      </c>
      <c r="AD107">
        <v>125</v>
      </c>
      <c r="AE107">
        <v>220</v>
      </c>
      <c r="AF107" t="s">
        <v>91</v>
      </c>
      <c r="AG107">
        <v>288</v>
      </c>
      <c r="AH107" s="3">
        <v>343.99999999999989</v>
      </c>
      <c r="AI107" s="3">
        <f>AH107/(AD107*Y107*Z107)</f>
        <v>55.039999999999985</v>
      </c>
      <c r="AJ107" s="3">
        <f>LN(AI107)</f>
        <v>4.0080601936250879</v>
      </c>
      <c r="AN107" t="b">
        <v>0</v>
      </c>
      <c r="AO107" t="b">
        <v>0</v>
      </c>
      <c r="AP107" t="b">
        <v>1</v>
      </c>
      <c r="AQ107" t="b">
        <v>0</v>
      </c>
      <c r="AR107" t="s">
        <v>1342</v>
      </c>
      <c r="AT107" t="s">
        <v>1343</v>
      </c>
      <c r="AU107">
        <v>5.8406416573733981</v>
      </c>
      <c r="AV107">
        <v>2</v>
      </c>
      <c r="AW107">
        <v>2.666666666666667</v>
      </c>
      <c r="AX107">
        <v>0.66666666666666663</v>
      </c>
      <c r="AY107">
        <v>0</v>
      </c>
      <c r="AZ107">
        <v>0.375</v>
      </c>
      <c r="BA107">
        <v>0.5</v>
      </c>
      <c r="BB107">
        <v>0.125</v>
      </c>
      <c r="BC107">
        <v>0</v>
      </c>
      <c r="BD107">
        <v>6.2042918263333329</v>
      </c>
      <c r="BE107">
        <v>4</v>
      </c>
      <c r="BF107">
        <v>0</v>
      </c>
      <c r="BG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0</v>
      </c>
      <c r="BR107">
        <v>253.865612</v>
      </c>
      <c r="BS107">
        <v>8</v>
      </c>
      <c r="BT107">
        <v>0.12605094383559129</v>
      </c>
      <c r="BU107">
        <v>4.9400000000000004</v>
      </c>
      <c r="BV107">
        <v>9.94</v>
      </c>
      <c r="BW107">
        <v>5.17</v>
      </c>
      <c r="BZ107">
        <v>2</v>
      </c>
      <c r="CD107">
        <v>6.3025471917795631E-2</v>
      </c>
      <c r="CG107">
        <v>0.61205976749226443</v>
      </c>
    </row>
    <row r="108" spans="1:86" x14ac:dyDescent="0.3">
      <c r="A108" s="1">
        <v>607</v>
      </c>
      <c r="B108" t="s">
        <v>1130</v>
      </c>
      <c r="C108" t="s">
        <v>1131</v>
      </c>
      <c r="E108" t="s">
        <v>404</v>
      </c>
      <c r="F108">
        <v>3.33</v>
      </c>
      <c r="G108" t="s">
        <v>1100</v>
      </c>
      <c r="H108">
        <v>-1</v>
      </c>
      <c r="I108">
        <v>-1</v>
      </c>
      <c r="J108">
        <v>2</v>
      </c>
      <c r="K108">
        <v>3.78</v>
      </c>
      <c r="L108">
        <v>3.78</v>
      </c>
      <c r="M108">
        <v>47.3</v>
      </c>
      <c r="N108" t="s">
        <v>529</v>
      </c>
      <c r="O108">
        <v>23.65</v>
      </c>
      <c r="Q108" t="s">
        <v>87</v>
      </c>
      <c r="R108">
        <v>1373</v>
      </c>
      <c r="S108">
        <v>12</v>
      </c>
      <c r="T108" t="b">
        <v>0</v>
      </c>
      <c r="U108" t="s">
        <v>88</v>
      </c>
      <c r="V108" t="s">
        <v>89</v>
      </c>
      <c r="W108">
        <v>0</v>
      </c>
      <c r="X108">
        <v>3.87</v>
      </c>
      <c r="Y108">
        <v>0.5</v>
      </c>
      <c r="Z108">
        <v>1</v>
      </c>
      <c r="AC108" t="s">
        <v>90</v>
      </c>
      <c r="AD108">
        <v>125</v>
      </c>
      <c r="AE108">
        <v>220</v>
      </c>
      <c r="AF108" t="s">
        <v>91</v>
      </c>
      <c r="AG108">
        <v>288</v>
      </c>
      <c r="AH108" s="3">
        <v>3340</v>
      </c>
      <c r="AI108" s="3">
        <f>AH108/(AD108*Y108*Z108)</f>
        <v>53.44</v>
      </c>
      <c r="AJ108" s="3">
        <f>LN(AI108)</f>
        <v>3.9785595292283902</v>
      </c>
      <c r="AK108" t="s">
        <v>972</v>
      </c>
      <c r="AN108" t="b">
        <v>1</v>
      </c>
      <c r="AO108" t="b">
        <v>0</v>
      </c>
      <c r="AP108" t="b">
        <v>0</v>
      </c>
      <c r="AQ108" t="b">
        <v>0</v>
      </c>
      <c r="AR108" t="s">
        <v>1132</v>
      </c>
      <c r="AS108">
        <v>-1</v>
      </c>
      <c r="AU108">
        <v>8.1137260859707467</v>
      </c>
      <c r="AV108">
        <v>1.531914893617021</v>
      </c>
      <c r="AW108">
        <v>1.361702127659574</v>
      </c>
      <c r="AX108">
        <v>0.1276595744680851</v>
      </c>
      <c r="AY108">
        <v>0.1702127659574468</v>
      </c>
      <c r="AZ108">
        <v>0.48</v>
      </c>
      <c r="BA108">
        <v>0.42666666666666658</v>
      </c>
      <c r="BB108">
        <v>0.04</v>
      </c>
      <c r="BC108">
        <v>5.333333333333333E-2</v>
      </c>
      <c r="BD108">
        <v>6.6898206128664253</v>
      </c>
      <c r="BE108">
        <v>24</v>
      </c>
      <c r="BF108">
        <v>733.37308460000008</v>
      </c>
      <c r="BG108">
        <v>2</v>
      </c>
      <c r="BH108">
        <v>6.5450997599919278E-2</v>
      </c>
      <c r="BI108">
        <v>3.8530000000000002</v>
      </c>
      <c r="BJ108">
        <v>3.8530000000000002</v>
      </c>
      <c r="BK108">
        <v>49.4</v>
      </c>
      <c r="BL108">
        <v>0</v>
      </c>
      <c r="BM108">
        <v>0</v>
      </c>
      <c r="BO108">
        <v>0</v>
      </c>
      <c r="BR108">
        <v>0</v>
      </c>
      <c r="BS108">
        <v>0</v>
      </c>
      <c r="BU108">
        <v>0</v>
      </c>
      <c r="BV108">
        <v>0</v>
      </c>
      <c r="BW108">
        <v>0</v>
      </c>
      <c r="BX108">
        <v>675.84131999999988</v>
      </c>
      <c r="BY108">
        <v>7.1022588556734004E-2</v>
      </c>
      <c r="BZ108">
        <v>12</v>
      </c>
      <c r="CA108">
        <v>3.5511294278367002E-2</v>
      </c>
      <c r="CB108">
        <v>3.2725498799959639E-2</v>
      </c>
      <c r="CE108">
        <v>0.32320854871932547</v>
      </c>
      <c r="CH108">
        <v>0.35072204573609261</v>
      </c>
    </row>
    <row r="109" spans="1:86" x14ac:dyDescent="0.3">
      <c r="A109" s="1">
        <v>590</v>
      </c>
      <c r="B109" t="s">
        <v>1070</v>
      </c>
      <c r="C109" t="s">
        <v>1071</v>
      </c>
      <c r="E109" t="s">
        <v>404</v>
      </c>
      <c r="F109">
        <v>3.34</v>
      </c>
      <c r="G109" t="s">
        <v>1072</v>
      </c>
      <c r="H109">
        <v>-1</v>
      </c>
      <c r="I109">
        <v>-1</v>
      </c>
      <c r="J109">
        <v>2</v>
      </c>
      <c r="K109">
        <v>3.83</v>
      </c>
      <c r="L109">
        <v>3.83</v>
      </c>
      <c r="M109">
        <v>36.700000000000003</v>
      </c>
      <c r="N109" t="s">
        <v>529</v>
      </c>
      <c r="O109">
        <v>18.350000000000001</v>
      </c>
      <c r="Q109" t="s">
        <v>87</v>
      </c>
      <c r="R109">
        <v>1373</v>
      </c>
      <c r="S109">
        <v>12</v>
      </c>
      <c r="T109" t="b">
        <v>0</v>
      </c>
      <c r="U109" t="s">
        <v>88</v>
      </c>
      <c r="V109" t="s">
        <v>89</v>
      </c>
      <c r="W109">
        <v>0</v>
      </c>
      <c r="X109">
        <v>3.88</v>
      </c>
      <c r="Y109">
        <v>0.5</v>
      </c>
      <c r="Z109">
        <v>1</v>
      </c>
      <c r="AC109" t="s">
        <v>90</v>
      </c>
      <c r="AD109">
        <v>125</v>
      </c>
      <c r="AE109">
        <v>220</v>
      </c>
      <c r="AF109" t="s">
        <v>91</v>
      </c>
      <c r="AG109">
        <v>288</v>
      </c>
      <c r="AH109" s="3">
        <v>3276</v>
      </c>
      <c r="AI109" s="3">
        <f>AH109/(AD109*Y109*Z109)</f>
        <v>52.415999999999997</v>
      </c>
      <c r="AJ109" s="3">
        <f>LN(AI109)</f>
        <v>3.959211888230604</v>
      </c>
      <c r="AK109" t="s">
        <v>136</v>
      </c>
      <c r="AN109" t="b">
        <v>1</v>
      </c>
      <c r="AO109" t="b">
        <v>0</v>
      </c>
      <c r="AP109" t="b">
        <v>0</v>
      </c>
      <c r="AQ109" t="b">
        <v>0</v>
      </c>
      <c r="AR109" t="s">
        <v>1073</v>
      </c>
      <c r="AS109">
        <v>-1</v>
      </c>
      <c r="AU109">
        <v>8.0943784449729606</v>
      </c>
      <c r="AV109">
        <v>1.612903225806452</v>
      </c>
      <c r="AW109">
        <v>1.612903225806452</v>
      </c>
      <c r="AX109">
        <v>0.25806451612903231</v>
      </c>
      <c r="AY109">
        <v>0</v>
      </c>
      <c r="AZ109">
        <v>0.46296296296296291</v>
      </c>
      <c r="BA109">
        <v>0.46296296296296291</v>
      </c>
      <c r="BB109">
        <v>7.407407407407407E-2</v>
      </c>
      <c r="BC109">
        <v>0</v>
      </c>
      <c r="BD109">
        <v>6.6125194498132904</v>
      </c>
      <c r="BE109">
        <v>20</v>
      </c>
      <c r="BF109">
        <v>442.10225086560899</v>
      </c>
      <c r="BG109">
        <v>2</v>
      </c>
      <c r="BH109">
        <v>9.0476806941567164E-2</v>
      </c>
      <c r="BI109">
        <v>3.8530000000000002</v>
      </c>
      <c r="BJ109">
        <v>3.8530000000000002</v>
      </c>
      <c r="BK109">
        <v>29.780000999999999</v>
      </c>
      <c r="BL109">
        <v>0</v>
      </c>
      <c r="BM109">
        <v>0</v>
      </c>
      <c r="BO109">
        <v>0</v>
      </c>
      <c r="BR109">
        <v>0</v>
      </c>
      <c r="BS109">
        <v>0</v>
      </c>
      <c r="BU109">
        <v>0</v>
      </c>
      <c r="BV109">
        <v>0</v>
      </c>
      <c r="BW109">
        <v>0</v>
      </c>
      <c r="BX109">
        <v>538.34863000000007</v>
      </c>
      <c r="BY109">
        <v>7.4301294311829108E-2</v>
      </c>
      <c r="BZ109">
        <v>10</v>
      </c>
      <c r="CA109">
        <v>3.7150647155914547E-2</v>
      </c>
      <c r="CB109">
        <v>4.5238403470783582E-2</v>
      </c>
      <c r="CE109">
        <v>0.55176828120906396</v>
      </c>
      <c r="CH109">
        <v>0.45312272658476987</v>
      </c>
    </row>
    <row r="110" spans="1:86" x14ac:dyDescent="0.3">
      <c r="A110" s="1">
        <v>596</v>
      </c>
      <c r="B110" t="s">
        <v>1094</v>
      </c>
      <c r="C110" t="s">
        <v>1095</v>
      </c>
      <c r="E110" t="s">
        <v>404</v>
      </c>
      <c r="F110">
        <v>3.41</v>
      </c>
      <c r="G110" t="s">
        <v>1096</v>
      </c>
      <c r="H110">
        <v>-1</v>
      </c>
      <c r="I110">
        <v>-1</v>
      </c>
      <c r="J110">
        <v>2</v>
      </c>
      <c r="K110">
        <v>3.83</v>
      </c>
      <c r="L110">
        <v>3.83</v>
      </c>
      <c r="M110">
        <v>39.5</v>
      </c>
      <c r="N110" t="s">
        <v>529</v>
      </c>
      <c r="O110">
        <v>19.75</v>
      </c>
      <c r="Q110" t="s">
        <v>87</v>
      </c>
      <c r="R110">
        <v>1373</v>
      </c>
      <c r="S110">
        <v>12</v>
      </c>
      <c r="T110" t="b">
        <v>0</v>
      </c>
      <c r="U110" t="s">
        <v>88</v>
      </c>
      <c r="V110" t="s">
        <v>89</v>
      </c>
      <c r="W110">
        <v>0</v>
      </c>
      <c r="Y110">
        <v>0.5</v>
      </c>
      <c r="Z110">
        <v>1</v>
      </c>
      <c r="AC110" t="s">
        <v>90</v>
      </c>
      <c r="AD110">
        <v>125</v>
      </c>
      <c r="AE110">
        <v>220</v>
      </c>
      <c r="AF110" t="s">
        <v>91</v>
      </c>
      <c r="AG110">
        <v>288</v>
      </c>
      <c r="AH110" s="3">
        <v>3140</v>
      </c>
      <c r="AI110" s="3">
        <f>AH110/(AD110*Y110*Z110)</f>
        <v>50.24</v>
      </c>
      <c r="AJ110" s="3">
        <f>LN(AI110)</f>
        <v>3.9168115221599433</v>
      </c>
      <c r="AK110" t="s">
        <v>136</v>
      </c>
      <c r="AN110" t="b">
        <v>1</v>
      </c>
      <c r="AO110" t="b">
        <v>0</v>
      </c>
      <c r="AP110" t="b">
        <v>0</v>
      </c>
      <c r="AQ110" t="b">
        <v>0</v>
      </c>
      <c r="AR110" t="s">
        <v>1097</v>
      </c>
      <c r="AS110">
        <v>-1</v>
      </c>
      <c r="AU110">
        <v>8.0519780789022999</v>
      </c>
      <c r="AV110">
        <v>1.6</v>
      </c>
      <c r="AW110">
        <v>1.6</v>
      </c>
      <c r="AX110">
        <v>0.22857142857142859</v>
      </c>
      <c r="AY110">
        <v>0</v>
      </c>
      <c r="AZ110">
        <v>0.46666666666666667</v>
      </c>
      <c r="BA110">
        <v>0.46666666666666667</v>
      </c>
      <c r="BB110">
        <v>6.6666666666666666E-2</v>
      </c>
      <c r="BC110">
        <v>0</v>
      </c>
      <c r="BD110">
        <v>6.6422337521118289</v>
      </c>
      <c r="BE110">
        <v>24</v>
      </c>
      <c r="BF110">
        <v>599.76260360000003</v>
      </c>
      <c r="BG110">
        <v>2</v>
      </c>
      <c r="BH110">
        <v>8.0031665382079509E-2</v>
      </c>
      <c r="BI110">
        <v>3.8530000000000002</v>
      </c>
      <c r="BJ110">
        <v>3.8530000000000002</v>
      </c>
      <c r="BK110">
        <v>40.4</v>
      </c>
      <c r="BL110">
        <v>0</v>
      </c>
      <c r="BM110">
        <v>0</v>
      </c>
      <c r="BO110">
        <v>0</v>
      </c>
      <c r="BR110">
        <v>0</v>
      </c>
      <c r="BS110">
        <v>0</v>
      </c>
      <c r="BU110">
        <v>0</v>
      </c>
      <c r="BV110">
        <v>0</v>
      </c>
      <c r="BW110">
        <v>0</v>
      </c>
      <c r="BX110">
        <v>579.42155000000002</v>
      </c>
      <c r="BY110">
        <v>8.2841240544125422E-2</v>
      </c>
      <c r="BZ110">
        <v>12</v>
      </c>
      <c r="CA110">
        <v>4.1420620272062711E-2</v>
      </c>
      <c r="CB110">
        <v>4.0015832691039747E-2</v>
      </c>
      <c r="CE110">
        <v>0.3991092623735728</v>
      </c>
      <c r="CH110">
        <v>0.41312030994023191</v>
      </c>
    </row>
    <row r="111" spans="1:86" x14ac:dyDescent="0.3">
      <c r="A111" s="1">
        <v>606</v>
      </c>
      <c r="B111" t="s">
        <v>1127</v>
      </c>
      <c r="C111" t="s">
        <v>1128</v>
      </c>
      <c r="E111" t="s">
        <v>404</v>
      </c>
      <c r="F111">
        <v>3.33</v>
      </c>
      <c r="G111" t="s">
        <v>1096</v>
      </c>
      <c r="H111">
        <v>-1</v>
      </c>
      <c r="I111">
        <v>-1</v>
      </c>
      <c r="J111">
        <v>2</v>
      </c>
      <c r="K111">
        <v>3.77</v>
      </c>
      <c r="L111">
        <v>3.77</v>
      </c>
      <c r="M111">
        <v>40.9</v>
      </c>
      <c r="N111" t="s">
        <v>529</v>
      </c>
      <c r="O111">
        <v>20.45</v>
      </c>
      <c r="Q111" t="s">
        <v>87</v>
      </c>
      <c r="R111">
        <v>1373</v>
      </c>
      <c r="S111">
        <v>12</v>
      </c>
      <c r="T111" t="b">
        <v>0</v>
      </c>
      <c r="U111" t="s">
        <v>88</v>
      </c>
      <c r="V111" t="s">
        <v>89</v>
      </c>
      <c r="W111">
        <v>0</v>
      </c>
      <c r="Y111">
        <v>0.5</v>
      </c>
      <c r="Z111">
        <v>1</v>
      </c>
      <c r="AC111" t="s">
        <v>90</v>
      </c>
      <c r="AD111">
        <v>125</v>
      </c>
      <c r="AE111">
        <v>220</v>
      </c>
      <c r="AF111" t="s">
        <v>91</v>
      </c>
      <c r="AG111">
        <v>288</v>
      </c>
      <c r="AH111" s="3">
        <v>3032</v>
      </c>
      <c r="AI111" s="3">
        <f>AH111/(AD111*Y111*Z111)</f>
        <v>48.512</v>
      </c>
      <c r="AJ111" s="3">
        <f>LN(AI111)</f>
        <v>3.8818111900199064</v>
      </c>
      <c r="AK111" t="s">
        <v>972</v>
      </c>
      <c r="AN111" t="b">
        <v>1</v>
      </c>
      <c r="AO111" t="b">
        <v>0</v>
      </c>
      <c r="AP111" t="b">
        <v>0</v>
      </c>
      <c r="AQ111" t="b">
        <v>0</v>
      </c>
      <c r="AR111" t="s">
        <v>1129</v>
      </c>
      <c r="AS111">
        <v>-1</v>
      </c>
      <c r="AU111">
        <v>8.0169777467622616</v>
      </c>
      <c r="AV111">
        <v>1.6</v>
      </c>
      <c r="AW111">
        <v>1.6</v>
      </c>
      <c r="AX111">
        <v>0.1714285714285714</v>
      </c>
      <c r="AY111">
        <v>0.22857142857142859</v>
      </c>
      <c r="AZ111">
        <v>0.44444444444444448</v>
      </c>
      <c r="BA111">
        <v>0.44444444444444448</v>
      </c>
      <c r="BB111">
        <v>4.7619047619047623E-2</v>
      </c>
      <c r="BC111">
        <v>6.3492063492063489E-2</v>
      </c>
      <c r="BD111">
        <v>6.6276065263975434</v>
      </c>
      <c r="BE111">
        <v>24</v>
      </c>
      <c r="BF111">
        <v>599.76260360000003</v>
      </c>
      <c r="BG111">
        <v>2</v>
      </c>
      <c r="BH111">
        <v>8.0031665382079509E-2</v>
      </c>
      <c r="BI111">
        <v>3.8530000000000002</v>
      </c>
      <c r="BJ111">
        <v>3.8530000000000002</v>
      </c>
      <c r="BK111">
        <v>40.4</v>
      </c>
      <c r="BL111">
        <v>0</v>
      </c>
      <c r="BM111">
        <v>0</v>
      </c>
      <c r="BO111">
        <v>0</v>
      </c>
      <c r="BR111">
        <v>0</v>
      </c>
      <c r="BS111">
        <v>0</v>
      </c>
      <c r="BU111">
        <v>0</v>
      </c>
      <c r="BV111">
        <v>0</v>
      </c>
      <c r="BW111">
        <v>0</v>
      </c>
      <c r="BX111">
        <v>581.30760999999995</v>
      </c>
      <c r="BY111">
        <v>8.2572461076158982E-2</v>
      </c>
      <c r="BZ111">
        <v>12</v>
      </c>
      <c r="CA111">
        <v>4.1286230538079491E-2</v>
      </c>
      <c r="CB111">
        <v>4.0015832691039747E-2</v>
      </c>
      <c r="CE111">
        <v>0.39370099782260098</v>
      </c>
      <c r="CH111">
        <v>0.40619997301256922</v>
      </c>
    </row>
    <row r="112" spans="1:86" x14ac:dyDescent="0.3">
      <c r="A112" s="1">
        <v>592</v>
      </c>
      <c r="B112" t="s">
        <v>1078</v>
      </c>
      <c r="C112" t="s">
        <v>1079</v>
      </c>
      <c r="E112" t="s">
        <v>404</v>
      </c>
      <c r="F112">
        <v>3.42</v>
      </c>
      <c r="G112" t="s">
        <v>1080</v>
      </c>
      <c r="H112">
        <v>-1</v>
      </c>
      <c r="I112">
        <v>-1</v>
      </c>
      <c r="J112">
        <v>1</v>
      </c>
      <c r="K112">
        <v>3.81</v>
      </c>
      <c r="L112">
        <v>3.81</v>
      </c>
      <c r="M112">
        <v>24.7</v>
      </c>
      <c r="N112" t="s">
        <v>529</v>
      </c>
      <c r="O112">
        <v>24.7</v>
      </c>
      <c r="Q112" t="s">
        <v>87</v>
      </c>
      <c r="R112">
        <v>1373</v>
      </c>
      <c r="S112">
        <v>12</v>
      </c>
      <c r="T112" t="b">
        <v>0</v>
      </c>
      <c r="U112" t="s">
        <v>88</v>
      </c>
      <c r="V112" t="s">
        <v>89</v>
      </c>
      <c r="W112">
        <v>0</v>
      </c>
      <c r="X112">
        <v>4.09</v>
      </c>
      <c r="Y112">
        <v>0.5</v>
      </c>
      <c r="Z112">
        <v>1</v>
      </c>
      <c r="AC112" t="s">
        <v>90</v>
      </c>
      <c r="AD112">
        <v>125</v>
      </c>
      <c r="AE112">
        <v>220</v>
      </c>
      <c r="AF112" t="s">
        <v>91</v>
      </c>
      <c r="AG112">
        <v>288</v>
      </c>
      <c r="AH112" s="3">
        <v>2892</v>
      </c>
      <c r="AI112" s="3">
        <f>AH112/(AD112*Y112*Z112)</f>
        <v>46.271999999999998</v>
      </c>
      <c r="AJ112" s="3">
        <f>LN(AI112)</f>
        <v>3.8345370265362995</v>
      </c>
      <c r="AK112" t="s">
        <v>136</v>
      </c>
      <c r="AN112" t="b">
        <v>1</v>
      </c>
      <c r="AO112" t="b">
        <v>0</v>
      </c>
      <c r="AP112" t="b">
        <v>0</v>
      </c>
      <c r="AQ112" t="b">
        <v>0</v>
      </c>
      <c r="AR112" t="s">
        <v>1081</v>
      </c>
      <c r="AS112">
        <v>-1</v>
      </c>
      <c r="AU112">
        <v>7.9697035832786556</v>
      </c>
      <c r="AV112">
        <v>1.510204081632653</v>
      </c>
      <c r="AW112">
        <v>1.2653061224489801</v>
      </c>
      <c r="AX112">
        <v>0.16326530612244899</v>
      </c>
      <c r="AY112">
        <v>0</v>
      </c>
      <c r="AZ112">
        <v>0.51388888888888884</v>
      </c>
      <c r="BA112">
        <v>0.43055555555555558</v>
      </c>
      <c r="BB112">
        <v>5.5555555555555552E-2</v>
      </c>
      <c r="BC112">
        <v>0</v>
      </c>
      <c r="BD112">
        <v>6.7075737452127342</v>
      </c>
      <c r="BE112">
        <v>20</v>
      </c>
      <c r="BF112">
        <v>733.37308460000008</v>
      </c>
      <c r="BG112">
        <v>2</v>
      </c>
      <c r="BH112">
        <v>5.4542497999932729E-2</v>
      </c>
      <c r="BI112">
        <v>3.8530000000000002</v>
      </c>
      <c r="BJ112">
        <v>3.8530000000000002</v>
      </c>
      <c r="BK112">
        <v>49.4</v>
      </c>
      <c r="BL112">
        <v>0</v>
      </c>
      <c r="BM112">
        <v>0</v>
      </c>
      <c r="BO112">
        <v>0</v>
      </c>
      <c r="BR112">
        <v>0</v>
      </c>
      <c r="BS112">
        <v>0</v>
      </c>
      <c r="BU112">
        <v>0</v>
      </c>
      <c r="BV112">
        <v>0</v>
      </c>
      <c r="BW112">
        <v>0</v>
      </c>
      <c r="BX112">
        <v>358.54766999999998</v>
      </c>
      <c r="BY112">
        <v>5.5780588394285201E-2</v>
      </c>
      <c r="BZ112">
        <v>10</v>
      </c>
      <c r="CA112">
        <v>2.78902941971426E-2</v>
      </c>
      <c r="CB112">
        <v>2.7271248999966361E-2</v>
      </c>
      <c r="CE112">
        <v>0.33447637567260352</v>
      </c>
      <c r="CH112">
        <v>0.34206884032023638</v>
      </c>
    </row>
    <row r="113" spans="1:86" x14ac:dyDescent="0.3">
      <c r="A113" s="1">
        <v>468</v>
      </c>
      <c r="B113" t="s">
        <v>872</v>
      </c>
      <c r="C113" t="s">
        <v>873</v>
      </c>
      <c r="E113" t="s">
        <v>106</v>
      </c>
      <c r="G113" t="s">
        <v>108</v>
      </c>
      <c r="H113" t="s">
        <v>109</v>
      </c>
      <c r="I113">
        <v>-1</v>
      </c>
      <c r="Q113" t="s">
        <v>838</v>
      </c>
      <c r="R113">
        <v>1473</v>
      </c>
      <c r="S113">
        <v>10</v>
      </c>
      <c r="T113" t="b">
        <v>0</v>
      </c>
      <c r="U113" t="s">
        <v>88</v>
      </c>
      <c r="V113" t="s">
        <v>89</v>
      </c>
      <c r="W113">
        <v>0</v>
      </c>
      <c r="X113">
        <v>84</v>
      </c>
      <c r="Y113">
        <v>3.3300000000000003E-2</v>
      </c>
      <c r="Z113">
        <v>10</v>
      </c>
      <c r="AC113" t="s">
        <v>165</v>
      </c>
      <c r="AD113">
        <v>500</v>
      </c>
      <c r="AF113" t="s">
        <v>91</v>
      </c>
      <c r="AH113" s="3">
        <v>7400</v>
      </c>
      <c r="AI113" s="3">
        <f>AH113/(AD113*Y113*Z113)</f>
        <v>44.444444444444436</v>
      </c>
      <c r="AJ113" s="3">
        <f>LN(AI113)</f>
        <v>3.7942399697717626</v>
      </c>
      <c r="AK113" t="s">
        <v>874</v>
      </c>
      <c r="AL113" t="s">
        <v>874</v>
      </c>
      <c r="AN113" t="b">
        <v>1</v>
      </c>
      <c r="AO113" t="b">
        <v>1</v>
      </c>
      <c r="AP113" t="b">
        <v>0</v>
      </c>
      <c r="AQ113" t="b">
        <v>0</v>
      </c>
      <c r="AR113" t="s">
        <v>875</v>
      </c>
      <c r="AS113" t="s">
        <v>876</v>
      </c>
      <c r="AU113">
        <v>8.9092352791922611</v>
      </c>
      <c r="AV113">
        <v>1.75</v>
      </c>
      <c r="AW113">
        <v>2.5</v>
      </c>
      <c r="AX113">
        <v>0.75250000000000006</v>
      </c>
      <c r="AY113">
        <v>0</v>
      </c>
      <c r="AZ113">
        <v>0.34982508745627178</v>
      </c>
      <c r="BA113">
        <v>0.49975012493753118</v>
      </c>
      <c r="BB113">
        <v>0.1504247876061969</v>
      </c>
      <c r="BC113">
        <v>0</v>
      </c>
      <c r="BD113">
        <v>6.2643046521781871</v>
      </c>
      <c r="BE113">
        <v>20</v>
      </c>
      <c r="BF113">
        <v>924.74694800021894</v>
      </c>
      <c r="BG113">
        <v>1</v>
      </c>
      <c r="BH113">
        <v>2.16275382614134E-2</v>
      </c>
      <c r="BI113">
        <v>7.8084429999999996</v>
      </c>
      <c r="BJ113">
        <v>7.8548809999999998</v>
      </c>
      <c r="BK113">
        <v>15.19056011</v>
      </c>
      <c r="BL113">
        <v>883.22940750240002</v>
      </c>
      <c r="BM113">
        <v>1</v>
      </c>
      <c r="BN113">
        <v>2.264417356364536E-2</v>
      </c>
      <c r="BO113">
        <v>3.8801999999999999</v>
      </c>
      <c r="BP113">
        <v>29.507999999999999</v>
      </c>
      <c r="BQ113">
        <v>7.7140000000000004</v>
      </c>
      <c r="BR113">
        <v>0</v>
      </c>
      <c r="BS113">
        <v>0</v>
      </c>
      <c r="BU113">
        <v>0</v>
      </c>
      <c r="BV113">
        <v>0</v>
      </c>
      <c r="BW113">
        <v>0</v>
      </c>
      <c r="BZ113">
        <v>10</v>
      </c>
      <c r="CB113">
        <v>1.08137691307067E-2</v>
      </c>
      <c r="CC113">
        <v>1.132208678182268E-2</v>
      </c>
      <c r="CE113">
        <v>0.11048288533072979</v>
      </c>
      <c r="CF113">
        <v>0.1156763012508423</v>
      </c>
    </row>
    <row r="114" spans="1:86" x14ac:dyDescent="0.3">
      <c r="A114" s="1">
        <v>464</v>
      </c>
      <c r="B114" t="s">
        <v>858</v>
      </c>
      <c r="C114" t="s">
        <v>859</v>
      </c>
      <c r="E114" t="s">
        <v>106</v>
      </c>
      <c r="G114" t="s">
        <v>108</v>
      </c>
      <c r="H114" t="s">
        <v>109</v>
      </c>
      <c r="I114">
        <v>-1</v>
      </c>
      <c r="Q114" t="s">
        <v>838</v>
      </c>
      <c r="R114">
        <v>1473</v>
      </c>
      <c r="S114">
        <v>10</v>
      </c>
      <c r="T114" t="b">
        <v>0</v>
      </c>
      <c r="U114" t="s">
        <v>88</v>
      </c>
      <c r="V114" t="s">
        <v>89</v>
      </c>
      <c r="W114">
        <v>0</v>
      </c>
      <c r="X114">
        <v>84</v>
      </c>
      <c r="Y114">
        <v>3.3300000000000003E-2</v>
      </c>
      <c r="Z114">
        <v>10</v>
      </c>
      <c r="AC114" t="s">
        <v>165</v>
      </c>
      <c r="AD114">
        <v>500</v>
      </c>
      <c r="AF114" t="s">
        <v>91</v>
      </c>
      <c r="AH114" s="3">
        <v>6976</v>
      </c>
      <c r="AI114" s="3">
        <f>AH114/(AD114*Y114*Z114)</f>
        <v>41.897897897897892</v>
      </c>
      <c r="AJ114" s="3">
        <f>LN(AI114)</f>
        <v>3.7352356561683169</v>
      </c>
      <c r="AK114" t="s">
        <v>860</v>
      </c>
      <c r="AL114" t="s">
        <v>860</v>
      </c>
      <c r="AN114" t="b">
        <v>1</v>
      </c>
      <c r="AO114" t="b">
        <v>1</v>
      </c>
      <c r="AP114" t="b">
        <v>0</v>
      </c>
      <c r="AQ114" t="b">
        <v>0</v>
      </c>
      <c r="AR114" t="s">
        <v>861</v>
      </c>
      <c r="AS114" t="s">
        <v>862</v>
      </c>
      <c r="AU114">
        <v>8.8502309655888158</v>
      </c>
      <c r="AV114">
        <v>1.75</v>
      </c>
      <c r="AW114">
        <v>2.5</v>
      </c>
      <c r="AX114">
        <v>0.75750000000000006</v>
      </c>
      <c r="AY114">
        <v>0</v>
      </c>
      <c r="AZ114">
        <v>0.34947578632051918</v>
      </c>
      <c r="BA114">
        <v>0.49925112331502741</v>
      </c>
      <c r="BB114">
        <v>0.1512730903644533</v>
      </c>
      <c r="BC114">
        <v>0</v>
      </c>
      <c r="BD114">
        <v>6.2648831115531873</v>
      </c>
      <c r="BE114">
        <v>20</v>
      </c>
      <c r="BF114">
        <v>924.74694800021894</v>
      </c>
      <c r="BG114">
        <v>1</v>
      </c>
      <c r="BH114">
        <v>2.16275382614134E-2</v>
      </c>
      <c r="BI114">
        <v>7.8084429999999996</v>
      </c>
      <c r="BJ114">
        <v>7.8548809999999998</v>
      </c>
      <c r="BK114">
        <v>15.19056011</v>
      </c>
      <c r="BL114">
        <v>883.22940750240002</v>
      </c>
      <c r="BM114">
        <v>1</v>
      </c>
      <c r="BN114">
        <v>2.264417356364536E-2</v>
      </c>
      <c r="BO114">
        <v>3.8801999999999999</v>
      </c>
      <c r="BP114">
        <v>29.507999999999999</v>
      </c>
      <c r="BQ114">
        <v>7.7140000000000004</v>
      </c>
      <c r="BR114">
        <v>0</v>
      </c>
      <c r="BS114">
        <v>0</v>
      </c>
      <c r="BU114">
        <v>0</v>
      </c>
      <c r="BV114">
        <v>0</v>
      </c>
      <c r="BW114">
        <v>0</v>
      </c>
      <c r="BZ114">
        <v>10</v>
      </c>
      <c r="CB114">
        <v>1.08137691307067E-2</v>
      </c>
      <c r="CC114">
        <v>1.132208678182268E-2</v>
      </c>
      <c r="CE114">
        <v>0.1104871530074817</v>
      </c>
      <c r="CF114">
        <v>0.11568076953622521</v>
      </c>
    </row>
    <row r="115" spans="1:86" x14ac:dyDescent="0.3">
      <c r="A115" s="1">
        <v>591</v>
      </c>
      <c r="B115" t="s">
        <v>1074</v>
      </c>
      <c r="C115" t="s">
        <v>1075</v>
      </c>
      <c r="E115" t="s">
        <v>404</v>
      </c>
      <c r="F115">
        <v>3.39</v>
      </c>
      <c r="G115" t="s">
        <v>1076</v>
      </c>
      <c r="H115">
        <v>-1</v>
      </c>
      <c r="I115">
        <v>-1</v>
      </c>
      <c r="J115">
        <v>1</v>
      </c>
      <c r="K115">
        <v>3.82</v>
      </c>
      <c r="L115">
        <v>3.82</v>
      </c>
      <c r="M115">
        <v>20.2</v>
      </c>
      <c r="N115" t="s">
        <v>529</v>
      </c>
      <c r="O115">
        <v>20.2</v>
      </c>
      <c r="Q115" t="s">
        <v>87</v>
      </c>
      <c r="R115">
        <v>1373</v>
      </c>
      <c r="S115">
        <v>12</v>
      </c>
      <c r="T115" t="b">
        <v>0</v>
      </c>
      <c r="U115" t="s">
        <v>88</v>
      </c>
      <c r="V115" t="s">
        <v>89</v>
      </c>
      <c r="W115">
        <v>0</v>
      </c>
      <c r="Y115">
        <v>0.5</v>
      </c>
      <c r="Z115">
        <v>1</v>
      </c>
      <c r="AC115" t="s">
        <v>90</v>
      </c>
      <c r="AD115">
        <v>125</v>
      </c>
      <c r="AE115">
        <v>220</v>
      </c>
      <c r="AF115" t="s">
        <v>91</v>
      </c>
      <c r="AG115">
        <v>288</v>
      </c>
      <c r="AH115" s="3">
        <v>2464</v>
      </c>
      <c r="AI115" s="3">
        <f>AH115/(AD115*Y115*Z115)</f>
        <v>39.423999999999999</v>
      </c>
      <c r="AJ115" s="3">
        <f>LN(AI115)</f>
        <v>3.6743747679110546</v>
      </c>
      <c r="AK115" t="s">
        <v>136</v>
      </c>
      <c r="AN115" t="b">
        <v>1</v>
      </c>
      <c r="AO115" t="b">
        <v>0</v>
      </c>
      <c r="AP115" t="b">
        <v>0</v>
      </c>
      <c r="AQ115" t="b">
        <v>0</v>
      </c>
      <c r="AR115" t="s">
        <v>1077</v>
      </c>
      <c r="AS115">
        <v>-1</v>
      </c>
      <c r="AU115">
        <v>7.8095413246534102</v>
      </c>
      <c r="AV115">
        <v>1.567567567567568</v>
      </c>
      <c r="AW115">
        <v>1.459459459459459</v>
      </c>
      <c r="AX115">
        <v>0.2162162162162162</v>
      </c>
      <c r="AY115">
        <v>0</v>
      </c>
      <c r="AZ115">
        <v>0.48333333333333328</v>
      </c>
      <c r="BA115">
        <v>0.45</v>
      </c>
      <c r="BB115">
        <v>6.6666666666666666E-2</v>
      </c>
      <c r="BC115">
        <v>0</v>
      </c>
      <c r="BD115">
        <v>6.6544803549896221</v>
      </c>
      <c r="BE115">
        <v>20</v>
      </c>
      <c r="BF115">
        <v>599.76260360000003</v>
      </c>
      <c r="BG115">
        <v>2</v>
      </c>
      <c r="BH115">
        <v>6.6693054485066267E-2</v>
      </c>
      <c r="BI115">
        <v>3.8530000000000002</v>
      </c>
      <c r="BJ115">
        <v>3.8530000000000002</v>
      </c>
      <c r="BK115">
        <v>40.4</v>
      </c>
      <c r="BL115">
        <v>0</v>
      </c>
      <c r="BM115">
        <v>0</v>
      </c>
      <c r="BO115">
        <v>0</v>
      </c>
      <c r="BR115">
        <v>0</v>
      </c>
      <c r="BS115">
        <v>0</v>
      </c>
      <c r="BU115">
        <v>0</v>
      </c>
      <c r="BV115">
        <v>0</v>
      </c>
      <c r="BW115">
        <v>0</v>
      </c>
      <c r="BX115">
        <v>294.76648</v>
      </c>
      <c r="BY115">
        <v>6.7850320022819419E-2</v>
      </c>
      <c r="BZ115">
        <v>10</v>
      </c>
      <c r="CA115">
        <v>3.3925160011409709E-2</v>
      </c>
      <c r="CB115">
        <v>3.3346527242533133E-2</v>
      </c>
      <c r="CE115">
        <v>0.40747898424566847</v>
      </c>
      <c r="CH115">
        <v>0.41454960635867683</v>
      </c>
    </row>
    <row r="116" spans="1:86" x14ac:dyDescent="0.3">
      <c r="A116" s="1">
        <v>579</v>
      </c>
      <c r="B116" t="s">
        <v>1062</v>
      </c>
      <c r="C116" t="s">
        <v>1063</v>
      </c>
      <c r="E116" t="s">
        <v>94</v>
      </c>
      <c r="F116">
        <v>4.49</v>
      </c>
      <c r="G116">
        <v>-1</v>
      </c>
      <c r="H116">
        <v>-1</v>
      </c>
      <c r="I116" t="s">
        <v>1059</v>
      </c>
      <c r="J116">
        <v>1</v>
      </c>
      <c r="K116">
        <v>3.8620000000000001</v>
      </c>
      <c r="L116">
        <v>3.8620000000000001</v>
      </c>
      <c r="M116">
        <v>10.220000000000001</v>
      </c>
      <c r="O116">
        <v>10.220000000000001</v>
      </c>
      <c r="Q116" t="s">
        <v>87</v>
      </c>
      <c r="R116">
        <v>1373</v>
      </c>
      <c r="S116">
        <v>10</v>
      </c>
      <c r="T116" t="b">
        <v>0</v>
      </c>
      <c r="U116" t="s">
        <v>88</v>
      </c>
      <c r="V116" t="s">
        <v>89</v>
      </c>
      <c r="W116">
        <v>0</v>
      </c>
      <c r="X116">
        <v>4.3</v>
      </c>
      <c r="Y116">
        <v>0.5</v>
      </c>
      <c r="Z116">
        <v>0.1</v>
      </c>
      <c r="AC116" t="s">
        <v>90</v>
      </c>
      <c r="AD116">
        <v>125</v>
      </c>
      <c r="AE116">
        <v>220</v>
      </c>
      <c r="AF116" t="s">
        <v>91</v>
      </c>
      <c r="AG116">
        <v>288</v>
      </c>
      <c r="AH116" s="3">
        <v>240</v>
      </c>
      <c r="AI116" s="3">
        <f>AH116/(AD116*Y116*Z116)</f>
        <v>38.4</v>
      </c>
      <c r="AJ116" s="3">
        <f>LN(AI116)</f>
        <v>3.648057459593681</v>
      </c>
      <c r="AN116" t="b">
        <v>0</v>
      </c>
      <c r="AO116" t="b">
        <v>0</v>
      </c>
      <c r="AP116" t="b">
        <v>1</v>
      </c>
      <c r="AQ116" t="b">
        <v>0</v>
      </c>
      <c r="AR116">
        <v>-1</v>
      </c>
      <c r="AS116">
        <v>-1</v>
      </c>
      <c r="AT116" t="s">
        <v>1059</v>
      </c>
      <c r="AU116">
        <v>5.4806389233419912</v>
      </c>
      <c r="AV116">
        <v>1.9090909090909089</v>
      </c>
      <c r="AW116">
        <v>2.545454545454545</v>
      </c>
      <c r="AX116">
        <v>0.54545454545454541</v>
      </c>
      <c r="AY116">
        <v>2.9090909090909092</v>
      </c>
      <c r="AZ116">
        <v>0.2413793103448276</v>
      </c>
      <c r="BA116">
        <v>0.32183908045977011</v>
      </c>
      <c r="BB116">
        <v>6.8965517241379309E-2</v>
      </c>
      <c r="BC116">
        <v>0.36781609195402298</v>
      </c>
      <c r="BD116">
        <v>6.0428769922272716</v>
      </c>
      <c r="BE116">
        <v>14</v>
      </c>
      <c r="BF116">
        <v>0</v>
      </c>
      <c r="BG116">
        <v>0</v>
      </c>
      <c r="BI116">
        <v>0</v>
      </c>
      <c r="BL116">
        <v>0</v>
      </c>
      <c r="BM116">
        <v>0</v>
      </c>
      <c r="BO116">
        <v>0</v>
      </c>
      <c r="BR116">
        <v>603.56576793812405</v>
      </c>
      <c r="BS116">
        <v>4</v>
      </c>
      <c r="BT116">
        <v>9.2781935250080272E-2</v>
      </c>
      <c r="BU116">
        <v>5.4092000000000002</v>
      </c>
      <c r="BV116">
        <v>20.501100000000001</v>
      </c>
      <c r="BW116">
        <v>5.4427000000000003</v>
      </c>
      <c r="BX116">
        <v>152.43174968</v>
      </c>
      <c r="BY116">
        <v>9.1844383006756819E-2</v>
      </c>
      <c r="BZ116">
        <v>7</v>
      </c>
      <c r="CA116">
        <v>4.5922191503378409E-2</v>
      </c>
      <c r="CD116">
        <v>4.6390967625040143E-2</v>
      </c>
      <c r="CG116">
        <v>0.47461723217425678</v>
      </c>
      <c r="CH116">
        <v>0.4698212721681892</v>
      </c>
    </row>
    <row r="117" spans="1:86" x14ac:dyDescent="0.3">
      <c r="A117" s="1">
        <v>598</v>
      </c>
      <c r="B117" t="s">
        <v>1102</v>
      </c>
      <c r="C117" t="s">
        <v>1103</v>
      </c>
      <c r="E117" t="s">
        <v>404</v>
      </c>
      <c r="F117">
        <v>3.4</v>
      </c>
      <c r="G117" t="s">
        <v>1104</v>
      </c>
      <c r="H117">
        <v>-1</v>
      </c>
      <c r="I117">
        <v>-1</v>
      </c>
      <c r="J117">
        <v>1</v>
      </c>
      <c r="K117">
        <v>3.82</v>
      </c>
      <c r="L117">
        <v>3.82</v>
      </c>
      <c r="M117">
        <v>29.2</v>
      </c>
      <c r="N117" t="s">
        <v>529</v>
      </c>
      <c r="O117">
        <v>29.2</v>
      </c>
      <c r="Q117" t="s">
        <v>87</v>
      </c>
      <c r="R117">
        <v>1373</v>
      </c>
      <c r="S117">
        <v>12</v>
      </c>
      <c r="T117" t="b">
        <v>0</v>
      </c>
      <c r="U117" t="s">
        <v>88</v>
      </c>
      <c r="V117" t="s">
        <v>89</v>
      </c>
      <c r="W117">
        <v>0</v>
      </c>
      <c r="Y117">
        <v>0.5</v>
      </c>
      <c r="Z117">
        <v>1</v>
      </c>
      <c r="AC117" t="s">
        <v>90</v>
      </c>
      <c r="AD117">
        <v>125</v>
      </c>
      <c r="AE117">
        <v>220</v>
      </c>
      <c r="AF117" t="s">
        <v>91</v>
      </c>
      <c r="AG117">
        <v>288</v>
      </c>
      <c r="AH117" s="3">
        <v>2204</v>
      </c>
      <c r="AI117" s="3">
        <f>AH117/(AD117*Y117*Z117)</f>
        <v>35.264000000000003</v>
      </c>
      <c r="AJ117" s="3">
        <f>LN(AI117)</f>
        <v>3.5628626135304495</v>
      </c>
      <c r="AK117" t="s">
        <v>136</v>
      </c>
      <c r="AN117" t="b">
        <v>1</v>
      </c>
      <c r="AO117" t="b">
        <v>0</v>
      </c>
      <c r="AP117" t="b">
        <v>0</v>
      </c>
      <c r="AQ117" t="b">
        <v>0</v>
      </c>
      <c r="AR117" t="s">
        <v>1105</v>
      </c>
      <c r="AS117">
        <v>-1</v>
      </c>
      <c r="AU117">
        <v>7.6980291702728048</v>
      </c>
      <c r="AV117">
        <v>1.491525423728814</v>
      </c>
      <c r="AW117">
        <v>1.220338983050848</v>
      </c>
      <c r="AX117">
        <v>0.13559322033898311</v>
      </c>
      <c r="AY117">
        <v>0</v>
      </c>
      <c r="AZ117">
        <v>0.52380952380952384</v>
      </c>
      <c r="BA117">
        <v>0.4285714285714286</v>
      </c>
      <c r="BB117">
        <v>4.7619047619047623E-2</v>
      </c>
      <c r="BC117">
        <v>0</v>
      </c>
      <c r="BD117">
        <v>6.7354044421276269</v>
      </c>
      <c r="BE117">
        <v>24</v>
      </c>
      <c r="BF117">
        <v>872.92180919999998</v>
      </c>
      <c r="BG117">
        <v>2</v>
      </c>
      <c r="BH117">
        <v>5.4987742881564841E-2</v>
      </c>
      <c r="BI117">
        <v>3.8530000000000002</v>
      </c>
      <c r="BJ117">
        <v>3.8530000000000002</v>
      </c>
      <c r="BK117">
        <v>58.8</v>
      </c>
      <c r="BL117">
        <v>0</v>
      </c>
      <c r="BM117">
        <v>0</v>
      </c>
      <c r="BO117">
        <v>0</v>
      </c>
      <c r="BR117">
        <v>0</v>
      </c>
      <c r="BS117">
        <v>0</v>
      </c>
      <c r="BU117">
        <v>0</v>
      </c>
      <c r="BV117">
        <v>0</v>
      </c>
      <c r="BW117">
        <v>0</v>
      </c>
      <c r="BX117">
        <v>426.09807999999998</v>
      </c>
      <c r="BY117">
        <v>5.6325060183326808E-2</v>
      </c>
      <c r="BZ117">
        <v>12</v>
      </c>
      <c r="CA117">
        <v>2.8162530091663401E-2</v>
      </c>
      <c r="CB117">
        <v>2.7493871440782421E-2</v>
      </c>
      <c r="CE117">
        <v>0.27629214607645491</v>
      </c>
      <c r="CH117">
        <v>0.28301164842236531</v>
      </c>
    </row>
    <row r="118" spans="1:86" x14ac:dyDescent="0.3">
      <c r="A118" s="1">
        <v>604</v>
      </c>
      <c r="B118" t="s">
        <v>1121</v>
      </c>
      <c r="C118" t="s">
        <v>1122</v>
      </c>
      <c r="E118" t="s">
        <v>404</v>
      </c>
      <c r="F118">
        <v>3.36</v>
      </c>
      <c r="G118" t="s">
        <v>1088</v>
      </c>
      <c r="H118">
        <v>-1</v>
      </c>
      <c r="I118">
        <v>-1</v>
      </c>
      <c r="J118">
        <v>1</v>
      </c>
      <c r="K118">
        <v>3.8</v>
      </c>
      <c r="L118">
        <v>3.8</v>
      </c>
      <c r="M118">
        <v>33.4</v>
      </c>
      <c r="N118" t="s">
        <v>529</v>
      </c>
      <c r="O118">
        <v>33.4</v>
      </c>
      <c r="Q118" t="s">
        <v>87</v>
      </c>
      <c r="R118">
        <v>1373</v>
      </c>
      <c r="S118">
        <v>12</v>
      </c>
      <c r="T118" t="b">
        <v>0</v>
      </c>
      <c r="U118" t="s">
        <v>88</v>
      </c>
      <c r="V118" t="s">
        <v>89</v>
      </c>
      <c r="W118">
        <v>0</v>
      </c>
      <c r="X118">
        <v>4.3899999999999997</v>
      </c>
      <c r="Y118">
        <v>0.5</v>
      </c>
      <c r="Z118">
        <v>1</v>
      </c>
      <c r="AC118" t="s">
        <v>90</v>
      </c>
      <c r="AD118">
        <v>125</v>
      </c>
      <c r="AE118">
        <v>220</v>
      </c>
      <c r="AF118" t="s">
        <v>91</v>
      </c>
      <c r="AG118">
        <v>288</v>
      </c>
      <c r="AH118" s="3">
        <v>2184</v>
      </c>
      <c r="AI118" s="3">
        <f>AH118/(AD118*Y118*Z118)</f>
        <v>34.944000000000003</v>
      </c>
      <c r="AJ118" s="3">
        <f>LN(AI118)</f>
        <v>3.5537467801224398</v>
      </c>
      <c r="AK118" t="s">
        <v>972</v>
      </c>
      <c r="AN118" t="b">
        <v>1</v>
      </c>
      <c r="AO118" t="b">
        <v>0</v>
      </c>
      <c r="AP118" t="b">
        <v>0</v>
      </c>
      <c r="AQ118" t="b">
        <v>0</v>
      </c>
      <c r="AR118" t="s">
        <v>1123</v>
      </c>
      <c r="AS118">
        <v>-1</v>
      </c>
      <c r="AU118">
        <v>7.6889133368647959</v>
      </c>
      <c r="AV118">
        <v>1.452054794520548</v>
      </c>
      <c r="AW118">
        <v>1.068493150684932</v>
      </c>
      <c r="AX118">
        <v>8.2191780821917804E-2</v>
      </c>
      <c r="AY118">
        <v>0.1095890410958904</v>
      </c>
      <c r="AZ118">
        <v>0.53535353535353536</v>
      </c>
      <c r="BA118">
        <v>0.39393939393939392</v>
      </c>
      <c r="BB118">
        <v>3.03030303030303E-2</v>
      </c>
      <c r="BC118">
        <v>4.0404040404040401E-2</v>
      </c>
      <c r="BD118">
        <v>6.7543813887265749</v>
      </c>
      <c r="BE118">
        <v>20</v>
      </c>
      <c r="BF118">
        <v>1015.4396556</v>
      </c>
      <c r="BG118">
        <v>2</v>
      </c>
      <c r="BH118">
        <v>3.9391804111062523E-2</v>
      </c>
      <c r="BI118">
        <v>3.8530000000000002</v>
      </c>
      <c r="BJ118">
        <v>3.8530000000000002</v>
      </c>
      <c r="BK118">
        <v>68.400000000000006</v>
      </c>
      <c r="BL118">
        <v>0</v>
      </c>
      <c r="BM118">
        <v>0</v>
      </c>
      <c r="BO118">
        <v>0</v>
      </c>
      <c r="BR118">
        <v>0</v>
      </c>
      <c r="BS118">
        <v>0</v>
      </c>
      <c r="BU118">
        <v>0</v>
      </c>
      <c r="BV118">
        <v>0</v>
      </c>
      <c r="BW118">
        <v>0</v>
      </c>
      <c r="BX118">
        <v>482.29599999999988</v>
      </c>
      <c r="BY118">
        <v>4.1468309917561008E-2</v>
      </c>
      <c r="BZ118">
        <v>10</v>
      </c>
      <c r="CA118">
        <v>2.0734154958780501E-2</v>
      </c>
      <c r="CB118">
        <v>1.9695902055531261E-2</v>
      </c>
      <c r="CE118">
        <v>0.24015501549372151</v>
      </c>
      <c r="CH118">
        <v>0.25281458505104482</v>
      </c>
    </row>
    <row r="119" spans="1:86" x14ac:dyDescent="0.3">
      <c r="A119" s="1">
        <v>593</v>
      </c>
      <c r="B119" t="s">
        <v>1082</v>
      </c>
      <c r="C119" t="s">
        <v>1083</v>
      </c>
      <c r="E119" t="s">
        <v>404</v>
      </c>
      <c r="F119">
        <v>3.41</v>
      </c>
      <c r="G119" t="s">
        <v>1084</v>
      </c>
      <c r="H119">
        <v>-1</v>
      </c>
      <c r="I119">
        <v>-1</v>
      </c>
      <c r="J119">
        <v>1</v>
      </c>
      <c r="K119">
        <v>3.87</v>
      </c>
      <c r="L119">
        <v>3.87</v>
      </c>
      <c r="M119">
        <v>29.4</v>
      </c>
      <c r="N119" t="s">
        <v>529</v>
      </c>
      <c r="O119">
        <v>29.4</v>
      </c>
      <c r="Q119" t="s">
        <v>87</v>
      </c>
      <c r="R119">
        <v>1373</v>
      </c>
      <c r="S119">
        <v>12</v>
      </c>
      <c r="T119" t="b">
        <v>0</v>
      </c>
      <c r="U119" t="s">
        <v>88</v>
      </c>
      <c r="V119" t="s">
        <v>89</v>
      </c>
      <c r="W119">
        <v>0</v>
      </c>
      <c r="Y119">
        <v>0.5</v>
      </c>
      <c r="Z119">
        <v>1</v>
      </c>
      <c r="AC119" t="s">
        <v>90</v>
      </c>
      <c r="AD119">
        <v>125</v>
      </c>
      <c r="AE119">
        <v>220</v>
      </c>
      <c r="AF119" t="s">
        <v>91</v>
      </c>
      <c r="AG119">
        <v>288</v>
      </c>
      <c r="AH119" s="3">
        <v>2152</v>
      </c>
      <c r="AI119" s="3">
        <f>AH119/(AD119*Y119*Z119)</f>
        <v>34.432000000000002</v>
      </c>
      <c r="AJ119" s="3">
        <f>LN(AI119)</f>
        <v>3.5389863645393191</v>
      </c>
      <c r="AK119" t="s">
        <v>136</v>
      </c>
      <c r="AN119" t="b">
        <v>1</v>
      </c>
      <c r="AO119" t="b">
        <v>0</v>
      </c>
      <c r="AP119" t="b">
        <v>0</v>
      </c>
      <c r="AQ119" t="b">
        <v>0</v>
      </c>
      <c r="AR119" t="s">
        <v>1085</v>
      </c>
      <c r="AS119">
        <v>-1</v>
      </c>
      <c r="AU119">
        <v>7.6741529212816753</v>
      </c>
      <c r="AV119">
        <v>1.4754098360655741</v>
      </c>
      <c r="AW119">
        <v>1.1475409836065571</v>
      </c>
      <c r="AX119">
        <v>0.13114754098360659</v>
      </c>
      <c r="AY119">
        <v>0</v>
      </c>
      <c r="AZ119">
        <v>0.53571428571428581</v>
      </c>
      <c r="BA119">
        <v>0.41666666666666657</v>
      </c>
      <c r="BB119">
        <v>4.7619047619047623E-2</v>
      </c>
      <c r="BC119">
        <v>0</v>
      </c>
      <c r="BD119">
        <v>6.7397779327251151</v>
      </c>
      <c r="BE119">
        <v>20</v>
      </c>
      <c r="BF119">
        <v>872.92180919999998</v>
      </c>
      <c r="BG119">
        <v>2</v>
      </c>
      <c r="BH119">
        <v>4.5823119067970701E-2</v>
      </c>
      <c r="BI119">
        <v>3.8530000000000002</v>
      </c>
      <c r="BJ119">
        <v>3.8530000000000002</v>
      </c>
      <c r="BK119">
        <v>58.8</v>
      </c>
      <c r="BL119">
        <v>0</v>
      </c>
      <c r="BM119">
        <v>0</v>
      </c>
      <c r="BO119">
        <v>0</v>
      </c>
      <c r="BR119">
        <v>0</v>
      </c>
      <c r="BS119">
        <v>0</v>
      </c>
      <c r="BU119">
        <v>0</v>
      </c>
      <c r="BV119">
        <v>0</v>
      </c>
      <c r="BW119">
        <v>0</v>
      </c>
      <c r="BX119">
        <v>440.32085999999998</v>
      </c>
      <c r="BY119">
        <v>4.5421422914190351E-2</v>
      </c>
      <c r="BZ119">
        <v>10</v>
      </c>
      <c r="CA119">
        <v>2.2710711457095179E-2</v>
      </c>
      <c r="CB119">
        <v>2.291155953398535E-2</v>
      </c>
      <c r="CE119">
        <v>0.28204277130830302</v>
      </c>
      <c r="CH119">
        <v>0.2795703185652228</v>
      </c>
    </row>
    <row r="120" spans="1:86" x14ac:dyDescent="0.3">
      <c r="A120" s="1">
        <v>522</v>
      </c>
      <c r="B120" t="s">
        <v>958</v>
      </c>
      <c r="C120" t="s">
        <v>959</v>
      </c>
      <c r="E120" t="s">
        <v>372</v>
      </c>
      <c r="F120">
        <v>3.47</v>
      </c>
      <c r="G120" t="s">
        <v>960</v>
      </c>
      <c r="H120">
        <v>-1</v>
      </c>
      <c r="I120">
        <v>-1</v>
      </c>
      <c r="J120">
        <v>4</v>
      </c>
      <c r="K120">
        <v>3.72</v>
      </c>
      <c r="L120">
        <v>3.72</v>
      </c>
      <c r="M120">
        <v>32.299999999999997</v>
      </c>
      <c r="N120" t="s">
        <v>529</v>
      </c>
      <c r="O120">
        <v>16.149999999999999</v>
      </c>
      <c r="Q120" t="s">
        <v>87</v>
      </c>
      <c r="R120">
        <v>1098</v>
      </c>
      <c r="S120">
        <v>12</v>
      </c>
      <c r="T120" t="b">
        <v>0</v>
      </c>
      <c r="U120" t="s">
        <v>88</v>
      </c>
      <c r="V120" t="s">
        <v>89</v>
      </c>
      <c r="W120">
        <v>0</v>
      </c>
      <c r="X120">
        <v>17</v>
      </c>
      <c r="Y120">
        <v>0.5</v>
      </c>
      <c r="Z120">
        <v>1</v>
      </c>
      <c r="AC120" t="s">
        <v>90</v>
      </c>
      <c r="AD120">
        <v>125</v>
      </c>
      <c r="AE120">
        <v>220</v>
      </c>
      <c r="AF120" t="s">
        <v>91</v>
      </c>
      <c r="AG120">
        <v>288</v>
      </c>
      <c r="AH120" s="3">
        <v>2000</v>
      </c>
      <c r="AI120" s="3">
        <f>AH120/(AD120*Y120*Z120)</f>
        <v>32</v>
      </c>
      <c r="AJ120" s="3">
        <f>LN(AI120)</f>
        <v>3.4657359027997265</v>
      </c>
      <c r="AN120" t="b">
        <v>1</v>
      </c>
      <c r="AO120" t="b">
        <v>0</v>
      </c>
      <c r="AP120" t="b">
        <v>0</v>
      </c>
      <c r="AQ120" t="b">
        <v>0</v>
      </c>
      <c r="AR120" t="s">
        <v>960</v>
      </c>
      <c r="AS120">
        <v>-1</v>
      </c>
      <c r="AU120">
        <v>7.6009024595420822</v>
      </c>
      <c r="AV120">
        <v>1.615384615384615</v>
      </c>
      <c r="AW120">
        <v>1.6923076923076921</v>
      </c>
      <c r="AX120">
        <v>0.23076923076923081</v>
      </c>
      <c r="AY120">
        <v>0</v>
      </c>
      <c r="AZ120">
        <v>0.45652173913043481</v>
      </c>
      <c r="BA120">
        <v>0.47826086956521741</v>
      </c>
      <c r="BB120">
        <v>6.5217391304347838E-2</v>
      </c>
      <c r="BC120">
        <v>0</v>
      </c>
      <c r="BD120">
        <v>6.6430581020965382</v>
      </c>
      <c r="BE120">
        <v>10</v>
      </c>
      <c r="BF120">
        <v>249.41538945455761</v>
      </c>
      <c r="BG120">
        <v>2</v>
      </c>
      <c r="BH120">
        <v>8.0187513864872856E-2</v>
      </c>
      <c r="BI120">
        <v>3.8703880000000002</v>
      </c>
      <c r="BJ120">
        <v>3.8703880000000002</v>
      </c>
      <c r="BK120">
        <v>16.649999999999999</v>
      </c>
      <c r="BL120">
        <v>0</v>
      </c>
      <c r="BM120">
        <v>0</v>
      </c>
      <c r="BO120">
        <v>0</v>
      </c>
      <c r="BR120">
        <v>0</v>
      </c>
      <c r="BS120">
        <v>0</v>
      </c>
      <c r="BU120">
        <v>0</v>
      </c>
      <c r="BV120">
        <v>0</v>
      </c>
      <c r="BW120">
        <v>0</v>
      </c>
      <c r="BX120">
        <v>446.98032000000001</v>
      </c>
      <c r="BY120">
        <v>8.9489398548911497E-2</v>
      </c>
      <c r="BZ120">
        <v>5</v>
      </c>
      <c r="CA120">
        <v>4.4744699274455749E-2</v>
      </c>
      <c r="CB120">
        <v>4.0093756932436428E-2</v>
      </c>
      <c r="CE120">
        <v>0.4048215622699361</v>
      </c>
      <c r="CH120">
        <v>0.45178153531752158</v>
      </c>
    </row>
    <row r="121" spans="1:86" x14ac:dyDescent="0.3">
      <c r="A121" s="1">
        <v>480</v>
      </c>
      <c r="B121" t="s">
        <v>402</v>
      </c>
      <c r="C121" t="s">
        <v>403</v>
      </c>
      <c r="E121" t="s">
        <v>404</v>
      </c>
      <c r="F121">
        <v>3.2</v>
      </c>
      <c r="G121" t="s">
        <v>405</v>
      </c>
      <c r="H121">
        <v>-1</v>
      </c>
      <c r="I121" t="s">
        <v>754</v>
      </c>
      <c r="Q121" t="s">
        <v>87</v>
      </c>
      <c r="R121">
        <v>1173</v>
      </c>
      <c r="S121">
        <v>6</v>
      </c>
      <c r="T121" t="b">
        <v>0</v>
      </c>
      <c r="U121" t="s">
        <v>88</v>
      </c>
      <c r="V121" t="s">
        <v>89</v>
      </c>
      <c r="W121">
        <v>0</v>
      </c>
      <c r="Y121">
        <v>1</v>
      </c>
      <c r="Z121">
        <v>1</v>
      </c>
      <c r="AC121" t="s">
        <v>90</v>
      </c>
      <c r="AD121">
        <v>125</v>
      </c>
      <c r="AE121">
        <v>220</v>
      </c>
      <c r="AF121" t="s">
        <v>91</v>
      </c>
      <c r="AG121">
        <v>288</v>
      </c>
      <c r="AH121" s="3">
        <v>3500</v>
      </c>
      <c r="AI121" s="3">
        <f>AH121/(AD121*Y121*Z121)</f>
        <v>28</v>
      </c>
      <c r="AJ121" s="3">
        <f>LN(AI121)</f>
        <v>3.3322045101752038</v>
      </c>
      <c r="AN121" t="b">
        <v>1</v>
      </c>
      <c r="AO121" t="b">
        <v>0</v>
      </c>
      <c r="AP121" t="b">
        <v>0</v>
      </c>
      <c r="AQ121" t="b">
        <v>0</v>
      </c>
      <c r="AR121" t="s">
        <v>405</v>
      </c>
      <c r="AS121">
        <v>-1</v>
      </c>
      <c r="AT121" t="s">
        <v>754</v>
      </c>
      <c r="AU121">
        <v>8.1605182474775049</v>
      </c>
      <c r="AV121">
        <v>1.882352941176471</v>
      </c>
      <c r="AW121">
        <v>2.3529411764705879</v>
      </c>
      <c r="AX121">
        <v>0.47058823529411759</v>
      </c>
      <c r="AY121">
        <v>0</v>
      </c>
      <c r="AZ121">
        <v>0.4</v>
      </c>
      <c r="BA121">
        <v>0.5</v>
      </c>
      <c r="BB121">
        <v>9.9999999999999992E-2</v>
      </c>
      <c r="BC121">
        <v>0</v>
      </c>
      <c r="BD121">
        <v>5.6898768502941177</v>
      </c>
      <c r="BE121">
        <v>20</v>
      </c>
      <c r="BF121">
        <v>229.90248606119221</v>
      </c>
      <c r="BG121">
        <v>1</v>
      </c>
      <c r="BH121">
        <v>8.6993404650164072E-2</v>
      </c>
      <c r="BI121">
        <v>15.28115725</v>
      </c>
      <c r="BJ121">
        <v>15.28115725</v>
      </c>
      <c r="BK121">
        <v>15.28115725</v>
      </c>
      <c r="BL121">
        <v>0</v>
      </c>
      <c r="BM121">
        <v>0</v>
      </c>
      <c r="BO121">
        <v>0</v>
      </c>
      <c r="BR121">
        <v>0</v>
      </c>
      <c r="BS121">
        <v>0</v>
      </c>
      <c r="BU121">
        <v>0</v>
      </c>
      <c r="BV121">
        <v>0</v>
      </c>
      <c r="BW121">
        <v>0</v>
      </c>
      <c r="BZ121">
        <v>10</v>
      </c>
      <c r="CB121">
        <v>4.3496702325082043E-2</v>
      </c>
      <c r="CE121">
        <v>0.57369840599679478</v>
      </c>
    </row>
    <row r="122" spans="1:86" x14ac:dyDescent="0.3">
      <c r="A122" s="1">
        <v>603</v>
      </c>
      <c r="B122" t="s">
        <v>1118</v>
      </c>
      <c r="C122" t="s">
        <v>1119</v>
      </c>
      <c r="E122" t="s">
        <v>404</v>
      </c>
      <c r="F122">
        <v>3.35</v>
      </c>
      <c r="G122" t="s">
        <v>1084</v>
      </c>
      <c r="H122">
        <v>-1</v>
      </c>
      <c r="I122">
        <v>-1</v>
      </c>
      <c r="J122">
        <v>1</v>
      </c>
      <c r="K122">
        <v>3.8</v>
      </c>
      <c r="L122">
        <v>3.8</v>
      </c>
      <c r="M122">
        <v>29.2</v>
      </c>
      <c r="N122" t="s">
        <v>529</v>
      </c>
      <c r="O122">
        <v>29.2</v>
      </c>
      <c r="Q122" t="s">
        <v>87</v>
      </c>
      <c r="R122">
        <v>1373</v>
      </c>
      <c r="S122">
        <v>12</v>
      </c>
      <c r="T122" t="b">
        <v>0</v>
      </c>
      <c r="U122" t="s">
        <v>88</v>
      </c>
      <c r="V122" t="s">
        <v>89</v>
      </c>
      <c r="W122">
        <v>0</v>
      </c>
      <c r="Y122">
        <v>0.5</v>
      </c>
      <c r="Z122">
        <v>1</v>
      </c>
      <c r="AC122" t="s">
        <v>90</v>
      </c>
      <c r="AD122">
        <v>125</v>
      </c>
      <c r="AE122">
        <v>220</v>
      </c>
      <c r="AF122" t="s">
        <v>91</v>
      </c>
      <c r="AG122">
        <v>288</v>
      </c>
      <c r="AH122" s="3">
        <v>1680</v>
      </c>
      <c r="AI122" s="3">
        <f>AH122/(AD122*Y122*Z122)</f>
        <v>26.88</v>
      </c>
      <c r="AJ122" s="3">
        <f>LN(AI122)</f>
        <v>3.2913825156549485</v>
      </c>
      <c r="AK122" t="s">
        <v>972</v>
      </c>
      <c r="AN122" t="b">
        <v>1</v>
      </c>
      <c r="AO122" t="b">
        <v>0</v>
      </c>
      <c r="AP122" t="b">
        <v>0</v>
      </c>
      <c r="AQ122" t="b">
        <v>0</v>
      </c>
      <c r="AR122" t="s">
        <v>1120</v>
      </c>
      <c r="AS122">
        <v>-1</v>
      </c>
      <c r="AU122">
        <v>7.4265490723973047</v>
      </c>
      <c r="AV122">
        <v>1.4754098360655741</v>
      </c>
      <c r="AW122">
        <v>1.1475409836065571</v>
      </c>
      <c r="AX122">
        <v>9.8360655737704916E-2</v>
      </c>
      <c r="AY122">
        <v>0.13114754098360659</v>
      </c>
      <c r="AZ122">
        <v>0.51724137931034486</v>
      </c>
      <c r="BA122">
        <v>0.4022988505747126</v>
      </c>
      <c r="BB122">
        <v>3.4482758620689648E-2</v>
      </c>
      <c r="BC122">
        <v>4.5977011494252873E-2</v>
      </c>
      <c r="BD122">
        <v>6.731385262233311</v>
      </c>
      <c r="BE122">
        <v>20</v>
      </c>
      <c r="BF122">
        <v>872.92180919999998</v>
      </c>
      <c r="BG122">
        <v>2</v>
      </c>
      <c r="BH122">
        <v>4.5823119067970701E-2</v>
      </c>
      <c r="BI122">
        <v>3.8530000000000002</v>
      </c>
      <c r="BJ122">
        <v>3.8530000000000002</v>
      </c>
      <c r="BK122">
        <v>58.8</v>
      </c>
      <c r="BL122">
        <v>0</v>
      </c>
      <c r="BM122">
        <v>0</v>
      </c>
      <c r="BO122">
        <v>0</v>
      </c>
      <c r="BR122">
        <v>0</v>
      </c>
      <c r="BS122">
        <v>0</v>
      </c>
      <c r="BU122">
        <v>0</v>
      </c>
      <c r="BV122">
        <v>0</v>
      </c>
      <c r="BW122">
        <v>0</v>
      </c>
      <c r="BX122">
        <v>421.64800000000002</v>
      </c>
      <c r="BY122">
        <v>4.7432929837210189E-2</v>
      </c>
      <c r="BZ122">
        <v>10</v>
      </c>
      <c r="CA122">
        <v>2.3716464918605091E-2</v>
      </c>
      <c r="CB122">
        <v>2.291155953398535E-2</v>
      </c>
      <c r="CE122">
        <v>0.27832688886171691</v>
      </c>
      <c r="CH122">
        <v>0.28810478334318818</v>
      </c>
    </row>
    <row r="123" spans="1:86" x14ac:dyDescent="0.3">
      <c r="A123" s="1">
        <v>467</v>
      </c>
      <c r="B123" t="s">
        <v>867</v>
      </c>
      <c r="C123" t="s">
        <v>868</v>
      </c>
      <c r="E123" t="s">
        <v>106</v>
      </c>
      <c r="G123" t="s">
        <v>108</v>
      </c>
      <c r="H123" t="s">
        <v>109</v>
      </c>
      <c r="I123">
        <v>-1</v>
      </c>
      <c r="Q123" t="s">
        <v>838</v>
      </c>
      <c r="R123">
        <v>1473</v>
      </c>
      <c r="S123">
        <v>10</v>
      </c>
      <c r="T123" t="b">
        <v>0</v>
      </c>
      <c r="U123" t="s">
        <v>88</v>
      </c>
      <c r="V123" t="s">
        <v>89</v>
      </c>
      <c r="W123">
        <v>0</v>
      </c>
      <c r="X123">
        <v>84</v>
      </c>
      <c r="Y123">
        <v>3.3300000000000003E-2</v>
      </c>
      <c r="Z123">
        <v>10</v>
      </c>
      <c r="AC123" t="s">
        <v>165</v>
      </c>
      <c r="AD123">
        <v>500</v>
      </c>
      <c r="AF123" t="s">
        <v>91</v>
      </c>
      <c r="AH123" s="3">
        <v>3800</v>
      </c>
      <c r="AI123" s="3">
        <f>AH123/(AD123*Y123*Z123)</f>
        <v>22.822822822822818</v>
      </c>
      <c r="AJ123" s="3">
        <f>LN(AI123)</f>
        <v>3.1277610362939785</v>
      </c>
      <c r="AK123" t="s">
        <v>869</v>
      </c>
      <c r="AL123" t="s">
        <v>869</v>
      </c>
      <c r="AN123" t="b">
        <v>1</v>
      </c>
      <c r="AO123" t="b">
        <v>1</v>
      </c>
      <c r="AP123" t="b">
        <v>0</v>
      </c>
      <c r="AQ123" t="b">
        <v>0</v>
      </c>
      <c r="AR123" t="s">
        <v>870</v>
      </c>
      <c r="AS123" t="s">
        <v>871</v>
      </c>
      <c r="AU123">
        <v>8.2427563457144775</v>
      </c>
      <c r="AV123">
        <v>1.75</v>
      </c>
      <c r="AW123">
        <v>2.5</v>
      </c>
      <c r="AX123">
        <v>0.75024999999999997</v>
      </c>
      <c r="AY123">
        <v>0</v>
      </c>
      <c r="AZ123">
        <v>0.34998250087495619</v>
      </c>
      <c r="BA123">
        <v>0.49997500124993749</v>
      </c>
      <c r="BB123">
        <v>0.15004249787510621</v>
      </c>
      <c r="BC123">
        <v>0</v>
      </c>
      <c r="BD123">
        <v>6.2640443454594372</v>
      </c>
      <c r="BE123">
        <v>20</v>
      </c>
      <c r="BF123">
        <v>924.74694800021894</v>
      </c>
      <c r="BG123">
        <v>1</v>
      </c>
      <c r="BH123">
        <v>2.16275382614134E-2</v>
      </c>
      <c r="BI123">
        <v>7.8084429999999996</v>
      </c>
      <c r="BJ123">
        <v>7.8548809999999998</v>
      </c>
      <c r="BK123">
        <v>15.19056011</v>
      </c>
      <c r="BL123">
        <v>883.22940750240002</v>
      </c>
      <c r="BM123">
        <v>1</v>
      </c>
      <c r="BN123">
        <v>2.264417356364536E-2</v>
      </c>
      <c r="BO123">
        <v>3.8801999999999999</v>
      </c>
      <c r="BP123">
        <v>29.507999999999999</v>
      </c>
      <c r="BQ123">
        <v>7.7140000000000004</v>
      </c>
      <c r="BR123">
        <v>0</v>
      </c>
      <c r="BS123">
        <v>0</v>
      </c>
      <c r="BU123">
        <v>0</v>
      </c>
      <c r="BV123">
        <v>0</v>
      </c>
      <c r="BW123">
        <v>0</v>
      </c>
      <c r="BZ123">
        <v>10</v>
      </c>
      <c r="CB123">
        <v>1.08137691307067E-2</v>
      </c>
      <c r="CC123">
        <v>1.132208678182268E-2</v>
      </c>
      <c r="CE123">
        <v>0.1104809648761915</v>
      </c>
      <c r="CF123">
        <v>0.11567429052242</v>
      </c>
    </row>
    <row r="124" spans="1:86" x14ac:dyDescent="0.3">
      <c r="A124" s="1">
        <v>553</v>
      </c>
      <c r="B124" t="s">
        <v>151</v>
      </c>
      <c r="C124" t="s">
        <v>152</v>
      </c>
      <c r="E124" t="s">
        <v>106</v>
      </c>
      <c r="F124">
        <v>3.26</v>
      </c>
      <c r="G124" t="s">
        <v>142</v>
      </c>
      <c r="H124">
        <v>1522043</v>
      </c>
      <c r="I124">
        <v>-1</v>
      </c>
      <c r="J124">
        <v>1</v>
      </c>
      <c r="K124">
        <v>3.89</v>
      </c>
      <c r="L124">
        <v>3.89</v>
      </c>
      <c r="M124">
        <v>16.399999999999999</v>
      </c>
      <c r="O124">
        <v>16.399999999999999</v>
      </c>
      <c r="Q124" t="s">
        <v>87</v>
      </c>
      <c r="R124">
        <v>1573</v>
      </c>
      <c r="S124">
        <v>10</v>
      </c>
      <c r="T124" t="b">
        <v>0</v>
      </c>
      <c r="U124" t="s">
        <v>88</v>
      </c>
      <c r="V124" t="s">
        <v>89</v>
      </c>
      <c r="W124">
        <v>0</v>
      </c>
      <c r="X124">
        <v>3.1</v>
      </c>
      <c r="Y124">
        <v>0.5</v>
      </c>
      <c r="Z124">
        <v>1</v>
      </c>
      <c r="AC124" t="s">
        <v>90</v>
      </c>
      <c r="AD124">
        <v>125</v>
      </c>
      <c r="AE124">
        <v>220</v>
      </c>
      <c r="AF124" t="s">
        <v>91</v>
      </c>
      <c r="AG124">
        <v>288</v>
      </c>
      <c r="AH124" s="3">
        <v>1400</v>
      </c>
      <c r="AI124" s="3">
        <f>AH124/(AD124*Y124*Z124)</f>
        <v>22.4</v>
      </c>
      <c r="AJ124" s="3">
        <f>LN(AI124)</f>
        <v>3.1090609588609941</v>
      </c>
      <c r="AK124" t="s">
        <v>153</v>
      </c>
      <c r="AL124" t="s">
        <v>153</v>
      </c>
      <c r="AN124" t="b">
        <v>1</v>
      </c>
      <c r="AO124" t="b">
        <v>1</v>
      </c>
      <c r="AP124" t="b">
        <v>0</v>
      </c>
      <c r="AQ124" t="b">
        <v>0</v>
      </c>
      <c r="AR124" t="s">
        <v>1008</v>
      </c>
      <c r="AS124" t="s">
        <v>1009</v>
      </c>
      <c r="AU124">
        <v>7.2442275156033498</v>
      </c>
      <c r="AV124">
        <v>1.75</v>
      </c>
      <c r="AW124">
        <v>2.5</v>
      </c>
      <c r="AX124">
        <v>0.75</v>
      </c>
      <c r="AY124">
        <v>0</v>
      </c>
      <c r="AZ124">
        <v>0.35</v>
      </c>
      <c r="BA124">
        <v>0.5</v>
      </c>
      <c r="BB124">
        <v>0.15</v>
      </c>
      <c r="BC124">
        <v>0</v>
      </c>
      <c r="BD124">
        <v>6.2395921087406876</v>
      </c>
      <c r="BE124">
        <v>20</v>
      </c>
      <c r="BF124">
        <v>242.1279024923125</v>
      </c>
      <c r="BG124">
        <v>1</v>
      </c>
      <c r="BH124">
        <v>8.2600971611006269E-2</v>
      </c>
      <c r="BI124">
        <v>3.950634</v>
      </c>
      <c r="BJ124">
        <v>3.950634</v>
      </c>
      <c r="BK124">
        <v>15.513552000000001</v>
      </c>
      <c r="BL124">
        <v>227.970829547178</v>
      </c>
      <c r="BM124">
        <v>1</v>
      </c>
      <c r="BN124">
        <v>8.7730522539775438E-2</v>
      </c>
      <c r="BO124">
        <v>3.8658999999999999</v>
      </c>
      <c r="BP124">
        <v>3.8658999999999999</v>
      </c>
      <c r="BQ124">
        <v>15.2538</v>
      </c>
      <c r="BR124">
        <v>0</v>
      </c>
      <c r="BS124">
        <v>0</v>
      </c>
      <c r="BU124">
        <v>0</v>
      </c>
      <c r="BV124">
        <v>0</v>
      </c>
      <c r="BW124">
        <v>0</v>
      </c>
      <c r="BX124">
        <v>248.16643999999999</v>
      </c>
      <c r="BY124">
        <v>8.0591074280631989E-2</v>
      </c>
      <c r="BZ124">
        <v>10</v>
      </c>
      <c r="CA124">
        <v>4.0295537140315987E-2</v>
      </c>
      <c r="CB124">
        <v>4.1300485805503127E-2</v>
      </c>
      <c r="CC124">
        <v>4.3865261269887719E-2</v>
      </c>
      <c r="CE124">
        <v>0.45027090848362911</v>
      </c>
      <c r="CF124">
        <v>0.47823289866077828</v>
      </c>
      <c r="CH124">
        <v>0.43931464151417537</v>
      </c>
    </row>
    <row r="125" spans="1:86" x14ac:dyDescent="0.3">
      <c r="A125" s="1">
        <v>801</v>
      </c>
      <c r="B125" t="s">
        <v>128</v>
      </c>
      <c r="C125" t="s">
        <v>129</v>
      </c>
      <c r="E125" t="s">
        <v>130</v>
      </c>
      <c r="F125">
        <v>3.2</v>
      </c>
      <c r="G125" t="s">
        <v>131</v>
      </c>
      <c r="H125" t="s">
        <v>132</v>
      </c>
      <c r="I125">
        <v>-1</v>
      </c>
      <c r="O125">
        <v>0</v>
      </c>
      <c r="Q125" t="s">
        <v>248</v>
      </c>
      <c r="T125" t="b">
        <v>0</v>
      </c>
      <c r="U125" t="s">
        <v>88</v>
      </c>
      <c r="V125" t="s">
        <v>89</v>
      </c>
      <c r="W125">
        <v>0</v>
      </c>
      <c r="Y125">
        <v>0.5</v>
      </c>
      <c r="Z125">
        <v>0.1</v>
      </c>
      <c r="AC125" t="s">
        <v>90</v>
      </c>
      <c r="AD125">
        <v>125</v>
      </c>
      <c r="AE125">
        <v>220</v>
      </c>
      <c r="AF125" t="s">
        <v>91</v>
      </c>
      <c r="AG125">
        <v>288</v>
      </c>
      <c r="AH125" s="3">
        <v>140</v>
      </c>
      <c r="AI125" s="3">
        <f>AH125/(AD125*Y125*Z125)</f>
        <v>22.4</v>
      </c>
      <c r="AJ125" s="3">
        <f>LN(AI125)</f>
        <v>3.1090609588609941</v>
      </c>
      <c r="AN125" t="b">
        <v>1</v>
      </c>
      <c r="AO125" t="b">
        <v>0</v>
      </c>
      <c r="AP125" t="b">
        <v>0</v>
      </c>
      <c r="AQ125" t="b">
        <v>0</v>
      </c>
      <c r="AR125" t="s">
        <v>131</v>
      </c>
      <c r="AS125" t="s">
        <v>132</v>
      </c>
      <c r="AU125">
        <v>4.9416424226093039</v>
      </c>
      <c r="AV125">
        <v>2</v>
      </c>
      <c r="AW125">
        <v>2.666666666666667</v>
      </c>
      <c r="AX125">
        <v>0.66666666666666663</v>
      </c>
      <c r="AY125">
        <v>0</v>
      </c>
      <c r="AZ125">
        <v>0.375</v>
      </c>
      <c r="BA125">
        <v>0.5</v>
      </c>
      <c r="BB125">
        <v>0.125</v>
      </c>
      <c r="BC125">
        <v>0</v>
      </c>
      <c r="BD125">
        <v>6.1770001596666662</v>
      </c>
      <c r="BE125">
        <v>4</v>
      </c>
      <c r="BF125">
        <v>1182.741260108548</v>
      </c>
      <c r="BG125">
        <v>30</v>
      </c>
      <c r="BH125">
        <v>0.1014592151701775</v>
      </c>
      <c r="BI125">
        <v>10.59112378</v>
      </c>
      <c r="BJ125">
        <v>10.784736629999999</v>
      </c>
      <c r="BK125">
        <v>10.486176179999999</v>
      </c>
      <c r="BL125">
        <v>130.36387300000001</v>
      </c>
      <c r="BM125">
        <v>4</v>
      </c>
      <c r="BN125">
        <v>0.1227333894874388</v>
      </c>
      <c r="BO125">
        <v>3.73</v>
      </c>
      <c r="BP125">
        <v>3.73</v>
      </c>
      <c r="BQ125">
        <v>9.3699999999999992</v>
      </c>
      <c r="BR125">
        <v>0</v>
      </c>
      <c r="BS125">
        <v>0</v>
      </c>
      <c r="BU125">
        <v>0</v>
      </c>
      <c r="BV125">
        <v>0</v>
      </c>
      <c r="BW125">
        <v>0</v>
      </c>
      <c r="BZ125">
        <v>2</v>
      </c>
      <c r="CB125">
        <v>5.0729607585088737E-2</v>
      </c>
      <c r="CC125">
        <v>6.1366694743719377E-2</v>
      </c>
      <c r="CE125">
        <v>0.46900407026869612</v>
      </c>
      <c r="CF125">
        <v>0.56734579634715776</v>
      </c>
    </row>
    <row r="126" spans="1:86" x14ac:dyDescent="0.3">
      <c r="A126" s="1">
        <v>809</v>
      </c>
      <c r="B126" t="s">
        <v>1356</v>
      </c>
      <c r="C126" t="s">
        <v>1357</v>
      </c>
      <c r="E126" t="s">
        <v>94</v>
      </c>
      <c r="F126">
        <v>3.55</v>
      </c>
      <c r="G126">
        <v>-1</v>
      </c>
      <c r="H126">
        <v>-1</v>
      </c>
      <c r="I126" t="s">
        <v>522</v>
      </c>
      <c r="J126">
        <v>1</v>
      </c>
      <c r="K126">
        <v>3.8620000000000001</v>
      </c>
      <c r="L126">
        <v>3.8620000000000001</v>
      </c>
      <c r="M126">
        <v>10.93</v>
      </c>
      <c r="O126">
        <v>10.93</v>
      </c>
      <c r="Q126" t="s">
        <v>87</v>
      </c>
      <c r="R126">
        <v>1373</v>
      </c>
      <c r="S126">
        <v>10</v>
      </c>
      <c r="T126" t="b">
        <v>0</v>
      </c>
      <c r="U126" t="s">
        <v>88</v>
      </c>
      <c r="V126" t="s">
        <v>89</v>
      </c>
      <c r="W126">
        <v>0</v>
      </c>
      <c r="Y126">
        <v>1</v>
      </c>
      <c r="Z126">
        <v>0.1</v>
      </c>
      <c r="AC126" t="s">
        <v>90</v>
      </c>
      <c r="AD126">
        <v>125</v>
      </c>
      <c r="AE126">
        <v>220</v>
      </c>
      <c r="AF126" t="s">
        <v>91</v>
      </c>
      <c r="AG126">
        <v>288</v>
      </c>
      <c r="AH126" s="3">
        <v>245.53571428571431</v>
      </c>
      <c r="AI126" s="3">
        <f>AH126/(AD126*Y126*Z126)</f>
        <v>19.642857142857146</v>
      </c>
      <c r="AJ126" s="3">
        <f>LN(AI126)</f>
        <v>2.9777137680513128</v>
      </c>
      <c r="AM126" t="s">
        <v>1358</v>
      </c>
      <c r="AN126" t="b">
        <v>0</v>
      </c>
      <c r="AO126" t="b">
        <v>0</v>
      </c>
      <c r="AP126" t="b">
        <v>1</v>
      </c>
      <c r="AQ126" t="b">
        <v>0</v>
      </c>
      <c r="AT126" t="s">
        <v>1359</v>
      </c>
      <c r="AU126">
        <v>5.5034424123595684</v>
      </c>
      <c r="AV126">
        <v>1.7272727272727271</v>
      </c>
      <c r="AW126">
        <v>2.545454545454545</v>
      </c>
      <c r="AX126">
        <v>0.72727272727272729</v>
      </c>
      <c r="AY126">
        <v>0.36363636363636359</v>
      </c>
      <c r="AZ126">
        <v>0.32203389830508478</v>
      </c>
      <c r="BA126">
        <v>0.47457627118644069</v>
      </c>
      <c r="BB126">
        <v>0.13559322033898311</v>
      </c>
      <c r="BC126">
        <v>6.7796610169491525E-2</v>
      </c>
      <c r="BD126">
        <v>5.9632830664999998</v>
      </c>
      <c r="BE126">
        <v>14</v>
      </c>
      <c r="BF126">
        <v>0</v>
      </c>
      <c r="BG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0</v>
      </c>
      <c r="BR126">
        <v>171.98132883066</v>
      </c>
      <c r="BS126">
        <v>1</v>
      </c>
      <c r="BT126">
        <v>8.1404185531005993E-2</v>
      </c>
      <c r="BU126">
        <v>3.8898000000000001</v>
      </c>
      <c r="BV126">
        <v>3.8898000000000001</v>
      </c>
      <c r="BW126">
        <v>11.3665</v>
      </c>
      <c r="BX126">
        <v>163.02143092</v>
      </c>
      <c r="BY126">
        <v>8.5878279444561265E-2</v>
      </c>
      <c r="BZ126">
        <v>7</v>
      </c>
      <c r="CA126">
        <v>4.2939139722280632E-2</v>
      </c>
      <c r="CD126">
        <v>4.0702092765502997E-2</v>
      </c>
      <c r="CG126">
        <v>0.51007174656244436</v>
      </c>
      <c r="CH126">
        <v>0.53810604089123304</v>
      </c>
    </row>
    <row r="127" spans="1:86" x14ac:dyDescent="0.3">
      <c r="A127" s="1">
        <v>483</v>
      </c>
      <c r="B127" t="s">
        <v>909</v>
      </c>
      <c r="C127" t="s">
        <v>910</v>
      </c>
      <c r="E127" t="s">
        <v>404</v>
      </c>
      <c r="F127">
        <v>3.3</v>
      </c>
      <c r="G127" t="s">
        <v>911</v>
      </c>
      <c r="H127" t="s">
        <v>912</v>
      </c>
      <c r="I127">
        <v>-1</v>
      </c>
      <c r="Q127" t="s">
        <v>87</v>
      </c>
      <c r="R127">
        <v>1173</v>
      </c>
      <c r="S127">
        <v>6</v>
      </c>
      <c r="T127" t="b">
        <v>0</v>
      </c>
      <c r="U127" t="s">
        <v>88</v>
      </c>
      <c r="V127" t="s">
        <v>89</v>
      </c>
      <c r="W127">
        <v>0</v>
      </c>
      <c r="Y127">
        <v>1</v>
      </c>
      <c r="Z127">
        <v>1</v>
      </c>
      <c r="AC127" t="s">
        <v>90</v>
      </c>
      <c r="AD127">
        <v>125</v>
      </c>
      <c r="AE127">
        <v>220</v>
      </c>
      <c r="AF127" t="s">
        <v>91</v>
      </c>
      <c r="AG127">
        <v>288</v>
      </c>
      <c r="AH127" s="3">
        <v>2260</v>
      </c>
      <c r="AI127" s="3">
        <f>AH127/(AD127*Y127*Z127)</f>
        <v>18.079999999999998</v>
      </c>
      <c r="AJ127" s="3">
        <f>LN(AI127)</f>
        <v>2.8948063549640302</v>
      </c>
      <c r="AN127" t="b">
        <v>1</v>
      </c>
      <c r="AO127" t="b">
        <v>1</v>
      </c>
      <c r="AP127" t="b">
        <v>0</v>
      </c>
      <c r="AQ127" t="b">
        <v>0</v>
      </c>
      <c r="AR127" t="s">
        <v>911</v>
      </c>
      <c r="AS127" t="s">
        <v>912</v>
      </c>
      <c r="AU127">
        <v>7.7231200922663312</v>
      </c>
      <c r="AV127">
        <v>1.882352941176471</v>
      </c>
      <c r="AW127">
        <v>2.3529411764705879</v>
      </c>
      <c r="AX127">
        <v>0.35294117647058831</v>
      </c>
      <c r="AY127">
        <v>0.47058823529411759</v>
      </c>
      <c r="AZ127">
        <v>0.37209302325581389</v>
      </c>
      <c r="BA127">
        <v>0.46511627906976749</v>
      </c>
      <c r="BB127">
        <v>6.9767441860465129E-2</v>
      </c>
      <c r="BC127">
        <v>9.3023255813953487E-2</v>
      </c>
      <c r="BD127">
        <v>5.6597619738235299</v>
      </c>
      <c r="BE127">
        <v>20</v>
      </c>
      <c r="BF127">
        <v>227.79419475650769</v>
      </c>
      <c r="BG127">
        <v>1</v>
      </c>
      <c r="BH127">
        <v>8.7798550008608756E-2</v>
      </c>
      <c r="BI127">
        <v>15.19820412</v>
      </c>
      <c r="BJ127">
        <v>15.194836840000001</v>
      </c>
      <c r="BK127">
        <v>3.9043439100000001</v>
      </c>
      <c r="BL127">
        <v>441.58933615438389</v>
      </c>
      <c r="BM127">
        <v>2</v>
      </c>
      <c r="BN127">
        <v>9.0581897534807332E-2</v>
      </c>
      <c r="BO127">
        <v>3.8588</v>
      </c>
      <c r="BP127">
        <v>3.8588</v>
      </c>
      <c r="BQ127">
        <v>29.656099999999999</v>
      </c>
      <c r="BR127">
        <v>0</v>
      </c>
      <c r="BS127">
        <v>0</v>
      </c>
      <c r="BU127">
        <v>0</v>
      </c>
      <c r="BV127">
        <v>0</v>
      </c>
      <c r="BW127">
        <v>0</v>
      </c>
      <c r="BZ127">
        <v>10</v>
      </c>
      <c r="CB127">
        <v>4.3899275004304378E-2</v>
      </c>
      <c r="CC127">
        <v>4.5290948767403673E-2</v>
      </c>
      <c r="CE127">
        <v>0.57188837719605856</v>
      </c>
      <c r="CF127">
        <v>0.59001810826535639</v>
      </c>
    </row>
    <row r="128" spans="1:86" x14ac:dyDescent="0.3">
      <c r="A128" s="1">
        <v>469</v>
      </c>
      <c r="B128" t="s">
        <v>877</v>
      </c>
      <c r="C128" t="s">
        <v>878</v>
      </c>
      <c r="E128" t="s">
        <v>106</v>
      </c>
      <c r="G128" t="s">
        <v>108</v>
      </c>
      <c r="H128" t="s">
        <v>109</v>
      </c>
      <c r="I128">
        <v>-1</v>
      </c>
      <c r="Q128" t="s">
        <v>838</v>
      </c>
      <c r="R128">
        <v>1473</v>
      </c>
      <c r="S128">
        <v>10</v>
      </c>
      <c r="T128" t="b">
        <v>0</v>
      </c>
      <c r="U128" t="s">
        <v>88</v>
      </c>
      <c r="V128" t="s">
        <v>89</v>
      </c>
      <c r="W128">
        <v>0</v>
      </c>
      <c r="X128">
        <v>84</v>
      </c>
      <c r="Y128">
        <v>3.3300000000000003E-2</v>
      </c>
      <c r="Z128">
        <v>10</v>
      </c>
      <c r="AC128" t="s">
        <v>165</v>
      </c>
      <c r="AD128">
        <v>500</v>
      </c>
      <c r="AF128" t="s">
        <v>91</v>
      </c>
      <c r="AH128" s="3">
        <v>3000</v>
      </c>
      <c r="AI128" s="3">
        <f>AH128/(AD128*Y128*Z128)</f>
        <v>18.018018018018015</v>
      </c>
      <c r="AJ128" s="3">
        <f>LN(AI128)</f>
        <v>2.8913722582297479</v>
      </c>
      <c r="AK128" t="s">
        <v>879</v>
      </c>
      <c r="AL128" t="s">
        <v>879</v>
      </c>
      <c r="AN128" t="b">
        <v>1</v>
      </c>
      <c r="AO128" t="b">
        <v>1</v>
      </c>
      <c r="AP128" t="b">
        <v>0</v>
      </c>
      <c r="AQ128" t="b">
        <v>0</v>
      </c>
      <c r="AR128" t="s">
        <v>880</v>
      </c>
      <c r="AS128" t="s">
        <v>881</v>
      </c>
      <c r="AU128">
        <v>8.0063675676502459</v>
      </c>
      <c r="AV128">
        <v>1.75</v>
      </c>
      <c r="AW128">
        <v>2.5</v>
      </c>
      <c r="AX128">
        <v>0.77500000000000002</v>
      </c>
      <c r="AY128">
        <v>0</v>
      </c>
      <c r="AZ128">
        <v>0.34825870646766172</v>
      </c>
      <c r="BA128">
        <v>0.49751243781094517</v>
      </c>
      <c r="BB128">
        <v>0.154228855721393</v>
      </c>
      <c r="BC128">
        <v>0</v>
      </c>
      <c r="BD128">
        <v>6.2669077193656868</v>
      </c>
      <c r="BE128">
        <v>20</v>
      </c>
      <c r="BF128">
        <v>924.74694800021894</v>
      </c>
      <c r="BG128">
        <v>1</v>
      </c>
      <c r="BH128">
        <v>2.16275382614134E-2</v>
      </c>
      <c r="BI128">
        <v>7.8084429999999996</v>
      </c>
      <c r="BJ128">
        <v>7.8548809999999998</v>
      </c>
      <c r="BK128">
        <v>15.19056011</v>
      </c>
      <c r="BL128">
        <v>883.22940750240002</v>
      </c>
      <c r="BM128">
        <v>1</v>
      </c>
      <c r="BN128">
        <v>2.264417356364536E-2</v>
      </c>
      <c r="BO128">
        <v>3.8801999999999999</v>
      </c>
      <c r="BP128">
        <v>29.507999999999999</v>
      </c>
      <c r="BQ128">
        <v>7.7140000000000004</v>
      </c>
      <c r="BR128">
        <v>0</v>
      </c>
      <c r="BS128">
        <v>0</v>
      </c>
      <c r="BU128">
        <v>0</v>
      </c>
      <c r="BV128">
        <v>0</v>
      </c>
      <c r="BW128">
        <v>0</v>
      </c>
      <c r="BZ128">
        <v>10</v>
      </c>
      <c r="CB128">
        <v>1.08137691307067E-2</v>
      </c>
      <c r="CC128">
        <v>1.132208678182268E-2</v>
      </c>
      <c r="CE128">
        <v>0.1105020898761131</v>
      </c>
      <c r="CF128">
        <v>0.11569640853506551</v>
      </c>
    </row>
    <row r="129" spans="1:86" x14ac:dyDescent="0.3">
      <c r="A129" s="1">
        <v>518</v>
      </c>
      <c r="B129" t="s">
        <v>946</v>
      </c>
      <c r="C129" t="s">
        <v>947</v>
      </c>
      <c r="E129" t="s">
        <v>372</v>
      </c>
      <c r="F129">
        <v>3.58</v>
      </c>
      <c r="G129" t="s">
        <v>948</v>
      </c>
      <c r="H129">
        <v>-1</v>
      </c>
      <c r="I129">
        <v>-1</v>
      </c>
      <c r="J129">
        <v>4</v>
      </c>
      <c r="K129">
        <v>3.77</v>
      </c>
      <c r="L129">
        <v>3.77</v>
      </c>
      <c r="M129">
        <v>33.299999999999997</v>
      </c>
      <c r="N129" t="s">
        <v>529</v>
      </c>
      <c r="O129">
        <v>16.649999999999999</v>
      </c>
      <c r="Q129" t="s">
        <v>87</v>
      </c>
      <c r="R129">
        <v>1098</v>
      </c>
      <c r="S129">
        <v>12</v>
      </c>
      <c r="T129" t="b">
        <v>0</v>
      </c>
      <c r="U129" t="s">
        <v>88</v>
      </c>
      <c r="V129" t="s">
        <v>89</v>
      </c>
      <c r="W129">
        <v>0</v>
      </c>
      <c r="X129">
        <v>4</v>
      </c>
      <c r="Y129">
        <v>0.5</v>
      </c>
      <c r="Z129">
        <v>1</v>
      </c>
      <c r="AC129" t="s">
        <v>90</v>
      </c>
      <c r="AD129">
        <v>125</v>
      </c>
      <c r="AE129">
        <v>220</v>
      </c>
      <c r="AF129" t="s">
        <v>91</v>
      </c>
      <c r="AG129">
        <v>288</v>
      </c>
      <c r="AH129" s="3">
        <v>920</v>
      </c>
      <c r="AI129" s="3">
        <f>AH129/(AD129*Y129*Z129)</f>
        <v>14.72</v>
      </c>
      <c r="AJ129" s="3">
        <f>LN(AI129)</f>
        <v>2.6892071133007303</v>
      </c>
      <c r="AN129" t="b">
        <v>1</v>
      </c>
      <c r="AO129" t="b">
        <v>0</v>
      </c>
      <c r="AP129" t="b">
        <v>0</v>
      </c>
      <c r="AQ129" t="b">
        <v>0</v>
      </c>
      <c r="AR129" t="s">
        <v>948</v>
      </c>
      <c r="AS129">
        <v>-1</v>
      </c>
      <c r="AU129">
        <v>6.8243736700430864</v>
      </c>
      <c r="AV129">
        <v>1.571428571428571</v>
      </c>
      <c r="AW129">
        <v>1.5</v>
      </c>
      <c r="AX129">
        <v>0.2142857142857143</v>
      </c>
      <c r="AY129">
        <v>0</v>
      </c>
      <c r="AZ129">
        <v>0.47826086956521741</v>
      </c>
      <c r="BA129">
        <v>0.45652173913043481</v>
      </c>
      <c r="BB129">
        <v>6.5217391304347824E-2</v>
      </c>
      <c r="BC129">
        <v>0</v>
      </c>
      <c r="BD129">
        <v>6.659182230900428</v>
      </c>
      <c r="BE129">
        <v>8</v>
      </c>
      <c r="BF129">
        <v>249.41538945455761</v>
      </c>
      <c r="BG129">
        <v>2</v>
      </c>
      <c r="BH129">
        <v>6.4150011091898274E-2</v>
      </c>
      <c r="BI129">
        <v>3.8703880000000002</v>
      </c>
      <c r="BJ129">
        <v>3.8703880000000002</v>
      </c>
      <c r="BK129">
        <v>16.649999999999999</v>
      </c>
      <c r="BL129">
        <v>0</v>
      </c>
      <c r="BM129">
        <v>0</v>
      </c>
      <c r="BO129">
        <v>0</v>
      </c>
      <c r="BR129">
        <v>0</v>
      </c>
      <c r="BS129">
        <v>0</v>
      </c>
      <c r="BU129">
        <v>0</v>
      </c>
      <c r="BV129">
        <v>0</v>
      </c>
      <c r="BW129">
        <v>0</v>
      </c>
      <c r="BX129">
        <v>473.28956999999991</v>
      </c>
      <c r="BY129">
        <v>6.7611885045343392E-2</v>
      </c>
      <c r="BZ129">
        <v>4</v>
      </c>
      <c r="CA129">
        <v>3.3805942522671703E-2</v>
      </c>
      <c r="CB129">
        <v>3.2075005545949137E-2</v>
      </c>
      <c r="CE129">
        <v>0.41488478690173181</v>
      </c>
      <c r="CH129">
        <v>0.43727416475231679</v>
      </c>
    </row>
    <row r="130" spans="1:86" x14ac:dyDescent="0.3">
      <c r="A130" s="1">
        <v>807</v>
      </c>
      <c r="B130" t="s">
        <v>1348</v>
      </c>
      <c r="C130" t="s">
        <v>1349</v>
      </c>
      <c r="E130" t="s">
        <v>94</v>
      </c>
      <c r="F130">
        <v>3.58</v>
      </c>
      <c r="G130">
        <v>-1</v>
      </c>
      <c r="H130">
        <v>-1</v>
      </c>
      <c r="I130" t="s">
        <v>522</v>
      </c>
      <c r="J130">
        <v>1</v>
      </c>
      <c r="K130">
        <v>3.8620000000000001</v>
      </c>
      <c r="L130">
        <v>3.8620000000000001</v>
      </c>
      <c r="M130">
        <v>10.220000000000001</v>
      </c>
      <c r="O130">
        <v>10.220000000000001</v>
      </c>
      <c r="Q130" t="s">
        <v>87</v>
      </c>
      <c r="R130">
        <v>1373</v>
      </c>
      <c r="S130">
        <v>10</v>
      </c>
      <c r="T130" t="b">
        <v>0</v>
      </c>
      <c r="U130" t="s">
        <v>88</v>
      </c>
      <c r="V130" t="s">
        <v>89</v>
      </c>
      <c r="W130">
        <v>0</v>
      </c>
      <c r="Y130">
        <v>1</v>
      </c>
      <c r="Z130">
        <v>0.1</v>
      </c>
      <c r="AC130" t="s">
        <v>90</v>
      </c>
      <c r="AD130">
        <v>125</v>
      </c>
      <c r="AE130">
        <v>220</v>
      </c>
      <c r="AF130" t="s">
        <v>91</v>
      </c>
      <c r="AG130">
        <v>288</v>
      </c>
      <c r="AH130" s="3">
        <v>162.62755102040819</v>
      </c>
      <c r="AI130" s="3">
        <f>AH130/(AD130*Y130*Z130)</f>
        <v>13.010204081632656</v>
      </c>
      <c r="AJ130" s="3">
        <f>LN(AI130)</f>
        <v>2.5657339789219549</v>
      </c>
      <c r="AM130" t="s">
        <v>1350</v>
      </c>
      <c r="AN130" t="b">
        <v>0</v>
      </c>
      <c r="AO130" t="b">
        <v>0</v>
      </c>
      <c r="AP130" t="b">
        <v>1</v>
      </c>
      <c r="AQ130" t="b">
        <v>0</v>
      </c>
      <c r="AT130" t="s">
        <v>1351</v>
      </c>
      <c r="AU130">
        <v>5.0914626232302096</v>
      </c>
      <c r="AV130">
        <v>1.7272727272727271</v>
      </c>
      <c r="AW130">
        <v>2.545454545454545</v>
      </c>
      <c r="AX130">
        <v>0.72727272727272729</v>
      </c>
      <c r="AY130">
        <v>0.36363636363636359</v>
      </c>
      <c r="AZ130">
        <v>0.32203389830508478</v>
      </c>
      <c r="BA130">
        <v>0.47457627118644069</v>
      </c>
      <c r="BB130">
        <v>0.13559322033898311</v>
      </c>
      <c r="BC130">
        <v>6.7796610169491525E-2</v>
      </c>
      <c r="BD130">
        <v>6.024497607681818</v>
      </c>
      <c r="BE130">
        <v>14</v>
      </c>
      <c r="BF130">
        <v>0</v>
      </c>
      <c r="BG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O130">
        <v>0</v>
      </c>
      <c r="BP130">
        <v>0</v>
      </c>
      <c r="BQ130">
        <v>0</v>
      </c>
      <c r="BR130">
        <v>171.98132883066</v>
      </c>
      <c r="BS130">
        <v>1</v>
      </c>
      <c r="BT130">
        <v>8.1404185531005993E-2</v>
      </c>
      <c r="BU130">
        <v>3.8898000000000001</v>
      </c>
      <c r="BV130">
        <v>3.8898000000000001</v>
      </c>
      <c r="BW130">
        <v>11.3665</v>
      </c>
      <c r="BX130">
        <v>152.43174968</v>
      </c>
      <c r="BY130">
        <v>9.1844383006756819E-2</v>
      </c>
      <c r="BZ130">
        <v>7</v>
      </c>
      <c r="CA130">
        <v>4.5922191503378409E-2</v>
      </c>
      <c r="CD130">
        <v>4.0702092765502997E-2</v>
      </c>
      <c r="CG130">
        <v>0.41641542742117282</v>
      </c>
      <c r="CH130">
        <v>0.4698212721681892</v>
      </c>
    </row>
    <row r="131" spans="1:86" x14ac:dyDescent="0.3">
      <c r="A131" s="1">
        <v>686</v>
      </c>
      <c r="B131" t="s">
        <v>1054</v>
      </c>
      <c r="C131" t="s">
        <v>1055</v>
      </c>
      <c r="E131" t="s">
        <v>404</v>
      </c>
      <c r="F131">
        <v>3.26</v>
      </c>
      <c r="G131" t="s">
        <v>405</v>
      </c>
      <c r="H131">
        <v>-1</v>
      </c>
      <c r="I131" t="s">
        <v>1056</v>
      </c>
      <c r="J131">
        <v>2</v>
      </c>
      <c r="K131">
        <v>3.8</v>
      </c>
      <c r="L131">
        <v>3.8</v>
      </c>
      <c r="M131">
        <v>24</v>
      </c>
      <c r="O131">
        <v>12</v>
      </c>
      <c r="Q131" t="s">
        <v>87</v>
      </c>
      <c r="R131">
        <v>1373</v>
      </c>
      <c r="S131">
        <v>12</v>
      </c>
      <c r="T131" t="b">
        <v>0</v>
      </c>
      <c r="U131" t="s">
        <v>88</v>
      </c>
      <c r="V131" t="s">
        <v>89</v>
      </c>
      <c r="W131">
        <v>0</v>
      </c>
      <c r="X131">
        <v>21</v>
      </c>
      <c r="Y131">
        <v>0.5</v>
      </c>
      <c r="Z131">
        <v>1</v>
      </c>
      <c r="AC131" t="s">
        <v>90</v>
      </c>
      <c r="AD131">
        <v>125</v>
      </c>
      <c r="AE131">
        <v>220</v>
      </c>
      <c r="AF131" t="s">
        <v>91</v>
      </c>
      <c r="AG131">
        <v>288</v>
      </c>
      <c r="AH131" s="3">
        <v>784</v>
      </c>
      <c r="AI131" s="3">
        <f>AH131/(AD131*Y131*Z131)</f>
        <v>12.544</v>
      </c>
      <c r="AJ131" s="3">
        <f>LN(AI131)</f>
        <v>2.5292424636080519</v>
      </c>
      <c r="AK131" t="s">
        <v>136</v>
      </c>
      <c r="AN131" t="b">
        <v>1</v>
      </c>
      <c r="AO131" t="b">
        <v>0</v>
      </c>
      <c r="AP131" t="b">
        <v>0</v>
      </c>
      <c r="AQ131" t="b">
        <v>0</v>
      </c>
      <c r="AR131" t="s">
        <v>1187</v>
      </c>
      <c r="AT131" t="s">
        <v>1056</v>
      </c>
      <c r="AU131">
        <v>6.6644090203504076</v>
      </c>
      <c r="AV131">
        <v>1.882352941176471</v>
      </c>
      <c r="AW131">
        <v>2.3529411764705879</v>
      </c>
      <c r="AX131">
        <v>0.47058823529411759</v>
      </c>
      <c r="AY131">
        <v>0</v>
      </c>
      <c r="AZ131">
        <v>0.4</v>
      </c>
      <c r="BA131">
        <v>0.5</v>
      </c>
      <c r="BB131">
        <v>9.9999999999999992E-2</v>
      </c>
      <c r="BC131">
        <v>0</v>
      </c>
      <c r="BD131">
        <v>6.249318434394235</v>
      </c>
      <c r="BE131">
        <v>20</v>
      </c>
      <c r="BF131">
        <v>229.90248606119221</v>
      </c>
      <c r="BG131">
        <v>1</v>
      </c>
      <c r="BH131">
        <v>8.6993404650164072E-2</v>
      </c>
      <c r="BI131">
        <v>15.28115725</v>
      </c>
      <c r="BJ131">
        <v>15.28115725</v>
      </c>
      <c r="BK131">
        <v>15.28115725</v>
      </c>
      <c r="BL131">
        <v>0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U131">
        <v>0</v>
      </c>
      <c r="BV131">
        <v>0</v>
      </c>
      <c r="BW131">
        <v>0</v>
      </c>
      <c r="BX131">
        <v>346.56</v>
      </c>
      <c r="BY131">
        <v>0.11542012927054481</v>
      </c>
      <c r="BZ131">
        <v>10</v>
      </c>
      <c r="CA131">
        <v>5.7710064635272389E-2</v>
      </c>
      <c r="CB131">
        <v>4.3496702325082043E-2</v>
      </c>
      <c r="CE131">
        <v>0.44572942494581569</v>
      </c>
      <c r="CH131">
        <v>0.59137986441406176</v>
      </c>
    </row>
    <row r="132" spans="1:86" x14ac:dyDescent="0.3">
      <c r="A132" s="1">
        <v>521</v>
      </c>
      <c r="B132" t="s">
        <v>955</v>
      </c>
      <c r="C132" t="s">
        <v>956</v>
      </c>
      <c r="E132" t="s">
        <v>372</v>
      </c>
      <c r="F132">
        <v>3.47</v>
      </c>
      <c r="G132" t="s">
        <v>957</v>
      </c>
      <c r="H132">
        <v>-1</v>
      </c>
      <c r="I132">
        <v>-1</v>
      </c>
      <c r="J132">
        <v>4</v>
      </c>
      <c r="K132">
        <v>3.76</v>
      </c>
      <c r="L132">
        <v>3.76</v>
      </c>
      <c r="M132">
        <v>54.9</v>
      </c>
      <c r="N132" t="s">
        <v>529</v>
      </c>
      <c r="O132">
        <v>27.45</v>
      </c>
      <c r="Q132" t="s">
        <v>87</v>
      </c>
      <c r="R132">
        <v>1098</v>
      </c>
      <c r="S132">
        <v>12</v>
      </c>
      <c r="T132" t="b">
        <v>0</v>
      </c>
      <c r="U132" t="s">
        <v>88</v>
      </c>
      <c r="V132" t="s">
        <v>89</v>
      </c>
      <c r="W132">
        <v>0</v>
      </c>
      <c r="Y132">
        <v>0.5</v>
      </c>
      <c r="Z132">
        <v>1</v>
      </c>
      <c r="AC132" t="s">
        <v>90</v>
      </c>
      <c r="AD132">
        <v>125</v>
      </c>
      <c r="AE132">
        <v>220</v>
      </c>
      <c r="AF132" t="s">
        <v>91</v>
      </c>
      <c r="AG132">
        <v>288</v>
      </c>
      <c r="AH132" s="3">
        <v>600</v>
      </c>
      <c r="AI132" s="3">
        <f>AH132/(AD132*Y132*Z132)</f>
        <v>9.6</v>
      </c>
      <c r="AJ132" s="3">
        <f>LN(AI132)</f>
        <v>2.2617630984737906</v>
      </c>
      <c r="AN132" t="b">
        <v>1</v>
      </c>
      <c r="AO132" t="b">
        <v>0</v>
      </c>
      <c r="AP132" t="b">
        <v>0</v>
      </c>
      <c r="AQ132" t="b">
        <v>0</v>
      </c>
      <c r="AR132" t="s">
        <v>957</v>
      </c>
      <c r="AS132">
        <v>-1</v>
      </c>
      <c r="AU132">
        <v>6.3969296552161463</v>
      </c>
      <c r="AV132">
        <v>1.448275862068966</v>
      </c>
      <c r="AW132">
        <v>1.068965517241379</v>
      </c>
      <c r="AX132">
        <v>0.10344827586206901</v>
      </c>
      <c r="AY132">
        <v>0</v>
      </c>
      <c r="AZ132">
        <v>0.55263157894736847</v>
      </c>
      <c r="BA132">
        <v>0.40789473684210531</v>
      </c>
      <c r="BB132">
        <v>3.9473684210526307E-2</v>
      </c>
      <c r="BC132">
        <v>0</v>
      </c>
      <c r="BD132">
        <v>6.7688871278833096</v>
      </c>
      <c r="BE132">
        <v>8</v>
      </c>
      <c r="BF132">
        <v>411.19834477643292</v>
      </c>
      <c r="BG132">
        <v>2</v>
      </c>
      <c r="BH132">
        <v>3.8910662465577638E-2</v>
      </c>
      <c r="BI132">
        <v>3.8703880000000002</v>
      </c>
      <c r="BJ132">
        <v>3.8703880000000002</v>
      </c>
      <c r="BK132">
        <v>27.45</v>
      </c>
      <c r="BL132">
        <v>0</v>
      </c>
      <c r="BM132">
        <v>0</v>
      </c>
      <c r="BO132">
        <v>0</v>
      </c>
      <c r="BR132">
        <v>0</v>
      </c>
      <c r="BS132">
        <v>0</v>
      </c>
      <c r="BU132">
        <v>0</v>
      </c>
      <c r="BV132">
        <v>0</v>
      </c>
      <c r="BW132">
        <v>0</v>
      </c>
      <c r="BX132">
        <v>776.15423999999996</v>
      </c>
      <c r="BY132">
        <v>4.1228918623185E-2</v>
      </c>
      <c r="BZ132">
        <v>4</v>
      </c>
      <c r="CA132">
        <v>2.06144593115925E-2</v>
      </c>
      <c r="CB132">
        <v>1.9455331232788819E-2</v>
      </c>
      <c r="CE132">
        <v>0.25440349066207429</v>
      </c>
      <c r="CH132">
        <v>0.26956058183896969</v>
      </c>
    </row>
    <row r="133" spans="1:86" x14ac:dyDescent="0.3">
      <c r="A133" s="1">
        <v>698</v>
      </c>
      <c r="B133" t="s">
        <v>402</v>
      </c>
      <c r="C133" t="s">
        <v>403</v>
      </c>
      <c r="E133" t="s">
        <v>404</v>
      </c>
      <c r="F133">
        <v>3.56</v>
      </c>
      <c r="G133" t="s">
        <v>405</v>
      </c>
      <c r="H133">
        <v>-1</v>
      </c>
      <c r="I133" t="s">
        <v>754</v>
      </c>
      <c r="Q133" t="s">
        <v>821</v>
      </c>
      <c r="T133" t="b">
        <v>0</v>
      </c>
      <c r="U133" t="s">
        <v>88</v>
      </c>
      <c r="V133" t="s">
        <v>89</v>
      </c>
      <c r="W133">
        <v>0</v>
      </c>
      <c r="X133">
        <v>20</v>
      </c>
      <c r="Y133">
        <v>0.5</v>
      </c>
      <c r="Z133">
        <v>1</v>
      </c>
      <c r="AC133" t="s">
        <v>90</v>
      </c>
      <c r="AD133">
        <v>125</v>
      </c>
      <c r="AE133">
        <v>220</v>
      </c>
      <c r="AF133" t="s">
        <v>91</v>
      </c>
      <c r="AG133">
        <v>288</v>
      </c>
      <c r="AH133" s="3">
        <v>564</v>
      </c>
      <c r="AI133" s="3">
        <f>AH133/(AD133*Y133*Z133)</f>
        <v>9.0239999999999991</v>
      </c>
      <c r="AJ133" s="3">
        <f>LN(AI133)</f>
        <v>2.1998876947557031</v>
      </c>
      <c r="AN133" t="b">
        <v>1</v>
      </c>
      <c r="AO133" t="b">
        <v>0</v>
      </c>
      <c r="AP133" t="b">
        <v>0</v>
      </c>
      <c r="AQ133" t="b">
        <v>0</v>
      </c>
      <c r="AR133" t="s">
        <v>405</v>
      </c>
      <c r="AT133" t="s">
        <v>754</v>
      </c>
      <c r="AU133">
        <v>6.3350542514980592</v>
      </c>
      <c r="AV133">
        <v>1.882352941176471</v>
      </c>
      <c r="AW133">
        <v>2.3529411764705879</v>
      </c>
      <c r="AX133">
        <v>0.47058823529411759</v>
      </c>
      <c r="AY133">
        <v>0</v>
      </c>
      <c r="AZ133">
        <v>0.4</v>
      </c>
      <c r="BA133">
        <v>0.5</v>
      </c>
      <c r="BB133">
        <v>9.9999999999999992E-2</v>
      </c>
      <c r="BC133">
        <v>0</v>
      </c>
      <c r="BD133">
        <v>5.6898768502941177</v>
      </c>
      <c r="BE133">
        <v>20</v>
      </c>
      <c r="BF133">
        <v>229.90248606119221</v>
      </c>
      <c r="BG133">
        <v>1</v>
      </c>
      <c r="BH133">
        <v>8.6993404650164072E-2</v>
      </c>
      <c r="BI133">
        <v>15.28115725</v>
      </c>
      <c r="BJ133">
        <v>15.28115725</v>
      </c>
      <c r="BK133">
        <v>15.28115725</v>
      </c>
      <c r="BL133">
        <v>0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U133">
        <v>0</v>
      </c>
      <c r="BV133">
        <v>0</v>
      </c>
      <c r="BW133">
        <v>0</v>
      </c>
      <c r="BZ133">
        <v>10</v>
      </c>
      <c r="CB133">
        <v>4.3496702325082043E-2</v>
      </c>
      <c r="CE133">
        <v>0.57369840599679478</v>
      </c>
    </row>
    <row r="134" spans="1:86" x14ac:dyDescent="0.3">
      <c r="A134" s="1">
        <v>799</v>
      </c>
      <c r="B134" t="s">
        <v>1335</v>
      </c>
      <c r="C134" t="s">
        <v>1336</v>
      </c>
      <c r="E134" t="s">
        <v>404</v>
      </c>
      <c r="F134">
        <v>3.4775</v>
      </c>
      <c r="G134" t="s">
        <v>405</v>
      </c>
      <c r="H134">
        <v>-1</v>
      </c>
      <c r="I134">
        <v>-1</v>
      </c>
      <c r="J134">
        <v>2</v>
      </c>
      <c r="K134">
        <v>3.78</v>
      </c>
      <c r="L134">
        <v>3.78</v>
      </c>
      <c r="M134">
        <v>27.2</v>
      </c>
      <c r="N134" t="s">
        <v>529</v>
      </c>
      <c r="O134">
        <v>13.6</v>
      </c>
      <c r="Q134" t="s">
        <v>87</v>
      </c>
      <c r="R134">
        <v>1273</v>
      </c>
      <c r="S134">
        <v>10</v>
      </c>
      <c r="T134" t="b">
        <v>0</v>
      </c>
      <c r="U134" t="s">
        <v>88</v>
      </c>
      <c r="V134" t="s">
        <v>89</v>
      </c>
      <c r="W134">
        <v>0</v>
      </c>
      <c r="Y134">
        <v>0.5</v>
      </c>
      <c r="Z134">
        <v>0.1</v>
      </c>
      <c r="AC134" t="s">
        <v>90</v>
      </c>
      <c r="AD134">
        <v>125</v>
      </c>
      <c r="AE134">
        <v>220</v>
      </c>
      <c r="AF134" t="s">
        <v>91</v>
      </c>
      <c r="AG134">
        <v>288</v>
      </c>
      <c r="AH134" s="3">
        <v>55.999999999999993</v>
      </c>
      <c r="AI134" s="3">
        <f>AH134/(AD134*Y134*Z134)</f>
        <v>8.9599999999999991</v>
      </c>
      <c r="AJ134" s="3">
        <f>LN(AI134)</f>
        <v>2.192770226986839</v>
      </c>
      <c r="AK134" t="s">
        <v>1337</v>
      </c>
      <c r="AN134" t="b">
        <v>1</v>
      </c>
      <c r="AO134" t="b">
        <v>0</v>
      </c>
      <c r="AP134" t="b">
        <v>0</v>
      </c>
      <c r="AQ134" t="b">
        <v>0</v>
      </c>
      <c r="AR134" t="s">
        <v>1338</v>
      </c>
      <c r="AU134">
        <v>4.0253516907351488</v>
      </c>
      <c r="AV134">
        <v>1.882352941176471</v>
      </c>
      <c r="AW134">
        <v>2.3529411764705879</v>
      </c>
      <c r="AX134">
        <v>0.35294117647058831</v>
      </c>
      <c r="AY134">
        <v>0.47058823529411759</v>
      </c>
      <c r="AZ134">
        <v>0.37209302325581389</v>
      </c>
      <c r="BA134">
        <v>0.46511627906976749</v>
      </c>
      <c r="BB134">
        <v>6.9767441860465129E-2</v>
      </c>
      <c r="BC134">
        <v>9.3023255813953487E-2</v>
      </c>
      <c r="BD134">
        <v>6.0767096538103829</v>
      </c>
      <c r="BE134">
        <v>20</v>
      </c>
      <c r="BF134">
        <v>229.90248606119221</v>
      </c>
      <c r="BG134">
        <v>1</v>
      </c>
      <c r="BH134">
        <v>8.6993404650164072E-2</v>
      </c>
      <c r="BI134">
        <v>15.28115725</v>
      </c>
      <c r="BJ134">
        <v>15.28115725</v>
      </c>
      <c r="BK134">
        <v>15.28115725</v>
      </c>
      <c r="BL134">
        <v>0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U134">
        <v>0</v>
      </c>
      <c r="BV134">
        <v>0</v>
      </c>
      <c r="BW134">
        <v>0</v>
      </c>
      <c r="BX134">
        <v>388.64447999999999</v>
      </c>
      <c r="BY134">
        <v>0.1029218271670808</v>
      </c>
      <c r="BZ134">
        <v>10</v>
      </c>
      <c r="CA134">
        <v>5.1460913583540407E-2</v>
      </c>
      <c r="CB134">
        <v>4.3496702325082043E-2</v>
      </c>
      <c r="CE134">
        <v>0.48034640150166491</v>
      </c>
      <c r="CH134">
        <v>0.56829744179451802</v>
      </c>
    </row>
    <row r="135" spans="1:86" x14ac:dyDescent="0.3">
      <c r="A135" s="1">
        <v>520</v>
      </c>
      <c r="B135" t="s">
        <v>952</v>
      </c>
      <c r="C135" t="s">
        <v>953</v>
      </c>
      <c r="E135" t="s">
        <v>372</v>
      </c>
      <c r="F135">
        <v>3.61</v>
      </c>
      <c r="G135" t="s">
        <v>954</v>
      </c>
      <c r="H135">
        <v>-1</v>
      </c>
      <c r="I135">
        <v>-1</v>
      </c>
      <c r="J135">
        <v>4</v>
      </c>
      <c r="K135">
        <v>3.76</v>
      </c>
      <c r="L135">
        <v>3.76</v>
      </c>
      <c r="M135">
        <v>47.8</v>
      </c>
      <c r="N135" t="s">
        <v>529</v>
      </c>
      <c r="O135">
        <v>23.9</v>
      </c>
      <c r="Q135" t="s">
        <v>87</v>
      </c>
      <c r="R135">
        <v>1098</v>
      </c>
      <c r="S135">
        <v>12</v>
      </c>
      <c r="T135" t="b">
        <v>0</v>
      </c>
      <c r="U135" t="s">
        <v>88</v>
      </c>
      <c r="V135" t="s">
        <v>89</v>
      </c>
      <c r="W135">
        <v>0</v>
      </c>
      <c r="X135">
        <v>2.6</v>
      </c>
      <c r="Y135">
        <v>0.5</v>
      </c>
      <c r="Z135">
        <v>1</v>
      </c>
      <c r="AC135" t="s">
        <v>90</v>
      </c>
      <c r="AD135">
        <v>125</v>
      </c>
      <c r="AE135">
        <v>220</v>
      </c>
      <c r="AF135" t="s">
        <v>91</v>
      </c>
      <c r="AG135">
        <v>288</v>
      </c>
      <c r="AH135" s="3">
        <v>520</v>
      </c>
      <c r="AI135" s="3">
        <f>AH135/(AD135*Y135*Z135)</f>
        <v>8.32</v>
      </c>
      <c r="AJ135" s="3">
        <f>LN(AI135)</f>
        <v>2.1186622548331173</v>
      </c>
      <c r="AN135" t="b">
        <v>1</v>
      </c>
      <c r="AO135" t="b">
        <v>0</v>
      </c>
      <c r="AP135" t="b">
        <v>0</v>
      </c>
      <c r="AQ135" t="b">
        <v>0</v>
      </c>
      <c r="AR135" t="s">
        <v>954</v>
      </c>
      <c r="AS135">
        <v>-1</v>
      </c>
      <c r="AU135">
        <v>6.253828811575473</v>
      </c>
      <c r="AV135">
        <v>1.4782608695652171</v>
      </c>
      <c r="AW135">
        <v>1.173913043478261</v>
      </c>
      <c r="AX135">
        <v>0.13043478260869559</v>
      </c>
      <c r="AY135">
        <v>0</v>
      </c>
      <c r="AZ135">
        <v>0.53125</v>
      </c>
      <c r="BA135">
        <v>0.42187500000000011</v>
      </c>
      <c r="BB135">
        <v>4.6875E-2</v>
      </c>
      <c r="BC135">
        <v>0</v>
      </c>
      <c r="BD135">
        <v>6.7421763703570434</v>
      </c>
      <c r="BE135">
        <v>8</v>
      </c>
      <c r="BF135">
        <v>358.01968816600157</v>
      </c>
      <c r="BG135">
        <v>2</v>
      </c>
      <c r="BH135">
        <v>4.4690279693728303E-2</v>
      </c>
      <c r="BI135">
        <v>3.8703880000000002</v>
      </c>
      <c r="BJ135">
        <v>3.8703880000000002</v>
      </c>
      <c r="BK135">
        <v>23.9</v>
      </c>
      <c r="BL135">
        <v>0</v>
      </c>
      <c r="BM135">
        <v>0</v>
      </c>
      <c r="BO135">
        <v>0</v>
      </c>
      <c r="BR135">
        <v>0</v>
      </c>
      <c r="BS135">
        <v>0</v>
      </c>
      <c r="BU135">
        <v>0</v>
      </c>
      <c r="BV135">
        <v>0</v>
      </c>
      <c r="BW135">
        <v>0</v>
      </c>
      <c r="BX135">
        <v>675.77727999999991</v>
      </c>
      <c r="BY135">
        <v>4.7352879339181107E-2</v>
      </c>
      <c r="BZ135">
        <v>4</v>
      </c>
      <c r="CA135">
        <v>2.367643966959055E-2</v>
      </c>
      <c r="CB135">
        <v>2.2345139846864152E-2</v>
      </c>
      <c r="CE135">
        <v>0.29092712016610461</v>
      </c>
      <c r="CH135">
        <v>0.30826025059884121</v>
      </c>
    </row>
    <row r="136" spans="1:86" x14ac:dyDescent="0.3">
      <c r="A136" s="1">
        <v>523</v>
      </c>
      <c r="B136" t="s">
        <v>961</v>
      </c>
      <c r="C136" t="s">
        <v>962</v>
      </c>
      <c r="E136" t="s">
        <v>372</v>
      </c>
      <c r="F136">
        <v>3.47</v>
      </c>
      <c r="G136" t="s">
        <v>963</v>
      </c>
      <c r="H136">
        <v>-1</v>
      </c>
      <c r="I136">
        <v>-1</v>
      </c>
      <c r="J136">
        <v>4</v>
      </c>
      <c r="K136">
        <v>3.72</v>
      </c>
      <c r="L136">
        <v>3.72</v>
      </c>
      <c r="M136">
        <v>36.6</v>
      </c>
      <c r="N136" t="s">
        <v>529</v>
      </c>
      <c r="O136">
        <v>18.3</v>
      </c>
      <c r="Q136" t="s">
        <v>87</v>
      </c>
      <c r="R136">
        <v>1098</v>
      </c>
      <c r="S136">
        <v>12</v>
      </c>
      <c r="T136" t="b">
        <v>0</v>
      </c>
      <c r="U136" t="s">
        <v>88</v>
      </c>
      <c r="V136" t="s">
        <v>89</v>
      </c>
      <c r="W136">
        <v>0</v>
      </c>
      <c r="Y136">
        <v>0.5</v>
      </c>
      <c r="Z136">
        <v>1</v>
      </c>
      <c r="AC136" t="s">
        <v>90</v>
      </c>
      <c r="AD136">
        <v>125</v>
      </c>
      <c r="AE136">
        <v>220</v>
      </c>
      <c r="AF136" t="s">
        <v>91</v>
      </c>
      <c r="AG136">
        <v>288</v>
      </c>
      <c r="AH136" s="3">
        <v>520</v>
      </c>
      <c r="AI136" s="3">
        <f>AH136/(AD136*Y136*Z136)</f>
        <v>8.32</v>
      </c>
      <c r="AJ136" s="3">
        <f>LN(AI136)</f>
        <v>2.1186622548331173</v>
      </c>
      <c r="AN136" t="b">
        <v>1</v>
      </c>
      <c r="AO136" t="b">
        <v>0</v>
      </c>
      <c r="AP136" t="b">
        <v>0</v>
      </c>
      <c r="AQ136" t="b">
        <v>0</v>
      </c>
      <c r="AR136" t="s">
        <v>963</v>
      </c>
      <c r="AS136">
        <v>-1</v>
      </c>
      <c r="AU136">
        <v>6.253828811575473</v>
      </c>
      <c r="AV136">
        <v>1.5625</v>
      </c>
      <c r="AW136">
        <v>1.5</v>
      </c>
      <c r="AX136">
        <v>0.1875</v>
      </c>
      <c r="AY136">
        <v>0</v>
      </c>
      <c r="AZ136">
        <v>0.48076923076923078</v>
      </c>
      <c r="BA136">
        <v>0.46153846153846162</v>
      </c>
      <c r="BB136">
        <v>5.7692307692307702E-2</v>
      </c>
      <c r="BC136">
        <v>0</v>
      </c>
      <c r="BD136">
        <v>6.6858494014035621</v>
      </c>
      <c r="BE136">
        <v>10</v>
      </c>
      <c r="BF136">
        <v>279.37519599564558</v>
      </c>
      <c r="BG136">
        <v>2</v>
      </c>
      <c r="BH136">
        <v>7.1588316667567459E-2</v>
      </c>
      <c r="BI136">
        <v>3.8703880000000002</v>
      </c>
      <c r="BJ136">
        <v>3.8703880000000002</v>
      </c>
      <c r="BK136">
        <v>18.649999999999999</v>
      </c>
      <c r="BL136">
        <v>0</v>
      </c>
      <c r="BM136">
        <v>0</v>
      </c>
      <c r="BO136">
        <v>0</v>
      </c>
      <c r="BR136">
        <v>0</v>
      </c>
      <c r="BS136">
        <v>0</v>
      </c>
      <c r="BU136">
        <v>0</v>
      </c>
      <c r="BV136">
        <v>0</v>
      </c>
      <c r="BW136">
        <v>0</v>
      </c>
      <c r="BX136">
        <v>506.4854400000001</v>
      </c>
      <c r="BY136">
        <v>7.8975616752181454E-2</v>
      </c>
      <c r="BZ136">
        <v>5</v>
      </c>
      <c r="CA136">
        <v>3.9487808376090727E-2</v>
      </c>
      <c r="CB136">
        <v>3.5794158333783729E-2</v>
      </c>
      <c r="CE136">
        <v>0.36221918687112381</v>
      </c>
      <c r="CH136">
        <v>0.39959709927891929</v>
      </c>
    </row>
    <row r="137" spans="1:86" x14ac:dyDescent="0.3">
      <c r="A137" s="1">
        <v>531</v>
      </c>
      <c r="B137" t="s">
        <v>986</v>
      </c>
      <c r="C137" t="s">
        <v>987</v>
      </c>
      <c r="E137" t="s">
        <v>372</v>
      </c>
      <c r="F137">
        <v>3.42</v>
      </c>
      <c r="G137" t="s">
        <v>960</v>
      </c>
      <c r="H137">
        <v>-1</v>
      </c>
      <c r="I137">
        <v>-1</v>
      </c>
      <c r="J137">
        <v>4</v>
      </c>
      <c r="K137">
        <v>3.71</v>
      </c>
      <c r="L137">
        <v>3.71</v>
      </c>
      <c r="M137">
        <v>32</v>
      </c>
      <c r="N137" t="s">
        <v>529</v>
      </c>
      <c r="O137">
        <v>16</v>
      </c>
      <c r="Q137" t="s">
        <v>87</v>
      </c>
      <c r="R137">
        <v>1098</v>
      </c>
      <c r="S137">
        <v>12</v>
      </c>
      <c r="T137" t="b">
        <v>0</v>
      </c>
      <c r="U137" t="s">
        <v>88</v>
      </c>
      <c r="V137" t="s">
        <v>89</v>
      </c>
      <c r="W137">
        <v>0</v>
      </c>
      <c r="X137">
        <v>5</v>
      </c>
      <c r="Y137">
        <v>0.5</v>
      </c>
      <c r="Z137">
        <v>1</v>
      </c>
      <c r="AC137" t="s">
        <v>90</v>
      </c>
      <c r="AD137">
        <v>125</v>
      </c>
      <c r="AE137">
        <v>220</v>
      </c>
      <c r="AF137" t="s">
        <v>91</v>
      </c>
      <c r="AG137">
        <v>288</v>
      </c>
      <c r="AH137" s="3">
        <v>520</v>
      </c>
      <c r="AI137" s="3">
        <f>AH137/(AD137*Y137*Z137)</f>
        <v>8.32</v>
      </c>
      <c r="AJ137" s="3">
        <f>LN(AI137)</f>
        <v>2.1186622548331173</v>
      </c>
      <c r="AK137" t="s">
        <v>550</v>
      </c>
      <c r="AN137" t="b">
        <v>1</v>
      </c>
      <c r="AO137" t="b">
        <v>0</v>
      </c>
      <c r="AP137" t="b">
        <v>0</v>
      </c>
      <c r="AQ137" t="b">
        <v>0</v>
      </c>
      <c r="AR137" t="s">
        <v>988</v>
      </c>
      <c r="AS137">
        <v>-1</v>
      </c>
      <c r="AU137">
        <v>6.253828811575473</v>
      </c>
      <c r="AV137">
        <v>1.615384615384615</v>
      </c>
      <c r="AW137">
        <v>1.6923076923076921</v>
      </c>
      <c r="AX137">
        <v>0.15384615384615391</v>
      </c>
      <c r="AY137">
        <v>0.30769230769230771</v>
      </c>
      <c r="AZ137">
        <v>0.4285714285714286</v>
      </c>
      <c r="BA137">
        <v>0.44897959183673469</v>
      </c>
      <c r="BB137">
        <v>4.0816326530612249E-2</v>
      </c>
      <c r="BC137">
        <v>8.1632653061224497E-2</v>
      </c>
      <c r="BD137">
        <v>6.6233676059426916</v>
      </c>
      <c r="BE137">
        <v>10</v>
      </c>
      <c r="BF137">
        <v>249.41538945455761</v>
      </c>
      <c r="BG137">
        <v>2</v>
      </c>
      <c r="BH137">
        <v>8.0187513864872856E-2</v>
      </c>
      <c r="BI137">
        <v>3.8703880000000002</v>
      </c>
      <c r="BJ137">
        <v>3.8703880000000002</v>
      </c>
      <c r="BK137">
        <v>16.649999999999999</v>
      </c>
      <c r="BL137">
        <v>0</v>
      </c>
      <c r="BM137">
        <v>0</v>
      </c>
      <c r="BO137">
        <v>0</v>
      </c>
      <c r="BR137">
        <v>0</v>
      </c>
      <c r="BS137">
        <v>0</v>
      </c>
      <c r="BU137">
        <v>0</v>
      </c>
      <c r="BV137">
        <v>0</v>
      </c>
      <c r="BW137">
        <v>0</v>
      </c>
      <c r="BX137">
        <v>440.45119999999997</v>
      </c>
      <c r="BY137">
        <v>9.0815963266759184E-2</v>
      </c>
      <c r="BZ137">
        <v>5</v>
      </c>
      <c r="CA137">
        <v>4.5407981633379592E-2</v>
      </c>
      <c r="CB137">
        <v>4.0093756932436428E-2</v>
      </c>
      <c r="CE137">
        <v>0.39831900676375431</v>
      </c>
      <c r="CH137">
        <v>0.45111417654956709</v>
      </c>
    </row>
    <row r="138" spans="1:86" x14ac:dyDescent="0.3">
      <c r="A138" s="1">
        <v>554</v>
      </c>
      <c r="B138" t="s">
        <v>140</v>
      </c>
      <c r="C138" t="s">
        <v>141</v>
      </c>
      <c r="E138" t="s">
        <v>106</v>
      </c>
      <c r="F138">
        <v>3.5</v>
      </c>
      <c r="G138" t="s">
        <v>142</v>
      </c>
      <c r="H138">
        <v>1522043</v>
      </c>
      <c r="I138">
        <v>-1</v>
      </c>
      <c r="J138">
        <v>1</v>
      </c>
      <c r="K138">
        <v>3.82</v>
      </c>
      <c r="L138">
        <v>3.82</v>
      </c>
      <c r="M138">
        <v>16</v>
      </c>
      <c r="O138">
        <v>16</v>
      </c>
      <c r="Q138" t="s">
        <v>87</v>
      </c>
      <c r="R138">
        <v>1373</v>
      </c>
      <c r="S138">
        <v>24</v>
      </c>
      <c r="T138" t="b">
        <v>0</v>
      </c>
      <c r="U138" t="s">
        <v>88</v>
      </c>
      <c r="V138" t="s">
        <v>89</v>
      </c>
      <c r="W138">
        <v>0</v>
      </c>
      <c r="X138">
        <v>7.6</v>
      </c>
      <c r="Y138">
        <v>0.5</v>
      </c>
      <c r="Z138">
        <v>1</v>
      </c>
      <c r="AC138" t="s">
        <v>90</v>
      </c>
      <c r="AD138">
        <v>125</v>
      </c>
      <c r="AE138">
        <v>220</v>
      </c>
      <c r="AF138" t="s">
        <v>91</v>
      </c>
      <c r="AG138">
        <v>288</v>
      </c>
      <c r="AH138" s="3">
        <v>520</v>
      </c>
      <c r="AI138" s="3">
        <f>AH138/(AD138*Y138*Z138)</f>
        <v>8.32</v>
      </c>
      <c r="AJ138" s="3">
        <f>LN(AI138)</f>
        <v>2.1186622548331173</v>
      </c>
      <c r="AK138" t="s">
        <v>144</v>
      </c>
      <c r="AL138" t="s">
        <v>144</v>
      </c>
      <c r="AN138" t="b">
        <v>1</v>
      </c>
      <c r="AO138" t="b">
        <v>1</v>
      </c>
      <c r="AP138" t="b">
        <v>0</v>
      </c>
      <c r="AQ138" t="b">
        <v>0</v>
      </c>
      <c r="AR138" t="s">
        <v>1010</v>
      </c>
      <c r="AS138" t="s">
        <v>1011</v>
      </c>
      <c r="AU138">
        <v>6.253828811575473</v>
      </c>
      <c r="AV138">
        <v>1.75</v>
      </c>
      <c r="AW138">
        <v>2.5</v>
      </c>
      <c r="AX138">
        <v>0.75</v>
      </c>
      <c r="AY138">
        <v>0</v>
      </c>
      <c r="AZ138">
        <v>0.35</v>
      </c>
      <c r="BA138">
        <v>0.5</v>
      </c>
      <c r="BB138">
        <v>0.15</v>
      </c>
      <c r="BC138">
        <v>0</v>
      </c>
      <c r="BD138">
        <v>6.2640154224906874</v>
      </c>
      <c r="BE138">
        <v>20</v>
      </c>
      <c r="BF138">
        <v>242.1279024923125</v>
      </c>
      <c r="BG138">
        <v>1</v>
      </c>
      <c r="BH138">
        <v>8.2600971611006269E-2</v>
      </c>
      <c r="BI138">
        <v>3.950634</v>
      </c>
      <c r="BJ138">
        <v>3.950634</v>
      </c>
      <c r="BK138">
        <v>15.513552000000001</v>
      </c>
      <c r="BL138">
        <v>227.970829547178</v>
      </c>
      <c r="BM138">
        <v>1</v>
      </c>
      <c r="BN138">
        <v>8.7730522539775438E-2</v>
      </c>
      <c r="BO138">
        <v>3.8658999999999999</v>
      </c>
      <c r="BP138">
        <v>3.8658999999999999</v>
      </c>
      <c r="BQ138">
        <v>15.2538</v>
      </c>
      <c r="BR138">
        <v>0</v>
      </c>
      <c r="BS138">
        <v>0</v>
      </c>
      <c r="BU138">
        <v>0</v>
      </c>
      <c r="BV138">
        <v>0</v>
      </c>
      <c r="BW138">
        <v>0</v>
      </c>
      <c r="BX138">
        <v>233.47839999999999</v>
      </c>
      <c r="BY138">
        <v>8.5661029028809524E-2</v>
      </c>
      <c r="BZ138">
        <v>10</v>
      </c>
      <c r="CA138">
        <v>4.2830514514404762E-2</v>
      </c>
      <c r="CB138">
        <v>4.1300485805503127E-2</v>
      </c>
      <c r="CC138">
        <v>4.3865261269887719E-2</v>
      </c>
      <c r="CE138">
        <v>0.42195359024583579</v>
      </c>
      <c r="CF138">
        <v>0.44815706447294301</v>
      </c>
      <c r="CH138">
        <v>0.43758539443188288</v>
      </c>
    </row>
    <row r="139" spans="1:86" x14ac:dyDescent="0.3">
      <c r="A139" s="1">
        <v>800</v>
      </c>
      <c r="B139" t="s">
        <v>1106</v>
      </c>
      <c r="C139" t="s">
        <v>1107</v>
      </c>
      <c r="E139" t="s">
        <v>404</v>
      </c>
      <c r="F139">
        <v>3.4149999999999991</v>
      </c>
      <c r="G139" t="s">
        <v>405</v>
      </c>
      <c r="H139">
        <v>-1</v>
      </c>
      <c r="I139">
        <v>-1</v>
      </c>
      <c r="J139">
        <v>2</v>
      </c>
      <c r="K139">
        <v>3.78</v>
      </c>
      <c r="L139">
        <v>3.78</v>
      </c>
      <c r="M139">
        <v>27.2</v>
      </c>
      <c r="N139" t="s">
        <v>529</v>
      </c>
      <c r="O139">
        <v>13.6</v>
      </c>
      <c r="Q139" t="s">
        <v>87</v>
      </c>
      <c r="R139">
        <v>1273</v>
      </c>
      <c r="S139">
        <v>10</v>
      </c>
      <c r="T139" t="b">
        <v>0</v>
      </c>
      <c r="U139" t="s">
        <v>88</v>
      </c>
      <c r="V139" t="s">
        <v>89</v>
      </c>
      <c r="W139">
        <v>0</v>
      </c>
      <c r="Y139">
        <v>0.5</v>
      </c>
      <c r="Z139">
        <v>0.1</v>
      </c>
      <c r="AC139" t="s">
        <v>90</v>
      </c>
      <c r="AD139">
        <v>125</v>
      </c>
      <c r="AE139">
        <v>220</v>
      </c>
      <c r="AF139" t="s">
        <v>91</v>
      </c>
      <c r="AG139">
        <v>288</v>
      </c>
      <c r="AH139" s="3">
        <v>40</v>
      </c>
      <c r="AI139" s="3">
        <f>AH139/(AD139*Y139*Z139)</f>
        <v>6.4</v>
      </c>
      <c r="AJ139" s="3">
        <f>LN(AI139)</f>
        <v>1.8562979903656263</v>
      </c>
      <c r="AK139" t="s">
        <v>972</v>
      </c>
      <c r="AN139" t="b">
        <v>1</v>
      </c>
      <c r="AO139" t="b">
        <v>0</v>
      </c>
      <c r="AP139" t="b">
        <v>0</v>
      </c>
      <c r="AQ139" t="b">
        <v>0</v>
      </c>
      <c r="AR139" t="s">
        <v>1339</v>
      </c>
      <c r="AS139">
        <v>-1</v>
      </c>
      <c r="AU139">
        <v>3.6888794541139358</v>
      </c>
      <c r="AV139">
        <v>1.882352941176471</v>
      </c>
      <c r="AW139">
        <v>2.3529411764705879</v>
      </c>
      <c r="AX139">
        <v>0.35294117647058831</v>
      </c>
      <c r="AY139">
        <v>0.47058823529411759</v>
      </c>
      <c r="AZ139">
        <v>0.37209302325581389</v>
      </c>
      <c r="BA139">
        <v>0.46511627906976749</v>
      </c>
      <c r="BB139">
        <v>6.9767441860465129E-2</v>
      </c>
      <c r="BC139">
        <v>9.3023255813953487E-2</v>
      </c>
      <c r="BD139">
        <v>6.2192035579236471</v>
      </c>
      <c r="BE139">
        <v>20</v>
      </c>
      <c r="BF139">
        <v>229.90248606119221</v>
      </c>
      <c r="BG139">
        <v>1</v>
      </c>
      <c r="BH139">
        <v>8.6993404650164072E-2</v>
      </c>
      <c r="BI139">
        <v>15.28115725</v>
      </c>
      <c r="BJ139">
        <v>15.28115725</v>
      </c>
      <c r="BK139">
        <v>15.28115725</v>
      </c>
      <c r="BL139">
        <v>0</v>
      </c>
      <c r="BM139">
        <v>0</v>
      </c>
      <c r="BO139">
        <v>0</v>
      </c>
      <c r="BR139">
        <v>0</v>
      </c>
      <c r="BS139">
        <v>0</v>
      </c>
      <c r="BU139">
        <v>0</v>
      </c>
      <c r="BV139">
        <v>0</v>
      </c>
      <c r="BW139">
        <v>0</v>
      </c>
      <c r="BX139">
        <v>388.64447999999999</v>
      </c>
      <c r="BY139">
        <v>0.1029218271670808</v>
      </c>
      <c r="BZ139">
        <v>10</v>
      </c>
      <c r="CA139">
        <v>5.1460913583540407E-2</v>
      </c>
      <c r="CB139">
        <v>4.3496702325082043E-2</v>
      </c>
      <c r="CE139">
        <v>0.43867496702406639</v>
      </c>
      <c r="CH139">
        <v>0.51899600113525035</v>
      </c>
    </row>
    <row r="140" spans="1:86" x14ac:dyDescent="0.3">
      <c r="A140" s="1">
        <v>687</v>
      </c>
      <c r="B140" t="s">
        <v>1106</v>
      </c>
      <c r="C140" t="s">
        <v>1107</v>
      </c>
      <c r="E140" t="s">
        <v>404</v>
      </c>
      <c r="F140">
        <v>3.26</v>
      </c>
      <c r="G140" t="s">
        <v>405</v>
      </c>
      <c r="H140">
        <v>-1</v>
      </c>
      <c r="I140">
        <v>-1</v>
      </c>
      <c r="J140">
        <v>2</v>
      </c>
      <c r="K140">
        <v>3.8</v>
      </c>
      <c r="L140">
        <v>3.8</v>
      </c>
      <c r="M140">
        <v>19.5</v>
      </c>
      <c r="O140">
        <v>9.75</v>
      </c>
      <c r="Q140" t="s">
        <v>87</v>
      </c>
      <c r="R140">
        <v>1373</v>
      </c>
      <c r="S140">
        <v>12</v>
      </c>
      <c r="T140" t="b">
        <v>0</v>
      </c>
      <c r="U140" t="s">
        <v>88</v>
      </c>
      <c r="V140" t="s">
        <v>89</v>
      </c>
      <c r="W140">
        <v>0</v>
      </c>
      <c r="X140">
        <v>15</v>
      </c>
      <c r="Y140">
        <v>0.5</v>
      </c>
      <c r="Z140">
        <v>1</v>
      </c>
      <c r="AC140" t="s">
        <v>90</v>
      </c>
      <c r="AD140">
        <v>125</v>
      </c>
      <c r="AE140">
        <v>220</v>
      </c>
      <c r="AF140" t="s">
        <v>91</v>
      </c>
      <c r="AG140">
        <v>288</v>
      </c>
      <c r="AH140" s="3">
        <v>389.2</v>
      </c>
      <c r="AI140" s="3">
        <f>AH140/(AD140*Y140*Z140)</f>
        <v>6.2271999999999998</v>
      </c>
      <c r="AJ140" s="3">
        <f>LN(AI140)</f>
        <v>1.8289267935694942</v>
      </c>
      <c r="AK140" t="s">
        <v>972</v>
      </c>
      <c r="AN140" t="b">
        <v>1</v>
      </c>
      <c r="AO140" t="b">
        <v>0</v>
      </c>
      <c r="AP140" t="b">
        <v>0</v>
      </c>
      <c r="AQ140" t="b">
        <v>0</v>
      </c>
      <c r="AR140" t="s">
        <v>1188</v>
      </c>
      <c r="AS140">
        <v>-1</v>
      </c>
      <c r="AU140">
        <v>5.9640933503118498</v>
      </c>
      <c r="AV140">
        <v>1.882352941176471</v>
      </c>
      <c r="AW140">
        <v>2.3529411764705879</v>
      </c>
      <c r="AX140">
        <v>0.35294117647058831</v>
      </c>
      <c r="AY140">
        <v>0.47058823529411759</v>
      </c>
      <c r="AZ140">
        <v>0.37209302325581389</v>
      </c>
      <c r="BA140">
        <v>0.46511627906976749</v>
      </c>
      <c r="BB140">
        <v>6.9767441860465129E-2</v>
      </c>
      <c r="BC140">
        <v>9.3023255813953487E-2</v>
      </c>
      <c r="BD140">
        <v>6.2192035579236471</v>
      </c>
      <c r="BE140">
        <v>20</v>
      </c>
      <c r="BF140">
        <v>229.90248606119221</v>
      </c>
      <c r="BG140">
        <v>1</v>
      </c>
      <c r="BH140">
        <v>8.6993404650164072E-2</v>
      </c>
      <c r="BI140">
        <v>15.28115725</v>
      </c>
      <c r="BJ140">
        <v>15.28115725</v>
      </c>
      <c r="BK140">
        <v>15.28115725</v>
      </c>
      <c r="BL140">
        <v>0</v>
      </c>
      <c r="BM140">
        <v>0</v>
      </c>
      <c r="BO140">
        <v>0</v>
      </c>
      <c r="BR140">
        <v>0</v>
      </c>
      <c r="BS140">
        <v>0</v>
      </c>
      <c r="BU140">
        <v>0</v>
      </c>
      <c r="BV140">
        <v>0</v>
      </c>
      <c r="BW140">
        <v>0</v>
      </c>
      <c r="BX140">
        <v>281.58</v>
      </c>
      <c r="BY140">
        <v>0.1420555437175936</v>
      </c>
      <c r="BZ140">
        <v>10</v>
      </c>
      <c r="CA140">
        <v>7.1027771858796787E-2</v>
      </c>
      <c r="CB140">
        <v>4.3496702325082043E-2</v>
      </c>
      <c r="CE140">
        <v>0.43867496702406639</v>
      </c>
      <c r="CH140">
        <v>0.71633259103376934</v>
      </c>
    </row>
    <row r="141" spans="1:86" x14ac:dyDescent="0.3">
      <c r="A141" s="1">
        <v>555</v>
      </c>
      <c r="B141" t="s">
        <v>151</v>
      </c>
      <c r="C141" t="s">
        <v>152</v>
      </c>
      <c r="E141" t="s">
        <v>106</v>
      </c>
      <c r="F141">
        <v>3.26</v>
      </c>
      <c r="G141" t="s">
        <v>142</v>
      </c>
      <c r="H141">
        <v>1522043</v>
      </c>
      <c r="I141">
        <v>-1</v>
      </c>
      <c r="J141">
        <v>1</v>
      </c>
      <c r="K141">
        <v>3.89</v>
      </c>
      <c r="L141">
        <v>3.89</v>
      </c>
      <c r="M141">
        <v>16.399999999999999</v>
      </c>
      <c r="O141">
        <v>16.399999999999999</v>
      </c>
      <c r="Q141" t="s">
        <v>87</v>
      </c>
      <c r="R141">
        <v>1573</v>
      </c>
      <c r="S141">
        <v>10</v>
      </c>
      <c r="T141" t="b">
        <v>0</v>
      </c>
      <c r="U141" t="s">
        <v>88</v>
      </c>
      <c r="V141" t="s">
        <v>89</v>
      </c>
      <c r="W141">
        <v>0</v>
      </c>
      <c r="X141">
        <v>103</v>
      </c>
      <c r="Y141">
        <v>0.5</v>
      </c>
      <c r="Z141">
        <v>1</v>
      </c>
      <c r="AC141" t="s">
        <v>90</v>
      </c>
      <c r="AD141">
        <v>125</v>
      </c>
      <c r="AE141">
        <v>220</v>
      </c>
      <c r="AF141" t="s">
        <v>91</v>
      </c>
      <c r="AG141">
        <v>288</v>
      </c>
      <c r="AH141" s="3">
        <v>380</v>
      </c>
      <c r="AI141" s="3">
        <f>AH141/(AD141*Y141*Z141)</f>
        <v>6.08</v>
      </c>
      <c r="AJ141" s="3">
        <f>LN(AI141)</f>
        <v>1.8050046959780757</v>
      </c>
      <c r="AK141" t="s">
        <v>153</v>
      </c>
      <c r="AL141" t="s">
        <v>153</v>
      </c>
      <c r="AN141" t="b">
        <v>1</v>
      </c>
      <c r="AO141" t="b">
        <v>1</v>
      </c>
      <c r="AP141" t="b">
        <v>0</v>
      </c>
      <c r="AQ141" t="b">
        <v>0</v>
      </c>
      <c r="AR141" t="s">
        <v>1012</v>
      </c>
      <c r="AS141" t="s">
        <v>1013</v>
      </c>
      <c r="AU141">
        <v>5.9401712527204316</v>
      </c>
      <c r="AV141">
        <v>1.75</v>
      </c>
      <c r="AW141">
        <v>2.5</v>
      </c>
      <c r="AX141">
        <v>0.75</v>
      </c>
      <c r="AY141">
        <v>0</v>
      </c>
      <c r="AZ141">
        <v>0.35</v>
      </c>
      <c r="BA141">
        <v>0.5</v>
      </c>
      <c r="BB141">
        <v>0.15</v>
      </c>
      <c r="BC141">
        <v>0</v>
      </c>
      <c r="BD141">
        <v>6.2395921087406876</v>
      </c>
      <c r="BE141">
        <v>20</v>
      </c>
      <c r="BF141">
        <v>242.1279024923125</v>
      </c>
      <c r="BG141">
        <v>1</v>
      </c>
      <c r="BH141">
        <v>8.2600971611006269E-2</v>
      </c>
      <c r="BI141">
        <v>3.950634</v>
      </c>
      <c r="BJ141">
        <v>3.950634</v>
      </c>
      <c r="BK141">
        <v>15.513552000000001</v>
      </c>
      <c r="BL141">
        <v>227.970829547178</v>
      </c>
      <c r="BM141">
        <v>1</v>
      </c>
      <c r="BN141">
        <v>8.7730522539775438E-2</v>
      </c>
      <c r="BO141">
        <v>3.8658999999999999</v>
      </c>
      <c r="BP141">
        <v>3.8658999999999999</v>
      </c>
      <c r="BQ141">
        <v>15.2538</v>
      </c>
      <c r="BR141">
        <v>0</v>
      </c>
      <c r="BS141">
        <v>0</v>
      </c>
      <c r="BU141">
        <v>0</v>
      </c>
      <c r="BV141">
        <v>0</v>
      </c>
      <c r="BW141">
        <v>0</v>
      </c>
      <c r="BX141">
        <v>248.16643999999999</v>
      </c>
      <c r="BY141">
        <v>8.0591074280631989E-2</v>
      </c>
      <c r="BZ141">
        <v>10</v>
      </c>
      <c r="CA141">
        <v>4.0295537140315987E-2</v>
      </c>
      <c r="CB141">
        <v>4.1300485805503127E-2</v>
      </c>
      <c r="CC141">
        <v>4.3865261269887719E-2</v>
      </c>
      <c r="CE141">
        <v>0.45027090848362911</v>
      </c>
      <c r="CF141">
        <v>0.47823289866077828</v>
      </c>
      <c r="CH141">
        <v>0.43931464151417537</v>
      </c>
    </row>
    <row r="142" spans="1:86" x14ac:dyDescent="0.3">
      <c r="A142" s="1">
        <v>470</v>
      </c>
      <c r="B142" t="s">
        <v>882</v>
      </c>
      <c r="C142" t="s">
        <v>883</v>
      </c>
      <c r="E142" t="s">
        <v>106</v>
      </c>
      <c r="G142" t="s">
        <v>108</v>
      </c>
      <c r="H142" t="s">
        <v>109</v>
      </c>
      <c r="I142">
        <v>-1</v>
      </c>
      <c r="Q142" t="s">
        <v>838</v>
      </c>
      <c r="R142">
        <v>1473</v>
      </c>
      <c r="S142">
        <v>10</v>
      </c>
      <c r="T142" t="b">
        <v>0</v>
      </c>
      <c r="U142" t="s">
        <v>88</v>
      </c>
      <c r="V142" t="s">
        <v>89</v>
      </c>
      <c r="W142">
        <v>0</v>
      </c>
      <c r="X142">
        <v>84</v>
      </c>
      <c r="Y142">
        <v>3.3300000000000003E-2</v>
      </c>
      <c r="Z142">
        <v>10</v>
      </c>
      <c r="AC142" t="s">
        <v>165</v>
      </c>
      <c r="AD142">
        <v>500</v>
      </c>
      <c r="AF142" t="s">
        <v>91</v>
      </c>
      <c r="AH142" s="3">
        <v>1000</v>
      </c>
      <c r="AI142" s="3">
        <f>AH142/(AD142*Y142*Z142)</f>
        <v>6.0060060060060048</v>
      </c>
      <c r="AJ142" s="3">
        <f>LN(AI142)</f>
        <v>1.7927599695616383</v>
      </c>
      <c r="AK142" t="s">
        <v>884</v>
      </c>
      <c r="AL142" t="s">
        <v>884</v>
      </c>
      <c r="AN142" t="b">
        <v>1</v>
      </c>
      <c r="AO142" t="b">
        <v>1</v>
      </c>
      <c r="AP142" t="b">
        <v>0</v>
      </c>
      <c r="AQ142" t="b">
        <v>0</v>
      </c>
      <c r="AR142" t="s">
        <v>885</v>
      </c>
      <c r="AS142" t="s">
        <v>886</v>
      </c>
      <c r="AU142">
        <v>6.9077552789821368</v>
      </c>
      <c r="AV142">
        <v>1.75</v>
      </c>
      <c r="AW142">
        <v>2.5</v>
      </c>
      <c r="AX142">
        <v>0.78749999999999998</v>
      </c>
      <c r="AY142">
        <v>0</v>
      </c>
      <c r="AZ142">
        <v>0.34739454094292799</v>
      </c>
      <c r="BA142">
        <v>0.49627791563275442</v>
      </c>
      <c r="BB142">
        <v>0.15632754342431759</v>
      </c>
      <c r="BC142">
        <v>0</v>
      </c>
      <c r="BD142">
        <v>6.2683538678031869</v>
      </c>
      <c r="BE142">
        <v>20</v>
      </c>
      <c r="BF142">
        <v>924.74694800021894</v>
      </c>
      <c r="BG142">
        <v>1</v>
      </c>
      <c r="BH142">
        <v>2.16275382614134E-2</v>
      </c>
      <c r="BI142">
        <v>7.8084429999999996</v>
      </c>
      <c r="BJ142">
        <v>7.8548809999999998</v>
      </c>
      <c r="BK142">
        <v>15.19056011</v>
      </c>
      <c r="BL142">
        <v>883.22940750240002</v>
      </c>
      <c r="BM142">
        <v>1</v>
      </c>
      <c r="BN142">
        <v>2.264417356364536E-2</v>
      </c>
      <c r="BO142">
        <v>3.8801999999999999</v>
      </c>
      <c r="BP142">
        <v>29.507999999999999</v>
      </c>
      <c r="BQ142">
        <v>7.7140000000000004</v>
      </c>
      <c r="BR142">
        <v>0</v>
      </c>
      <c r="BS142">
        <v>0</v>
      </c>
      <c r="BU142">
        <v>0</v>
      </c>
      <c r="BV142">
        <v>0</v>
      </c>
      <c r="BW142">
        <v>0</v>
      </c>
      <c r="BZ142">
        <v>10</v>
      </c>
      <c r="CB142">
        <v>1.08137691307067E-2</v>
      </c>
      <c r="CC142">
        <v>1.132208678182268E-2</v>
      </c>
      <c r="CE142">
        <v>0.1105127590679927</v>
      </c>
      <c r="CF142">
        <v>0.1157075792485228</v>
      </c>
    </row>
    <row r="143" spans="1:86" x14ac:dyDescent="0.3">
      <c r="A143" s="1">
        <v>810</v>
      </c>
      <c r="B143" t="s">
        <v>1360</v>
      </c>
      <c r="C143" t="s">
        <v>1361</v>
      </c>
      <c r="E143" t="s">
        <v>94</v>
      </c>
      <c r="F143">
        <v>3.62</v>
      </c>
      <c r="G143">
        <v>-1</v>
      </c>
      <c r="H143">
        <v>-1</v>
      </c>
      <c r="I143" t="s">
        <v>522</v>
      </c>
      <c r="J143">
        <v>1</v>
      </c>
      <c r="K143">
        <v>3.8620000000000001</v>
      </c>
      <c r="L143">
        <v>3.8620000000000001</v>
      </c>
      <c r="M143">
        <v>11.09</v>
      </c>
      <c r="O143">
        <v>11.09</v>
      </c>
      <c r="Q143" t="s">
        <v>87</v>
      </c>
      <c r="R143">
        <v>1373</v>
      </c>
      <c r="S143">
        <v>10</v>
      </c>
      <c r="T143" t="b">
        <v>0</v>
      </c>
      <c r="U143" t="s">
        <v>88</v>
      </c>
      <c r="V143" t="s">
        <v>89</v>
      </c>
      <c r="W143">
        <v>0</v>
      </c>
      <c r="Y143">
        <v>1</v>
      </c>
      <c r="Z143">
        <v>0.1</v>
      </c>
      <c r="AC143" t="s">
        <v>90</v>
      </c>
      <c r="AD143">
        <v>125</v>
      </c>
      <c r="AE143">
        <v>220</v>
      </c>
      <c r="AF143" t="s">
        <v>91</v>
      </c>
      <c r="AG143">
        <v>288</v>
      </c>
      <c r="AH143" s="3">
        <v>71.428571428571431</v>
      </c>
      <c r="AI143" s="3">
        <f>AH143/(AD143*Y143*Z143)</f>
        <v>5.7142857142857144</v>
      </c>
      <c r="AJ143" s="3">
        <f>LN(AI143)</f>
        <v>1.742969305058623</v>
      </c>
      <c r="AM143" t="s">
        <v>1362</v>
      </c>
      <c r="AN143" t="b">
        <v>0</v>
      </c>
      <c r="AO143" t="b">
        <v>0</v>
      </c>
      <c r="AP143" t="b">
        <v>1</v>
      </c>
      <c r="AQ143" t="b">
        <v>0</v>
      </c>
      <c r="AT143" t="s">
        <v>1363</v>
      </c>
      <c r="AU143">
        <v>4.2686979493668789</v>
      </c>
      <c r="AV143">
        <v>1.7272727272727271</v>
      </c>
      <c r="AW143">
        <v>2.545454545454545</v>
      </c>
      <c r="AX143">
        <v>0.72727272727272729</v>
      </c>
      <c r="AY143">
        <v>0.36363636363636359</v>
      </c>
      <c r="AZ143">
        <v>0.32203389830508478</v>
      </c>
      <c r="BA143">
        <v>0.47457627118644069</v>
      </c>
      <c r="BB143">
        <v>0.13559322033898311</v>
      </c>
      <c r="BC143">
        <v>6.7796610169491525E-2</v>
      </c>
      <c r="BD143">
        <v>5.9497585099286363</v>
      </c>
      <c r="BE143">
        <v>14</v>
      </c>
      <c r="BF143">
        <v>0</v>
      </c>
      <c r="BG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O143">
        <v>0</v>
      </c>
      <c r="BP143">
        <v>0</v>
      </c>
      <c r="BQ143">
        <v>0</v>
      </c>
      <c r="BR143">
        <v>171.98132883066</v>
      </c>
      <c r="BS143">
        <v>1</v>
      </c>
      <c r="BT143">
        <v>8.1404185531005993E-2</v>
      </c>
      <c r="BU143">
        <v>3.8898000000000001</v>
      </c>
      <c r="BV143">
        <v>3.8898000000000001</v>
      </c>
      <c r="BW143">
        <v>11.3665</v>
      </c>
      <c r="BX143">
        <v>165.40783795999999</v>
      </c>
      <c r="BY143">
        <v>8.4639278118039188E-2</v>
      </c>
      <c r="BZ143">
        <v>7</v>
      </c>
      <c r="CA143">
        <v>4.2319639059019587E-2</v>
      </c>
      <c r="CD143">
        <v>4.0702092765502997E-2</v>
      </c>
      <c r="CG143">
        <v>0.54308506712305693</v>
      </c>
      <c r="CH143">
        <v>0.564667869817017</v>
      </c>
    </row>
    <row r="144" spans="1:86" x14ac:dyDescent="0.3">
      <c r="A144" s="1">
        <v>519</v>
      </c>
      <c r="B144" t="s">
        <v>949</v>
      </c>
      <c r="C144" t="s">
        <v>950</v>
      </c>
      <c r="E144" t="s">
        <v>372</v>
      </c>
      <c r="F144">
        <v>3.48</v>
      </c>
      <c r="G144" t="s">
        <v>951</v>
      </c>
      <c r="H144">
        <v>-1</v>
      </c>
      <c r="I144">
        <v>-1</v>
      </c>
      <c r="J144">
        <v>4</v>
      </c>
      <c r="K144">
        <v>3.75</v>
      </c>
      <c r="L144">
        <v>3.75</v>
      </c>
      <c r="M144">
        <v>37.299999999999997</v>
      </c>
      <c r="N144" t="s">
        <v>529</v>
      </c>
      <c r="O144">
        <v>18.649999999999999</v>
      </c>
      <c r="Q144" t="s">
        <v>87</v>
      </c>
      <c r="R144">
        <v>1098</v>
      </c>
      <c r="S144">
        <v>12</v>
      </c>
      <c r="T144" t="b">
        <v>0</v>
      </c>
      <c r="U144" t="s">
        <v>88</v>
      </c>
      <c r="V144" t="s">
        <v>89</v>
      </c>
      <c r="W144">
        <v>0</v>
      </c>
      <c r="Y144">
        <v>0.5</v>
      </c>
      <c r="Z144">
        <v>1</v>
      </c>
      <c r="AC144" t="s">
        <v>90</v>
      </c>
      <c r="AD144">
        <v>125</v>
      </c>
      <c r="AE144">
        <v>220</v>
      </c>
      <c r="AF144" t="s">
        <v>91</v>
      </c>
      <c r="AG144">
        <v>288</v>
      </c>
      <c r="AH144" s="3">
        <v>327.99999999999989</v>
      </c>
      <c r="AI144" s="3">
        <f>AH144/(AD144*Y144*Z144)</f>
        <v>5.2479999999999984</v>
      </c>
      <c r="AJ144" s="3">
        <f>LN(AI144)</f>
        <v>1.6578470516417876</v>
      </c>
      <c r="AN144" t="b">
        <v>1</v>
      </c>
      <c r="AO144" t="b">
        <v>0</v>
      </c>
      <c r="AP144" t="b">
        <v>0</v>
      </c>
      <c r="AQ144" t="b">
        <v>0</v>
      </c>
      <c r="AR144" t="s">
        <v>951</v>
      </c>
      <c r="AS144">
        <v>-1</v>
      </c>
      <c r="AU144">
        <v>5.7930136083841433</v>
      </c>
      <c r="AV144">
        <v>1.529411764705882</v>
      </c>
      <c r="AW144">
        <v>1.3529411764705881</v>
      </c>
      <c r="AX144">
        <v>0.1764705882352941</v>
      </c>
      <c r="AY144">
        <v>0</v>
      </c>
      <c r="AZ144">
        <v>0.5</v>
      </c>
      <c r="BA144">
        <v>0.44230769230769229</v>
      </c>
      <c r="BB144">
        <v>5.7692307692307702E-2</v>
      </c>
      <c r="BC144">
        <v>0</v>
      </c>
      <c r="BD144">
        <v>6.696610960459294</v>
      </c>
      <c r="BE144">
        <v>8</v>
      </c>
      <c r="BF144">
        <v>279.37519599564558</v>
      </c>
      <c r="BG144">
        <v>2</v>
      </c>
      <c r="BH144">
        <v>5.7270653334053963E-2</v>
      </c>
      <c r="BI144">
        <v>3.8703880000000002</v>
      </c>
      <c r="BJ144">
        <v>3.8703880000000002</v>
      </c>
      <c r="BK144">
        <v>18.649999999999999</v>
      </c>
      <c r="BL144">
        <v>0</v>
      </c>
      <c r="BM144">
        <v>0</v>
      </c>
      <c r="BO144">
        <v>0</v>
      </c>
      <c r="BR144">
        <v>0</v>
      </c>
      <c r="BS144">
        <v>0</v>
      </c>
      <c r="BU144">
        <v>0</v>
      </c>
      <c r="BV144">
        <v>0</v>
      </c>
      <c r="BW144">
        <v>0</v>
      </c>
      <c r="BX144">
        <v>524.53125</v>
      </c>
      <c r="BY144">
        <v>6.1006851355376833E-2</v>
      </c>
      <c r="BZ144">
        <v>4</v>
      </c>
      <c r="CA144">
        <v>3.050342567768841E-2</v>
      </c>
      <c r="CB144">
        <v>2.8635326667026981E-2</v>
      </c>
      <c r="CE144">
        <v>0.37120324532256599</v>
      </c>
      <c r="CH144">
        <v>0.39541964150357722</v>
      </c>
    </row>
    <row r="145" spans="1:86" x14ac:dyDescent="0.3">
      <c r="A145" s="1">
        <v>55</v>
      </c>
      <c r="B145" t="s">
        <v>198</v>
      </c>
      <c r="C145" t="s">
        <v>199</v>
      </c>
      <c r="F145">
        <v>3.64</v>
      </c>
      <c r="G145" t="s">
        <v>200</v>
      </c>
      <c r="H145" t="s">
        <v>201</v>
      </c>
      <c r="I145">
        <v>-1</v>
      </c>
      <c r="J145">
        <v>4</v>
      </c>
      <c r="K145">
        <v>5.4729999999999999</v>
      </c>
      <c r="L145">
        <v>5.5269999999999992</v>
      </c>
      <c r="M145">
        <v>25.030999999999999</v>
      </c>
      <c r="N145" t="s">
        <v>197</v>
      </c>
      <c r="O145">
        <v>12.515499999999999</v>
      </c>
      <c r="P145">
        <v>2</v>
      </c>
      <c r="Q145" t="s">
        <v>87</v>
      </c>
      <c r="R145">
        <v>1334</v>
      </c>
      <c r="S145">
        <v>54</v>
      </c>
      <c r="T145" t="b">
        <v>0</v>
      </c>
      <c r="U145" t="s">
        <v>88</v>
      </c>
      <c r="V145" t="s">
        <v>89</v>
      </c>
      <c r="W145">
        <v>0</v>
      </c>
      <c r="X145">
        <v>2.36</v>
      </c>
      <c r="Y145">
        <v>0.5</v>
      </c>
      <c r="Z145">
        <v>12.5</v>
      </c>
      <c r="AC145" t="s">
        <v>90</v>
      </c>
      <c r="AD145">
        <v>350</v>
      </c>
      <c r="AF145" t="s">
        <v>91</v>
      </c>
      <c r="AH145" s="3">
        <v>11300</v>
      </c>
      <c r="AI145" s="3">
        <f>AH145/(AD145*Y145*Z145)</f>
        <v>5.1657142857142855</v>
      </c>
      <c r="AJ145" s="3">
        <f>LN(AI145)</f>
        <v>1.6420433864686623</v>
      </c>
      <c r="AN145" t="b">
        <v>1</v>
      </c>
      <c r="AO145" t="b">
        <v>1</v>
      </c>
      <c r="AP145" t="b">
        <v>0</v>
      </c>
      <c r="AQ145" t="b">
        <v>0</v>
      </c>
      <c r="AR145" t="s">
        <v>200</v>
      </c>
      <c r="AS145" t="s">
        <v>201</v>
      </c>
      <c r="AU145">
        <v>9.3325580047004326</v>
      </c>
      <c r="AV145">
        <v>2</v>
      </c>
      <c r="AW145">
        <v>3</v>
      </c>
      <c r="AX145">
        <v>1.857142857142857</v>
      </c>
      <c r="AY145">
        <v>4</v>
      </c>
      <c r="AZ145">
        <v>0.18421052631578949</v>
      </c>
      <c r="BA145">
        <v>0.27631578947368418</v>
      </c>
      <c r="BB145">
        <v>0.1710526315789474</v>
      </c>
      <c r="BC145">
        <v>0.36842105263157893</v>
      </c>
      <c r="BD145">
        <v>6.2025736421785709</v>
      </c>
      <c r="BE145">
        <v>18</v>
      </c>
      <c r="BF145">
        <v>195.03203980213701</v>
      </c>
      <c r="BG145">
        <v>1</v>
      </c>
      <c r="BH145">
        <v>9.2292528029042184E-2</v>
      </c>
      <c r="BI145">
        <v>12.88926011</v>
      </c>
      <c r="BJ145">
        <v>12.88926011</v>
      </c>
      <c r="BK145">
        <v>12.88926011</v>
      </c>
      <c r="BL145">
        <v>763.45570050087724</v>
      </c>
      <c r="BM145">
        <v>4</v>
      </c>
      <c r="BN145">
        <v>9.4308025930991482E-2</v>
      </c>
      <c r="BO145">
        <v>5.5223699999999996</v>
      </c>
      <c r="BP145">
        <v>5.5240799999999997</v>
      </c>
      <c r="BQ145">
        <v>25.026399999999999</v>
      </c>
      <c r="BR145">
        <v>0</v>
      </c>
      <c r="BS145">
        <v>0</v>
      </c>
      <c r="BU145">
        <v>0</v>
      </c>
      <c r="BV145">
        <v>0</v>
      </c>
      <c r="BW145">
        <v>0</v>
      </c>
      <c r="BX145">
        <v>757.16950240099993</v>
      </c>
      <c r="BY145">
        <v>9.5090993194636778E-2</v>
      </c>
      <c r="BZ145">
        <v>9</v>
      </c>
      <c r="CA145">
        <v>4.7545496597318389E-2</v>
      </c>
      <c r="CB145">
        <v>4.6146264014521092E-2</v>
      </c>
      <c r="CC145">
        <v>4.7154012965495741E-2</v>
      </c>
      <c r="CE145">
        <v>0.52524560229640993</v>
      </c>
      <c r="CF145">
        <v>0.53671599358424404</v>
      </c>
      <c r="CH145">
        <v>0.54117193515128337</v>
      </c>
    </row>
    <row r="146" spans="1:86" x14ac:dyDescent="0.3">
      <c r="A146" s="1">
        <v>796</v>
      </c>
      <c r="B146" t="s">
        <v>690</v>
      </c>
      <c r="C146" t="s">
        <v>691</v>
      </c>
      <c r="E146" t="s">
        <v>690</v>
      </c>
      <c r="F146">
        <v>3.78</v>
      </c>
      <c r="G146" t="s">
        <v>692</v>
      </c>
      <c r="H146" t="s">
        <v>693</v>
      </c>
      <c r="I146">
        <v>-1</v>
      </c>
      <c r="J146">
        <v>2</v>
      </c>
      <c r="K146">
        <v>3.75</v>
      </c>
      <c r="L146">
        <v>3.75</v>
      </c>
      <c r="M146">
        <v>21.74</v>
      </c>
      <c r="O146">
        <v>0</v>
      </c>
      <c r="Q146" t="s">
        <v>87</v>
      </c>
      <c r="R146">
        <v>1173</v>
      </c>
      <c r="S146">
        <v>3</v>
      </c>
      <c r="T146" t="b">
        <v>0</v>
      </c>
      <c r="U146" t="s">
        <v>88</v>
      </c>
      <c r="V146" t="s">
        <v>89</v>
      </c>
      <c r="W146">
        <v>0</v>
      </c>
      <c r="Y146">
        <v>0.5</v>
      </c>
      <c r="Z146">
        <v>0.1</v>
      </c>
      <c r="AC146" t="s">
        <v>90</v>
      </c>
      <c r="AD146">
        <v>125</v>
      </c>
      <c r="AE146">
        <v>220</v>
      </c>
      <c r="AF146" t="s">
        <v>91</v>
      </c>
      <c r="AG146">
        <v>288</v>
      </c>
      <c r="AH146" s="3">
        <v>32</v>
      </c>
      <c r="AI146" s="3">
        <f>AH146/(AD146*Y146*Z146)</f>
        <v>5.12</v>
      </c>
      <c r="AJ146" s="3">
        <f>LN(AI146)</f>
        <v>1.6331544390514163</v>
      </c>
      <c r="AN146" t="b">
        <v>1</v>
      </c>
      <c r="AO146" t="b">
        <v>0</v>
      </c>
      <c r="AP146" t="b">
        <v>0</v>
      </c>
      <c r="AQ146" t="b">
        <v>0</v>
      </c>
      <c r="AR146" t="s">
        <v>692</v>
      </c>
      <c r="AS146" t="s">
        <v>693</v>
      </c>
      <c r="AU146">
        <v>3.465735902799727</v>
      </c>
      <c r="AV146">
        <v>2</v>
      </c>
      <c r="AW146">
        <v>2.545454545454545</v>
      </c>
      <c r="AX146">
        <v>0.54545454545454541</v>
      </c>
      <c r="AY146">
        <v>0</v>
      </c>
      <c r="AZ146">
        <v>0.39285714285714279</v>
      </c>
      <c r="BA146">
        <v>0.5</v>
      </c>
      <c r="BB146">
        <v>0.1071428571428571</v>
      </c>
      <c r="BC146">
        <v>0</v>
      </c>
      <c r="BD146">
        <v>5.9831999205909083</v>
      </c>
      <c r="BE146">
        <v>14</v>
      </c>
      <c r="BF146">
        <v>288.33429290182369</v>
      </c>
      <c r="BG146">
        <v>2</v>
      </c>
      <c r="BH146">
        <v>9.7109503410799117E-2</v>
      </c>
      <c r="BI146">
        <v>7.41544296</v>
      </c>
      <c r="BJ146">
        <v>7.4154429599999991</v>
      </c>
      <c r="BK146">
        <v>7.41544296</v>
      </c>
      <c r="BL146">
        <v>556.51188553357167</v>
      </c>
      <c r="BM146">
        <v>4</v>
      </c>
      <c r="BN146">
        <v>0.10062678166578309</v>
      </c>
      <c r="BO146">
        <v>7.8</v>
      </c>
      <c r="BP146">
        <v>13.010999999999999</v>
      </c>
      <c r="BQ146">
        <v>5.5460000000000003</v>
      </c>
      <c r="BR146">
        <v>0</v>
      </c>
      <c r="BS146">
        <v>0</v>
      </c>
      <c r="BU146">
        <v>0</v>
      </c>
      <c r="BV146">
        <v>0</v>
      </c>
      <c r="BW146">
        <v>0</v>
      </c>
      <c r="BX146">
        <v>305.71875</v>
      </c>
      <c r="BY146">
        <v>9.1587447613206585E-2</v>
      </c>
      <c r="BZ146">
        <v>7</v>
      </c>
      <c r="CA146">
        <v>4.5793723806603293E-2</v>
      </c>
      <c r="CB146">
        <v>4.8554751705399558E-2</v>
      </c>
      <c r="CC146">
        <v>5.0313390832891547E-2</v>
      </c>
      <c r="CE146">
        <v>0.52442413903612495</v>
      </c>
      <c r="CF146">
        <v>0.54341863036636617</v>
      </c>
      <c r="CH146">
        <v>0.49460317141041799</v>
      </c>
    </row>
    <row r="147" spans="1:86" x14ac:dyDescent="0.3">
      <c r="A147" s="1">
        <v>805</v>
      </c>
      <c r="B147" t="s">
        <v>1340</v>
      </c>
      <c r="C147" t="s">
        <v>1341</v>
      </c>
      <c r="E147" t="s">
        <v>130</v>
      </c>
      <c r="F147">
        <v>5.0999999999999996</v>
      </c>
      <c r="G147" t="s">
        <v>1342</v>
      </c>
      <c r="H147">
        <v>-1</v>
      </c>
      <c r="I147" t="s">
        <v>1343</v>
      </c>
      <c r="O147">
        <v>0</v>
      </c>
      <c r="Q147" t="s">
        <v>821</v>
      </c>
      <c r="R147">
        <v>513</v>
      </c>
      <c r="S147">
        <v>4</v>
      </c>
      <c r="T147" t="b">
        <v>0</v>
      </c>
      <c r="U147" t="s">
        <v>88</v>
      </c>
      <c r="V147" t="s">
        <v>89</v>
      </c>
      <c r="W147">
        <v>0</v>
      </c>
      <c r="X147">
        <v>17</v>
      </c>
      <c r="Y147">
        <v>0.5</v>
      </c>
      <c r="Z147">
        <v>0.1</v>
      </c>
      <c r="AC147" t="s">
        <v>90</v>
      </c>
      <c r="AD147">
        <v>125</v>
      </c>
      <c r="AE147">
        <v>220</v>
      </c>
      <c r="AF147" t="s">
        <v>91</v>
      </c>
      <c r="AG147">
        <v>288</v>
      </c>
      <c r="AH147" s="3">
        <v>32</v>
      </c>
      <c r="AI147" s="3">
        <f>AH147/(AD147*Y147*Z147)</f>
        <v>5.12</v>
      </c>
      <c r="AJ147" s="3">
        <f>LN(AI147)</f>
        <v>1.6331544390514163</v>
      </c>
      <c r="AN147" t="b">
        <v>0</v>
      </c>
      <c r="AO147" t="b">
        <v>0</v>
      </c>
      <c r="AP147" t="b">
        <v>1</v>
      </c>
      <c r="AQ147" t="b">
        <v>0</v>
      </c>
      <c r="AR147" t="s">
        <v>1342</v>
      </c>
      <c r="AT147" t="s">
        <v>1343</v>
      </c>
      <c r="AU147">
        <v>3.465735902799727</v>
      </c>
      <c r="AV147">
        <v>2</v>
      </c>
      <c r="AW147">
        <v>2.666666666666667</v>
      </c>
      <c r="AX147">
        <v>0.66666666666666663</v>
      </c>
      <c r="AY147">
        <v>0</v>
      </c>
      <c r="AZ147">
        <v>0.375</v>
      </c>
      <c r="BA147">
        <v>0.5</v>
      </c>
      <c r="BB147">
        <v>0.125</v>
      </c>
      <c r="BC147">
        <v>0</v>
      </c>
      <c r="BD147">
        <v>6.2042918263333329</v>
      </c>
      <c r="BE147">
        <v>4</v>
      </c>
      <c r="BF147">
        <v>0</v>
      </c>
      <c r="BG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O147">
        <v>0</v>
      </c>
      <c r="BP147">
        <v>0</v>
      </c>
      <c r="BQ147">
        <v>0</v>
      </c>
      <c r="BR147">
        <v>253.865612</v>
      </c>
      <c r="BS147">
        <v>8</v>
      </c>
      <c r="BT147">
        <v>0.12605094383559129</v>
      </c>
      <c r="BU147">
        <v>4.9400000000000004</v>
      </c>
      <c r="BV147">
        <v>9.94</v>
      </c>
      <c r="BW147">
        <v>5.17</v>
      </c>
      <c r="BZ147">
        <v>2</v>
      </c>
      <c r="CD147">
        <v>6.3025471917795631E-2</v>
      </c>
      <c r="CG147">
        <v>0.61205976749226443</v>
      </c>
    </row>
    <row r="148" spans="1:86" x14ac:dyDescent="0.3">
      <c r="A148" s="1">
        <v>556</v>
      </c>
      <c r="B148" t="s">
        <v>140</v>
      </c>
      <c r="C148" t="s">
        <v>141</v>
      </c>
      <c r="E148" t="s">
        <v>106</v>
      </c>
      <c r="F148">
        <v>3.38</v>
      </c>
      <c r="G148" t="s">
        <v>142</v>
      </c>
      <c r="H148">
        <v>1522043</v>
      </c>
      <c r="I148">
        <v>-1</v>
      </c>
      <c r="J148">
        <v>1</v>
      </c>
      <c r="K148">
        <v>3.82</v>
      </c>
      <c r="L148">
        <v>3.82</v>
      </c>
      <c r="M148">
        <v>16</v>
      </c>
      <c r="O148">
        <v>16</v>
      </c>
      <c r="Q148" t="s">
        <v>87</v>
      </c>
      <c r="R148">
        <v>1373</v>
      </c>
      <c r="S148">
        <v>24</v>
      </c>
      <c r="T148" t="b">
        <v>0</v>
      </c>
      <c r="U148" t="s">
        <v>88</v>
      </c>
      <c r="V148" t="s">
        <v>89</v>
      </c>
      <c r="W148">
        <v>0</v>
      </c>
      <c r="X148">
        <v>76.3</v>
      </c>
      <c r="Y148">
        <v>0.5</v>
      </c>
      <c r="Z148">
        <v>1</v>
      </c>
      <c r="AC148" t="s">
        <v>90</v>
      </c>
      <c r="AD148">
        <v>125</v>
      </c>
      <c r="AE148">
        <v>220</v>
      </c>
      <c r="AF148" t="s">
        <v>91</v>
      </c>
      <c r="AG148">
        <v>288</v>
      </c>
      <c r="AH148" s="3">
        <v>296</v>
      </c>
      <c r="AI148" s="3">
        <f>AH148/(AD148*Y148*Z148)</f>
        <v>4.7359999999999998</v>
      </c>
      <c r="AJ148" s="3">
        <f>LN(AI148)</f>
        <v>1.5551928975817044</v>
      </c>
      <c r="AK148" t="s">
        <v>144</v>
      </c>
      <c r="AL148" t="s">
        <v>144</v>
      </c>
      <c r="AN148" t="b">
        <v>1</v>
      </c>
      <c r="AO148" t="b">
        <v>1</v>
      </c>
      <c r="AP148" t="b">
        <v>0</v>
      </c>
      <c r="AQ148" t="b">
        <v>0</v>
      </c>
      <c r="AR148" t="s">
        <v>1014</v>
      </c>
      <c r="AS148" t="s">
        <v>1015</v>
      </c>
      <c r="AU148">
        <v>5.6903594543240601</v>
      </c>
      <c r="AV148">
        <v>1.75</v>
      </c>
      <c r="AW148">
        <v>2.5</v>
      </c>
      <c r="AX148">
        <v>0.75</v>
      </c>
      <c r="AY148">
        <v>0</v>
      </c>
      <c r="AZ148">
        <v>0.35</v>
      </c>
      <c r="BA148">
        <v>0.5</v>
      </c>
      <c r="BB148">
        <v>0.15</v>
      </c>
      <c r="BC148">
        <v>0</v>
      </c>
      <c r="BD148">
        <v>6.2640154224906874</v>
      </c>
      <c r="BE148">
        <v>20</v>
      </c>
      <c r="BF148">
        <v>242.1279024923125</v>
      </c>
      <c r="BG148">
        <v>1</v>
      </c>
      <c r="BH148">
        <v>8.2600971611006269E-2</v>
      </c>
      <c r="BI148">
        <v>3.950634</v>
      </c>
      <c r="BJ148">
        <v>3.950634</v>
      </c>
      <c r="BK148">
        <v>15.513552000000001</v>
      </c>
      <c r="BL148">
        <v>227.970829547178</v>
      </c>
      <c r="BM148">
        <v>1</v>
      </c>
      <c r="BN148">
        <v>8.7730522539775438E-2</v>
      </c>
      <c r="BO148">
        <v>3.8658999999999999</v>
      </c>
      <c r="BP148">
        <v>3.8658999999999999</v>
      </c>
      <c r="BQ148">
        <v>15.2538</v>
      </c>
      <c r="BR148">
        <v>0</v>
      </c>
      <c r="BS148">
        <v>0</v>
      </c>
      <c r="BU148">
        <v>0</v>
      </c>
      <c r="BV148">
        <v>0</v>
      </c>
      <c r="BW148">
        <v>0</v>
      </c>
      <c r="BX148">
        <v>233.47839999999999</v>
      </c>
      <c r="BY148">
        <v>8.5661029028809524E-2</v>
      </c>
      <c r="BZ148">
        <v>10</v>
      </c>
      <c r="CA148">
        <v>4.2830514514404762E-2</v>
      </c>
      <c r="CB148">
        <v>4.1300485805503127E-2</v>
      </c>
      <c r="CC148">
        <v>4.3865261269887719E-2</v>
      </c>
      <c r="CE148">
        <v>0.42195359024583579</v>
      </c>
      <c r="CF148">
        <v>0.44815706447294301</v>
      </c>
      <c r="CH148">
        <v>0.43758539443188288</v>
      </c>
    </row>
    <row r="149" spans="1:86" x14ac:dyDescent="0.3">
      <c r="A149" s="1">
        <v>532</v>
      </c>
      <c r="B149" t="s">
        <v>989</v>
      </c>
      <c r="C149" t="s">
        <v>990</v>
      </c>
      <c r="E149" t="s">
        <v>372</v>
      </c>
      <c r="F149">
        <v>3.39</v>
      </c>
      <c r="G149" t="s">
        <v>963</v>
      </c>
      <c r="H149">
        <v>-1</v>
      </c>
      <c r="I149">
        <v>-1</v>
      </c>
      <c r="J149">
        <v>4</v>
      </c>
      <c r="K149">
        <v>3.7</v>
      </c>
      <c r="L149">
        <v>3.7</v>
      </c>
      <c r="M149">
        <v>36.4</v>
      </c>
      <c r="N149" t="s">
        <v>529</v>
      </c>
      <c r="O149">
        <v>18.2</v>
      </c>
      <c r="Q149" t="s">
        <v>87</v>
      </c>
      <c r="R149">
        <v>1098</v>
      </c>
      <c r="S149">
        <v>12</v>
      </c>
      <c r="T149" t="b">
        <v>0</v>
      </c>
      <c r="U149" t="s">
        <v>88</v>
      </c>
      <c r="V149" t="s">
        <v>89</v>
      </c>
      <c r="W149">
        <v>0</v>
      </c>
      <c r="Y149">
        <v>0.5</v>
      </c>
      <c r="Z149">
        <v>1</v>
      </c>
      <c r="AC149" t="s">
        <v>90</v>
      </c>
      <c r="AD149">
        <v>125</v>
      </c>
      <c r="AE149">
        <v>220</v>
      </c>
      <c r="AF149" t="s">
        <v>91</v>
      </c>
      <c r="AG149">
        <v>288</v>
      </c>
      <c r="AH149" s="3">
        <v>268</v>
      </c>
      <c r="AI149" s="3">
        <f>AH149/(AD149*Y149*Z149)</f>
        <v>4.2880000000000003</v>
      </c>
      <c r="AJ149" s="3">
        <f>LN(AI149)</f>
        <v>1.4558204237685008</v>
      </c>
      <c r="AK149" t="s">
        <v>550</v>
      </c>
      <c r="AN149" t="b">
        <v>1</v>
      </c>
      <c r="AO149" t="b">
        <v>0</v>
      </c>
      <c r="AP149" t="b">
        <v>0</v>
      </c>
      <c r="AQ149" t="b">
        <v>0</v>
      </c>
      <c r="AR149" t="s">
        <v>991</v>
      </c>
      <c r="AS149">
        <v>-1</v>
      </c>
      <c r="AU149">
        <v>5.5909869805108574</v>
      </c>
      <c r="AV149">
        <v>1.5625</v>
      </c>
      <c r="AW149">
        <v>1.5</v>
      </c>
      <c r="AX149">
        <v>0.125</v>
      </c>
      <c r="AY149">
        <v>0.25</v>
      </c>
      <c r="AZ149">
        <v>0.45454545454545447</v>
      </c>
      <c r="BA149">
        <v>0.43636363636363629</v>
      </c>
      <c r="BB149">
        <v>3.6363636363636362E-2</v>
      </c>
      <c r="BC149">
        <v>7.2727272727272724E-2</v>
      </c>
      <c r="BD149">
        <v>6.6698508732785617</v>
      </c>
      <c r="BE149">
        <v>10</v>
      </c>
      <c r="BF149">
        <v>279.37519599564558</v>
      </c>
      <c r="BG149">
        <v>2</v>
      </c>
      <c r="BH149">
        <v>7.1588316667567459E-2</v>
      </c>
      <c r="BI149">
        <v>3.8703880000000002</v>
      </c>
      <c r="BJ149">
        <v>3.8703880000000002</v>
      </c>
      <c r="BK149">
        <v>18.649999999999999</v>
      </c>
      <c r="BL149">
        <v>0</v>
      </c>
      <c r="BM149">
        <v>0</v>
      </c>
      <c r="BO149">
        <v>0</v>
      </c>
      <c r="BR149">
        <v>0</v>
      </c>
      <c r="BS149">
        <v>0</v>
      </c>
      <c r="BU149">
        <v>0</v>
      </c>
      <c r="BV149">
        <v>0</v>
      </c>
      <c r="BW149">
        <v>0</v>
      </c>
      <c r="BX149">
        <v>498.31599999999997</v>
      </c>
      <c r="BY149">
        <v>8.0270350540620802E-2</v>
      </c>
      <c r="BZ149">
        <v>5</v>
      </c>
      <c r="CA149">
        <v>4.0135175270310401E-2</v>
      </c>
      <c r="CB149">
        <v>3.5794158333783729E-2</v>
      </c>
      <c r="CE149">
        <v>0.35641395635220002</v>
      </c>
      <c r="CH149">
        <v>0.39963885932412108</v>
      </c>
    </row>
    <row r="150" spans="1:86" x14ac:dyDescent="0.3">
      <c r="A150" s="1">
        <v>250</v>
      </c>
      <c r="B150" t="s">
        <v>636</v>
      </c>
      <c r="C150" t="s">
        <v>637</v>
      </c>
      <c r="E150" t="s">
        <v>106</v>
      </c>
      <c r="F150">
        <v>3.86</v>
      </c>
      <c r="G150" t="s">
        <v>590</v>
      </c>
      <c r="H150" t="s">
        <v>591</v>
      </c>
      <c r="I150">
        <v>-1</v>
      </c>
      <c r="J150">
        <v>2</v>
      </c>
      <c r="K150">
        <v>3.8530000000000002</v>
      </c>
      <c r="L150">
        <v>3.8530000000000002</v>
      </c>
      <c r="M150">
        <v>31.24</v>
      </c>
      <c r="O150">
        <v>15.62</v>
      </c>
      <c r="P150">
        <v>3</v>
      </c>
      <c r="Q150" t="s">
        <v>87</v>
      </c>
      <c r="R150">
        <v>1423</v>
      </c>
      <c r="S150">
        <v>24</v>
      </c>
      <c r="T150" t="b">
        <v>0</v>
      </c>
      <c r="U150" t="s">
        <v>88</v>
      </c>
      <c r="V150" t="s">
        <v>89</v>
      </c>
      <c r="W150">
        <v>0</v>
      </c>
      <c r="X150">
        <v>6.46</v>
      </c>
      <c r="Y150">
        <v>2</v>
      </c>
      <c r="Z150">
        <v>10</v>
      </c>
      <c r="AC150" t="s">
        <v>90</v>
      </c>
      <c r="AD150">
        <v>100</v>
      </c>
      <c r="AE150">
        <v>290</v>
      </c>
      <c r="AF150" t="s">
        <v>407</v>
      </c>
      <c r="AG150">
        <v>333</v>
      </c>
      <c r="AH150" s="3">
        <v>8500</v>
      </c>
      <c r="AI150" s="3">
        <f>AH150/(AD150*Y150*Z150)</f>
        <v>4.25</v>
      </c>
      <c r="AJ150" s="3">
        <f>LN(AI150)</f>
        <v>1.4469189829363254</v>
      </c>
      <c r="AK150" t="s">
        <v>638</v>
      </c>
      <c r="AN150" t="b">
        <v>1</v>
      </c>
      <c r="AO150" t="b">
        <v>0</v>
      </c>
      <c r="AP150" t="b">
        <v>0</v>
      </c>
      <c r="AQ150" t="b">
        <v>0</v>
      </c>
      <c r="AR150" t="s">
        <v>639</v>
      </c>
      <c r="AS150" t="s">
        <v>591</v>
      </c>
      <c r="AU150">
        <v>9.0478214424784085</v>
      </c>
      <c r="AV150">
        <v>1.8125</v>
      </c>
      <c r="AW150">
        <v>2.5</v>
      </c>
      <c r="AX150">
        <v>0.6875</v>
      </c>
      <c r="AY150">
        <v>0.875</v>
      </c>
      <c r="AZ150">
        <v>0.30851063829787229</v>
      </c>
      <c r="BA150">
        <v>0.42553191489361702</v>
      </c>
      <c r="BB150">
        <v>0.1170212765957447</v>
      </c>
      <c r="BC150">
        <v>0.14893617021276601</v>
      </c>
      <c r="BD150">
        <v>6.2703333359281874</v>
      </c>
      <c r="BE150">
        <v>20</v>
      </c>
      <c r="BF150">
        <v>235.24089263777751</v>
      </c>
      <c r="BG150">
        <v>1</v>
      </c>
      <c r="BH150">
        <v>8.5019231884976218E-2</v>
      </c>
      <c r="BI150">
        <v>3.9408639999999999</v>
      </c>
      <c r="BJ150">
        <v>3.9455239999999989</v>
      </c>
      <c r="BK150">
        <v>15.25730117</v>
      </c>
      <c r="BL150">
        <v>443.39967116280002</v>
      </c>
      <c r="BM150">
        <v>2</v>
      </c>
      <c r="BN150">
        <v>9.0212065099420147E-2</v>
      </c>
      <c r="BO150">
        <v>3.8656999999999999</v>
      </c>
      <c r="BP150">
        <v>29.777000000000001</v>
      </c>
      <c r="BQ150">
        <v>3.8519999999999999</v>
      </c>
      <c r="BR150">
        <v>0</v>
      </c>
      <c r="BS150">
        <v>0</v>
      </c>
      <c r="BU150">
        <v>0</v>
      </c>
      <c r="BV150">
        <v>0</v>
      </c>
      <c r="BW150">
        <v>0</v>
      </c>
      <c r="BX150">
        <v>463.77682515999999</v>
      </c>
      <c r="BY150">
        <v>8.6248380319996057E-2</v>
      </c>
      <c r="BZ150">
        <v>10</v>
      </c>
      <c r="CA150">
        <v>4.3124190159998028E-2</v>
      </c>
      <c r="CB150">
        <v>4.2509615942488109E-2</v>
      </c>
      <c r="CC150">
        <v>4.5106032549710073E-2</v>
      </c>
      <c r="CE150">
        <v>0.43430687840757631</v>
      </c>
      <c r="CF150">
        <v>0.46083361986893789</v>
      </c>
      <c r="CH150">
        <v>0.44058578269872822</v>
      </c>
    </row>
    <row r="151" spans="1:86" x14ac:dyDescent="0.3">
      <c r="A151" s="1">
        <v>696</v>
      </c>
      <c r="B151" t="s">
        <v>402</v>
      </c>
      <c r="C151" t="s">
        <v>403</v>
      </c>
      <c r="E151" t="s">
        <v>404</v>
      </c>
      <c r="F151">
        <v>3.63</v>
      </c>
      <c r="G151" t="s">
        <v>405</v>
      </c>
      <c r="H151">
        <v>-1</v>
      </c>
      <c r="I151" t="s">
        <v>754</v>
      </c>
      <c r="Q151" t="s">
        <v>87</v>
      </c>
      <c r="R151">
        <v>1373</v>
      </c>
      <c r="S151">
        <v>15</v>
      </c>
      <c r="T151" t="b">
        <v>0</v>
      </c>
      <c r="U151" t="s">
        <v>88</v>
      </c>
      <c r="V151" t="s">
        <v>89</v>
      </c>
      <c r="W151">
        <v>0</v>
      </c>
      <c r="X151">
        <v>1.8</v>
      </c>
      <c r="Y151">
        <v>0.5</v>
      </c>
      <c r="Z151">
        <v>1</v>
      </c>
      <c r="AC151" t="s">
        <v>90</v>
      </c>
      <c r="AD151">
        <v>125</v>
      </c>
      <c r="AE151">
        <v>220</v>
      </c>
      <c r="AF151" t="s">
        <v>91</v>
      </c>
      <c r="AG151">
        <v>288</v>
      </c>
      <c r="AH151" s="3">
        <v>216</v>
      </c>
      <c r="AI151" s="3">
        <f>AH151/(AD151*Y151*Z151)</f>
        <v>3.456</v>
      </c>
      <c r="AJ151" s="3">
        <f>LN(AI151)</f>
        <v>1.2401118509418092</v>
      </c>
      <c r="AN151" t="b">
        <v>1</v>
      </c>
      <c r="AO151" t="b">
        <v>0</v>
      </c>
      <c r="AP151" t="b">
        <v>0</v>
      </c>
      <c r="AQ151" t="b">
        <v>0</v>
      </c>
      <c r="AR151" t="s">
        <v>405</v>
      </c>
      <c r="AT151" t="s">
        <v>754</v>
      </c>
      <c r="AU151">
        <v>5.3752784076841653</v>
      </c>
      <c r="AV151">
        <v>1.882352941176471</v>
      </c>
      <c r="AW151">
        <v>2.3529411764705879</v>
      </c>
      <c r="AX151">
        <v>0.47058823529411759</v>
      </c>
      <c r="AY151">
        <v>0</v>
      </c>
      <c r="AZ151">
        <v>0.4</v>
      </c>
      <c r="BA151">
        <v>0.5</v>
      </c>
      <c r="BB151">
        <v>9.9999999999999992E-2</v>
      </c>
      <c r="BC151">
        <v>0</v>
      </c>
      <c r="BD151">
        <v>5.6898768502941177</v>
      </c>
      <c r="BE151">
        <v>20</v>
      </c>
      <c r="BF151">
        <v>229.90248606119221</v>
      </c>
      <c r="BG151">
        <v>1</v>
      </c>
      <c r="BH151">
        <v>8.6993404650164072E-2</v>
      </c>
      <c r="BI151">
        <v>15.28115725</v>
      </c>
      <c r="BJ151">
        <v>15.28115725</v>
      </c>
      <c r="BK151">
        <v>15.28115725</v>
      </c>
      <c r="BL151">
        <v>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U151">
        <v>0</v>
      </c>
      <c r="BV151">
        <v>0</v>
      </c>
      <c r="BW151">
        <v>0</v>
      </c>
      <c r="BZ151">
        <v>10</v>
      </c>
      <c r="CB151">
        <v>4.3496702325082043E-2</v>
      </c>
      <c r="CE151">
        <v>0.57369840599679478</v>
      </c>
    </row>
    <row r="152" spans="1:86" x14ac:dyDescent="0.3">
      <c r="A152" s="1">
        <v>524</v>
      </c>
      <c r="B152" t="s">
        <v>964</v>
      </c>
      <c r="C152" t="s">
        <v>965</v>
      </c>
      <c r="E152" t="s">
        <v>372</v>
      </c>
      <c r="F152">
        <v>3.45</v>
      </c>
      <c r="G152" t="s">
        <v>966</v>
      </c>
      <c r="H152">
        <v>-1</v>
      </c>
      <c r="I152">
        <v>-1</v>
      </c>
      <c r="J152">
        <v>4</v>
      </c>
      <c r="K152">
        <v>3.73</v>
      </c>
      <c r="L152">
        <v>3.73</v>
      </c>
      <c r="M152">
        <v>45.6</v>
      </c>
      <c r="N152" t="s">
        <v>529</v>
      </c>
      <c r="O152">
        <v>22.8</v>
      </c>
      <c r="Q152" t="s">
        <v>87</v>
      </c>
      <c r="R152">
        <v>1098</v>
      </c>
      <c r="S152">
        <v>12</v>
      </c>
      <c r="T152" t="b">
        <v>0</v>
      </c>
      <c r="U152" t="s">
        <v>88</v>
      </c>
      <c r="V152" t="s">
        <v>89</v>
      </c>
      <c r="W152">
        <v>0</v>
      </c>
      <c r="X152">
        <v>1.6</v>
      </c>
      <c r="Y152">
        <v>0.5</v>
      </c>
      <c r="Z152">
        <v>1</v>
      </c>
      <c r="AC152" t="s">
        <v>90</v>
      </c>
      <c r="AD152">
        <v>125</v>
      </c>
      <c r="AE152">
        <v>220</v>
      </c>
      <c r="AF152" t="s">
        <v>91</v>
      </c>
      <c r="AG152">
        <v>288</v>
      </c>
      <c r="AH152" s="3">
        <v>204</v>
      </c>
      <c r="AI152" s="3">
        <f>AH152/(AD152*Y152*Z152)</f>
        <v>3.2639999999999998</v>
      </c>
      <c r="AJ152" s="3">
        <f>LN(AI152)</f>
        <v>1.1829534371018604</v>
      </c>
      <c r="AN152" t="b">
        <v>1</v>
      </c>
      <c r="AO152" t="b">
        <v>0</v>
      </c>
      <c r="AP152" t="b">
        <v>0</v>
      </c>
      <c r="AQ152" t="b">
        <v>0</v>
      </c>
      <c r="AR152" t="s">
        <v>966</v>
      </c>
      <c r="AS152">
        <v>-1</v>
      </c>
      <c r="AU152">
        <v>5.3181199938442161</v>
      </c>
      <c r="AV152">
        <v>1.5</v>
      </c>
      <c r="AW152">
        <v>1.2727272727272729</v>
      </c>
      <c r="AX152">
        <v>0.13636363636363641</v>
      </c>
      <c r="AY152">
        <v>0</v>
      </c>
      <c r="AZ152">
        <v>0.515625</v>
      </c>
      <c r="BA152">
        <v>0.4375</v>
      </c>
      <c r="BB152">
        <v>4.6874999999999993E-2</v>
      </c>
      <c r="BC152">
        <v>0</v>
      </c>
      <c r="BD152">
        <v>6.7364209369482273</v>
      </c>
      <c r="BE152">
        <v>10</v>
      </c>
      <c r="BF152">
        <v>358.01968816600157</v>
      </c>
      <c r="BG152">
        <v>2</v>
      </c>
      <c r="BH152">
        <v>5.5862849617160371E-2</v>
      </c>
      <c r="BI152">
        <v>3.8703880000000002</v>
      </c>
      <c r="BJ152">
        <v>3.8703880000000002</v>
      </c>
      <c r="BK152">
        <v>23.9</v>
      </c>
      <c r="BL152">
        <v>0</v>
      </c>
      <c r="BM152">
        <v>0</v>
      </c>
      <c r="BO152">
        <v>0</v>
      </c>
      <c r="BR152">
        <v>0</v>
      </c>
      <c r="BS152">
        <v>0</v>
      </c>
      <c r="BU152">
        <v>0</v>
      </c>
      <c r="BV152">
        <v>0</v>
      </c>
      <c r="BW152">
        <v>0</v>
      </c>
      <c r="BX152">
        <v>634.42824000000007</v>
      </c>
      <c r="BY152">
        <v>6.3048895805773081E-2</v>
      </c>
      <c r="BZ152">
        <v>5</v>
      </c>
      <c r="CA152">
        <v>3.152444790288654E-2</v>
      </c>
      <c r="CB152">
        <v>2.7931424808580189E-2</v>
      </c>
      <c r="CE152">
        <v>0.28391654735776151</v>
      </c>
      <c r="CH152">
        <v>0.32043880565655031</v>
      </c>
    </row>
    <row r="153" spans="1:86" x14ac:dyDescent="0.3">
      <c r="A153" s="1">
        <v>811</v>
      </c>
      <c r="B153" t="s">
        <v>128</v>
      </c>
      <c r="C153" t="s">
        <v>129</v>
      </c>
      <c r="E153" t="s">
        <v>130</v>
      </c>
      <c r="F153">
        <v>3.2</v>
      </c>
      <c r="G153" t="s">
        <v>131</v>
      </c>
      <c r="H153" t="s">
        <v>132</v>
      </c>
      <c r="I153">
        <v>-1</v>
      </c>
      <c r="O153">
        <v>0</v>
      </c>
      <c r="Q153" t="s">
        <v>87</v>
      </c>
      <c r="T153" t="b">
        <v>0</v>
      </c>
      <c r="U153" t="s">
        <v>88</v>
      </c>
      <c r="V153" t="s">
        <v>89</v>
      </c>
      <c r="W153">
        <v>0</v>
      </c>
      <c r="X153">
        <v>50</v>
      </c>
      <c r="Y153">
        <v>1</v>
      </c>
      <c r="Z153">
        <v>0.1</v>
      </c>
      <c r="AC153" t="s">
        <v>90</v>
      </c>
      <c r="AD153">
        <v>125</v>
      </c>
      <c r="AE153">
        <v>220</v>
      </c>
      <c r="AF153" t="s">
        <v>91</v>
      </c>
      <c r="AG153">
        <v>288</v>
      </c>
      <c r="AH153" s="3">
        <v>38.18181818181818</v>
      </c>
      <c r="AI153" s="3">
        <f>AH153/(AD153*Y153*Z153)</f>
        <v>3.0545454545454542</v>
      </c>
      <c r="AJ153" s="3">
        <f>LN(AI153)</f>
        <v>1.1166307941707878</v>
      </c>
      <c r="AN153" t="b">
        <v>1</v>
      </c>
      <c r="AO153" t="b">
        <v>0</v>
      </c>
      <c r="AP153" t="b">
        <v>0</v>
      </c>
      <c r="AQ153" t="b">
        <v>0</v>
      </c>
      <c r="AR153" t="s">
        <v>131</v>
      </c>
      <c r="AS153" t="s">
        <v>132</v>
      </c>
      <c r="AU153">
        <v>3.6423594384790432</v>
      </c>
      <c r="AV153">
        <v>2</v>
      </c>
      <c r="AW153">
        <v>2.666666666666667</v>
      </c>
      <c r="AX153">
        <v>0.66666666666666663</v>
      </c>
      <c r="AY153">
        <v>0</v>
      </c>
      <c r="AZ153">
        <v>0.375</v>
      </c>
      <c r="BA153">
        <v>0.5</v>
      </c>
      <c r="BB153">
        <v>0.125</v>
      </c>
      <c r="BC153">
        <v>0</v>
      </c>
      <c r="BD153">
        <v>6.1770001596666662</v>
      </c>
      <c r="BE153">
        <v>4</v>
      </c>
      <c r="BF153">
        <v>1182.741260108548</v>
      </c>
      <c r="BG153">
        <v>30</v>
      </c>
      <c r="BH153">
        <v>0.1014592151701775</v>
      </c>
      <c r="BI153">
        <v>10.59112378</v>
      </c>
      <c r="BJ153">
        <v>10.784736629999999</v>
      </c>
      <c r="BK153">
        <v>10.486176179999999</v>
      </c>
      <c r="BL153">
        <v>130.36387300000001</v>
      </c>
      <c r="BM153">
        <v>4</v>
      </c>
      <c r="BN153">
        <v>0.1227333894874388</v>
      </c>
      <c r="BO153">
        <v>3.73</v>
      </c>
      <c r="BP153">
        <v>3.73</v>
      </c>
      <c r="BQ153">
        <v>9.3699999999999992</v>
      </c>
      <c r="BR153">
        <v>0</v>
      </c>
      <c r="BS153">
        <v>0</v>
      </c>
      <c r="BU153">
        <v>0</v>
      </c>
      <c r="BV153">
        <v>0</v>
      </c>
      <c r="BW153">
        <v>0</v>
      </c>
      <c r="BZ153">
        <v>2</v>
      </c>
      <c r="CB153">
        <v>5.0729607585088737E-2</v>
      </c>
      <c r="CC153">
        <v>6.1366694743719377E-2</v>
      </c>
      <c r="CE153">
        <v>0.46900407026869612</v>
      </c>
      <c r="CF153">
        <v>0.56734579634715776</v>
      </c>
    </row>
    <row r="154" spans="1:86" x14ac:dyDescent="0.3">
      <c r="A154" s="1">
        <v>466</v>
      </c>
      <c r="B154" t="s">
        <v>140</v>
      </c>
      <c r="C154" t="s">
        <v>141</v>
      </c>
      <c r="E154" t="s">
        <v>106</v>
      </c>
      <c r="F154">
        <v>3.512</v>
      </c>
      <c r="G154" t="s">
        <v>108</v>
      </c>
      <c r="H154" t="s">
        <v>109</v>
      </c>
      <c r="I154">
        <v>-1</v>
      </c>
      <c r="Q154" t="s">
        <v>838</v>
      </c>
      <c r="R154">
        <v>1473</v>
      </c>
      <c r="S154">
        <v>10</v>
      </c>
      <c r="T154" t="b">
        <v>0</v>
      </c>
      <c r="U154" t="s">
        <v>88</v>
      </c>
      <c r="V154" t="s">
        <v>89</v>
      </c>
      <c r="W154">
        <v>0</v>
      </c>
      <c r="X154">
        <v>84</v>
      </c>
      <c r="Y154">
        <v>3.3300000000000003E-2</v>
      </c>
      <c r="Z154">
        <v>10</v>
      </c>
      <c r="AC154" t="s">
        <v>165</v>
      </c>
      <c r="AD154">
        <v>500</v>
      </c>
      <c r="AF154" t="s">
        <v>91</v>
      </c>
      <c r="AH154" s="3">
        <v>400</v>
      </c>
      <c r="AI154" s="3">
        <f>AH154/(AD154*Y154*Z154)</f>
        <v>2.402402402402402</v>
      </c>
      <c r="AJ154" s="3">
        <f>LN(AI154)</f>
        <v>0.8764692376874833</v>
      </c>
      <c r="AK154" t="s">
        <v>136</v>
      </c>
      <c r="AL154" t="s">
        <v>136</v>
      </c>
      <c r="AN154" t="b">
        <v>1</v>
      </c>
      <c r="AO154" t="b">
        <v>1</v>
      </c>
      <c r="AP154" t="b">
        <v>0</v>
      </c>
      <c r="AQ154" t="b">
        <v>0</v>
      </c>
      <c r="AR154" t="s">
        <v>865</v>
      </c>
      <c r="AS154" t="s">
        <v>866</v>
      </c>
      <c r="AU154">
        <v>5.9914645471079817</v>
      </c>
      <c r="AV154">
        <v>1.75</v>
      </c>
      <c r="AW154">
        <v>2.5</v>
      </c>
      <c r="AX154">
        <v>0.75</v>
      </c>
      <c r="AY154">
        <v>0</v>
      </c>
      <c r="AZ154">
        <v>0.35</v>
      </c>
      <c r="BA154">
        <v>0.5</v>
      </c>
      <c r="BB154">
        <v>0.15</v>
      </c>
      <c r="BC154">
        <v>0</v>
      </c>
      <c r="BD154">
        <v>6.2640154224906874</v>
      </c>
      <c r="BE154">
        <v>20</v>
      </c>
      <c r="BF154">
        <v>924.74694800021894</v>
      </c>
      <c r="BG154">
        <v>4</v>
      </c>
      <c r="BH154">
        <v>8.6510153045653584E-2</v>
      </c>
      <c r="BI154">
        <v>7.8084429999999996</v>
      </c>
      <c r="BJ154">
        <v>7.8548809999999998</v>
      </c>
      <c r="BK154">
        <v>15.19056011</v>
      </c>
      <c r="BL154">
        <v>883.22940750240002</v>
      </c>
      <c r="BM154">
        <v>4</v>
      </c>
      <c r="BN154">
        <v>9.0576694254581439E-2</v>
      </c>
      <c r="BO154">
        <v>3.8801999999999999</v>
      </c>
      <c r="BP154">
        <v>29.507999999999999</v>
      </c>
      <c r="BQ154">
        <v>7.7140000000000004</v>
      </c>
      <c r="BR154">
        <v>0</v>
      </c>
      <c r="BS154">
        <v>0</v>
      </c>
      <c r="BU154">
        <v>0</v>
      </c>
      <c r="BV154">
        <v>0</v>
      </c>
      <c r="BW154">
        <v>0</v>
      </c>
      <c r="BZ154">
        <v>10</v>
      </c>
      <c r="CB154">
        <v>4.3255076522826792E-2</v>
      </c>
      <c r="CC154">
        <v>4.5288347127290719E-2</v>
      </c>
      <c r="CE154">
        <v>0.44192300596941569</v>
      </c>
      <c r="CF154">
        <v>0.46269626843260342</v>
      </c>
    </row>
    <row r="155" spans="1:86" x14ac:dyDescent="0.3">
      <c r="A155" s="1">
        <v>797</v>
      </c>
      <c r="B155" t="s">
        <v>735</v>
      </c>
      <c r="C155" t="s">
        <v>736</v>
      </c>
      <c r="E155" t="s">
        <v>690</v>
      </c>
      <c r="F155">
        <v>3.65</v>
      </c>
      <c r="G155" t="s">
        <v>737</v>
      </c>
      <c r="H155" t="s">
        <v>738</v>
      </c>
      <c r="I155">
        <v>-1</v>
      </c>
      <c r="J155">
        <v>2</v>
      </c>
      <c r="K155">
        <v>3.69</v>
      </c>
      <c r="L155">
        <v>3.69</v>
      </c>
      <c r="M155">
        <v>21.18</v>
      </c>
      <c r="O155">
        <v>0</v>
      </c>
      <c r="Q155" t="s">
        <v>87</v>
      </c>
      <c r="R155">
        <v>1173</v>
      </c>
      <c r="S155">
        <v>3</v>
      </c>
      <c r="T155" t="b">
        <v>0</v>
      </c>
      <c r="U155" t="s">
        <v>88</v>
      </c>
      <c r="V155" t="s">
        <v>89</v>
      </c>
      <c r="W155">
        <v>0</v>
      </c>
      <c r="Y155">
        <v>0.5</v>
      </c>
      <c r="Z155">
        <v>0.1</v>
      </c>
      <c r="AC155" t="s">
        <v>90</v>
      </c>
      <c r="AD155">
        <v>125</v>
      </c>
      <c r="AE155">
        <v>220</v>
      </c>
      <c r="AF155" t="s">
        <v>91</v>
      </c>
      <c r="AG155">
        <v>288</v>
      </c>
      <c r="AH155" s="3">
        <v>15</v>
      </c>
      <c r="AI155" s="3">
        <f>AH155/(AD155*Y155*Z155)</f>
        <v>2.4</v>
      </c>
      <c r="AJ155" s="3">
        <f>LN(AI155)</f>
        <v>0.87546873735389985</v>
      </c>
      <c r="AN155" t="b">
        <v>1</v>
      </c>
      <c r="AO155" t="b">
        <v>0</v>
      </c>
      <c r="AP155" t="b">
        <v>0</v>
      </c>
      <c r="AQ155" t="b">
        <v>0</v>
      </c>
      <c r="AR155" t="s">
        <v>737</v>
      </c>
      <c r="AS155" t="s">
        <v>738</v>
      </c>
      <c r="AU155">
        <v>2.7080502011022101</v>
      </c>
      <c r="AV155">
        <v>2</v>
      </c>
      <c r="AW155">
        <v>2.545454545454545</v>
      </c>
      <c r="AX155">
        <v>0.36363636363636359</v>
      </c>
      <c r="AY155">
        <v>0.72727272727272729</v>
      </c>
      <c r="AZ155">
        <v>0.35483870967741932</v>
      </c>
      <c r="BA155">
        <v>0.45161290322580638</v>
      </c>
      <c r="BB155">
        <v>6.4516129032258063E-2</v>
      </c>
      <c r="BC155">
        <v>0.1290322580645161</v>
      </c>
      <c r="BD155">
        <v>5.9366587478636346</v>
      </c>
      <c r="BE155">
        <v>14</v>
      </c>
      <c r="BF155">
        <v>273.44070809730869</v>
      </c>
      <c r="BG155">
        <v>2</v>
      </c>
      <c r="BH155">
        <v>0.1023987986091511</v>
      </c>
      <c r="BI155">
        <v>7.2854997800000012</v>
      </c>
      <c r="BJ155">
        <v>7.2855000099999998</v>
      </c>
      <c r="BK155">
        <v>7.28550129</v>
      </c>
      <c r="BL155">
        <v>1077.884035254056</v>
      </c>
      <c r="BM155">
        <v>8</v>
      </c>
      <c r="BN155">
        <v>0.1039072816155049</v>
      </c>
      <c r="BO155">
        <v>7.6769999999999996</v>
      </c>
      <c r="BP155">
        <v>5.4560000000000004</v>
      </c>
      <c r="BQ155">
        <v>26.012989999999999</v>
      </c>
      <c r="BR155">
        <v>0</v>
      </c>
      <c r="BS155">
        <v>0</v>
      </c>
      <c r="BU155">
        <v>0</v>
      </c>
      <c r="BV155">
        <v>0</v>
      </c>
      <c r="BW155">
        <v>0</v>
      </c>
      <c r="BX155">
        <v>288.38899800000002</v>
      </c>
      <c r="BY155">
        <v>9.709108251071355E-2</v>
      </c>
      <c r="BZ155">
        <v>7</v>
      </c>
      <c r="CA155">
        <v>4.8545541255356782E-2</v>
      </c>
      <c r="CB155">
        <v>5.1199399304575573E-2</v>
      </c>
      <c r="CC155">
        <v>5.1953640807752437E-2</v>
      </c>
      <c r="CE155">
        <v>0.54112567770605691</v>
      </c>
      <c r="CF155">
        <v>0.54909724475770683</v>
      </c>
      <c r="CH155">
        <v>0.51307709207956786</v>
      </c>
    </row>
    <row r="156" spans="1:86" x14ac:dyDescent="0.3">
      <c r="A156" s="1">
        <v>808</v>
      </c>
      <c r="B156" t="s">
        <v>1352</v>
      </c>
      <c r="C156" t="s">
        <v>1353</v>
      </c>
      <c r="E156" t="s">
        <v>94</v>
      </c>
      <c r="F156">
        <v>3.57</v>
      </c>
      <c r="G156">
        <v>-1</v>
      </c>
      <c r="H156">
        <v>-1</v>
      </c>
      <c r="I156" t="s">
        <v>522</v>
      </c>
      <c r="J156">
        <v>1</v>
      </c>
      <c r="K156">
        <v>3.8620000000000001</v>
      </c>
      <c r="L156">
        <v>3.8620000000000001</v>
      </c>
      <c r="M156">
        <v>10.42</v>
      </c>
      <c r="O156">
        <v>10.42</v>
      </c>
      <c r="Q156" t="s">
        <v>87</v>
      </c>
      <c r="R156">
        <v>1373</v>
      </c>
      <c r="S156">
        <v>10</v>
      </c>
      <c r="T156" t="b">
        <v>0</v>
      </c>
      <c r="U156" t="s">
        <v>88</v>
      </c>
      <c r="V156" t="s">
        <v>89</v>
      </c>
      <c r="W156">
        <v>0</v>
      </c>
      <c r="Y156">
        <v>1</v>
      </c>
      <c r="Z156">
        <v>0.1</v>
      </c>
      <c r="AC156" t="s">
        <v>90</v>
      </c>
      <c r="AD156">
        <v>125</v>
      </c>
      <c r="AE156">
        <v>220</v>
      </c>
      <c r="AF156" t="s">
        <v>91</v>
      </c>
      <c r="AG156">
        <v>288</v>
      </c>
      <c r="AH156" s="3">
        <v>29.336734693877549</v>
      </c>
      <c r="AI156" s="3">
        <f>AH156/(AD156*Y156*Z156)</f>
        <v>2.3469387755102038</v>
      </c>
      <c r="AJ156" s="3">
        <f>LN(AI156)</f>
        <v>0.85311183025262338</v>
      </c>
      <c r="AM156" t="s">
        <v>1354</v>
      </c>
      <c r="AN156" t="b">
        <v>0</v>
      </c>
      <c r="AO156" t="b">
        <v>0</v>
      </c>
      <c r="AP156" t="b">
        <v>1</v>
      </c>
      <c r="AQ156" t="b">
        <v>0</v>
      </c>
      <c r="AT156" t="s">
        <v>1355</v>
      </c>
      <c r="AU156">
        <v>3.3788404745608789</v>
      </c>
      <c r="AV156">
        <v>1.7272727272727271</v>
      </c>
      <c r="AW156">
        <v>2.545454545454545</v>
      </c>
      <c r="AX156">
        <v>0.72727272727272729</v>
      </c>
      <c r="AY156">
        <v>0.36363636363636359</v>
      </c>
      <c r="AZ156">
        <v>0.32203389830508478</v>
      </c>
      <c r="BA156">
        <v>0.47457627118644069</v>
      </c>
      <c r="BB156">
        <v>0.13559322033898311</v>
      </c>
      <c r="BC156">
        <v>6.7796610169491525E-2</v>
      </c>
      <c r="BD156">
        <v>6.0098266528636346</v>
      </c>
      <c r="BE156">
        <v>14</v>
      </c>
      <c r="BF156">
        <v>0</v>
      </c>
      <c r="BG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0</v>
      </c>
      <c r="BR156">
        <v>171.98132883066</v>
      </c>
      <c r="BS156">
        <v>1</v>
      </c>
      <c r="BT156">
        <v>8.1404185531005993E-2</v>
      </c>
      <c r="BU156">
        <v>3.8898000000000001</v>
      </c>
      <c r="BV156">
        <v>3.8898000000000001</v>
      </c>
      <c r="BW156">
        <v>11.3665</v>
      </c>
      <c r="BX156">
        <v>155.41475847999999</v>
      </c>
      <c r="BY156">
        <v>9.0081534964400647E-2</v>
      </c>
      <c r="BZ156">
        <v>7</v>
      </c>
      <c r="CA156">
        <v>4.5040767482200317E-2</v>
      </c>
      <c r="CD156">
        <v>4.0702092765502997E-2</v>
      </c>
      <c r="CG156">
        <v>0.43667714908534311</v>
      </c>
      <c r="CH156">
        <v>0.48322512677807272</v>
      </c>
    </row>
    <row r="157" spans="1:86" x14ac:dyDescent="0.3">
      <c r="A157" s="1">
        <v>251</v>
      </c>
      <c r="B157" t="s">
        <v>640</v>
      </c>
      <c r="C157" t="s">
        <v>641</v>
      </c>
      <c r="E157" t="s">
        <v>106</v>
      </c>
      <c r="F157">
        <v>4.01</v>
      </c>
      <c r="G157" t="s">
        <v>590</v>
      </c>
      <c r="H157" t="s">
        <v>591</v>
      </c>
      <c r="I157">
        <v>-1</v>
      </c>
      <c r="J157">
        <v>2</v>
      </c>
      <c r="K157">
        <v>3.8530000000000002</v>
      </c>
      <c r="L157">
        <v>3.8530000000000002</v>
      </c>
      <c r="M157">
        <v>31.54</v>
      </c>
      <c r="O157">
        <v>15.77</v>
      </c>
      <c r="P157">
        <v>3</v>
      </c>
      <c r="Q157" t="s">
        <v>87</v>
      </c>
      <c r="R157">
        <v>1423</v>
      </c>
      <c r="S157">
        <v>24</v>
      </c>
      <c r="T157" t="b">
        <v>0</v>
      </c>
      <c r="U157" t="s">
        <v>88</v>
      </c>
      <c r="V157" t="s">
        <v>89</v>
      </c>
      <c r="W157">
        <v>0</v>
      </c>
      <c r="X157">
        <v>6.64</v>
      </c>
      <c r="Y157">
        <v>2</v>
      </c>
      <c r="Z157">
        <v>10</v>
      </c>
      <c r="AC157" t="s">
        <v>90</v>
      </c>
      <c r="AD157">
        <v>100</v>
      </c>
      <c r="AE157">
        <v>290</v>
      </c>
      <c r="AF157" t="s">
        <v>407</v>
      </c>
      <c r="AG157">
        <v>333</v>
      </c>
      <c r="AH157" s="3">
        <v>4016</v>
      </c>
      <c r="AI157" s="3">
        <f>AH157/(AD157*Y157*Z157)</f>
        <v>2.008</v>
      </c>
      <c r="AJ157" s="3">
        <f>LN(AI157)</f>
        <v>0.69713920182948275</v>
      </c>
      <c r="AK157" t="s">
        <v>642</v>
      </c>
      <c r="AN157" t="b">
        <v>1</v>
      </c>
      <c r="AO157" t="b">
        <v>0</v>
      </c>
      <c r="AP157" t="b">
        <v>0</v>
      </c>
      <c r="AQ157" t="b">
        <v>0</v>
      </c>
      <c r="AR157" t="s">
        <v>643</v>
      </c>
      <c r="AS157" t="s">
        <v>591</v>
      </c>
      <c r="AU157">
        <v>8.2980416613715651</v>
      </c>
      <c r="AV157">
        <v>1.84375</v>
      </c>
      <c r="AW157">
        <v>2.5</v>
      </c>
      <c r="AX157">
        <v>0.65625</v>
      </c>
      <c r="AY157">
        <v>1.3125</v>
      </c>
      <c r="AZ157">
        <v>0.29207920792079212</v>
      </c>
      <c r="BA157">
        <v>0.39603960396039611</v>
      </c>
      <c r="BB157">
        <v>0.103960396039604</v>
      </c>
      <c r="BC157">
        <v>0.20792079207920791</v>
      </c>
      <c r="BD157">
        <v>6.273492292646937</v>
      </c>
      <c r="BE157">
        <v>20</v>
      </c>
      <c r="BF157">
        <v>235.24089263777751</v>
      </c>
      <c r="BG157">
        <v>1</v>
      </c>
      <c r="BH157">
        <v>8.5019231884976218E-2</v>
      </c>
      <c r="BI157">
        <v>3.9408639999999999</v>
      </c>
      <c r="BJ157">
        <v>3.9455239999999989</v>
      </c>
      <c r="BK157">
        <v>15.25730117</v>
      </c>
      <c r="BL157">
        <v>443.39967116280002</v>
      </c>
      <c r="BM157">
        <v>2</v>
      </c>
      <c r="BN157">
        <v>9.0212065099420147E-2</v>
      </c>
      <c r="BO157">
        <v>3.8656999999999999</v>
      </c>
      <c r="BP157">
        <v>29.777000000000001</v>
      </c>
      <c r="BQ157">
        <v>3.8519999999999999</v>
      </c>
      <c r="BR157">
        <v>0</v>
      </c>
      <c r="BS157">
        <v>0</v>
      </c>
      <c r="BU157">
        <v>0</v>
      </c>
      <c r="BV157">
        <v>0</v>
      </c>
      <c r="BW157">
        <v>0</v>
      </c>
      <c r="BX157">
        <v>468.23050785999999</v>
      </c>
      <c r="BY157">
        <v>8.5428008915557282E-2</v>
      </c>
      <c r="BZ157">
        <v>10</v>
      </c>
      <c r="CA157">
        <v>4.2714004457778641E-2</v>
      </c>
      <c r="CB157">
        <v>4.2509615942488109E-2</v>
      </c>
      <c r="CC157">
        <v>4.5106032549710073E-2</v>
      </c>
      <c r="CE157">
        <v>0.43430687840757631</v>
      </c>
      <c r="CF157">
        <v>0.46083361986893789</v>
      </c>
      <c r="CH157">
        <v>0.43639504919176508</v>
      </c>
    </row>
    <row r="158" spans="1:86" x14ac:dyDescent="0.3">
      <c r="A158" s="1">
        <v>533</v>
      </c>
      <c r="B158" t="s">
        <v>992</v>
      </c>
      <c r="C158" t="s">
        <v>993</v>
      </c>
      <c r="E158" t="s">
        <v>372</v>
      </c>
      <c r="F158">
        <v>3.45</v>
      </c>
      <c r="G158" t="s">
        <v>966</v>
      </c>
      <c r="H158">
        <v>-1</v>
      </c>
      <c r="I158">
        <v>-1</v>
      </c>
      <c r="J158">
        <v>4</v>
      </c>
      <c r="K158">
        <v>3.71</v>
      </c>
      <c r="L158">
        <v>3.71</v>
      </c>
      <c r="M158">
        <v>44.5</v>
      </c>
      <c r="N158" t="s">
        <v>529</v>
      </c>
      <c r="O158">
        <v>22.25</v>
      </c>
      <c r="Q158" t="s">
        <v>87</v>
      </c>
      <c r="R158">
        <v>1098</v>
      </c>
      <c r="S158">
        <v>12</v>
      </c>
      <c r="T158" t="b">
        <v>0</v>
      </c>
      <c r="U158" t="s">
        <v>88</v>
      </c>
      <c r="V158" t="s">
        <v>89</v>
      </c>
      <c r="W158">
        <v>0</v>
      </c>
      <c r="X158">
        <v>4</v>
      </c>
      <c r="Y158">
        <v>0.5</v>
      </c>
      <c r="Z158">
        <v>1</v>
      </c>
      <c r="AC158" t="s">
        <v>90</v>
      </c>
      <c r="AD158">
        <v>125</v>
      </c>
      <c r="AE158">
        <v>220</v>
      </c>
      <c r="AF158" t="s">
        <v>91</v>
      </c>
      <c r="AG158">
        <v>288</v>
      </c>
      <c r="AH158" s="3">
        <v>120</v>
      </c>
      <c r="AI158" s="3">
        <f>AH158/(AD158*Y158*Z158)</f>
        <v>1.92</v>
      </c>
      <c r="AJ158" s="3">
        <f>LN(AI158)</f>
        <v>0.65232518603969014</v>
      </c>
      <c r="AK158" t="s">
        <v>550</v>
      </c>
      <c r="AN158" t="b">
        <v>1</v>
      </c>
      <c r="AO158" t="b">
        <v>0</v>
      </c>
      <c r="AP158" t="b">
        <v>0</v>
      </c>
      <c r="AQ158" t="b">
        <v>0</v>
      </c>
      <c r="AR158" t="s">
        <v>994</v>
      </c>
      <c r="AS158">
        <v>-1</v>
      </c>
      <c r="AU158">
        <v>4.7874917427820458</v>
      </c>
      <c r="AV158">
        <v>1.5</v>
      </c>
      <c r="AW158">
        <v>1.2727272727272729</v>
      </c>
      <c r="AX158">
        <v>9.0909090909090912E-2</v>
      </c>
      <c r="AY158">
        <v>0.1818181818181818</v>
      </c>
      <c r="AZ158">
        <v>0.49253731343283591</v>
      </c>
      <c r="BA158">
        <v>0.41791044776119401</v>
      </c>
      <c r="BB158">
        <v>2.9850746268656719E-2</v>
      </c>
      <c r="BC158">
        <v>5.9701492537313439E-2</v>
      </c>
      <c r="BD158">
        <v>6.7247856437664089</v>
      </c>
      <c r="BE158">
        <v>10</v>
      </c>
      <c r="BF158">
        <v>358.01968816600157</v>
      </c>
      <c r="BG158">
        <v>2</v>
      </c>
      <c r="BH158">
        <v>5.5862849617160371E-2</v>
      </c>
      <c r="BI158">
        <v>3.8703880000000002</v>
      </c>
      <c r="BJ158">
        <v>3.8703880000000002</v>
      </c>
      <c r="BK158">
        <v>23.9</v>
      </c>
      <c r="BL158">
        <v>0</v>
      </c>
      <c r="BM158">
        <v>0</v>
      </c>
      <c r="BO158">
        <v>0</v>
      </c>
      <c r="BR158">
        <v>0</v>
      </c>
      <c r="BS158">
        <v>0</v>
      </c>
      <c r="BU158">
        <v>0</v>
      </c>
      <c r="BV158">
        <v>0</v>
      </c>
      <c r="BW158">
        <v>0</v>
      </c>
      <c r="BX158">
        <v>612.50244999999995</v>
      </c>
      <c r="BY158">
        <v>6.5305861225534695E-2</v>
      </c>
      <c r="BZ158">
        <v>5</v>
      </c>
      <c r="CA158">
        <v>3.2652930612767347E-2</v>
      </c>
      <c r="CB158">
        <v>2.7931424808580189E-2</v>
      </c>
      <c r="CE158">
        <v>0.27938652437960559</v>
      </c>
      <c r="CH158">
        <v>0.32661379994861872</v>
      </c>
    </row>
    <row r="159" spans="1:86" x14ac:dyDescent="0.3">
      <c r="A159" s="1">
        <v>794</v>
      </c>
      <c r="B159" t="s">
        <v>372</v>
      </c>
      <c r="C159" t="s">
        <v>944</v>
      </c>
      <c r="E159" t="s">
        <v>372</v>
      </c>
      <c r="F159">
        <v>3.433333333333334</v>
      </c>
      <c r="G159" t="s">
        <v>373</v>
      </c>
      <c r="H159">
        <v>-1</v>
      </c>
      <c r="I159" t="s">
        <v>1328</v>
      </c>
      <c r="J159">
        <v>2</v>
      </c>
      <c r="K159">
        <v>3.72</v>
      </c>
      <c r="L159">
        <v>3.72</v>
      </c>
      <c r="M159">
        <v>12.29</v>
      </c>
      <c r="O159">
        <v>12.29</v>
      </c>
      <c r="Q159" t="s">
        <v>87</v>
      </c>
      <c r="R159">
        <v>1173</v>
      </c>
      <c r="S159">
        <v>3</v>
      </c>
      <c r="T159" t="b">
        <v>0</v>
      </c>
      <c r="U159" t="s">
        <v>88</v>
      </c>
      <c r="V159" t="s">
        <v>89</v>
      </c>
      <c r="W159">
        <v>0</v>
      </c>
      <c r="Y159">
        <v>0.5</v>
      </c>
      <c r="Z159">
        <v>0.1</v>
      </c>
      <c r="AC159" t="s">
        <v>90</v>
      </c>
      <c r="AD159">
        <v>125</v>
      </c>
      <c r="AE159">
        <v>220</v>
      </c>
      <c r="AF159" t="s">
        <v>91</v>
      </c>
      <c r="AG159">
        <v>288</v>
      </c>
      <c r="AH159" s="3">
        <v>12</v>
      </c>
      <c r="AI159" s="3">
        <f>AH159/(AD159*Y159*Z159)</f>
        <v>1.92</v>
      </c>
      <c r="AJ159" s="3">
        <f>LN(AI159)</f>
        <v>0.65232518603969014</v>
      </c>
      <c r="AK159" t="s">
        <v>136</v>
      </c>
      <c r="AN159" t="b">
        <v>1</v>
      </c>
      <c r="AO159" t="b">
        <v>0</v>
      </c>
      <c r="AP159" t="b">
        <v>0</v>
      </c>
      <c r="AQ159" t="b">
        <v>0</v>
      </c>
      <c r="AR159" t="s">
        <v>1329</v>
      </c>
      <c r="AT159" t="s">
        <v>1328</v>
      </c>
      <c r="AU159">
        <v>2.4849066497879999</v>
      </c>
      <c r="AV159">
        <v>1.857142857142857</v>
      </c>
      <c r="AW159">
        <v>2.285714285714286</v>
      </c>
      <c r="AX159">
        <v>0.42857142857142849</v>
      </c>
      <c r="AY159">
        <v>0</v>
      </c>
      <c r="AZ159">
        <v>0.40625000000000011</v>
      </c>
      <c r="BA159">
        <v>0.5</v>
      </c>
      <c r="BB159">
        <v>9.375E-2</v>
      </c>
      <c r="BC159">
        <v>0</v>
      </c>
      <c r="BD159">
        <v>6.2648152075501429</v>
      </c>
      <c r="BE159">
        <v>8</v>
      </c>
      <c r="BF159">
        <v>203.79933701026059</v>
      </c>
      <c r="BG159">
        <v>2</v>
      </c>
      <c r="BH159">
        <v>7.8508596910668346E-2</v>
      </c>
      <c r="BI159">
        <v>3.8703880000000002</v>
      </c>
      <c r="BJ159">
        <v>3.8703880000000002</v>
      </c>
      <c r="BK159">
        <v>13.604850000000001</v>
      </c>
      <c r="BL159">
        <v>0</v>
      </c>
      <c r="BM159">
        <v>0</v>
      </c>
      <c r="BO159">
        <v>0</v>
      </c>
      <c r="BP159">
        <v>0</v>
      </c>
      <c r="BQ159">
        <v>0</v>
      </c>
      <c r="BR159">
        <v>100.1137560412496</v>
      </c>
      <c r="BS159">
        <v>2</v>
      </c>
      <c r="BT159">
        <v>0.15981819714573051</v>
      </c>
      <c r="BU159">
        <v>4.16</v>
      </c>
      <c r="BV159">
        <v>4.16</v>
      </c>
      <c r="BW159">
        <v>6.68</v>
      </c>
      <c r="BX159">
        <v>170.073936</v>
      </c>
      <c r="BY159">
        <v>9.407673142814782E-2</v>
      </c>
      <c r="BZ159">
        <v>4</v>
      </c>
      <c r="CA159">
        <v>4.703836571407391E-2</v>
      </c>
      <c r="CB159">
        <v>3.9254298455334173E-2</v>
      </c>
      <c r="CD159">
        <v>7.9909098572865239E-2</v>
      </c>
      <c r="CE159">
        <v>0.41209139981608062</v>
      </c>
      <c r="CG159">
        <v>0.83888525804129965</v>
      </c>
      <c r="CH159">
        <v>0.49380849320819759</v>
      </c>
    </row>
    <row r="160" spans="1:86" x14ac:dyDescent="0.3">
      <c r="A160" s="1">
        <v>252</v>
      </c>
      <c r="B160" t="s">
        <v>644</v>
      </c>
      <c r="C160" t="s">
        <v>645</v>
      </c>
      <c r="E160" t="s">
        <v>106</v>
      </c>
      <c r="F160">
        <v>4.16</v>
      </c>
      <c r="G160" t="s">
        <v>590</v>
      </c>
      <c r="H160" t="s">
        <v>591</v>
      </c>
      <c r="I160">
        <v>-1</v>
      </c>
      <c r="J160">
        <v>2</v>
      </c>
      <c r="K160">
        <v>3.8530000000000002</v>
      </c>
      <c r="L160">
        <v>3.8530000000000002</v>
      </c>
      <c r="M160">
        <v>32.4</v>
      </c>
      <c r="O160">
        <v>16.2</v>
      </c>
      <c r="P160">
        <v>3</v>
      </c>
      <c r="Q160" t="s">
        <v>87</v>
      </c>
      <c r="R160">
        <v>1423</v>
      </c>
      <c r="S160">
        <v>24</v>
      </c>
      <c r="T160" t="b">
        <v>0</v>
      </c>
      <c r="U160" t="s">
        <v>88</v>
      </c>
      <c r="V160" t="s">
        <v>89</v>
      </c>
      <c r="W160">
        <v>0</v>
      </c>
      <c r="X160">
        <v>5.75</v>
      </c>
      <c r="Y160">
        <v>2</v>
      </c>
      <c r="Z160">
        <v>10</v>
      </c>
      <c r="AC160" t="s">
        <v>90</v>
      </c>
      <c r="AD160">
        <v>100</v>
      </c>
      <c r="AE160">
        <v>290</v>
      </c>
      <c r="AF160" t="s">
        <v>407</v>
      </c>
      <c r="AG160">
        <v>333</v>
      </c>
      <c r="AH160" s="3">
        <v>3736</v>
      </c>
      <c r="AI160" s="3">
        <f>AH160/(AD160*Y160*Z160)</f>
        <v>1.8680000000000001</v>
      </c>
      <c r="AJ160" s="3">
        <f>LN(AI160)</f>
        <v>0.62486833980665091</v>
      </c>
      <c r="AK160" t="s">
        <v>646</v>
      </c>
      <c r="AN160" t="b">
        <v>1</v>
      </c>
      <c r="AO160" t="b">
        <v>0</v>
      </c>
      <c r="AP160" t="b">
        <v>0</v>
      </c>
      <c r="AQ160" t="b">
        <v>0</v>
      </c>
      <c r="AR160" t="s">
        <v>647</v>
      </c>
      <c r="AS160" t="s">
        <v>591</v>
      </c>
      <c r="AU160">
        <v>8.2257707993487337</v>
      </c>
      <c r="AV160">
        <v>1.875</v>
      </c>
      <c r="AW160">
        <v>2.5</v>
      </c>
      <c r="AX160">
        <v>0.625</v>
      </c>
      <c r="AY160">
        <v>1.75</v>
      </c>
      <c r="AZ160">
        <v>0.27777777777777779</v>
      </c>
      <c r="BA160">
        <v>0.37037037037037029</v>
      </c>
      <c r="BB160">
        <v>9.2592592592592587E-2</v>
      </c>
      <c r="BC160">
        <v>0.25925925925925919</v>
      </c>
      <c r="BD160">
        <v>6.2766512493656874</v>
      </c>
      <c r="BE160">
        <v>20</v>
      </c>
      <c r="BF160">
        <v>235.24089263777751</v>
      </c>
      <c r="BG160">
        <v>1</v>
      </c>
      <c r="BH160">
        <v>8.5019231884976218E-2</v>
      </c>
      <c r="BI160">
        <v>3.9408639999999999</v>
      </c>
      <c r="BJ160">
        <v>3.9455239999999989</v>
      </c>
      <c r="BK160">
        <v>15.25730117</v>
      </c>
      <c r="BL160">
        <v>443.39967116280002</v>
      </c>
      <c r="BM160">
        <v>2</v>
      </c>
      <c r="BN160">
        <v>9.0212065099420147E-2</v>
      </c>
      <c r="BO160">
        <v>3.8656999999999999</v>
      </c>
      <c r="BP160">
        <v>29.777000000000001</v>
      </c>
      <c r="BQ160">
        <v>3.8519999999999999</v>
      </c>
      <c r="BR160">
        <v>0</v>
      </c>
      <c r="BS160">
        <v>0</v>
      </c>
      <c r="BU160">
        <v>0</v>
      </c>
      <c r="BV160">
        <v>0</v>
      </c>
      <c r="BW160">
        <v>0</v>
      </c>
      <c r="BX160">
        <v>480.99773160000001</v>
      </c>
      <c r="BY160">
        <v>8.3160475345576454E-2</v>
      </c>
      <c r="BZ160">
        <v>10</v>
      </c>
      <c r="CA160">
        <v>4.1580237672788227E-2</v>
      </c>
      <c r="CB160">
        <v>4.2509615942488109E-2</v>
      </c>
      <c r="CC160">
        <v>4.5106032549710073E-2</v>
      </c>
      <c r="CE160">
        <v>0.43430687840757631</v>
      </c>
      <c r="CF160">
        <v>0.46083361986893789</v>
      </c>
      <c r="CH160">
        <v>0.42481172381198368</v>
      </c>
    </row>
    <row r="161" spans="1:86" x14ac:dyDescent="0.3">
      <c r="A161" s="1">
        <v>525</v>
      </c>
      <c r="B161" t="s">
        <v>967</v>
      </c>
      <c r="C161" t="s">
        <v>968</v>
      </c>
      <c r="E161" t="s">
        <v>372</v>
      </c>
      <c r="F161">
        <v>3.46</v>
      </c>
      <c r="G161" t="s">
        <v>969</v>
      </c>
      <c r="H161">
        <v>-1</v>
      </c>
      <c r="I161">
        <v>-1</v>
      </c>
      <c r="J161">
        <v>4</v>
      </c>
      <c r="K161">
        <v>3.74</v>
      </c>
      <c r="L161">
        <v>3.74</v>
      </c>
      <c r="M161">
        <v>55.4</v>
      </c>
      <c r="N161" t="s">
        <v>529</v>
      </c>
      <c r="O161">
        <v>27.7</v>
      </c>
      <c r="Q161" t="s">
        <v>87</v>
      </c>
      <c r="R161">
        <v>1098</v>
      </c>
      <c r="S161">
        <v>12</v>
      </c>
      <c r="T161" t="b">
        <v>0</v>
      </c>
      <c r="U161" t="s">
        <v>88</v>
      </c>
      <c r="V161" t="s">
        <v>89</v>
      </c>
      <c r="W161">
        <v>0</v>
      </c>
      <c r="Y161">
        <v>0.5</v>
      </c>
      <c r="Z161">
        <v>1</v>
      </c>
      <c r="AC161" t="s">
        <v>90</v>
      </c>
      <c r="AD161">
        <v>125</v>
      </c>
      <c r="AE161">
        <v>220</v>
      </c>
      <c r="AF161" t="s">
        <v>91</v>
      </c>
      <c r="AG161">
        <v>288</v>
      </c>
      <c r="AH161" s="3">
        <v>116</v>
      </c>
      <c r="AI161" s="3">
        <f>AH161/(AD161*Y161*Z161)</f>
        <v>1.8560000000000001</v>
      </c>
      <c r="AJ161" s="3">
        <f>LN(AI161)</f>
        <v>0.61842363436400893</v>
      </c>
      <c r="AN161" t="b">
        <v>1</v>
      </c>
      <c r="AO161" t="b">
        <v>0</v>
      </c>
      <c r="AP161" t="b">
        <v>0</v>
      </c>
      <c r="AQ161" t="b">
        <v>0</v>
      </c>
      <c r="AR161" t="s">
        <v>969</v>
      </c>
      <c r="AS161">
        <v>-1</v>
      </c>
      <c r="AU161">
        <v>4.7535901911063636</v>
      </c>
      <c r="AV161">
        <v>1.464285714285714</v>
      </c>
      <c r="AW161">
        <v>1.142857142857143</v>
      </c>
      <c r="AX161">
        <v>0.1071428571428571</v>
      </c>
      <c r="AY161">
        <v>0</v>
      </c>
      <c r="AZ161">
        <v>0.53947368421052622</v>
      </c>
      <c r="BA161">
        <v>0.42105263157894729</v>
      </c>
      <c r="BB161">
        <v>3.9473684210526307E-2</v>
      </c>
      <c r="BC161">
        <v>0</v>
      </c>
      <c r="BD161">
        <v>6.7653189572594643</v>
      </c>
      <c r="BE161">
        <v>10</v>
      </c>
      <c r="BF161">
        <v>411.19834477643292</v>
      </c>
      <c r="BG161">
        <v>2</v>
      </c>
      <c r="BH161">
        <v>4.8638328081972049E-2</v>
      </c>
      <c r="BI161">
        <v>3.8703880000000002</v>
      </c>
      <c r="BJ161">
        <v>3.8703880000000002</v>
      </c>
      <c r="BK161">
        <v>27.45</v>
      </c>
      <c r="BL161">
        <v>0</v>
      </c>
      <c r="BM161">
        <v>0</v>
      </c>
      <c r="BO161">
        <v>0</v>
      </c>
      <c r="BR161">
        <v>0</v>
      </c>
      <c r="BS161">
        <v>0</v>
      </c>
      <c r="BU161">
        <v>0</v>
      </c>
      <c r="BV161">
        <v>0</v>
      </c>
      <c r="BW161">
        <v>0</v>
      </c>
      <c r="BX161">
        <v>774.91304000000014</v>
      </c>
      <c r="BY161">
        <v>5.1618695176429079E-2</v>
      </c>
      <c r="BZ161">
        <v>5</v>
      </c>
      <c r="CA161">
        <v>2.5809347588214539E-2</v>
      </c>
      <c r="CB161">
        <v>2.4319164040986021E-2</v>
      </c>
      <c r="CE161">
        <v>0.24829956752475571</v>
      </c>
      <c r="CH161">
        <v>0.26351439685382932</v>
      </c>
    </row>
    <row r="162" spans="1:86" x14ac:dyDescent="0.3">
      <c r="A162" s="1">
        <v>684</v>
      </c>
      <c r="B162" t="s">
        <v>372</v>
      </c>
      <c r="C162" t="s">
        <v>944</v>
      </c>
      <c r="E162" t="s">
        <v>372</v>
      </c>
      <c r="F162">
        <v>3.4</v>
      </c>
      <c r="G162" t="s">
        <v>373</v>
      </c>
      <c r="H162">
        <v>-1</v>
      </c>
      <c r="I162" t="s">
        <v>901</v>
      </c>
      <c r="J162">
        <v>2</v>
      </c>
      <c r="K162">
        <v>3.7</v>
      </c>
      <c r="L162">
        <v>3.7</v>
      </c>
      <c r="M162">
        <v>14</v>
      </c>
      <c r="O162">
        <v>14</v>
      </c>
      <c r="Q162" t="s">
        <v>87</v>
      </c>
      <c r="R162">
        <v>1098</v>
      </c>
      <c r="S162">
        <v>12</v>
      </c>
      <c r="T162" t="b">
        <v>0</v>
      </c>
      <c r="U162" t="s">
        <v>88</v>
      </c>
      <c r="V162" t="s">
        <v>89</v>
      </c>
      <c r="W162">
        <v>0</v>
      </c>
      <c r="X162">
        <v>54</v>
      </c>
      <c r="Y162">
        <v>0.5</v>
      </c>
      <c r="Z162">
        <v>1</v>
      </c>
      <c r="AC162" t="s">
        <v>90</v>
      </c>
      <c r="AD162">
        <v>125</v>
      </c>
      <c r="AE162">
        <v>220</v>
      </c>
      <c r="AF162" t="s">
        <v>91</v>
      </c>
      <c r="AG162">
        <v>288</v>
      </c>
      <c r="AH162" s="3">
        <v>108.4</v>
      </c>
      <c r="AI162" s="3">
        <f>AH162/(AD162*Y162*Z162)</f>
        <v>1.7344000000000002</v>
      </c>
      <c r="AJ162" s="3">
        <f>LN(AI162)</f>
        <v>0.55066153226319015</v>
      </c>
      <c r="AK162" t="s">
        <v>136</v>
      </c>
      <c r="AN162" t="b">
        <v>1</v>
      </c>
      <c r="AO162" t="b">
        <v>0</v>
      </c>
      <c r="AP162" t="b">
        <v>0</v>
      </c>
      <c r="AQ162" t="b">
        <v>0</v>
      </c>
      <c r="AR162" t="s">
        <v>1185</v>
      </c>
      <c r="AT162" t="s">
        <v>901</v>
      </c>
      <c r="AU162">
        <v>4.6858280890055459</v>
      </c>
      <c r="AV162">
        <v>1.857142857142857</v>
      </c>
      <c r="AW162">
        <v>2.285714285714286</v>
      </c>
      <c r="AX162">
        <v>0.42857142857142849</v>
      </c>
      <c r="AY162">
        <v>0</v>
      </c>
      <c r="AZ162">
        <v>0.40625000000000011</v>
      </c>
      <c r="BA162">
        <v>0.5</v>
      </c>
      <c r="BB162">
        <v>9.375E-2</v>
      </c>
      <c r="BC162">
        <v>0</v>
      </c>
      <c r="BD162">
        <v>6.2648152075501429</v>
      </c>
      <c r="BE162">
        <v>8</v>
      </c>
      <c r="BF162">
        <v>203.79933701026059</v>
      </c>
      <c r="BG162">
        <v>2</v>
      </c>
      <c r="BH162">
        <v>7.8508596910668346E-2</v>
      </c>
      <c r="BI162">
        <v>3.8703880000000002</v>
      </c>
      <c r="BJ162">
        <v>3.8703880000000002</v>
      </c>
      <c r="BK162">
        <v>13.604850000000001</v>
      </c>
      <c r="BL162">
        <v>0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U162">
        <v>0</v>
      </c>
      <c r="BV162">
        <v>0</v>
      </c>
      <c r="BW162">
        <v>0</v>
      </c>
      <c r="BX162">
        <v>191.66</v>
      </c>
      <c r="BY162">
        <v>8.3481164562245636E-2</v>
      </c>
      <c r="BZ162">
        <v>4</v>
      </c>
      <c r="CA162">
        <v>4.1740582281122818E-2</v>
      </c>
      <c r="CB162">
        <v>3.9254298455334173E-2</v>
      </c>
      <c r="CE162">
        <v>0.41209139981608062</v>
      </c>
      <c r="CH162">
        <v>0.43819239314487862</v>
      </c>
    </row>
    <row r="163" spans="1:86" x14ac:dyDescent="0.3">
      <c r="A163" s="1">
        <v>58</v>
      </c>
      <c r="B163" t="s">
        <v>210</v>
      </c>
      <c r="C163" t="s">
        <v>211</v>
      </c>
      <c r="F163">
        <v>3.43</v>
      </c>
      <c r="G163" t="s">
        <v>212</v>
      </c>
      <c r="H163" t="s">
        <v>213</v>
      </c>
      <c r="I163">
        <v>-1</v>
      </c>
      <c r="J163">
        <v>4</v>
      </c>
      <c r="K163">
        <v>5.4729999999999999</v>
      </c>
      <c r="L163">
        <v>5.5269999999999992</v>
      </c>
      <c r="M163">
        <v>25.030999999999999</v>
      </c>
      <c r="N163" t="s">
        <v>197</v>
      </c>
      <c r="O163">
        <v>12.515499999999999</v>
      </c>
      <c r="P163">
        <v>2</v>
      </c>
      <c r="Q163" t="s">
        <v>87</v>
      </c>
      <c r="R163">
        <v>1334</v>
      </c>
      <c r="S163">
        <v>54</v>
      </c>
      <c r="T163" t="b">
        <v>0</v>
      </c>
      <c r="U163" t="s">
        <v>88</v>
      </c>
      <c r="V163" t="s">
        <v>89</v>
      </c>
      <c r="W163">
        <v>0</v>
      </c>
      <c r="Y163">
        <v>0.5</v>
      </c>
      <c r="Z163">
        <v>12.5</v>
      </c>
      <c r="AC163" t="s">
        <v>90</v>
      </c>
      <c r="AD163">
        <v>350</v>
      </c>
      <c r="AF163" t="s">
        <v>91</v>
      </c>
      <c r="AH163" s="3">
        <v>3660</v>
      </c>
      <c r="AI163" s="3">
        <f>AH163/(AD163*Y163*Z163)</f>
        <v>1.673142857142857</v>
      </c>
      <c r="AJ163" s="3">
        <f>LN(AI163)</f>
        <v>0.51470380816364236</v>
      </c>
      <c r="AN163" t="b">
        <v>1</v>
      </c>
      <c r="AO163" t="b">
        <v>1</v>
      </c>
      <c r="AP163" t="b">
        <v>0</v>
      </c>
      <c r="AQ163" t="b">
        <v>0</v>
      </c>
      <c r="AR163" t="s">
        <v>212</v>
      </c>
      <c r="AS163" t="s">
        <v>213</v>
      </c>
      <c r="AU163">
        <v>8.2052184263954118</v>
      </c>
      <c r="AV163">
        <v>1.857142857142857</v>
      </c>
      <c r="AW163">
        <v>3</v>
      </c>
      <c r="AX163">
        <v>2</v>
      </c>
      <c r="AY163">
        <v>2</v>
      </c>
      <c r="AZ163">
        <v>0.20967741935483869</v>
      </c>
      <c r="BA163">
        <v>0.33870967741935482</v>
      </c>
      <c r="BB163">
        <v>0.22580645161290319</v>
      </c>
      <c r="BC163">
        <v>0.22580645161290319</v>
      </c>
      <c r="BD163">
        <v>6.1881326971785713</v>
      </c>
      <c r="BE163">
        <v>18</v>
      </c>
      <c r="BF163">
        <v>408.08048566890238</v>
      </c>
      <c r="BG163">
        <v>2</v>
      </c>
      <c r="BH163">
        <v>8.8217891480379992E-2</v>
      </c>
      <c r="BI163">
        <v>13.01244535</v>
      </c>
      <c r="BJ163">
        <v>13.01244535</v>
      </c>
      <c r="BK163">
        <v>5.6884839999999999</v>
      </c>
      <c r="BL163">
        <v>757.90090000000009</v>
      </c>
      <c r="BM163">
        <v>4</v>
      </c>
      <c r="BN163">
        <v>9.4999227471559922E-2</v>
      </c>
      <c r="BO163">
        <v>5.5060000000000002</v>
      </c>
      <c r="BP163">
        <v>5.5060000000000002</v>
      </c>
      <c r="BQ163">
        <v>25</v>
      </c>
      <c r="BR163">
        <v>0</v>
      </c>
      <c r="BS163">
        <v>0</v>
      </c>
      <c r="BU163">
        <v>0</v>
      </c>
      <c r="BV163">
        <v>0</v>
      </c>
      <c r="BW163">
        <v>0</v>
      </c>
      <c r="BX163">
        <v>757.16950240099993</v>
      </c>
      <c r="BY163">
        <v>9.5090993194636778E-2</v>
      </c>
      <c r="BZ163">
        <v>9</v>
      </c>
      <c r="CA163">
        <v>4.7545496597318389E-2</v>
      </c>
      <c r="CB163">
        <v>4.4108945740190003E-2</v>
      </c>
      <c r="CC163">
        <v>4.7499613735779961E-2</v>
      </c>
      <c r="CE163">
        <v>0.50205645606923577</v>
      </c>
      <c r="CF163">
        <v>0.54064968764634447</v>
      </c>
      <c r="CH163">
        <v>0.54117193515128337</v>
      </c>
    </row>
    <row r="164" spans="1:86" x14ac:dyDescent="0.3">
      <c r="A164" s="1">
        <v>671</v>
      </c>
      <c r="B164" t="s">
        <v>249</v>
      </c>
      <c r="C164" t="s">
        <v>250</v>
      </c>
      <c r="E164" t="s">
        <v>130</v>
      </c>
      <c r="F164">
        <v>3</v>
      </c>
      <c r="G164">
        <v>-1</v>
      </c>
      <c r="H164">
        <v>-1</v>
      </c>
      <c r="I164" t="s">
        <v>251</v>
      </c>
      <c r="Q164" t="s">
        <v>248</v>
      </c>
      <c r="T164" t="b">
        <v>0</v>
      </c>
      <c r="U164" t="s">
        <v>88</v>
      </c>
      <c r="V164" t="s">
        <v>89</v>
      </c>
      <c r="W164">
        <v>0</v>
      </c>
      <c r="Y164">
        <v>0.5</v>
      </c>
      <c r="Z164">
        <v>1</v>
      </c>
      <c r="AC164" t="s">
        <v>90</v>
      </c>
      <c r="AD164">
        <v>125</v>
      </c>
      <c r="AE164">
        <v>220</v>
      </c>
      <c r="AF164" t="s">
        <v>91</v>
      </c>
      <c r="AG164">
        <v>288</v>
      </c>
      <c r="AH164" s="3">
        <v>95.454545454545453</v>
      </c>
      <c r="AI164" s="3">
        <f>AH164/(AD164*Y164*Z164)</f>
        <v>1.5272727272727273</v>
      </c>
      <c r="AJ164" s="3">
        <f>LN(AI164)</f>
        <v>0.42348361361084275</v>
      </c>
      <c r="AN164" t="b">
        <v>0</v>
      </c>
      <c r="AO164" t="b">
        <v>0</v>
      </c>
      <c r="AP164" t="b">
        <v>1</v>
      </c>
      <c r="AQ164" t="b">
        <v>0</v>
      </c>
      <c r="AR164">
        <v>-1</v>
      </c>
      <c r="AS164">
        <v>-1</v>
      </c>
      <c r="AT164" t="s">
        <v>251</v>
      </c>
      <c r="AU164">
        <v>4.5586501703531983</v>
      </c>
      <c r="AV164">
        <v>1.714285714285714</v>
      </c>
      <c r="AW164">
        <v>2.8571428571428572</v>
      </c>
      <c r="AX164">
        <v>1.142857142857143</v>
      </c>
      <c r="AY164">
        <v>0</v>
      </c>
      <c r="AZ164">
        <v>0.3</v>
      </c>
      <c r="BA164">
        <v>0.5</v>
      </c>
      <c r="BB164">
        <v>0.2</v>
      </c>
      <c r="BC164">
        <v>0</v>
      </c>
      <c r="BD164">
        <v>6.4820252782142864</v>
      </c>
      <c r="BE164">
        <v>10</v>
      </c>
      <c r="BF164">
        <v>0</v>
      </c>
      <c r="BG164">
        <v>0</v>
      </c>
      <c r="BI164">
        <v>0</v>
      </c>
      <c r="BL164">
        <v>0</v>
      </c>
      <c r="BM164">
        <v>0</v>
      </c>
      <c r="BO164">
        <v>0</v>
      </c>
      <c r="BR164">
        <v>1351.782831723561</v>
      </c>
      <c r="BS164">
        <v>14</v>
      </c>
      <c r="BT164">
        <v>0.10356693154735221</v>
      </c>
      <c r="BU164">
        <v>19.329999999999998</v>
      </c>
      <c r="BV164">
        <v>3.823</v>
      </c>
      <c r="BW164">
        <v>20.322500000000002</v>
      </c>
      <c r="BZ164">
        <v>5</v>
      </c>
      <c r="CD164">
        <v>5.1783465773676103E-2</v>
      </c>
      <c r="CG164">
        <v>0.47507575040644112</v>
      </c>
    </row>
    <row r="165" spans="1:86" x14ac:dyDescent="0.3">
      <c r="A165" s="1">
        <v>482</v>
      </c>
      <c r="B165" t="s">
        <v>906</v>
      </c>
      <c r="C165" t="s">
        <v>907</v>
      </c>
      <c r="E165" t="s">
        <v>404</v>
      </c>
      <c r="F165">
        <v>3.4</v>
      </c>
      <c r="G165" t="s">
        <v>908</v>
      </c>
      <c r="H165">
        <v>-1</v>
      </c>
      <c r="I165">
        <v>-1</v>
      </c>
      <c r="Q165" t="s">
        <v>87</v>
      </c>
      <c r="R165">
        <v>1173</v>
      </c>
      <c r="S165">
        <v>6</v>
      </c>
      <c r="T165" t="b">
        <v>0</v>
      </c>
      <c r="U165" t="s">
        <v>88</v>
      </c>
      <c r="V165" t="s">
        <v>89</v>
      </c>
      <c r="W165">
        <v>0</v>
      </c>
      <c r="Y165">
        <v>1</v>
      </c>
      <c r="Z165">
        <v>1</v>
      </c>
      <c r="AC165" t="s">
        <v>90</v>
      </c>
      <c r="AD165">
        <v>125</v>
      </c>
      <c r="AE165">
        <v>220</v>
      </c>
      <c r="AF165" t="s">
        <v>91</v>
      </c>
      <c r="AG165">
        <v>288</v>
      </c>
      <c r="AH165" s="3">
        <v>180</v>
      </c>
      <c r="AI165" s="3">
        <f>AH165/(AD165*Y165*Z165)</f>
        <v>1.44</v>
      </c>
      <c r="AJ165" s="3">
        <f>LN(AI165)</f>
        <v>0.36464311358790924</v>
      </c>
      <c r="AN165" t="b">
        <v>1</v>
      </c>
      <c r="AO165" t="b">
        <v>0</v>
      </c>
      <c r="AP165" t="b">
        <v>0</v>
      </c>
      <c r="AQ165" t="b">
        <v>0</v>
      </c>
      <c r="AR165" t="s">
        <v>908</v>
      </c>
      <c r="AS165">
        <v>-1</v>
      </c>
      <c r="AU165">
        <v>5.1929568508902104</v>
      </c>
      <c r="AV165">
        <v>1.882352941176471</v>
      </c>
      <c r="AW165">
        <v>2.3529411764705879</v>
      </c>
      <c r="AX165">
        <v>0.35294117647058831</v>
      </c>
      <c r="AY165">
        <v>0.47058823529411759</v>
      </c>
      <c r="AZ165">
        <v>0.37209302325581389</v>
      </c>
      <c r="BA165">
        <v>0.46511627906976749</v>
      </c>
      <c r="BB165">
        <v>6.9767441860465129E-2</v>
      </c>
      <c r="BC165">
        <v>9.3023255813953487E-2</v>
      </c>
      <c r="BD165">
        <v>5.7094608179411761</v>
      </c>
      <c r="BE165">
        <v>20</v>
      </c>
      <c r="BF165">
        <v>213.3423200442661</v>
      </c>
      <c r="BG165">
        <v>1</v>
      </c>
      <c r="BH165">
        <v>9.374605092815258E-2</v>
      </c>
      <c r="BI165">
        <v>14.64115209</v>
      </c>
      <c r="BJ165">
        <v>14.64115209</v>
      </c>
      <c r="BK165">
        <v>14.64115209</v>
      </c>
      <c r="BL165">
        <v>0</v>
      </c>
      <c r="BM165">
        <v>0</v>
      </c>
      <c r="BO165">
        <v>0</v>
      </c>
      <c r="BR165">
        <v>0</v>
      </c>
      <c r="BS165">
        <v>0</v>
      </c>
      <c r="BU165">
        <v>0</v>
      </c>
      <c r="BV165">
        <v>0</v>
      </c>
      <c r="BW165">
        <v>0</v>
      </c>
      <c r="BZ165">
        <v>10</v>
      </c>
      <c r="CB165">
        <v>4.687302546407629E-2</v>
      </c>
      <c r="CE165">
        <v>0.53401936473899148</v>
      </c>
    </row>
    <row r="166" spans="1:86" x14ac:dyDescent="0.3">
      <c r="A166" s="1">
        <v>701</v>
      </c>
      <c r="B166" t="s">
        <v>1086</v>
      </c>
      <c r="C166" t="s">
        <v>1087</v>
      </c>
      <c r="E166" t="s">
        <v>404</v>
      </c>
      <c r="F166">
        <v>3.4</v>
      </c>
      <c r="G166" t="s">
        <v>1088</v>
      </c>
      <c r="H166">
        <v>-1</v>
      </c>
      <c r="I166">
        <v>-1</v>
      </c>
      <c r="J166">
        <v>2</v>
      </c>
      <c r="K166">
        <v>3.835</v>
      </c>
      <c r="L166">
        <v>3.835</v>
      </c>
      <c r="M166">
        <v>34.43</v>
      </c>
      <c r="N166" t="s">
        <v>101</v>
      </c>
      <c r="O166">
        <v>17.215</v>
      </c>
      <c r="Q166" t="s">
        <v>87</v>
      </c>
      <c r="R166">
        <v>1273</v>
      </c>
      <c r="S166">
        <v>10</v>
      </c>
      <c r="T166" t="b">
        <v>0</v>
      </c>
      <c r="U166" t="s">
        <v>88</v>
      </c>
      <c r="V166" t="s">
        <v>89</v>
      </c>
      <c r="W166">
        <v>0</v>
      </c>
      <c r="Y166">
        <v>0.5</v>
      </c>
      <c r="Z166">
        <v>0.1</v>
      </c>
      <c r="AC166" t="s">
        <v>90</v>
      </c>
      <c r="AD166">
        <v>125</v>
      </c>
      <c r="AE166">
        <v>220</v>
      </c>
      <c r="AF166" t="s">
        <v>91</v>
      </c>
      <c r="AG166">
        <v>288</v>
      </c>
      <c r="AH166" s="3">
        <v>8.1599999999999984</v>
      </c>
      <c r="AI166" s="3">
        <f>AH166/(AD166*Y166*Z166)</f>
        <v>1.3055999999999996</v>
      </c>
      <c r="AJ166" s="3">
        <f>LN(AI166)</f>
        <v>0.26666270522770524</v>
      </c>
      <c r="AK166" t="s">
        <v>136</v>
      </c>
      <c r="AN166" t="b">
        <v>1</v>
      </c>
      <c r="AO166" t="b">
        <v>0</v>
      </c>
      <c r="AP166" t="b">
        <v>0</v>
      </c>
      <c r="AQ166" t="b">
        <v>0</v>
      </c>
      <c r="AR166" t="s">
        <v>1198</v>
      </c>
      <c r="AU166">
        <v>2.099244168976016</v>
      </c>
      <c r="AV166">
        <v>1.452054794520548</v>
      </c>
      <c r="AW166">
        <v>1.068493150684932</v>
      </c>
      <c r="AX166">
        <v>0.1095890410958904</v>
      </c>
      <c r="AY166">
        <v>0</v>
      </c>
      <c r="AZ166">
        <v>0.55208333333333337</v>
      </c>
      <c r="BA166">
        <v>0.40625000000000011</v>
      </c>
      <c r="BB166">
        <v>4.1666666666666657E-2</v>
      </c>
      <c r="BC166">
        <v>0</v>
      </c>
      <c r="BD166">
        <v>6.7613944421512322</v>
      </c>
      <c r="BE166">
        <v>20</v>
      </c>
      <c r="BF166">
        <v>1015.4396556</v>
      </c>
      <c r="BG166">
        <v>2</v>
      </c>
      <c r="BH166">
        <v>3.9391804111062523E-2</v>
      </c>
      <c r="BI166">
        <v>3.8530000000000002</v>
      </c>
      <c r="BJ166">
        <v>3.8530000000000002</v>
      </c>
      <c r="BK166">
        <v>68.400000000000006</v>
      </c>
      <c r="BL166">
        <v>0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U166">
        <v>0</v>
      </c>
      <c r="BV166">
        <v>0</v>
      </c>
      <c r="BW166">
        <v>0</v>
      </c>
      <c r="BX166">
        <v>506.36975675000002</v>
      </c>
      <c r="BY166">
        <v>7.8993659212053646E-2</v>
      </c>
      <c r="BZ166">
        <v>10</v>
      </c>
      <c r="CA166">
        <v>3.9496829606026823E-2</v>
      </c>
      <c r="CB166">
        <v>1.9695902055531261E-2</v>
      </c>
      <c r="CE166">
        <v>0.2433493705793833</v>
      </c>
      <c r="CH166">
        <v>0.48799636581298611</v>
      </c>
    </row>
    <row r="167" spans="1:86" x14ac:dyDescent="0.3">
      <c r="A167" s="1">
        <v>599</v>
      </c>
      <c r="B167" t="s">
        <v>1106</v>
      </c>
      <c r="C167" t="s">
        <v>1107</v>
      </c>
      <c r="E167" t="s">
        <v>404</v>
      </c>
      <c r="F167">
        <v>3.47</v>
      </c>
      <c r="G167" t="s">
        <v>405</v>
      </c>
      <c r="H167">
        <v>-1</v>
      </c>
      <c r="I167">
        <v>-1</v>
      </c>
      <c r="J167">
        <v>2</v>
      </c>
      <c r="K167">
        <v>3.78</v>
      </c>
      <c r="L167">
        <v>3.78</v>
      </c>
      <c r="M167">
        <v>27.2</v>
      </c>
      <c r="N167" t="s">
        <v>529</v>
      </c>
      <c r="O167">
        <v>13.6</v>
      </c>
      <c r="Q167" t="s">
        <v>87</v>
      </c>
      <c r="R167">
        <v>1373</v>
      </c>
      <c r="S167">
        <v>12</v>
      </c>
      <c r="T167" t="b">
        <v>0</v>
      </c>
      <c r="U167" t="s">
        <v>88</v>
      </c>
      <c r="V167" t="s">
        <v>89</v>
      </c>
      <c r="W167">
        <v>0</v>
      </c>
      <c r="X167">
        <v>3.08</v>
      </c>
      <c r="Y167">
        <v>0.5</v>
      </c>
      <c r="Z167">
        <v>1</v>
      </c>
      <c r="AC167" t="s">
        <v>90</v>
      </c>
      <c r="AD167">
        <v>125</v>
      </c>
      <c r="AE167">
        <v>220</v>
      </c>
      <c r="AF167" t="s">
        <v>91</v>
      </c>
      <c r="AG167">
        <v>288</v>
      </c>
      <c r="AH167" s="3">
        <v>80.399999999999991</v>
      </c>
      <c r="AI167" s="3">
        <f>AH167/(AD167*Y167*Z167)</f>
        <v>1.2863999999999998</v>
      </c>
      <c r="AJ167" s="3">
        <f>LN(AI167)</f>
        <v>0.25184761944256467</v>
      </c>
      <c r="AK167" t="s">
        <v>972</v>
      </c>
      <c r="AN167" t="b">
        <v>1</v>
      </c>
      <c r="AO167" t="b">
        <v>0</v>
      </c>
      <c r="AP167" t="b">
        <v>0</v>
      </c>
      <c r="AQ167" t="b">
        <v>0</v>
      </c>
      <c r="AR167" t="s">
        <v>1108</v>
      </c>
      <c r="AS167">
        <v>-1</v>
      </c>
      <c r="AU167">
        <v>4.3870141761849206</v>
      </c>
      <c r="AV167">
        <v>1.882352941176471</v>
      </c>
      <c r="AW167">
        <v>2.3529411764705879</v>
      </c>
      <c r="AX167">
        <v>0.35294117647058831</v>
      </c>
      <c r="AY167">
        <v>0.47058823529411759</v>
      </c>
      <c r="AZ167">
        <v>0.37209302325581389</v>
      </c>
      <c r="BA167">
        <v>0.46511627906976749</v>
      </c>
      <c r="BB167">
        <v>6.9767441860465129E-2</v>
      </c>
      <c r="BC167">
        <v>9.3023255813953487E-2</v>
      </c>
      <c r="BD167">
        <v>6.2192035579236471</v>
      </c>
      <c r="BE167">
        <v>20</v>
      </c>
      <c r="BF167">
        <v>229.90248606119221</v>
      </c>
      <c r="BG167">
        <v>1</v>
      </c>
      <c r="BH167">
        <v>8.6993404650164072E-2</v>
      </c>
      <c r="BI167">
        <v>15.28115725</v>
      </c>
      <c r="BJ167">
        <v>15.28115725</v>
      </c>
      <c r="BK167">
        <v>15.28115725</v>
      </c>
      <c r="BL167">
        <v>0</v>
      </c>
      <c r="BM167">
        <v>0</v>
      </c>
      <c r="BO167">
        <v>0</v>
      </c>
      <c r="BR167">
        <v>0</v>
      </c>
      <c r="BS167">
        <v>0</v>
      </c>
      <c r="BU167">
        <v>0</v>
      </c>
      <c r="BV167">
        <v>0</v>
      </c>
      <c r="BW167">
        <v>0</v>
      </c>
      <c r="BX167">
        <v>388.64447999999999</v>
      </c>
      <c r="BY167">
        <v>0.1029218271670808</v>
      </c>
      <c r="BZ167">
        <v>10</v>
      </c>
      <c r="CA167">
        <v>5.1460913583540407E-2</v>
      </c>
      <c r="CB167">
        <v>4.3496702325082043E-2</v>
      </c>
      <c r="CE167">
        <v>0.43867496702406639</v>
      </c>
      <c r="CH167">
        <v>0.51899600113525035</v>
      </c>
    </row>
    <row r="168" spans="1:86" x14ac:dyDescent="0.3">
      <c r="A168" s="1">
        <v>683</v>
      </c>
      <c r="B168" t="s">
        <v>1106</v>
      </c>
      <c r="C168" t="s">
        <v>1107</v>
      </c>
      <c r="E168" t="s">
        <v>404</v>
      </c>
      <c r="F168">
        <v>3.47</v>
      </c>
      <c r="G168" t="s">
        <v>405</v>
      </c>
      <c r="H168">
        <v>-1</v>
      </c>
      <c r="I168">
        <v>-1</v>
      </c>
      <c r="J168">
        <v>1</v>
      </c>
      <c r="K168">
        <v>3.8</v>
      </c>
      <c r="L168">
        <v>3.8</v>
      </c>
      <c r="M168">
        <v>13.6</v>
      </c>
      <c r="O168">
        <v>13.6</v>
      </c>
      <c r="Q168" t="s">
        <v>87</v>
      </c>
      <c r="R168">
        <v>1373</v>
      </c>
      <c r="S168">
        <v>12</v>
      </c>
      <c r="T168" t="b">
        <v>0</v>
      </c>
      <c r="U168" t="s">
        <v>88</v>
      </c>
      <c r="V168" t="s">
        <v>89</v>
      </c>
      <c r="W168">
        <v>0</v>
      </c>
      <c r="X168">
        <v>3.1</v>
      </c>
      <c r="Y168">
        <v>0.5</v>
      </c>
      <c r="Z168">
        <v>1</v>
      </c>
      <c r="AC168" t="s">
        <v>90</v>
      </c>
      <c r="AD168">
        <v>125</v>
      </c>
      <c r="AE168">
        <v>220</v>
      </c>
      <c r="AF168" t="s">
        <v>91</v>
      </c>
      <c r="AG168">
        <v>288</v>
      </c>
      <c r="AH168" s="3">
        <v>80</v>
      </c>
      <c r="AI168" s="3">
        <f>AH168/(AD168*Y168*Z168)</f>
        <v>1.28</v>
      </c>
      <c r="AJ168" s="3">
        <f>LN(AI168)</f>
        <v>0.24686007793152581</v>
      </c>
      <c r="AK168" t="s">
        <v>972</v>
      </c>
      <c r="AN168" t="b">
        <v>1</v>
      </c>
      <c r="AO168" t="b">
        <v>0</v>
      </c>
      <c r="AP168" t="b">
        <v>0</v>
      </c>
      <c r="AQ168" t="b">
        <v>0</v>
      </c>
      <c r="AR168" t="s">
        <v>1184</v>
      </c>
      <c r="AS168">
        <v>-1</v>
      </c>
      <c r="AU168">
        <v>4.3820266346738812</v>
      </c>
      <c r="AV168">
        <v>1.882352941176471</v>
      </c>
      <c r="AW168">
        <v>2.3529411764705879</v>
      </c>
      <c r="AX168">
        <v>0.35294117647058831</v>
      </c>
      <c r="AY168">
        <v>0.47058823529411759</v>
      </c>
      <c r="AZ168">
        <v>0.37209302325581389</v>
      </c>
      <c r="BA168">
        <v>0.46511627906976749</v>
      </c>
      <c r="BB168">
        <v>6.9767441860465129E-2</v>
      </c>
      <c r="BC168">
        <v>9.3023255813953487E-2</v>
      </c>
      <c r="BD168">
        <v>6.2192035579236471</v>
      </c>
      <c r="BE168">
        <v>20</v>
      </c>
      <c r="BF168">
        <v>229.90248606119221</v>
      </c>
      <c r="BG168">
        <v>1</v>
      </c>
      <c r="BH168">
        <v>8.6993404650164072E-2</v>
      </c>
      <c r="BI168">
        <v>15.28115725</v>
      </c>
      <c r="BJ168">
        <v>15.28115725</v>
      </c>
      <c r="BK168">
        <v>15.28115725</v>
      </c>
      <c r="BL168">
        <v>0</v>
      </c>
      <c r="BM168">
        <v>0</v>
      </c>
      <c r="BO168">
        <v>0</v>
      </c>
      <c r="BR168">
        <v>0</v>
      </c>
      <c r="BS168">
        <v>0</v>
      </c>
      <c r="BU168">
        <v>0</v>
      </c>
      <c r="BV168">
        <v>0</v>
      </c>
      <c r="BW168">
        <v>0</v>
      </c>
      <c r="BX168">
        <v>196.38399999999999</v>
      </c>
      <c r="BY168">
        <v>0.1018412905328336</v>
      </c>
      <c r="BZ168">
        <v>10</v>
      </c>
      <c r="CA168">
        <v>5.092064526641682E-2</v>
      </c>
      <c r="CB168">
        <v>4.3496702325082043E-2</v>
      </c>
      <c r="CE168">
        <v>0.43867496702406639</v>
      </c>
      <c r="CH168">
        <v>0.51354726195435674</v>
      </c>
    </row>
    <row r="169" spans="1:86" x14ac:dyDescent="0.3">
      <c r="A169" s="1">
        <v>333</v>
      </c>
      <c r="B169" t="s">
        <v>94</v>
      </c>
      <c r="C169" t="s">
        <v>138</v>
      </c>
      <c r="E169" t="s">
        <v>94</v>
      </c>
      <c r="F169">
        <v>3.1</v>
      </c>
      <c r="G169" t="s">
        <v>139</v>
      </c>
      <c r="H169">
        <v>-1</v>
      </c>
      <c r="I169">
        <v>-1</v>
      </c>
      <c r="J169">
        <v>1</v>
      </c>
      <c r="K169">
        <v>3.8860000000000001</v>
      </c>
      <c r="L169">
        <v>3.8860000000000001</v>
      </c>
      <c r="M169">
        <v>10.548299999999999</v>
      </c>
      <c r="N169" t="s">
        <v>757</v>
      </c>
      <c r="O169">
        <v>10.548299999999999</v>
      </c>
      <c r="Q169" t="s">
        <v>87</v>
      </c>
      <c r="R169">
        <v>1423</v>
      </c>
      <c r="S169">
        <v>24</v>
      </c>
      <c r="T169" t="b">
        <v>0</v>
      </c>
      <c r="U169" t="s">
        <v>88</v>
      </c>
      <c r="V169" t="s">
        <v>89</v>
      </c>
      <c r="W169">
        <v>0</v>
      </c>
      <c r="X169">
        <v>4.18</v>
      </c>
      <c r="Y169">
        <v>2</v>
      </c>
      <c r="Z169">
        <v>10</v>
      </c>
      <c r="AC169" t="s">
        <v>90</v>
      </c>
      <c r="AD169">
        <v>100</v>
      </c>
      <c r="AE169">
        <v>290</v>
      </c>
      <c r="AF169" t="s">
        <v>407</v>
      </c>
      <c r="AG169">
        <v>333</v>
      </c>
      <c r="AH169" s="3">
        <v>2008.928571428572</v>
      </c>
      <c r="AI169" s="3">
        <f>AH169/(AD169*Y169*Z169)</f>
        <v>1.004464285714286</v>
      </c>
      <c r="AJ169" s="3">
        <f>LN(AI169)</f>
        <v>4.4543503493805958E-3</v>
      </c>
      <c r="AN169" t="b">
        <v>1</v>
      </c>
      <c r="AO169" t="b">
        <v>0</v>
      </c>
      <c r="AP169" t="b">
        <v>0</v>
      </c>
      <c r="AQ169" t="b">
        <v>0</v>
      </c>
      <c r="AR169" t="s">
        <v>139</v>
      </c>
      <c r="AS169">
        <v>-1</v>
      </c>
      <c r="AU169">
        <v>7.6053568098914628</v>
      </c>
      <c r="AV169">
        <v>1.7272727272727271</v>
      </c>
      <c r="AW169">
        <v>2.545454545454545</v>
      </c>
      <c r="AX169">
        <v>0.81818181818181823</v>
      </c>
      <c r="AY169">
        <v>0</v>
      </c>
      <c r="AZ169">
        <v>0.3392857142857143</v>
      </c>
      <c r="BA169">
        <v>0.5</v>
      </c>
      <c r="BB169">
        <v>0.1607142857142857</v>
      </c>
      <c r="BC169">
        <v>0</v>
      </c>
      <c r="BD169">
        <v>6.4269893564864544</v>
      </c>
      <c r="BE169">
        <v>14</v>
      </c>
      <c r="BF169">
        <v>165.66723991337099</v>
      </c>
      <c r="BG169">
        <v>1</v>
      </c>
      <c r="BH169">
        <v>8.4506749839743392E-2</v>
      </c>
      <c r="BI169">
        <v>3.9263319999999999</v>
      </c>
      <c r="BJ169">
        <v>3.9263319999999999</v>
      </c>
      <c r="BK169">
        <v>10.74639</v>
      </c>
      <c r="BL169">
        <v>0</v>
      </c>
      <c r="BM169">
        <v>0</v>
      </c>
      <c r="BO169">
        <v>0</v>
      </c>
      <c r="BR169">
        <v>0</v>
      </c>
      <c r="BS169">
        <v>0</v>
      </c>
      <c r="BU169">
        <v>0</v>
      </c>
      <c r="BV169">
        <v>0</v>
      </c>
      <c r="BW169">
        <v>0</v>
      </c>
      <c r="BX169">
        <v>159.28983610680001</v>
      </c>
      <c r="BY169">
        <v>8.789010235790147E-2</v>
      </c>
      <c r="BZ169">
        <v>7</v>
      </c>
      <c r="CA169">
        <v>4.3945051178950742E-2</v>
      </c>
      <c r="CB169">
        <v>4.2253374919871703E-2</v>
      </c>
      <c r="CE169">
        <v>0.41874907041247761</v>
      </c>
      <c r="CH169">
        <v>0.4355143077993508</v>
      </c>
    </row>
    <row r="170" spans="1:86" x14ac:dyDescent="0.3">
      <c r="A170" s="1">
        <v>534</v>
      </c>
      <c r="B170" t="s">
        <v>995</v>
      </c>
      <c r="C170" t="s">
        <v>996</v>
      </c>
      <c r="E170" t="s">
        <v>372</v>
      </c>
      <c r="F170">
        <v>3.41</v>
      </c>
      <c r="G170" t="s">
        <v>969</v>
      </c>
      <c r="H170">
        <v>-1</v>
      </c>
      <c r="I170">
        <v>-1</v>
      </c>
      <c r="J170">
        <v>4</v>
      </c>
      <c r="K170">
        <v>3.71</v>
      </c>
      <c r="L170">
        <v>3.71</v>
      </c>
      <c r="M170">
        <v>54.9</v>
      </c>
      <c r="N170" t="s">
        <v>529</v>
      </c>
      <c r="O170">
        <v>27.45</v>
      </c>
      <c r="Q170" t="s">
        <v>87</v>
      </c>
      <c r="R170">
        <v>1098</v>
      </c>
      <c r="S170">
        <v>12</v>
      </c>
      <c r="T170" t="b">
        <v>0</v>
      </c>
      <c r="U170" t="s">
        <v>88</v>
      </c>
      <c r="V170" t="s">
        <v>89</v>
      </c>
      <c r="W170">
        <v>0</v>
      </c>
      <c r="Y170">
        <v>0.5</v>
      </c>
      <c r="Z170">
        <v>1</v>
      </c>
      <c r="AC170" t="s">
        <v>90</v>
      </c>
      <c r="AD170">
        <v>125</v>
      </c>
      <c r="AE170">
        <v>220</v>
      </c>
      <c r="AF170" t="s">
        <v>91</v>
      </c>
      <c r="AG170">
        <v>288</v>
      </c>
      <c r="AH170" s="3">
        <v>60</v>
      </c>
      <c r="AI170" s="3">
        <f>AH170/(AD170*Y170*Z170)</f>
        <v>0.96</v>
      </c>
      <c r="AJ170" s="3">
        <f>LN(AI170)</f>
        <v>-4.0821994520255166E-2</v>
      </c>
      <c r="AK170" t="s">
        <v>550</v>
      </c>
      <c r="AN170" t="b">
        <v>1</v>
      </c>
      <c r="AO170" t="b">
        <v>0</v>
      </c>
      <c r="AP170" t="b">
        <v>0</v>
      </c>
      <c r="AQ170" t="b">
        <v>0</v>
      </c>
      <c r="AR170" t="s">
        <v>997</v>
      </c>
      <c r="AS170">
        <v>-1</v>
      </c>
      <c r="AU170">
        <v>4.0943445622221004</v>
      </c>
      <c r="AV170">
        <v>1.464285714285714</v>
      </c>
      <c r="AW170">
        <v>1.142857142857143</v>
      </c>
      <c r="AX170">
        <v>7.1428571428571425E-2</v>
      </c>
      <c r="AY170">
        <v>0.14285714285714279</v>
      </c>
      <c r="AZ170">
        <v>0.51898734177215178</v>
      </c>
      <c r="BA170">
        <v>0.40506329113924039</v>
      </c>
      <c r="BB170">
        <v>2.5316455696202531E-2</v>
      </c>
      <c r="BC170">
        <v>5.0632911392405063E-2</v>
      </c>
      <c r="BD170">
        <v>6.7561769411880359</v>
      </c>
      <c r="BE170">
        <v>10</v>
      </c>
      <c r="BF170">
        <v>411.19834477643292</v>
      </c>
      <c r="BG170">
        <v>2</v>
      </c>
      <c r="BH170">
        <v>4.8638328081972049E-2</v>
      </c>
      <c r="BI170">
        <v>3.8703880000000002</v>
      </c>
      <c r="BJ170">
        <v>3.8703880000000002</v>
      </c>
      <c r="BK170">
        <v>27.45</v>
      </c>
      <c r="BL170">
        <v>0</v>
      </c>
      <c r="BM170">
        <v>0</v>
      </c>
      <c r="BO170">
        <v>0</v>
      </c>
      <c r="BR170">
        <v>0</v>
      </c>
      <c r="BS170">
        <v>0</v>
      </c>
      <c r="BU170">
        <v>0</v>
      </c>
      <c r="BV170">
        <v>0</v>
      </c>
      <c r="BW170">
        <v>0</v>
      </c>
      <c r="BX170">
        <v>755.64908999999989</v>
      </c>
      <c r="BY170">
        <v>5.2934623397746697E-2</v>
      </c>
      <c r="BZ170">
        <v>5</v>
      </c>
      <c r="CA170">
        <v>2.6467311698873348E-2</v>
      </c>
      <c r="CB170">
        <v>2.4319164040986021E-2</v>
      </c>
      <c r="CE170">
        <v>0.2443553945128093</v>
      </c>
      <c r="CH170">
        <v>0.26593966720944362</v>
      </c>
    </row>
    <row r="171" spans="1:86" x14ac:dyDescent="0.3">
      <c r="A171" s="1">
        <v>589</v>
      </c>
      <c r="B171" t="s">
        <v>1054</v>
      </c>
      <c r="C171" t="s">
        <v>1055</v>
      </c>
      <c r="E171" t="s">
        <v>404</v>
      </c>
      <c r="F171">
        <v>3.44</v>
      </c>
      <c r="G171" t="s">
        <v>405</v>
      </c>
      <c r="H171">
        <v>-1</v>
      </c>
      <c r="I171">
        <v>-1</v>
      </c>
      <c r="J171">
        <v>2</v>
      </c>
      <c r="K171">
        <v>3.79</v>
      </c>
      <c r="L171">
        <v>3.79</v>
      </c>
      <c r="M171">
        <v>27.2</v>
      </c>
      <c r="N171" t="s">
        <v>529</v>
      </c>
      <c r="O171">
        <v>13.6</v>
      </c>
      <c r="Q171" t="s">
        <v>87</v>
      </c>
      <c r="R171">
        <v>1373</v>
      </c>
      <c r="S171">
        <v>12</v>
      </c>
      <c r="T171" t="b">
        <v>0</v>
      </c>
      <c r="U171" t="s">
        <v>88</v>
      </c>
      <c r="V171" t="s">
        <v>89</v>
      </c>
      <c r="W171">
        <v>0</v>
      </c>
      <c r="X171">
        <v>3.24</v>
      </c>
      <c r="Y171">
        <v>0.5</v>
      </c>
      <c r="Z171">
        <v>1</v>
      </c>
      <c r="AC171" t="s">
        <v>90</v>
      </c>
      <c r="AD171">
        <v>125</v>
      </c>
      <c r="AE171">
        <v>220</v>
      </c>
      <c r="AF171" t="s">
        <v>91</v>
      </c>
      <c r="AG171">
        <v>288</v>
      </c>
      <c r="AH171" s="3">
        <v>50.8</v>
      </c>
      <c r="AI171" s="3">
        <f>AH171/(AD171*Y171*Z171)</f>
        <v>0.81279999999999997</v>
      </c>
      <c r="AJ171" s="3">
        <f>LN(AI171)</f>
        <v>-0.20727020215791964</v>
      </c>
      <c r="AK171" t="s">
        <v>136</v>
      </c>
      <c r="AN171" t="b">
        <v>1</v>
      </c>
      <c r="AO171" t="b">
        <v>0</v>
      </c>
      <c r="AP171" t="b">
        <v>0</v>
      </c>
      <c r="AQ171" t="b">
        <v>0</v>
      </c>
      <c r="AR171" t="s">
        <v>1069</v>
      </c>
      <c r="AS171">
        <v>-1</v>
      </c>
      <c r="AU171">
        <v>3.9278963545844361</v>
      </c>
      <c r="AV171">
        <v>1.882352941176471</v>
      </c>
      <c r="AW171">
        <v>2.3529411764705879</v>
      </c>
      <c r="AX171">
        <v>0.47058823529411759</v>
      </c>
      <c r="AY171">
        <v>0</v>
      </c>
      <c r="AZ171">
        <v>0.4</v>
      </c>
      <c r="BA171">
        <v>0.5</v>
      </c>
      <c r="BB171">
        <v>9.9999999999999992E-2</v>
      </c>
      <c r="BC171">
        <v>0</v>
      </c>
      <c r="BD171">
        <v>6.249318434394235</v>
      </c>
      <c r="BE171">
        <v>20</v>
      </c>
      <c r="BF171">
        <v>229.90248606119221</v>
      </c>
      <c r="BG171">
        <v>1</v>
      </c>
      <c r="BH171">
        <v>8.6993404650164072E-2</v>
      </c>
      <c r="BI171">
        <v>15.28115725</v>
      </c>
      <c r="BJ171">
        <v>15.28115725</v>
      </c>
      <c r="BK171">
        <v>15.28115725</v>
      </c>
      <c r="BL171">
        <v>0</v>
      </c>
      <c r="BM171">
        <v>0</v>
      </c>
      <c r="BO171">
        <v>0</v>
      </c>
      <c r="BR171">
        <v>0</v>
      </c>
      <c r="BS171">
        <v>0</v>
      </c>
      <c r="BU171">
        <v>0</v>
      </c>
      <c r="BV171">
        <v>0</v>
      </c>
      <c r="BW171">
        <v>0</v>
      </c>
      <c r="BX171">
        <v>390.70352000000003</v>
      </c>
      <c r="BY171">
        <v>0.10237942058981191</v>
      </c>
      <c r="BZ171">
        <v>10</v>
      </c>
      <c r="CA171">
        <v>5.1189710294905967E-2</v>
      </c>
      <c r="CB171">
        <v>4.3496702325082043E-2</v>
      </c>
      <c r="CE171">
        <v>0.44572942494581569</v>
      </c>
      <c r="CH171">
        <v>0.52456298784136168</v>
      </c>
    </row>
    <row r="172" spans="1:86" x14ac:dyDescent="0.3">
      <c r="A172" s="1">
        <v>682</v>
      </c>
      <c r="B172" t="s">
        <v>1054</v>
      </c>
      <c r="C172" t="s">
        <v>1055</v>
      </c>
      <c r="E172" t="s">
        <v>404</v>
      </c>
      <c r="F172">
        <v>3.45</v>
      </c>
      <c r="G172" t="s">
        <v>405</v>
      </c>
      <c r="H172">
        <v>-1</v>
      </c>
      <c r="I172" t="s">
        <v>1056</v>
      </c>
      <c r="J172">
        <v>1</v>
      </c>
      <c r="K172">
        <v>3.8</v>
      </c>
      <c r="L172">
        <v>3.8</v>
      </c>
      <c r="M172">
        <v>13.6</v>
      </c>
      <c r="O172">
        <v>13.6</v>
      </c>
      <c r="Q172" t="s">
        <v>87</v>
      </c>
      <c r="R172">
        <v>1373</v>
      </c>
      <c r="S172">
        <v>12</v>
      </c>
      <c r="T172" t="b">
        <v>0</v>
      </c>
      <c r="U172" t="s">
        <v>88</v>
      </c>
      <c r="V172" t="s">
        <v>89</v>
      </c>
      <c r="W172">
        <v>0</v>
      </c>
      <c r="X172">
        <v>3.2</v>
      </c>
      <c r="Y172">
        <v>0.5</v>
      </c>
      <c r="Z172">
        <v>1</v>
      </c>
      <c r="AC172" t="s">
        <v>90</v>
      </c>
      <c r="AD172">
        <v>125</v>
      </c>
      <c r="AE172">
        <v>220</v>
      </c>
      <c r="AF172" t="s">
        <v>91</v>
      </c>
      <c r="AG172">
        <v>288</v>
      </c>
      <c r="AH172" s="3">
        <v>50.8</v>
      </c>
      <c r="AI172" s="3">
        <f>AH172/(AD172*Y172*Z172)</f>
        <v>0.81279999999999997</v>
      </c>
      <c r="AJ172" s="3">
        <f>LN(AI172)</f>
        <v>-0.20727020215791964</v>
      </c>
      <c r="AK172" t="s">
        <v>136</v>
      </c>
      <c r="AN172" t="b">
        <v>1</v>
      </c>
      <c r="AO172" t="b">
        <v>0</v>
      </c>
      <c r="AP172" t="b">
        <v>0</v>
      </c>
      <c r="AQ172" t="b">
        <v>0</v>
      </c>
      <c r="AR172" t="s">
        <v>1183</v>
      </c>
      <c r="AT172" t="s">
        <v>1056</v>
      </c>
      <c r="AU172">
        <v>3.9278963545844361</v>
      </c>
      <c r="AV172">
        <v>1.882352941176471</v>
      </c>
      <c r="AW172">
        <v>2.3529411764705879</v>
      </c>
      <c r="AX172">
        <v>0.47058823529411759</v>
      </c>
      <c r="AY172">
        <v>0</v>
      </c>
      <c r="AZ172">
        <v>0.4</v>
      </c>
      <c r="BA172">
        <v>0.5</v>
      </c>
      <c r="BB172">
        <v>9.9999999999999992E-2</v>
      </c>
      <c r="BC172">
        <v>0</v>
      </c>
      <c r="BD172">
        <v>6.249318434394235</v>
      </c>
      <c r="BE172">
        <v>20</v>
      </c>
      <c r="BF172">
        <v>229.90248606119221</v>
      </c>
      <c r="BG172">
        <v>1</v>
      </c>
      <c r="BH172">
        <v>8.6993404650164072E-2</v>
      </c>
      <c r="BI172">
        <v>15.28115725</v>
      </c>
      <c r="BJ172">
        <v>15.28115725</v>
      </c>
      <c r="BK172">
        <v>15.28115725</v>
      </c>
      <c r="BL172">
        <v>0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U172">
        <v>0</v>
      </c>
      <c r="BV172">
        <v>0</v>
      </c>
      <c r="BW172">
        <v>0</v>
      </c>
      <c r="BX172">
        <v>196.38399999999999</v>
      </c>
      <c r="BY172">
        <v>0.1018412905328336</v>
      </c>
      <c r="BZ172">
        <v>10</v>
      </c>
      <c r="CA172">
        <v>5.092064526641682E-2</v>
      </c>
      <c r="CB172">
        <v>4.3496702325082043E-2</v>
      </c>
      <c r="CE172">
        <v>0.44572942494581569</v>
      </c>
      <c r="CH172">
        <v>0.52180576271828982</v>
      </c>
    </row>
    <row r="173" spans="1:86" x14ac:dyDescent="0.3">
      <c r="A173" s="1">
        <v>479</v>
      </c>
      <c r="B173" t="s">
        <v>897</v>
      </c>
      <c r="C173" t="s">
        <v>898</v>
      </c>
      <c r="E173" t="s">
        <v>404</v>
      </c>
      <c r="F173">
        <v>3.3</v>
      </c>
      <c r="G173" t="s">
        <v>899</v>
      </c>
      <c r="H173" t="s">
        <v>900</v>
      </c>
      <c r="I173" t="s">
        <v>901</v>
      </c>
      <c r="J173">
        <v>2</v>
      </c>
      <c r="K173">
        <v>3.8</v>
      </c>
      <c r="L173">
        <v>3.8</v>
      </c>
      <c r="M173">
        <v>28.5</v>
      </c>
      <c r="O173">
        <v>14.25</v>
      </c>
      <c r="Q173" t="s">
        <v>87</v>
      </c>
      <c r="R173">
        <v>1173</v>
      </c>
      <c r="S173">
        <v>6</v>
      </c>
      <c r="T173" t="b">
        <v>0</v>
      </c>
      <c r="U173" t="s">
        <v>88</v>
      </c>
      <c r="V173" t="s">
        <v>89</v>
      </c>
      <c r="W173">
        <v>0</v>
      </c>
      <c r="Y173">
        <v>1</v>
      </c>
      <c r="Z173">
        <v>1</v>
      </c>
      <c r="AC173" t="s">
        <v>90</v>
      </c>
      <c r="AD173">
        <v>125</v>
      </c>
      <c r="AE173">
        <v>220</v>
      </c>
      <c r="AF173" t="s">
        <v>91</v>
      </c>
      <c r="AG173">
        <v>288</v>
      </c>
      <c r="AH173" s="3">
        <v>100</v>
      </c>
      <c r="AI173" s="3">
        <f>AH173/(AD173*Y173*Z173)</f>
        <v>0.8</v>
      </c>
      <c r="AJ173" s="3">
        <f>LN(AI173)</f>
        <v>-0.22314355131420971</v>
      </c>
      <c r="AN173" t="b">
        <v>1</v>
      </c>
      <c r="AO173" t="b">
        <v>1</v>
      </c>
      <c r="AP173" t="b">
        <v>0</v>
      </c>
      <c r="AQ173" t="b">
        <v>0</v>
      </c>
      <c r="AR173" t="s">
        <v>899</v>
      </c>
      <c r="AS173" t="s">
        <v>900</v>
      </c>
      <c r="AT173" t="s">
        <v>901</v>
      </c>
      <c r="AU173">
        <v>4.6051701859880918</v>
      </c>
      <c r="AV173">
        <v>1.882352941176471</v>
      </c>
      <c r="AW173">
        <v>2.3529411764705879</v>
      </c>
      <c r="AX173">
        <v>0.47058823529411759</v>
      </c>
      <c r="AY173">
        <v>0</v>
      </c>
      <c r="AZ173">
        <v>0.4</v>
      </c>
      <c r="BA173">
        <v>0.5</v>
      </c>
      <c r="BB173">
        <v>9.9999999999999992E-2</v>
      </c>
      <c r="BC173">
        <v>0</v>
      </c>
      <c r="BD173">
        <v>5.7395756944117649</v>
      </c>
      <c r="BE173">
        <v>20</v>
      </c>
      <c r="BF173">
        <v>216.40687730768099</v>
      </c>
      <c r="BG173">
        <v>1</v>
      </c>
      <c r="BH173">
        <v>9.2418504665009241E-2</v>
      </c>
      <c r="BI173">
        <v>14.696413339999999</v>
      </c>
      <c r="BJ173">
        <v>14.696413339999999</v>
      </c>
      <c r="BK173">
        <v>14.696413339999999</v>
      </c>
      <c r="BL173">
        <v>420.30120210079798</v>
      </c>
      <c r="BM173">
        <v>2</v>
      </c>
      <c r="BN173">
        <v>9.516984438794697E-2</v>
      </c>
      <c r="BO173">
        <v>3.83528</v>
      </c>
      <c r="BP173">
        <v>3.83528</v>
      </c>
      <c r="BQ173">
        <v>28.573699999999999</v>
      </c>
      <c r="BR173">
        <v>0</v>
      </c>
      <c r="BS173">
        <v>0</v>
      </c>
      <c r="BU173">
        <v>0</v>
      </c>
      <c r="BV173">
        <v>0</v>
      </c>
      <c r="BW173">
        <v>0</v>
      </c>
      <c r="BX173">
        <v>411.54</v>
      </c>
      <c r="BY173">
        <v>9.719589833309035E-2</v>
      </c>
      <c r="BZ173">
        <v>10</v>
      </c>
      <c r="CA173">
        <v>4.8597949166545168E-2</v>
      </c>
      <c r="CB173">
        <v>4.620925233250462E-2</v>
      </c>
      <c r="CC173">
        <v>4.7584922193973478E-2</v>
      </c>
      <c r="CE173">
        <v>0.53395145789068021</v>
      </c>
      <c r="CF173">
        <v>0.54984742874132475</v>
      </c>
      <c r="CH173">
        <v>0.56155303317298855</v>
      </c>
    </row>
    <row r="174" spans="1:86" x14ac:dyDescent="0.3">
      <c r="A174" s="1">
        <v>795</v>
      </c>
      <c r="B174" t="s">
        <v>970</v>
      </c>
      <c r="C174" t="s">
        <v>971</v>
      </c>
      <c r="E174" t="s">
        <v>372</v>
      </c>
      <c r="F174">
        <v>3.39</v>
      </c>
      <c r="G174" t="s">
        <v>373</v>
      </c>
      <c r="H174">
        <v>-1</v>
      </c>
      <c r="I174" t="s">
        <v>754</v>
      </c>
      <c r="J174">
        <v>2</v>
      </c>
      <c r="K174">
        <v>3.69</v>
      </c>
      <c r="L174">
        <v>3.69</v>
      </c>
      <c r="M174">
        <v>12.06</v>
      </c>
      <c r="O174">
        <v>12.06</v>
      </c>
      <c r="Q174" t="s">
        <v>87</v>
      </c>
      <c r="R174">
        <v>1173</v>
      </c>
      <c r="S174">
        <v>3</v>
      </c>
      <c r="T174" t="b">
        <v>0</v>
      </c>
      <c r="U174" t="s">
        <v>88</v>
      </c>
      <c r="V174" t="s">
        <v>89</v>
      </c>
      <c r="W174">
        <v>0</v>
      </c>
      <c r="Y174">
        <v>0.5</v>
      </c>
      <c r="Z174">
        <v>0.1</v>
      </c>
      <c r="AC174" t="s">
        <v>90</v>
      </c>
      <c r="AD174">
        <v>125</v>
      </c>
      <c r="AE174">
        <v>220</v>
      </c>
      <c r="AF174" t="s">
        <v>91</v>
      </c>
      <c r="AG174">
        <v>288</v>
      </c>
      <c r="AH174" s="3">
        <v>4.5</v>
      </c>
      <c r="AI174" s="3">
        <f>AH174/(AD174*Y174*Z174)</f>
        <v>0.72</v>
      </c>
      <c r="AJ174" s="3">
        <f>LN(AI174)</f>
        <v>-0.3285040669720361</v>
      </c>
      <c r="AK174" t="s">
        <v>972</v>
      </c>
      <c r="AN174" t="b">
        <v>1</v>
      </c>
      <c r="AO174" t="b">
        <v>0</v>
      </c>
      <c r="AP174" t="b">
        <v>0</v>
      </c>
      <c r="AQ174" t="b">
        <v>0</v>
      </c>
      <c r="AR174" t="s">
        <v>1330</v>
      </c>
      <c r="AT174" t="s">
        <v>754</v>
      </c>
      <c r="AU174">
        <v>1.5040773967762739</v>
      </c>
      <c r="AV174">
        <v>1.857142857142857</v>
      </c>
      <c r="AW174">
        <v>2.285714285714286</v>
      </c>
      <c r="AX174">
        <v>0.2857142857142857</v>
      </c>
      <c r="AY174">
        <v>0.5714285714285714</v>
      </c>
      <c r="AZ174">
        <v>0.37142857142857139</v>
      </c>
      <c r="BA174">
        <v>0.45714285714285707</v>
      </c>
      <c r="BB174">
        <v>5.7142857142857141E-2</v>
      </c>
      <c r="BC174">
        <v>0.1142857142857143</v>
      </c>
      <c r="BD174">
        <v>6.2282471432644284</v>
      </c>
      <c r="BE174">
        <v>8</v>
      </c>
      <c r="BF174">
        <v>203.79933701026059</v>
      </c>
      <c r="BG174">
        <v>2</v>
      </c>
      <c r="BH174">
        <v>7.8508596910668346E-2</v>
      </c>
      <c r="BI174">
        <v>3.8703880000000002</v>
      </c>
      <c r="BJ174">
        <v>3.8703880000000002</v>
      </c>
      <c r="BK174">
        <v>13.604850000000001</v>
      </c>
      <c r="BL174">
        <v>0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U174">
        <v>0</v>
      </c>
      <c r="BV174">
        <v>0</v>
      </c>
      <c r="BW174">
        <v>0</v>
      </c>
      <c r="BX174">
        <v>164.21016599999999</v>
      </c>
      <c r="BY174">
        <v>9.7436111233210748E-2</v>
      </c>
      <c r="BZ174">
        <v>4</v>
      </c>
      <c r="CA174">
        <v>4.8718055616605367E-2</v>
      </c>
      <c r="CB174">
        <v>3.9254298455334173E-2</v>
      </c>
      <c r="CE174">
        <v>0.40413338857906378</v>
      </c>
      <c r="CH174">
        <v>0.50156527249429372</v>
      </c>
    </row>
    <row r="175" spans="1:86" x14ac:dyDescent="0.3">
      <c r="A175" s="1">
        <v>527</v>
      </c>
      <c r="B175" t="s">
        <v>974</v>
      </c>
      <c r="C175" t="s">
        <v>975</v>
      </c>
      <c r="E175" t="s">
        <v>372</v>
      </c>
      <c r="F175">
        <v>3.41</v>
      </c>
      <c r="G175" t="s">
        <v>948</v>
      </c>
      <c r="H175">
        <v>-1</v>
      </c>
      <c r="I175">
        <v>-1</v>
      </c>
      <c r="J175">
        <v>4</v>
      </c>
      <c r="K175">
        <v>3.74</v>
      </c>
      <c r="L175">
        <v>3.74</v>
      </c>
      <c r="M175">
        <v>33.1</v>
      </c>
      <c r="N175" t="s">
        <v>529</v>
      </c>
      <c r="O175">
        <v>16.55</v>
      </c>
      <c r="Q175" t="s">
        <v>87</v>
      </c>
      <c r="R175">
        <v>1098</v>
      </c>
      <c r="S175">
        <v>12</v>
      </c>
      <c r="T175" t="b">
        <v>0</v>
      </c>
      <c r="U175" t="s">
        <v>88</v>
      </c>
      <c r="V175" t="s">
        <v>89</v>
      </c>
      <c r="W175">
        <v>0</v>
      </c>
      <c r="X175">
        <v>5.6</v>
      </c>
      <c r="Y175">
        <v>0.5</v>
      </c>
      <c r="Z175">
        <v>1</v>
      </c>
      <c r="AC175" t="s">
        <v>90</v>
      </c>
      <c r="AD175">
        <v>125</v>
      </c>
      <c r="AE175">
        <v>220</v>
      </c>
      <c r="AF175" t="s">
        <v>91</v>
      </c>
      <c r="AG175">
        <v>288</v>
      </c>
      <c r="AH175" s="3">
        <v>44</v>
      </c>
      <c r="AI175" s="3">
        <f>AH175/(AD175*Y175*Z175)</f>
        <v>0.70399999999999996</v>
      </c>
      <c r="AJ175" s="3">
        <f>LN(AI175)</f>
        <v>-0.35097692282409471</v>
      </c>
      <c r="AK175" t="s">
        <v>550</v>
      </c>
      <c r="AN175" t="b">
        <v>1</v>
      </c>
      <c r="AO175" t="b">
        <v>0</v>
      </c>
      <c r="AP175" t="b">
        <v>0</v>
      </c>
      <c r="AQ175" t="b">
        <v>0</v>
      </c>
      <c r="AR175" t="s">
        <v>976</v>
      </c>
      <c r="AS175">
        <v>-1</v>
      </c>
      <c r="AU175">
        <v>3.784189633918261</v>
      </c>
      <c r="AV175">
        <v>1.571428571428571</v>
      </c>
      <c r="AW175">
        <v>1.5</v>
      </c>
      <c r="AX175">
        <v>0.14285714285714279</v>
      </c>
      <c r="AY175">
        <v>0.2857142857142857</v>
      </c>
      <c r="AZ175">
        <v>0.44897959183673469</v>
      </c>
      <c r="BA175">
        <v>0.42857142857142849</v>
      </c>
      <c r="BB175">
        <v>4.0816326530612242E-2</v>
      </c>
      <c r="BC175">
        <v>8.1632653061224483E-2</v>
      </c>
      <c r="BD175">
        <v>6.6408981987575713</v>
      </c>
      <c r="BE175">
        <v>8</v>
      </c>
      <c r="BF175">
        <v>249.41538945455761</v>
      </c>
      <c r="BG175">
        <v>2</v>
      </c>
      <c r="BH175">
        <v>6.4150011091898274E-2</v>
      </c>
      <c r="BI175">
        <v>3.8703880000000002</v>
      </c>
      <c r="BJ175">
        <v>3.8703880000000002</v>
      </c>
      <c r="BK175">
        <v>16.649999999999999</v>
      </c>
      <c r="BL175">
        <v>0</v>
      </c>
      <c r="BM175">
        <v>0</v>
      </c>
      <c r="BO175">
        <v>0</v>
      </c>
      <c r="BR175">
        <v>0</v>
      </c>
      <c r="BS175">
        <v>0</v>
      </c>
      <c r="BU175">
        <v>0</v>
      </c>
      <c r="BV175">
        <v>0</v>
      </c>
      <c r="BW175">
        <v>0</v>
      </c>
      <c r="BX175">
        <v>462.9895600000001</v>
      </c>
      <c r="BY175">
        <v>6.9116029311762431E-2</v>
      </c>
      <c r="BZ175">
        <v>4</v>
      </c>
      <c r="CA175">
        <v>3.4558014655881222E-2</v>
      </c>
      <c r="CB175">
        <v>3.2075005545949137E-2</v>
      </c>
      <c r="CE175">
        <v>0.40838223139554991</v>
      </c>
      <c r="CH175">
        <v>0.43999615580896612</v>
      </c>
    </row>
    <row r="176" spans="1:86" x14ac:dyDescent="0.3">
      <c r="A176" s="1">
        <v>528</v>
      </c>
      <c r="B176" t="s">
        <v>977</v>
      </c>
      <c r="C176" t="s">
        <v>978</v>
      </c>
      <c r="E176" t="s">
        <v>372</v>
      </c>
      <c r="F176">
        <v>3.5</v>
      </c>
      <c r="G176" t="s">
        <v>951</v>
      </c>
      <c r="H176">
        <v>-1</v>
      </c>
      <c r="I176">
        <v>-1</v>
      </c>
      <c r="J176">
        <v>4</v>
      </c>
      <c r="K176">
        <v>3.74</v>
      </c>
      <c r="L176">
        <v>3.74</v>
      </c>
      <c r="M176">
        <v>37.6</v>
      </c>
      <c r="N176" t="s">
        <v>529</v>
      </c>
      <c r="O176">
        <v>18.8</v>
      </c>
      <c r="Q176" t="s">
        <v>87</v>
      </c>
      <c r="R176">
        <v>1098</v>
      </c>
      <c r="S176">
        <v>12</v>
      </c>
      <c r="T176" t="b">
        <v>0</v>
      </c>
      <c r="U176" t="s">
        <v>88</v>
      </c>
      <c r="V176" t="s">
        <v>89</v>
      </c>
      <c r="W176">
        <v>0</v>
      </c>
      <c r="Y176">
        <v>0.5</v>
      </c>
      <c r="Z176">
        <v>1</v>
      </c>
      <c r="AC176" t="s">
        <v>90</v>
      </c>
      <c r="AD176">
        <v>125</v>
      </c>
      <c r="AE176">
        <v>220</v>
      </c>
      <c r="AF176" t="s">
        <v>91</v>
      </c>
      <c r="AG176">
        <v>288</v>
      </c>
      <c r="AH176" s="3">
        <v>44</v>
      </c>
      <c r="AI176" s="3">
        <f>AH176/(AD176*Y176*Z176)</f>
        <v>0.70399999999999996</v>
      </c>
      <c r="AJ176" s="3">
        <f>LN(AI176)</f>
        <v>-0.35097692282409471</v>
      </c>
      <c r="AK176" t="s">
        <v>550</v>
      </c>
      <c r="AN176" t="b">
        <v>1</v>
      </c>
      <c r="AO176" t="b">
        <v>0</v>
      </c>
      <c r="AP176" t="b">
        <v>0</v>
      </c>
      <c r="AQ176" t="b">
        <v>0</v>
      </c>
      <c r="AR176" t="s">
        <v>979</v>
      </c>
      <c r="AS176">
        <v>-1</v>
      </c>
      <c r="AU176">
        <v>3.784189633918261</v>
      </c>
      <c r="AV176">
        <v>1.529411764705882</v>
      </c>
      <c r="AW176">
        <v>1.3529411764705881</v>
      </c>
      <c r="AX176">
        <v>0.1176470588235294</v>
      </c>
      <c r="AY176">
        <v>0.23529411764705879</v>
      </c>
      <c r="AZ176">
        <v>0.47272727272727272</v>
      </c>
      <c r="BA176">
        <v>0.41818181818181821</v>
      </c>
      <c r="BB176">
        <v>3.6363636363636362E-2</v>
      </c>
      <c r="BC176">
        <v>7.2727272727272724E-2</v>
      </c>
      <c r="BD176">
        <v>6.6815535222240001</v>
      </c>
      <c r="BE176">
        <v>8</v>
      </c>
      <c r="BF176">
        <v>279.37519599564558</v>
      </c>
      <c r="BG176">
        <v>2</v>
      </c>
      <c r="BH176">
        <v>5.7270653334053963E-2</v>
      </c>
      <c r="BI176">
        <v>3.8703880000000002</v>
      </c>
      <c r="BJ176">
        <v>3.8703880000000002</v>
      </c>
      <c r="BK176">
        <v>18.649999999999999</v>
      </c>
      <c r="BL176">
        <v>0</v>
      </c>
      <c r="BM176">
        <v>0</v>
      </c>
      <c r="BO176">
        <v>0</v>
      </c>
      <c r="BR176">
        <v>0</v>
      </c>
      <c r="BS176">
        <v>0</v>
      </c>
      <c r="BU176">
        <v>0</v>
      </c>
      <c r="BV176">
        <v>0</v>
      </c>
      <c r="BW176">
        <v>0</v>
      </c>
      <c r="BX176">
        <v>525.93376000000012</v>
      </c>
      <c r="BY176">
        <v>6.0844164101578099E-2</v>
      </c>
      <c r="BZ176">
        <v>4</v>
      </c>
      <c r="CA176">
        <v>3.042208205078905E-2</v>
      </c>
      <c r="CB176">
        <v>2.8635326667026981E-2</v>
      </c>
      <c r="CE176">
        <v>0.36539801480364231</v>
      </c>
      <c r="CH176">
        <v>0.38819771524911167</v>
      </c>
    </row>
    <row r="177" spans="1:86" x14ac:dyDescent="0.3">
      <c r="A177" s="1">
        <v>529</v>
      </c>
      <c r="B177" t="s">
        <v>980</v>
      </c>
      <c r="C177" t="s">
        <v>981</v>
      </c>
      <c r="E177" t="s">
        <v>372</v>
      </c>
      <c r="F177">
        <v>3.5</v>
      </c>
      <c r="G177" t="s">
        <v>954</v>
      </c>
      <c r="H177">
        <v>-1</v>
      </c>
      <c r="I177">
        <v>-1</v>
      </c>
      <c r="J177">
        <v>4</v>
      </c>
      <c r="K177">
        <v>3.74</v>
      </c>
      <c r="L177">
        <v>3.74</v>
      </c>
      <c r="M177">
        <v>47.7</v>
      </c>
      <c r="N177" t="s">
        <v>529</v>
      </c>
      <c r="O177">
        <v>23.85</v>
      </c>
      <c r="Q177" t="s">
        <v>87</v>
      </c>
      <c r="R177">
        <v>1098</v>
      </c>
      <c r="S177">
        <v>12</v>
      </c>
      <c r="T177" t="b">
        <v>0</v>
      </c>
      <c r="U177" t="s">
        <v>88</v>
      </c>
      <c r="V177" t="s">
        <v>89</v>
      </c>
      <c r="W177">
        <v>0</v>
      </c>
      <c r="X177">
        <v>5.6</v>
      </c>
      <c r="Y177">
        <v>0.5</v>
      </c>
      <c r="Z177">
        <v>1</v>
      </c>
      <c r="AC177" t="s">
        <v>90</v>
      </c>
      <c r="AD177">
        <v>125</v>
      </c>
      <c r="AE177">
        <v>220</v>
      </c>
      <c r="AF177" t="s">
        <v>91</v>
      </c>
      <c r="AG177">
        <v>288</v>
      </c>
      <c r="AH177" s="3">
        <v>44</v>
      </c>
      <c r="AI177" s="3">
        <f>AH177/(AD177*Y177*Z177)</f>
        <v>0.70399999999999996</v>
      </c>
      <c r="AJ177" s="3">
        <f>LN(AI177)</f>
        <v>-0.35097692282409471</v>
      </c>
      <c r="AK177" t="s">
        <v>550</v>
      </c>
      <c r="AN177" t="b">
        <v>1</v>
      </c>
      <c r="AO177" t="b">
        <v>0</v>
      </c>
      <c r="AP177" t="b">
        <v>0</v>
      </c>
      <c r="AQ177" t="b">
        <v>0</v>
      </c>
      <c r="AR177" t="s">
        <v>982</v>
      </c>
      <c r="AS177">
        <v>-1</v>
      </c>
      <c r="AU177">
        <v>3.784189633918261</v>
      </c>
      <c r="AV177">
        <v>1.4782608695652171</v>
      </c>
      <c r="AW177">
        <v>1.173913043478261</v>
      </c>
      <c r="AX177">
        <v>8.6956521739130432E-2</v>
      </c>
      <c r="AY177">
        <v>0.17391304347826089</v>
      </c>
      <c r="AZ177">
        <v>0.50746268656716409</v>
      </c>
      <c r="BA177">
        <v>0.40298507462686572</v>
      </c>
      <c r="BB177">
        <v>2.9850746268656719E-2</v>
      </c>
      <c r="BC177">
        <v>5.9701492537313432E-2</v>
      </c>
      <c r="BD177">
        <v>6.731046959487478</v>
      </c>
      <c r="BE177">
        <v>8</v>
      </c>
      <c r="BF177">
        <v>358.01968816600157</v>
      </c>
      <c r="BG177">
        <v>2</v>
      </c>
      <c r="BH177">
        <v>4.4690279693728303E-2</v>
      </c>
      <c r="BI177">
        <v>3.8703880000000002</v>
      </c>
      <c r="BJ177">
        <v>3.8703880000000002</v>
      </c>
      <c r="BK177">
        <v>23.9</v>
      </c>
      <c r="BL177">
        <v>0</v>
      </c>
      <c r="BM177">
        <v>0</v>
      </c>
      <c r="BO177">
        <v>0</v>
      </c>
      <c r="BR177">
        <v>0</v>
      </c>
      <c r="BS177">
        <v>0</v>
      </c>
      <c r="BU177">
        <v>0</v>
      </c>
      <c r="BV177">
        <v>0</v>
      </c>
      <c r="BW177">
        <v>0</v>
      </c>
      <c r="BX177">
        <v>667.20852000000014</v>
      </c>
      <c r="BY177">
        <v>4.796101824359196E-2</v>
      </c>
      <c r="BZ177">
        <v>4</v>
      </c>
      <c r="CA177">
        <v>2.398050912179598E-2</v>
      </c>
      <c r="CB177">
        <v>2.2345139846864152E-2</v>
      </c>
      <c r="CE177">
        <v>0.28639709718794848</v>
      </c>
      <c r="CH177">
        <v>0.30735758418335962</v>
      </c>
    </row>
    <row r="178" spans="1:86" x14ac:dyDescent="0.3">
      <c r="A178" s="1">
        <v>530</v>
      </c>
      <c r="B178" t="s">
        <v>983</v>
      </c>
      <c r="C178" t="s">
        <v>984</v>
      </c>
      <c r="E178" t="s">
        <v>372</v>
      </c>
      <c r="F178">
        <v>3.42</v>
      </c>
      <c r="G178" t="s">
        <v>957</v>
      </c>
      <c r="H178">
        <v>-1</v>
      </c>
      <c r="I178">
        <v>-1</v>
      </c>
      <c r="J178">
        <v>4</v>
      </c>
      <c r="K178">
        <v>3.72</v>
      </c>
      <c r="L178">
        <v>3.72</v>
      </c>
      <c r="M178">
        <v>54</v>
      </c>
      <c r="N178" t="s">
        <v>529</v>
      </c>
      <c r="O178">
        <v>27</v>
      </c>
      <c r="Q178" t="s">
        <v>87</v>
      </c>
      <c r="R178">
        <v>1098</v>
      </c>
      <c r="S178">
        <v>12</v>
      </c>
      <c r="T178" t="b">
        <v>0</v>
      </c>
      <c r="U178" t="s">
        <v>88</v>
      </c>
      <c r="V178" t="s">
        <v>89</v>
      </c>
      <c r="W178">
        <v>0</v>
      </c>
      <c r="Y178">
        <v>0.5</v>
      </c>
      <c r="Z178">
        <v>1</v>
      </c>
      <c r="AC178" t="s">
        <v>90</v>
      </c>
      <c r="AD178">
        <v>125</v>
      </c>
      <c r="AE178">
        <v>220</v>
      </c>
      <c r="AF178" t="s">
        <v>91</v>
      </c>
      <c r="AG178">
        <v>288</v>
      </c>
      <c r="AH178" s="3">
        <v>44</v>
      </c>
      <c r="AI178" s="3">
        <f>AH178/(AD178*Y178*Z178)</f>
        <v>0.70399999999999996</v>
      </c>
      <c r="AJ178" s="3">
        <f>LN(AI178)</f>
        <v>-0.35097692282409471</v>
      </c>
      <c r="AK178" t="s">
        <v>550</v>
      </c>
      <c r="AN178" t="b">
        <v>1</v>
      </c>
      <c r="AO178" t="b">
        <v>0</v>
      </c>
      <c r="AP178" t="b">
        <v>0</v>
      </c>
      <c r="AQ178" t="b">
        <v>0</v>
      </c>
      <c r="AR178" t="s">
        <v>985</v>
      </c>
      <c r="AS178">
        <v>-1</v>
      </c>
      <c r="AU178">
        <v>3.784189633918261</v>
      </c>
      <c r="AV178">
        <v>1.448275862068966</v>
      </c>
      <c r="AW178">
        <v>1.068965517241379</v>
      </c>
      <c r="AX178">
        <v>6.8965517241379309E-2</v>
      </c>
      <c r="AY178">
        <v>0.13793103448275859</v>
      </c>
      <c r="AZ178">
        <v>0.53164556962025322</v>
      </c>
      <c r="BA178">
        <v>0.39240506329113922</v>
      </c>
      <c r="BB178">
        <v>2.5316455696202531E-2</v>
      </c>
      <c r="BC178">
        <v>5.0632911392405063E-2</v>
      </c>
      <c r="BD178">
        <v>6.7600603537453789</v>
      </c>
      <c r="BE178">
        <v>8</v>
      </c>
      <c r="BF178">
        <v>411.19834477643292</v>
      </c>
      <c r="BG178">
        <v>2</v>
      </c>
      <c r="BH178">
        <v>3.8910662465577638E-2</v>
      </c>
      <c r="BI178">
        <v>3.8703880000000002</v>
      </c>
      <c r="BJ178">
        <v>3.8703880000000002</v>
      </c>
      <c r="BK178">
        <v>27.45</v>
      </c>
      <c r="BL178">
        <v>0</v>
      </c>
      <c r="BM178">
        <v>0</v>
      </c>
      <c r="BO178">
        <v>0</v>
      </c>
      <c r="BR178">
        <v>0</v>
      </c>
      <c r="BS178">
        <v>0</v>
      </c>
      <c r="BU178">
        <v>0</v>
      </c>
      <c r="BV178">
        <v>0</v>
      </c>
      <c r="BW178">
        <v>0</v>
      </c>
      <c r="BX178">
        <v>747.2736000000001</v>
      </c>
      <c r="BY178">
        <v>4.282233441673839E-2</v>
      </c>
      <c r="BZ178">
        <v>4</v>
      </c>
      <c r="CA178">
        <v>2.1411167208369199E-2</v>
      </c>
      <c r="CB178">
        <v>1.9455331232788819E-2</v>
      </c>
      <c r="CE178">
        <v>0.25045931765012802</v>
      </c>
      <c r="CH178">
        <v>0.27563788377260329</v>
      </c>
    </row>
    <row r="179" spans="1:86" x14ac:dyDescent="0.3">
      <c r="A179" s="1">
        <v>629</v>
      </c>
      <c r="B179" t="s">
        <v>1106</v>
      </c>
      <c r="C179" t="s">
        <v>1107</v>
      </c>
      <c r="E179" t="s">
        <v>404</v>
      </c>
      <c r="F179">
        <v>3.46</v>
      </c>
      <c r="G179" t="s">
        <v>405</v>
      </c>
      <c r="H179">
        <v>-1</v>
      </c>
      <c r="I179">
        <v>-1</v>
      </c>
      <c r="J179">
        <v>2</v>
      </c>
      <c r="K179">
        <v>3.7829999999999999</v>
      </c>
      <c r="L179">
        <v>3.7829999999999999</v>
      </c>
      <c r="M179">
        <v>27.18</v>
      </c>
      <c r="N179" t="s">
        <v>1047</v>
      </c>
      <c r="O179">
        <v>13.59</v>
      </c>
      <c r="Q179" t="s">
        <v>87</v>
      </c>
      <c r="R179">
        <v>1273</v>
      </c>
      <c r="S179">
        <v>10</v>
      </c>
      <c r="T179" t="b">
        <v>0</v>
      </c>
      <c r="U179" t="s">
        <v>88</v>
      </c>
      <c r="V179" t="s">
        <v>89</v>
      </c>
      <c r="W179">
        <v>0</v>
      </c>
      <c r="X179">
        <v>21</v>
      </c>
      <c r="Y179">
        <v>0.5</v>
      </c>
      <c r="Z179">
        <v>1</v>
      </c>
      <c r="AC179" t="s">
        <v>90</v>
      </c>
      <c r="AD179">
        <v>125</v>
      </c>
      <c r="AE179">
        <v>220</v>
      </c>
      <c r="AF179" t="s">
        <v>91</v>
      </c>
      <c r="AG179">
        <v>288</v>
      </c>
      <c r="AH179" s="3">
        <v>44</v>
      </c>
      <c r="AI179" s="3">
        <f>AH179/(AD179*Y179*Z179)</f>
        <v>0.70399999999999996</v>
      </c>
      <c r="AJ179" s="3">
        <f>LN(AI179)</f>
        <v>-0.35097692282409471</v>
      </c>
      <c r="AK179" t="s">
        <v>972</v>
      </c>
      <c r="AN179" t="b">
        <v>1</v>
      </c>
      <c r="AO179" t="b">
        <v>0</v>
      </c>
      <c r="AP179" t="b">
        <v>0</v>
      </c>
      <c r="AQ179" t="b">
        <v>0</v>
      </c>
      <c r="AR179" t="s">
        <v>1156</v>
      </c>
      <c r="AS179">
        <v>-1</v>
      </c>
      <c r="AU179">
        <v>3.784189633918261</v>
      </c>
      <c r="AV179">
        <v>1.882352941176471</v>
      </c>
      <c r="AW179">
        <v>2.3529411764705879</v>
      </c>
      <c r="AX179">
        <v>0.35294117647058831</v>
      </c>
      <c r="AY179">
        <v>0.47058823529411759</v>
      </c>
      <c r="AZ179">
        <v>0.37209302325581389</v>
      </c>
      <c r="BA179">
        <v>0.46511627906976749</v>
      </c>
      <c r="BB179">
        <v>6.9767441860465129E-2</v>
      </c>
      <c r="BC179">
        <v>9.3023255813953487E-2</v>
      </c>
      <c r="BD179">
        <v>6.2192035579236471</v>
      </c>
      <c r="BE179">
        <v>20</v>
      </c>
      <c r="BF179">
        <v>229.90248606119221</v>
      </c>
      <c r="BG179">
        <v>1</v>
      </c>
      <c r="BH179">
        <v>8.6993404650164072E-2</v>
      </c>
      <c r="BI179">
        <v>15.28115725</v>
      </c>
      <c r="BJ179">
        <v>15.28115725</v>
      </c>
      <c r="BK179">
        <v>15.28115725</v>
      </c>
      <c r="BL179">
        <v>0</v>
      </c>
      <c r="BM179">
        <v>0</v>
      </c>
      <c r="BO179">
        <v>0</v>
      </c>
      <c r="BR179">
        <v>0</v>
      </c>
      <c r="BS179">
        <v>0</v>
      </c>
      <c r="BU179">
        <v>0</v>
      </c>
      <c r="BV179">
        <v>0</v>
      </c>
      <c r="BW179">
        <v>0</v>
      </c>
      <c r="BX179">
        <v>388.97539902</v>
      </c>
      <c r="BY179">
        <v>0.102834266899083</v>
      </c>
      <c r="BZ179">
        <v>10</v>
      </c>
      <c r="CA179">
        <v>5.1417133449541519E-2</v>
      </c>
      <c r="CB179">
        <v>4.3496702325082043E-2</v>
      </c>
      <c r="CE179">
        <v>0.43867496702406639</v>
      </c>
      <c r="CH179">
        <v>0.51855446768991598</v>
      </c>
    </row>
    <row r="180" spans="1:86" x14ac:dyDescent="0.3">
      <c r="A180" s="1">
        <v>54</v>
      </c>
      <c r="B180" t="s">
        <v>193</v>
      </c>
      <c r="C180" t="s">
        <v>194</v>
      </c>
      <c r="F180">
        <v>3.67</v>
      </c>
      <c r="G180" t="s">
        <v>195</v>
      </c>
      <c r="H180" t="s">
        <v>196</v>
      </c>
      <c r="I180">
        <v>-1</v>
      </c>
      <c r="J180">
        <v>2</v>
      </c>
      <c r="K180">
        <v>5.4669999999999996</v>
      </c>
      <c r="L180">
        <v>5.4269999999999996</v>
      </c>
      <c r="M180">
        <v>24.931000000000001</v>
      </c>
      <c r="N180" t="s">
        <v>197</v>
      </c>
      <c r="O180">
        <v>12.4655</v>
      </c>
      <c r="P180">
        <v>2</v>
      </c>
      <c r="Q180" t="s">
        <v>87</v>
      </c>
      <c r="R180">
        <v>1334</v>
      </c>
      <c r="S180">
        <v>54</v>
      </c>
      <c r="T180" t="b">
        <v>0</v>
      </c>
      <c r="U180" t="s">
        <v>88</v>
      </c>
      <c r="V180" t="s">
        <v>89</v>
      </c>
      <c r="W180">
        <v>0</v>
      </c>
      <c r="X180">
        <v>1.96</v>
      </c>
      <c r="Y180">
        <v>0.5</v>
      </c>
      <c r="Z180">
        <v>12.5</v>
      </c>
      <c r="AC180" t="s">
        <v>90</v>
      </c>
      <c r="AD180">
        <v>350</v>
      </c>
      <c r="AF180" t="s">
        <v>91</v>
      </c>
      <c r="AH180" s="3">
        <v>1500</v>
      </c>
      <c r="AI180" s="3">
        <f>AH180/(AD180*Y180*Z180)</f>
        <v>0.68571428571428572</v>
      </c>
      <c r="AJ180" s="3">
        <f>LN(AI180)</f>
        <v>-0.37729423114146804</v>
      </c>
      <c r="AN180" t="b">
        <v>1</v>
      </c>
      <c r="AO180" t="b">
        <v>1</v>
      </c>
      <c r="AP180" t="b">
        <v>0</v>
      </c>
      <c r="AQ180" t="b">
        <v>0</v>
      </c>
      <c r="AR180" t="s">
        <v>195</v>
      </c>
      <c r="AS180" t="s">
        <v>196</v>
      </c>
      <c r="AU180">
        <v>7.3132203870903014</v>
      </c>
      <c r="AV180">
        <v>2</v>
      </c>
      <c r="AW180">
        <v>3</v>
      </c>
      <c r="AX180">
        <v>1.857142857142857</v>
      </c>
      <c r="AY180">
        <v>4</v>
      </c>
      <c r="AZ180">
        <v>0.18421052631578949</v>
      </c>
      <c r="BA180">
        <v>0.27631578947368418</v>
      </c>
      <c r="BB180">
        <v>0.1710526315789474</v>
      </c>
      <c r="BC180">
        <v>0.36842105263157893</v>
      </c>
      <c r="BD180">
        <v>6.2165298214642846</v>
      </c>
      <c r="BE180">
        <v>18</v>
      </c>
      <c r="BF180">
        <v>189.22149105491849</v>
      </c>
      <c r="BG180">
        <v>1</v>
      </c>
      <c r="BH180">
        <v>9.5126615373598261E-2</v>
      </c>
      <c r="BI180">
        <v>13.46934785</v>
      </c>
      <c r="BJ180">
        <v>13.46934785</v>
      </c>
      <c r="BK180">
        <v>13.46934785</v>
      </c>
      <c r="BL180">
        <v>741.11071385887806</v>
      </c>
      <c r="BM180">
        <v>4</v>
      </c>
      <c r="BN180">
        <v>9.7151476363233638E-2</v>
      </c>
      <c r="BO180">
        <v>5.4659000000000004</v>
      </c>
      <c r="BP180">
        <v>5.4318</v>
      </c>
      <c r="BQ180">
        <v>24.9619</v>
      </c>
      <c r="BR180">
        <v>0</v>
      </c>
      <c r="BS180">
        <v>0</v>
      </c>
      <c r="BU180">
        <v>0</v>
      </c>
      <c r="BV180">
        <v>0</v>
      </c>
      <c r="BW180">
        <v>0</v>
      </c>
      <c r="BX180">
        <v>739.68803577899985</v>
      </c>
      <c r="BY180">
        <v>4.866916626829948E-2</v>
      </c>
      <c r="BZ180">
        <v>9</v>
      </c>
      <c r="CA180">
        <v>2.433458313414974E-2</v>
      </c>
      <c r="CB180">
        <v>4.7563307686799131E-2</v>
      </c>
      <c r="CC180">
        <v>4.8575738181616819E-2</v>
      </c>
      <c r="CE180">
        <v>0.52325723799350166</v>
      </c>
      <c r="CF180">
        <v>0.53439526876014087</v>
      </c>
      <c r="CH180">
        <v>0.26771154862369823</v>
      </c>
    </row>
    <row r="181" spans="1:86" x14ac:dyDescent="0.3">
      <c r="A181" s="1">
        <v>702</v>
      </c>
      <c r="B181" t="s">
        <v>1086</v>
      </c>
      <c r="C181" t="s">
        <v>1087</v>
      </c>
      <c r="E181" t="s">
        <v>404</v>
      </c>
      <c r="F181">
        <v>3.4</v>
      </c>
      <c r="G181" t="s">
        <v>1088</v>
      </c>
      <c r="H181">
        <v>-1</v>
      </c>
      <c r="I181">
        <v>-1</v>
      </c>
      <c r="J181">
        <v>2</v>
      </c>
      <c r="K181">
        <v>3.835</v>
      </c>
      <c r="L181">
        <v>3.835</v>
      </c>
      <c r="M181">
        <v>34.43</v>
      </c>
      <c r="N181" t="s">
        <v>101</v>
      </c>
      <c r="O181">
        <v>17.215</v>
      </c>
      <c r="Q181" t="s">
        <v>87</v>
      </c>
      <c r="R181">
        <v>1273</v>
      </c>
      <c r="S181">
        <v>10</v>
      </c>
      <c r="T181" t="b">
        <v>0</v>
      </c>
      <c r="U181" t="s">
        <v>88</v>
      </c>
      <c r="V181" t="s">
        <v>89</v>
      </c>
      <c r="W181">
        <v>0</v>
      </c>
      <c r="Y181">
        <v>0.5</v>
      </c>
      <c r="Z181">
        <v>0.2</v>
      </c>
      <c r="AC181" t="s">
        <v>90</v>
      </c>
      <c r="AD181">
        <v>125</v>
      </c>
      <c r="AE181">
        <v>220</v>
      </c>
      <c r="AF181" t="s">
        <v>91</v>
      </c>
      <c r="AG181">
        <v>288</v>
      </c>
      <c r="AH181" s="3">
        <v>8.2799999999999994</v>
      </c>
      <c r="AI181" s="3">
        <f>AH181/(AD181*Y181*Z181)</f>
        <v>0.66239999999999999</v>
      </c>
      <c r="AJ181" s="3">
        <f>LN(AI181)</f>
        <v>-0.41188567591108716</v>
      </c>
      <c r="AK181" t="s">
        <v>136</v>
      </c>
      <c r="AN181" t="b">
        <v>1</v>
      </c>
      <c r="AO181" t="b">
        <v>0</v>
      </c>
      <c r="AP181" t="b">
        <v>0</v>
      </c>
      <c r="AQ181" t="b">
        <v>0</v>
      </c>
      <c r="AR181" t="s">
        <v>1199</v>
      </c>
      <c r="AU181">
        <v>2.1138429683971678</v>
      </c>
      <c r="AV181">
        <v>1.452054794520548</v>
      </c>
      <c r="AW181">
        <v>1.068493150684932</v>
      </c>
      <c r="AX181">
        <v>0.1095890410958904</v>
      </c>
      <c r="AY181">
        <v>0</v>
      </c>
      <c r="AZ181">
        <v>0.55208333333333337</v>
      </c>
      <c r="BA181">
        <v>0.40625000000000011</v>
      </c>
      <c r="BB181">
        <v>4.1666666666666657E-2</v>
      </c>
      <c r="BC181">
        <v>0</v>
      </c>
      <c r="BD181">
        <v>6.7613944421512322</v>
      </c>
      <c r="BE181">
        <v>20</v>
      </c>
      <c r="BF181">
        <v>1015.4396556</v>
      </c>
      <c r="BG181">
        <v>2</v>
      </c>
      <c r="BH181">
        <v>3.9391804111062523E-2</v>
      </c>
      <c r="BI181">
        <v>3.8530000000000002</v>
      </c>
      <c r="BJ181">
        <v>3.8530000000000002</v>
      </c>
      <c r="BK181">
        <v>68.400000000000006</v>
      </c>
      <c r="BL181">
        <v>0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U181">
        <v>0</v>
      </c>
      <c r="BV181">
        <v>0</v>
      </c>
      <c r="BW181">
        <v>0</v>
      </c>
      <c r="BX181">
        <v>506.36975675000002</v>
      </c>
      <c r="BY181">
        <v>7.8993659212053646E-2</v>
      </c>
      <c r="BZ181">
        <v>10</v>
      </c>
      <c r="CA181">
        <v>3.9496829606026823E-2</v>
      </c>
      <c r="CB181">
        <v>1.9695902055531261E-2</v>
      </c>
      <c r="CE181">
        <v>0.2433493705793833</v>
      </c>
      <c r="CH181">
        <v>0.48799636581298611</v>
      </c>
    </row>
    <row r="182" spans="1:86" x14ac:dyDescent="0.3">
      <c r="A182" s="1">
        <v>472</v>
      </c>
      <c r="B182" t="s">
        <v>889</v>
      </c>
      <c r="C182" t="s">
        <v>890</v>
      </c>
      <c r="E182" t="s">
        <v>106</v>
      </c>
      <c r="F182">
        <v>2.8</v>
      </c>
      <c r="G182" t="s">
        <v>891</v>
      </c>
      <c r="H182">
        <v>1526807</v>
      </c>
      <c r="I182">
        <v>-1</v>
      </c>
      <c r="J182">
        <v>1</v>
      </c>
      <c r="K182">
        <v>3.97</v>
      </c>
      <c r="L182">
        <v>3.97</v>
      </c>
      <c r="M182">
        <v>15.56</v>
      </c>
      <c r="N182" t="s">
        <v>529</v>
      </c>
      <c r="O182">
        <v>15.56</v>
      </c>
      <c r="Q182" t="s">
        <v>87</v>
      </c>
      <c r="T182" t="b">
        <v>0</v>
      </c>
      <c r="U182" t="s">
        <v>88</v>
      </c>
      <c r="V182" t="s">
        <v>89</v>
      </c>
      <c r="W182">
        <v>0</v>
      </c>
      <c r="Y182">
        <v>0.5</v>
      </c>
      <c r="Z182">
        <v>1</v>
      </c>
      <c r="AC182" t="s">
        <v>90</v>
      </c>
      <c r="AD182">
        <v>125</v>
      </c>
      <c r="AE182">
        <v>220</v>
      </c>
      <c r="AF182" t="s">
        <v>91</v>
      </c>
      <c r="AH182" s="3">
        <v>40</v>
      </c>
      <c r="AI182" s="3">
        <f>AH182/(AD182*Y182*Z182)</f>
        <v>0.64</v>
      </c>
      <c r="AJ182" s="3">
        <f>LN(AI182)</f>
        <v>-0.44628710262841947</v>
      </c>
      <c r="AN182" t="b">
        <v>1</v>
      </c>
      <c r="AO182" t="b">
        <v>1</v>
      </c>
      <c r="AP182" t="b">
        <v>0</v>
      </c>
      <c r="AQ182" t="b">
        <v>0</v>
      </c>
      <c r="AR182" t="s">
        <v>891</v>
      </c>
      <c r="AS182">
        <v>1526807</v>
      </c>
      <c r="AU182">
        <v>3.6888794541139358</v>
      </c>
      <c r="AV182">
        <v>1.75</v>
      </c>
      <c r="AW182">
        <v>2.5</v>
      </c>
      <c r="AX182">
        <v>0.75</v>
      </c>
      <c r="AY182">
        <v>0</v>
      </c>
      <c r="AZ182">
        <v>0.35</v>
      </c>
      <c r="BA182">
        <v>0.5</v>
      </c>
      <c r="BB182">
        <v>0.15</v>
      </c>
      <c r="BC182">
        <v>0</v>
      </c>
      <c r="BD182">
        <v>5.9030792517321871</v>
      </c>
      <c r="BE182">
        <v>20</v>
      </c>
      <c r="BF182">
        <v>260.8671724870714</v>
      </c>
      <c r="BG182">
        <v>1</v>
      </c>
      <c r="BH182">
        <v>7.6667369869971663E-2</v>
      </c>
      <c r="BI182">
        <v>4.0290549999999996</v>
      </c>
      <c r="BJ182">
        <v>4.0290549999999996</v>
      </c>
      <c r="BK182">
        <v>16.069894999999999</v>
      </c>
      <c r="BL182">
        <v>246.35930430675199</v>
      </c>
      <c r="BM182">
        <v>1</v>
      </c>
      <c r="BN182">
        <v>8.1182239316186677E-2</v>
      </c>
      <c r="BO182">
        <v>3.9765999999999999</v>
      </c>
      <c r="BP182">
        <v>3.9765999999999999</v>
      </c>
      <c r="BQ182">
        <v>15.5792</v>
      </c>
      <c r="BR182">
        <v>0</v>
      </c>
      <c r="BS182">
        <v>0</v>
      </c>
      <c r="BU182">
        <v>0</v>
      </c>
      <c r="BV182">
        <v>0</v>
      </c>
      <c r="BW182">
        <v>0</v>
      </c>
      <c r="BX182">
        <v>245.23960400000001</v>
      </c>
      <c r="BY182">
        <v>8.1552896325831611E-2</v>
      </c>
      <c r="BZ182">
        <v>10</v>
      </c>
      <c r="CA182">
        <v>4.0776448162915813E-2</v>
      </c>
      <c r="CB182">
        <v>3.8333684934985832E-2</v>
      </c>
      <c r="CC182">
        <v>4.0591119658093339E-2</v>
      </c>
      <c r="CE182">
        <v>0.54551133687670883</v>
      </c>
      <c r="CF182">
        <v>0.57763598744977107</v>
      </c>
      <c r="CH182">
        <v>0.58027332327069536</v>
      </c>
    </row>
    <row r="183" spans="1:86" x14ac:dyDescent="0.3">
      <c r="A183" s="1">
        <v>703</v>
      </c>
      <c r="B183" t="s">
        <v>1086</v>
      </c>
      <c r="C183" t="s">
        <v>1087</v>
      </c>
      <c r="E183" t="s">
        <v>404</v>
      </c>
      <c r="F183">
        <v>3.4</v>
      </c>
      <c r="G183" t="s">
        <v>1088</v>
      </c>
      <c r="H183">
        <v>-1</v>
      </c>
      <c r="I183">
        <v>-1</v>
      </c>
      <c r="J183">
        <v>2</v>
      </c>
      <c r="K183">
        <v>3.835</v>
      </c>
      <c r="L183">
        <v>3.835</v>
      </c>
      <c r="M183">
        <v>34.43</v>
      </c>
      <c r="N183" t="s">
        <v>101</v>
      </c>
      <c r="O183">
        <v>17.215</v>
      </c>
      <c r="Q183" t="s">
        <v>87</v>
      </c>
      <c r="R183">
        <v>1273</v>
      </c>
      <c r="S183">
        <v>10</v>
      </c>
      <c r="T183" t="b">
        <v>0</v>
      </c>
      <c r="U183" t="s">
        <v>88</v>
      </c>
      <c r="V183" t="s">
        <v>89</v>
      </c>
      <c r="W183">
        <v>0</v>
      </c>
      <c r="Y183">
        <v>0.5</v>
      </c>
      <c r="Z183">
        <v>0.5</v>
      </c>
      <c r="AC183" t="s">
        <v>90</v>
      </c>
      <c r="AD183">
        <v>125</v>
      </c>
      <c r="AE183">
        <v>220</v>
      </c>
      <c r="AF183" t="s">
        <v>91</v>
      </c>
      <c r="AG183">
        <v>288</v>
      </c>
      <c r="AH183" s="3">
        <v>19.12</v>
      </c>
      <c r="AI183" s="3">
        <f>AH183/(AD183*Y183*Z183)</f>
        <v>0.61184000000000005</v>
      </c>
      <c r="AJ183" s="3">
        <f>LN(AI183)</f>
        <v>-0.4912844685591552</v>
      </c>
      <c r="AK183" t="s">
        <v>136</v>
      </c>
      <c r="AN183" t="b">
        <v>1</v>
      </c>
      <c r="AO183" t="b">
        <v>0</v>
      </c>
      <c r="AP183" t="b">
        <v>0</v>
      </c>
      <c r="AQ183" t="b">
        <v>0</v>
      </c>
      <c r="AR183" t="s">
        <v>1200</v>
      </c>
      <c r="AU183">
        <v>2.950734907623255</v>
      </c>
      <c r="AV183">
        <v>1.452054794520548</v>
      </c>
      <c r="AW183">
        <v>1.068493150684932</v>
      </c>
      <c r="AX183">
        <v>0.1095890410958904</v>
      </c>
      <c r="AY183">
        <v>0</v>
      </c>
      <c r="AZ183">
        <v>0.55208333333333337</v>
      </c>
      <c r="BA183">
        <v>0.40625000000000011</v>
      </c>
      <c r="BB183">
        <v>4.1666666666666657E-2</v>
      </c>
      <c r="BC183">
        <v>0</v>
      </c>
      <c r="BD183">
        <v>6.7613944421512322</v>
      </c>
      <c r="BE183">
        <v>20</v>
      </c>
      <c r="BF183">
        <v>1015.4396556</v>
      </c>
      <c r="BG183">
        <v>2</v>
      </c>
      <c r="BH183">
        <v>3.9391804111062523E-2</v>
      </c>
      <c r="BI183">
        <v>3.8530000000000002</v>
      </c>
      <c r="BJ183">
        <v>3.8530000000000002</v>
      </c>
      <c r="BK183">
        <v>68.400000000000006</v>
      </c>
      <c r="BL183">
        <v>0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U183">
        <v>0</v>
      </c>
      <c r="BV183">
        <v>0</v>
      </c>
      <c r="BW183">
        <v>0</v>
      </c>
      <c r="BX183">
        <v>506.36975675000002</v>
      </c>
      <c r="BY183">
        <v>7.8993659212053646E-2</v>
      </c>
      <c r="BZ183">
        <v>10</v>
      </c>
      <c r="CA183">
        <v>3.9496829606026823E-2</v>
      </c>
      <c r="CB183">
        <v>1.9695902055531261E-2</v>
      </c>
      <c r="CE183">
        <v>0.2433493705793833</v>
      </c>
      <c r="CH183">
        <v>0.48799636581298611</v>
      </c>
    </row>
    <row r="184" spans="1:86" x14ac:dyDescent="0.3">
      <c r="A184" s="1">
        <v>685</v>
      </c>
      <c r="B184" t="s">
        <v>970</v>
      </c>
      <c r="C184" t="s">
        <v>971</v>
      </c>
      <c r="E184" t="s">
        <v>372</v>
      </c>
      <c r="F184">
        <v>3.22</v>
      </c>
      <c r="G184" t="s">
        <v>373</v>
      </c>
      <c r="H184">
        <v>-1</v>
      </c>
      <c r="I184" t="s">
        <v>754</v>
      </c>
      <c r="J184">
        <v>2</v>
      </c>
      <c r="K184">
        <v>3.7</v>
      </c>
      <c r="L184">
        <v>3.7</v>
      </c>
      <c r="M184">
        <v>16</v>
      </c>
      <c r="O184">
        <v>16</v>
      </c>
      <c r="Q184" t="s">
        <v>87</v>
      </c>
      <c r="R184">
        <v>1098</v>
      </c>
      <c r="S184">
        <v>12</v>
      </c>
      <c r="T184" t="b">
        <v>0</v>
      </c>
      <c r="U184" t="s">
        <v>88</v>
      </c>
      <c r="V184" t="s">
        <v>89</v>
      </c>
      <c r="W184">
        <v>0</v>
      </c>
      <c r="X184">
        <v>64</v>
      </c>
      <c r="Y184">
        <v>0.5</v>
      </c>
      <c r="Z184">
        <v>1</v>
      </c>
      <c r="AC184" t="s">
        <v>90</v>
      </c>
      <c r="AD184">
        <v>125</v>
      </c>
      <c r="AE184">
        <v>220</v>
      </c>
      <c r="AF184" t="s">
        <v>91</v>
      </c>
      <c r="AG184">
        <v>288</v>
      </c>
      <c r="AH184" s="3">
        <v>37.599999999999987</v>
      </c>
      <c r="AI184" s="3">
        <f>AH184/(AD184*Y184*Z184)</f>
        <v>0.6015999999999998</v>
      </c>
      <c r="AJ184" s="3">
        <f>LN(AI184)</f>
        <v>-0.50816250634650728</v>
      </c>
      <c r="AK184" t="s">
        <v>972</v>
      </c>
      <c r="AN184" t="b">
        <v>1</v>
      </c>
      <c r="AO184" t="b">
        <v>0</v>
      </c>
      <c r="AP184" t="b">
        <v>0</v>
      </c>
      <c r="AQ184" t="b">
        <v>0</v>
      </c>
      <c r="AR184" t="s">
        <v>1186</v>
      </c>
      <c r="AT184" t="s">
        <v>754</v>
      </c>
      <c r="AU184">
        <v>3.6270040503958478</v>
      </c>
      <c r="AV184">
        <v>1.857142857142857</v>
      </c>
      <c r="AW184">
        <v>2.285714285714286</v>
      </c>
      <c r="AX184">
        <v>0.2857142857142857</v>
      </c>
      <c r="AY184">
        <v>0.5714285714285714</v>
      </c>
      <c r="AZ184">
        <v>0.37142857142857139</v>
      </c>
      <c r="BA184">
        <v>0.45714285714285707</v>
      </c>
      <c r="BB184">
        <v>5.7142857142857141E-2</v>
      </c>
      <c r="BC184">
        <v>0.1142857142857143</v>
      </c>
      <c r="BD184">
        <v>6.2282471432644284</v>
      </c>
      <c r="BE184">
        <v>8</v>
      </c>
      <c r="BF184">
        <v>203.79933701026059</v>
      </c>
      <c r="BG184">
        <v>2</v>
      </c>
      <c r="BH184">
        <v>7.8508596910668346E-2</v>
      </c>
      <c r="BI184">
        <v>3.8703880000000002</v>
      </c>
      <c r="BJ184">
        <v>3.8703880000000002</v>
      </c>
      <c r="BK184">
        <v>13.604850000000001</v>
      </c>
      <c r="BL184">
        <v>0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U184">
        <v>0</v>
      </c>
      <c r="BV184">
        <v>0</v>
      </c>
      <c r="BW184">
        <v>0</v>
      </c>
      <c r="BX184">
        <v>219.04</v>
      </c>
      <c r="BY184">
        <v>7.3046018991964931E-2</v>
      </c>
      <c r="BZ184">
        <v>4</v>
      </c>
      <c r="CA184">
        <v>3.6523009495982472E-2</v>
      </c>
      <c r="CB184">
        <v>3.9254298455334173E-2</v>
      </c>
      <c r="CE184">
        <v>0.40413338857906378</v>
      </c>
      <c r="CH184">
        <v>0.37601404609260042</v>
      </c>
    </row>
    <row r="185" spans="1:86" x14ac:dyDescent="0.3">
      <c r="A185" s="1">
        <v>176</v>
      </c>
      <c r="B185" t="s">
        <v>128</v>
      </c>
      <c r="C185" t="s">
        <v>129</v>
      </c>
      <c r="E185" t="s">
        <v>130</v>
      </c>
      <c r="F185">
        <v>3</v>
      </c>
      <c r="G185" t="s">
        <v>131</v>
      </c>
      <c r="H185" t="s">
        <v>132</v>
      </c>
      <c r="I185">
        <v>-1</v>
      </c>
      <c r="O185">
        <v>0</v>
      </c>
      <c r="Q185" t="s">
        <v>248</v>
      </c>
      <c r="T185" t="b">
        <v>0</v>
      </c>
      <c r="U185" t="s">
        <v>88</v>
      </c>
      <c r="V185" t="s">
        <v>89</v>
      </c>
      <c r="W185">
        <v>0</v>
      </c>
      <c r="X185">
        <v>49</v>
      </c>
      <c r="Y185">
        <v>2</v>
      </c>
      <c r="Z185">
        <v>10</v>
      </c>
      <c r="AC185" t="s">
        <v>90</v>
      </c>
      <c r="AD185">
        <v>100</v>
      </c>
      <c r="AE185">
        <v>290</v>
      </c>
      <c r="AF185" t="s">
        <v>91</v>
      </c>
      <c r="AG185">
        <v>333</v>
      </c>
      <c r="AH185" s="3">
        <v>1116</v>
      </c>
      <c r="AI185" s="3">
        <f>AH185/(AD185*Y185*Z185)</f>
        <v>0.55800000000000005</v>
      </c>
      <c r="AJ185" s="3">
        <f>LN(AI185)</f>
        <v>-0.58339631660082603</v>
      </c>
      <c r="AN185" t="b">
        <v>1</v>
      </c>
      <c r="AO185" t="b">
        <v>0</v>
      </c>
      <c r="AP185" t="b">
        <v>0</v>
      </c>
      <c r="AQ185" t="b">
        <v>0</v>
      </c>
      <c r="AR185" t="s">
        <v>131</v>
      </c>
      <c r="AS185" t="s">
        <v>132</v>
      </c>
      <c r="AU185">
        <v>7.0175061429412562</v>
      </c>
      <c r="AV185">
        <v>2</v>
      </c>
      <c r="AW185">
        <v>2.666666666666667</v>
      </c>
      <c r="AX185">
        <v>0.66666666666666663</v>
      </c>
      <c r="AY185">
        <v>0</v>
      </c>
      <c r="AZ185">
        <v>0.375</v>
      </c>
      <c r="BA185">
        <v>0.5</v>
      </c>
      <c r="BB185">
        <v>0.125</v>
      </c>
      <c r="BC185">
        <v>0</v>
      </c>
      <c r="BD185">
        <v>6.1770001596666662</v>
      </c>
      <c r="BE185">
        <v>4</v>
      </c>
      <c r="BF185">
        <v>1182.741260108548</v>
      </c>
      <c r="BG185">
        <v>30</v>
      </c>
      <c r="BH185">
        <v>0.1014592151701775</v>
      </c>
      <c r="BI185">
        <v>10.59112378</v>
      </c>
      <c r="BJ185">
        <v>10.784736629999999</v>
      </c>
      <c r="BK185">
        <v>10.486176179999999</v>
      </c>
      <c r="BL185">
        <v>130.36387300000001</v>
      </c>
      <c r="BM185">
        <v>4</v>
      </c>
      <c r="BN185">
        <v>0.1227333894874388</v>
      </c>
      <c r="BO185">
        <v>3.73</v>
      </c>
      <c r="BP185">
        <v>3.73</v>
      </c>
      <c r="BQ185">
        <v>9.3699999999999992</v>
      </c>
      <c r="BR185">
        <v>0</v>
      </c>
      <c r="BS185">
        <v>0</v>
      </c>
      <c r="BU185">
        <v>0</v>
      </c>
      <c r="BV185">
        <v>0</v>
      </c>
      <c r="BW185">
        <v>0</v>
      </c>
      <c r="BZ185">
        <v>2</v>
      </c>
      <c r="CB185">
        <v>5.0729607585088737E-2</v>
      </c>
      <c r="CC185">
        <v>6.1366694743719377E-2</v>
      </c>
      <c r="CE185">
        <v>0.46900407026869612</v>
      </c>
      <c r="CF185">
        <v>0.56734579634715776</v>
      </c>
    </row>
    <row r="186" spans="1:86" x14ac:dyDescent="0.3">
      <c r="A186" s="1">
        <v>59</v>
      </c>
      <c r="B186" t="s">
        <v>214</v>
      </c>
      <c r="C186" t="s">
        <v>215</v>
      </c>
      <c r="F186">
        <v>3.3</v>
      </c>
      <c r="G186" t="s">
        <v>216</v>
      </c>
      <c r="H186" t="s">
        <v>217</v>
      </c>
      <c r="I186">
        <v>-1</v>
      </c>
      <c r="N186" t="s">
        <v>206</v>
      </c>
      <c r="P186">
        <v>2</v>
      </c>
      <c r="Q186" t="s">
        <v>87</v>
      </c>
      <c r="R186">
        <v>1334</v>
      </c>
      <c r="S186">
        <v>54</v>
      </c>
      <c r="T186" t="b">
        <v>0</v>
      </c>
      <c r="U186" t="s">
        <v>88</v>
      </c>
      <c r="V186" t="s">
        <v>89</v>
      </c>
      <c r="W186">
        <v>0</v>
      </c>
      <c r="Y186">
        <v>0.5</v>
      </c>
      <c r="Z186">
        <v>12.5</v>
      </c>
      <c r="AC186" t="s">
        <v>90</v>
      </c>
      <c r="AD186">
        <v>350</v>
      </c>
      <c r="AF186" t="s">
        <v>91</v>
      </c>
      <c r="AH186" s="3">
        <v>1130</v>
      </c>
      <c r="AI186" s="3">
        <f>AH186/(AD186*Y186*Z186)</f>
        <v>0.51657142857142857</v>
      </c>
      <c r="AJ186" s="3">
        <f>LN(AI186)</f>
        <v>-0.66054170652538324</v>
      </c>
      <c r="AN186" t="b">
        <v>1</v>
      </c>
      <c r="AO186" t="b">
        <v>1</v>
      </c>
      <c r="AP186" t="b">
        <v>0</v>
      </c>
      <c r="AQ186" t="b">
        <v>0</v>
      </c>
      <c r="AR186" t="s">
        <v>216</v>
      </c>
      <c r="AS186" t="s">
        <v>217</v>
      </c>
      <c r="AU186">
        <v>7.0299729117063858</v>
      </c>
      <c r="AV186">
        <v>1.857142857142857</v>
      </c>
      <c r="AW186">
        <v>3</v>
      </c>
      <c r="AX186">
        <v>2</v>
      </c>
      <c r="AY186">
        <v>2</v>
      </c>
      <c r="AZ186">
        <v>0.20967741935483869</v>
      </c>
      <c r="BA186">
        <v>0.33870967741935482</v>
      </c>
      <c r="BB186">
        <v>0.22580645161290319</v>
      </c>
      <c r="BC186">
        <v>0.22580645161290319</v>
      </c>
      <c r="BD186">
        <v>6.1741811668214286</v>
      </c>
      <c r="BE186">
        <v>18</v>
      </c>
      <c r="BF186">
        <v>419.87909289623292</v>
      </c>
      <c r="BG186">
        <v>2</v>
      </c>
      <c r="BH186">
        <v>8.5738967738736363E-2</v>
      </c>
      <c r="BI186">
        <v>13.052871550000001</v>
      </c>
      <c r="BJ186">
        <v>13.052871550000001</v>
      </c>
      <c r="BK186">
        <v>5.7602650000000004</v>
      </c>
      <c r="BL186">
        <v>397.76722984439999</v>
      </c>
      <c r="BM186">
        <v>2</v>
      </c>
      <c r="BN186">
        <v>9.0505193235960166E-2</v>
      </c>
      <c r="BO186">
        <v>3.9390000000000001</v>
      </c>
      <c r="BP186">
        <v>3.9390000000000001</v>
      </c>
      <c r="BQ186">
        <v>25.636399999999998</v>
      </c>
      <c r="BR186">
        <v>0</v>
      </c>
      <c r="BS186">
        <v>0</v>
      </c>
      <c r="BU186">
        <v>0</v>
      </c>
      <c r="BV186">
        <v>0</v>
      </c>
      <c r="BW186">
        <v>0</v>
      </c>
      <c r="BZ186">
        <v>9</v>
      </c>
      <c r="CB186">
        <v>4.2869483869368182E-2</v>
      </c>
      <c r="CC186">
        <v>4.5252596617980083E-2</v>
      </c>
      <c r="CE186">
        <v>0.50806026761966738</v>
      </c>
      <c r="CF186">
        <v>0.53630331585689472</v>
      </c>
    </row>
    <row r="187" spans="1:86" x14ac:dyDescent="0.3">
      <c r="A187" s="1">
        <v>228</v>
      </c>
      <c r="B187" t="s">
        <v>151</v>
      </c>
      <c r="C187" t="s">
        <v>152</v>
      </c>
      <c r="E187" t="s">
        <v>106</v>
      </c>
      <c r="F187">
        <v>3.5</v>
      </c>
      <c r="G187" t="s">
        <v>142</v>
      </c>
      <c r="H187">
        <v>1522043</v>
      </c>
      <c r="I187">
        <v>-1</v>
      </c>
      <c r="J187">
        <v>8</v>
      </c>
      <c r="K187">
        <v>7.8140000000000001</v>
      </c>
      <c r="L187">
        <v>7.8140000000000001</v>
      </c>
      <c r="M187">
        <v>33.06</v>
      </c>
      <c r="O187">
        <v>16.53</v>
      </c>
      <c r="Q187" t="s">
        <v>87</v>
      </c>
      <c r="R187">
        <v>1423</v>
      </c>
      <c r="S187">
        <v>24</v>
      </c>
      <c r="T187" t="b">
        <v>0</v>
      </c>
      <c r="U187" t="s">
        <v>88</v>
      </c>
      <c r="V187" t="s">
        <v>89</v>
      </c>
      <c r="W187">
        <v>0</v>
      </c>
      <c r="X187">
        <v>12.12</v>
      </c>
      <c r="Y187">
        <v>2</v>
      </c>
      <c r="Z187">
        <v>10</v>
      </c>
      <c r="AC187" t="s">
        <v>90</v>
      </c>
      <c r="AD187">
        <v>100</v>
      </c>
      <c r="AE187">
        <v>400</v>
      </c>
      <c r="AF187" t="s">
        <v>407</v>
      </c>
      <c r="AG187">
        <v>333</v>
      </c>
      <c r="AH187" s="3">
        <v>1017.857142857143</v>
      </c>
      <c r="AI187" s="3">
        <f>AH187/(AD187*Y187*Z187)</f>
        <v>0.50892857142857151</v>
      </c>
      <c r="AJ187" s="3">
        <f>LN(AI187)</f>
        <v>-0.67544760346054422</v>
      </c>
      <c r="AK187" t="s">
        <v>153</v>
      </c>
      <c r="AL187" t="s">
        <v>153</v>
      </c>
      <c r="AN187" t="b">
        <v>1</v>
      </c>
      <c r="AO187" t="b">
        <v>1</v>
      </c>
      <c r="AP187" t="b">
        <v>0</v>
      </c>
      <c r="AQ187" t="b">
        <v>0</v>
      </c>
      <c r="AR187" t="s">
        <v>602</v>
      </c>
      <c r="AS187" t="s">
        <v>603</v>
      </c>
      <c r="AU187">
        <v>6.9254548560815383</v>
      </c>
      <c r="AV187">
        <v>1.75</v>
      </c>
      <c r="AW187">
        <v>2.5</v>
      </c>
      <c r="AX187">
        <v>0.75</v>
      </c>
      <c r="AY187">
        <v>0</v>
      </c>
      <c r="AZ187">
        <v>0.35</v>
      </c>
      <c r="BA187">
        <v>0.5</v>
      </c>
      <c r="BB187">
        <v>0.15</v>
      </c>
      <c r="BC187">
        <v>0</v>
      </c>
      <c r="BD187">
        <v>6.2395921087406876</v>
      </c>
      <c r="BE187">
        <v>20</v>
      </c>
      <c r="BF187">
        <v>242.1279024923125</v>
      </c>
      <c r="BG187">
        <v>1</v>
      </c>
      <c r="BH187">
        <v>8.2600971611006269E-2</v>
      </c>
      <c r="BI187">
        <v>3.950634</v>
      </c>
      <c r="BJ187">
        <v>3.950634</v>
      </c>
      <c r="BK187">
        <v>15.513552000000001</v>
      </c>
      <c r="BL187">
        <v>227.970829547178</v>
      </c>
      <c r="BM187">
        <v>1</v>
      </c>
      <c r="BN187">
        <v>8.7730522539775438E-2</v>
      </c>
      <c r="BO187">
        <v>3.8658999999999999</v>
      </c>
      <c r="BP187">
        <v>3.8658999999999999</v>
      </c>
      <c r="BQ187">
        <v>15.2538</v>
      </c>
      <c r="BR187">
        <v>0</v>
      </c>
      <c r="BS187">
        <v>0</v>
      </c>
      <c r="BU187">
        <v>0</v>
      </c>
      <c r="BV187">
        <v>0</v>
      </c>
      <c r="BW187">
        <v>0</v>
      </c>
      <c r="BX187">
        <v>2018.59718376</v>
      </c>
      <c r="BY187">
        <v>7.9262966027710005E-2</v>
      </c>
      <c r="BZ187">
        <v>10</v>
      </c>
      <c r="CA187">
        <v>3.9631483013855003E-2</v>
      </c>
      <c r="CB187">
        <v>4.1300485805503127E-2</v>
      </c>
      <c r="CC187">
        <v>4.3865261269887719E-2</v>
      </c>
      <c r="CE187">
        <v>0.45027090848362911</v>
      </c>
      <c r="CF187">
        <v>0.47823289866077828</v>
      </c>
      <c r="CH187">
        <v>0.43207491420898109</v>
      </c>
    </row>
    <row r="188" spans="1:86" x14ac:dyDescent="0.3">
      <c r="A188" s="1">
        <v>704</v>
      </c>
      <c r="B188" t="s">
        <v>1086</v>
      </c>
      <c r="C188" t="s">
        <v>1087</v>
      </c>
      <c r="E188" t="s">
        <v>404</v>
      </c>
      <c r="F188">
        <v>3.4</v>
      </c>
      <c r="G188" t="s">
        <v>1088</v>
      </c>
      <c r="H188">
        <v>-1</v>
      </c>
      <c r="I188">
        <v>-1</v>
      </c>
      <c r="J188">
        <v>2</v>
      </c>
      <c r="K188">
        <v>3.835</v>
      </c>
      <c r="L188">
        <v>3.835</v>
      </c>
      <c r="M188">
        <v>34.43</v>
      </c>
      <c r="N188" t="s">
        <v>101</v>
      </c>
      <c r="O188">
        <v>17.215</v>
      </c>
      <c r="Q188" t="s">
        <v>87</v>
      </c>
      <c r="R188">
        <v>1273</v>
      </c>
      <c r="S188">
        <v>10</v>
      </c>
      <c r="T188" t="b">
        <v>0</v>
      </c>
      <c r="U188" t="s">
        <v>88</v>
      </c>
      <c r="V188" t="s">
        <v>89</v>
      </c>
      <c r="W188">
        <v>0</v>
      </c>
      <c r="Y188">
        <v>0.5</v>
      </c>
      <c r="Z188">
        <v>1</v>
      </c>
      <c r="AC188" t="s">
        <v>90</v>
      </c>
      <c r="AD188">
        <v>125</v>
      </c>
      <c r="AE188">
        <v>220</v>
      </c>
      <c r="AF188" t="s">
        <v>91</v>
      </c>
      <c r="AG188">
        <v>288</v>
      </c>
      <c r="AH188" s="3">
        <v>31.08</v>
      </c>
      <c r="AI188" s="3">
        <f>AH188/(AD188*Y188*Z188)</f>
        <v>0.49728</v>
      </c>
      <c r="AJ188" s="3">
        <f>LN(AI188)</f>
        <v>-0.69860203124290909</v>
      </c>
      <c r="AK188" t="s">
        <v>136</v>
      </c>
      <c r="AN188" t="b">
        <v>1</v>
      </c>
      <c r="AO188" t="b">
        <v>0</v>
      </c>
      <c r="AP188" t="b">
        <v>0</v>
      </c>
      <c r="AQ188" t="b">
        <v>0</v>
      </c>
      <c r="AR188" t="s">
        <v>1201</v>
      </c>
      <c r="AU188">
        <v>3.4365645254994468</v>
      </c>
      <c r="AV188">
        <v>1.452054794520548</v>
      </c>
      <c r="AW188">
        <v>1.068493150684932</v>
      </c>
      <c r="AX188">
        <v>0.1095890410958904</v>
      </c>
      <c r="AY188">
        <v>0</v>
      </c>
      <c r="AZ188">
        <v>0.55208333333333337</v>
      </c>
      <c r="BA188">
        <v>0.40625000000000011</v>
      </c>
      <c r="BB188">
        <v>4.1666666666666657E-2</v>
      </c>
      <c r="BC188">
        <v>0</v>
      </c>
      <c r="BD188">
        <v>6.7613944421512322</v>
      </c>
      <c r="BE188">
        <v>20</v>
      </c>
      <c r="BF188">
        <v>1015.4396556</v>
      </c>
      <c r="BG188">
        <v>2</v>
      </c>
      <c r="BH188">
        <v>3.9391804111062523E-2</v>
      </c>
      <c r="BI188">
        <v>3.8530000000000002</v>
      </c>
      <c r="BJ188">
        <v>3.8530000000000002</v>
      </c>
      <c r="BK188">
        <v>68.400000000000006</v>
      </c>
      <c r="BL188">
        <v>0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U188">
        <v>0</v>
      </c>
      <c r="BV188">
        <v>0</v>
      </c>
      <c r="BW188">
        <v>0</v>
      </c>
      <c r="BX188">
        <v>506.36975675000002</v>
      </c>
      <c r="BY188">
        <v>7.8993659212053646E-2</v>
      </c>
      <c r="BZ188">
        <v>10</v>
      </c>
      <c r="CA188">
        <v>3.9496829606026823E-2</v>
      </c>
      <c r="CB188">
        <v>1.9695902055531261E-2</v>
      </c>
      <c r="CE188">
        <v>0.2433493705793833</v>
      </c>
      <c r="CH188">
        <v>0.48799636581298611</v>
      </c>
    </row>
    <row r="189" spans="1:86" x14ac:dyDescent="0.3">
      <c r="A189" s="1">
        <v>25</v>
      </c>
      <c r="B189" t="s">
        <v>151</v>
      </c>
      <c r="C189" t="s">
        <v>152</v>
      </c>
      <c r="E189" t="s">
        <v>106</v>
      </c>
      <c r="F189">
        <v>3.16</v>
      </c>
      <c r="G189" t="s">
        <v>142</v>
      </c>
      <c r="H189">
        <v>1522043</v>
      </c>
      <c r="I189">
        <v>-1</v>
      </c>
      <c r="J189">
        <v>4</v>
      </c>
      <c r="K189">
        <v>7.8310000000000004</v>
      </c>
      <c r="L189">
        <v>7.8010000000000002</v>
      </c>
      <c r="M189">
        <v>15.05</v>
      </c>
      <c r="N189" t="s">
        <v>122</v>
      </c>
      <c r="O189">
        <v>15.05</v>
      </c>
      <c r="P189">
        <v>3</v>
      </c>
      <c r="Q189" t="s">
        <v>87</v>
      </c>
      <c r="R189">
        <v>1473</v>
      </c>
      <c r="S189">
        <v>48</v>
      </c>
      <c r="T189" t="b">
        <v>0</v>
      </c>
      <c r="U189" t="s">
        <v>88</v>
      </c>
      <c r="V189" t="s">
        <v>89</v>
      </c>
      <c r="W189">
        <v>0</v>
      </c>
      <c r="Y189">
        <v>2.85</v>
      </c>
      <c r="Z189">
        <v>14.3</v>
      </c>
      <c r="AC189" t="s">
        <v>90</v>
      </c>
      <c r="AD189">
        <v>450</v>
      </c>
      <c r="AF189" t="s">
        <v>91</v>
      </c>
      <c r="AH189" s="3">
        <v>8900</v>
      </c>
      <c r="AI189" s="3">
        <f>AH189/(AD189*Y189*Z189)</f>
        <v>0.48528469581101158</v>
      </c>
      <c r="AJ189" s="3">
        <f>LN(AI189)</f>
        <v>-0.723019558590555</v>
      </c>
      <c r="AK189" t="s">
        <v>153</v>
      </c>
      <c r="AL189" t="s">
        <v>153</v>
      </c>
      <c r="AN189" t="b">
        <v>1</v>
      </c>
      <c r="AO189" t="b">
        <v>1</v>
      </c>
      <c r="AP189" t="b">
        <v>0</v>
      </c>
      <c r="AQ189" t="b">
        <v>0</v>
      </c>
      <c r="AR189" t="s">
        <v>154</v>
      </c>
      <c r="AS189" t="s">
        <v>155</v>
      </c>
      <c r="AU189">
        <v>9.0938065557202314</v>
      </c>
      <c r="AV189">
        <v>1.75</v>
      </c>
      <c r="AW189">
        <v>2.5</v>
      </c>
      <c r="AX189">
        <v>0.75</v>
      </c>
      <c r="AY189">
        <v>0</v>
      </c>
      <c r="AZ189">
        <v>0.35</v>
      </c>
      <c r="BA189">
        <v>0.5</v>
      </c>
      <c r="BB189">
        <v>0.15</v>
      </c>
      <c r="BC189">
        <v>0</v>
      </c>
      <c r="BD189">
        <v>6.2395921087406876</v>
      </c>
      <c r="BE189">
        <v>20</v>
      </c>
      <c r="BF189">
        <v>242.1279024923125</v>
      </c>
      <c r="BG189">
        <v>1</v>
      </c>
      <c r="BH189">
        <v>8.2600971611006269E-2</v>
      </c>
      <c r="BI189">
        <v>3.950634</v>
      </c>
      <c r="BJ189">
        <v>3.950634</v>
      </c>
      <c r="BK189">
        <v>15.513552000000001</v>
      </c>
      <c r="BL189">
        <v>227.970829547178</v>
      </c>
      <c r="BM189">
        <v>1</v>
      </c>
      <c r="BN189">
        <v>8.7730522539775438E-2</v>
      </c>
      <c r="BO189">
        <v>3.8658999999999999</v>
      </c>
      <c r="BP189">
        <v>3.8658999999999999</v>
      </c>
      <c r="BQ189">
        <v>15.2538</v>
      </c>
      <c r="BR189">
        <v>0</v>
      </c>
      <c r="BS189">
        <v>0</v>
      </c>
      <c r="BU189">
        <v>0</v>
      </c>
      <c r="BV189">
        <v>0</v>
      </c>
      <c r="BW189">
        <v>0</v>
      </c>
      <c r="BX189">
        <v>919.39894655000012</v>
      </c>
      <c r="BY189">
        <v>8.7013369223660861E-2</v>
      </c>
      <c r="BZ189">
        <v>10</v>
      </c>
      <c r="CA189">
        <v>4.350668461183043E-2</v>
      </c>
      <c r="CB189">
        <v>4.1300485805503127E-2</v>
      </c>
      <c r="CC189">
        <v>4.3865261269887719E-2</v>
      </c>
      <c r="CE189">
        <v>0.45027090848362911</v>
      </c>
      <c r="CF189">
        <v>0.47823289866077828</v>
      </c>
      <c r="CH189">
        <v>0.47432358296059918</v>
      </c>
    </row>
    <row r="190" spans="1:86" x14ac:dyDescent="0.3">
      <c r="A190" s="1">
        <v>517</v>
      </c>
      <c r="B190" t="s">
        <v>372</v>
      </c>
      <c r="C190" t="s">
        <v>944</v>
      </c>
      <c r="E190" t="s">
        <v>372</v>
      </c>
      <c r="F190">
        <v>3.45</v>
      </c>
      <c r="G190" t="s">
        <v>373</v>
      </c>
      <c r="H190">
        <v>-1</v>
      </c>
      <c r="I190">
        <v>-1</v>
      </c>
      <c r="J190">
        <v>2</v>
      </c>
      <c r="K190">
        <v>3.71</v>
      </c>
      <c r="L190">
        <v>3.71</v>
      </c>
      <c r="M190">
        <v>12.2</v>
      </c>
      <c r="N190" t="s">
        <v>529</v>
      </c>
      <c r="O190">
        <v>12.2</v>
      </c>
      <c r="Q190" t="s">
        <v>87</v>
      </c>
      <c r="R190">
        <v>1098</v>
      </c>
      <c r="S190">
        <v>12</v>
      </c>
      <c r="T190" t="b">
        <v>0</v>
      </c>
      <c r="U190" t="s">
        <v>88</v>
      </c>
      <c r="V190" t="s">
        <v>89</v>
      </c>
      <c r="W190">
        <v>0</v>
      </c>
      <c r="X190">
        <v>9.6999999999999993</v>
      </c>
      <c r="Y190">
        <v>0.5</v>
      </c>
      <c r="Z190">
        <v>1</v>
      </c>
      <c r="AC190" t="s">
        <v>90</v>
      </c>
      <c r="AD190">
        <v>125</v>
      </c>
      <c r="AE190">
        <v>220</v>
      </c>
      <c r="AF190" t="s">
        <v>91</v>
      </c>
      <c r="AG190">
        <v>288</v>
      </c>
      <c r="AH190" s="3">
        <v>29.2</v>
      </c>
      <c r="AI190" s="3">
        <f>AH190/(AD190*Y190*Z190)</f>
        <v>0.4672</v>
      </c>
      <c r="AJ190" s="3">
        <f>LN(AI190)</f>
        <v>-0.76099784746811971</v>
      </c>
      <c r="AK190" t="s">
        <v>136</v>
      </c>
      <c r="AN190" t="b">
        <v>1</v>
      </c>
      <c r="AO190" t="b">
        <v>0</v>
      </c>
      <c r="AP190" t="b">
        <v>0</v>
      </c>
      <c r="AQ190" t="b">
        <v>0</v>
      </c>
      <c r="AR190" t="s">
        <v>945</v>
      </c>
      <c r="AS190">
        <v>-1</v>
      </c>
      <c r="AU190">
        <v>3.3741687092742358</v>
      </c>
      <c r="AV190">
        <v>1.857142857142857</v>
      </c>
      <c r="AW190">
        <v>2.285714285714286</v>
      </c>
      <c r="AX190">
        <v>0.42857142857142849</v>
      </c>
      <c r="AY190">
        <v>0</v>
      </c>
      <c r="AZ190">
        <v>0.40625000000000011</v>
      </c>
      <c r="BA190">
        <v>0.5</v>
      </c>
      <c r="BB190">
        <v>9.375E-2</v>
      </c>
      <c r="BC190">
        <v>0</v>
      </c>
      <c r="BD190">
        <v>6.2648152075501429</v>
      </c>
      <c r="BE190">
        <v>8</v>
      </c>
      <c r="BF190">
        <v>203.79933701026059</v>
      </c>
      <c r="BG190">
        <v>2</v>
      </c>
      <c r="BH190">
        <v>7.8508596910668346E-2</v>
      </c>
      <c r="BI190">
        <v>3.8703880000000002</v>
      </c>
      <c r="BJ190">
        <v>3.8703880000000002</v>
      </c>
      <c r="BK190">
        <v>13.604850000000001</v>
      </c>
      <c r="BL190">
        <v>0</v>
      </c>
      <c r="BM190">
        <v>0</v>
      </c>
      <c r="BO190">
        <v>0</v>
      </c>
      <c r="BR190">
        <v>0</v>
      </c>
      <c r="BS190">
        <v>0</v>
      </c>
      <c r="BU190">
        <v>0</v>
      </c>
      <c r="BV190">
        <v>0</v>
      </c>
      <c r="BW190">
        <v>0</v>
      </c>
      <c r="BX190">
        <v>167.92202</v>
      </c>
      <c r="BY190">
        <v>9.5282322115944076E-2</v>
      </c>
      <c r="BZ190">
        <v>4</v>
      </c>
      <c r="CA190">
        <v>4.7641161057972038E-2</v>
      </c>
      <c r="CB190">
        <v>3.9254298455334173E-2</v>
      </c>
      <c r="CE190">
        <v>0.41209139981608062</v>
      </c>
      <c r="CH190">
        <v>0.50013663526765251</v>
      </c>
    </row>
    <row r="191" spans="1:86" x14ac:dyDescent="0.3">
      <c r="A191" s="1">
        <v>526</v>
      </c>
      <c r="B191" t="s">
        <v>970</v>
      </c>
      <c r="C191" t="s">
        <v>971</v>
      </c>
      <c r="E191" t="s">
        <v>372</v>
      </c>
      <c r="F191">
        <v>3.48</v>
      </c>
      <c r="G191" t="s">
        <v>373</v>
      </c>
      <c r="H191">
        <v>-1</v>
      </c>
      <c r="I191" t="s">
        <v>754</v>
      </c>
      <c r="J191">
        <v>2</v>
      </c>
      <c r="K191">
        <v>3.68</v>
      </c>
      <c r="L191">
        <v>3.68</v>
      </c>
      <c r="M191">
        <v>12.1</v>
      </c>
      <c r="N191" t="s">
        <v>529</v>
      </c>
      <c r="O191">
        <v>12.1</v>
      </c>
      <c r="Q191" t="s">
        <v>87</v>
      </c>
      <c r="R191">
        <v>1098</v>
      </c>
      <c r="S191">
        <v>12</v>
      </c>
      <c r="T191" t="b">
        <v>0</v>
      </c>
      <c r="U191" t="s">
        <v>88</v>
      </c>
      <c r="V191" t="s">
        <v>89</v>
      </c>
      <c r="W191">
        <v>0</v>
      </c>
      <c r="X191">
        <v>8.5</v>
      </c>
      <c r="Y191">
        <v>0.5</v>
      </c>
      <c r="Z191">
        <v>1</v>
      </c>
      <c r="AC191" t="s">
        <v>90</v>
      </c>
      <c r="AD191">
        <v>125</v>
      </c>
      <c r="AE191">
        <v>220</v>
      </c>
      <c r="AF191" t="s">
        <v>91</v>
      </c>
      <c r="AG191">
        <v>288</v>
      </c>
      <c r="AH191" s="3">
        <v>29.2</v>
      </c>
      <c r="AI191" s="3">
        <f>AH191/(AD191*Y191*Z191)</f>
        <v>0.4672</v>
      </c>
      <c r="AJ191" s="3">
        <f>LN(AI191)</f>
        <v>-0.76099784746811971</v>
      </c>
      <c r="AK191" t="s">
        <v>972</v>
      </c>
      <c r="AN191" t="b">
        <v>1</v>
      </c>
      <c r="AO191" t="b">
        <v>0</v>
      </c>
      <c r="AP191" t="b">
        <v>0</v>
      </c>
      <c r="AQ191" t="b">
        <v>0</v>
      </c>
      <c r="AR191" t="s">
        <v>973</v>
      </c>
      <c r="AS191">
        <v>-1</v>
      </c>
      <c r="AT191" t="s">
        <v>754</v>
      </c>
      <c r="AU191">
        <v>3.3741687092742358</v>
      </c>
      <c r="AV191">
        <v>1.857142857142857</v>
      </c>
      <c r="AW191">
        <v>2.285714285714286</v>
      </c>
      <c r="AX191">
        <v>0.2857142857142857</v>
      </c>
      <c r="AY191">
        <v>0.5714285714285714</v>
      </c>
      <c r="AZ191">
        <v>0.37142857142857139</v>
      </c>
      <c r="BA191">
        <v>0.45714285714285707</v>
      </c>
      <c r="BB191">
        <v>5.7142857142857141E-2</v>
      </c>
      <c r="BC191">
        <v>0.1142857142857143</v>
      </c>
      <c r="BD191">
        <v>6.2282471432644284</v>
      </c>
      <c r="BE191">
        <v>8</v>
      </c>
      <c r="BF191">
        <v>203.79933701026059</v>
      </c>
      <c r="BG191">
        <v>2</v>
      </c>
      <c r="BH191">
        <v>7.8508596910668346E-2</v>
      </c>
      <c r="BI191">
        <v>3.8703880000000002</v>
      </c>
      <c r="BJ191">
        <v>3.8703880000000002</v>
      </c>
      <c r="BK191">
        <v>13.604850000000001</v>
      </c>
      <c r="BL191">
        <v>0</v>
      </c>
      <c r="BM191">
        <v>0</v>
      </c>
      <c r="BO191">
        <v>0</v>
      </c>
      <c r="BR191">
        <v>0</v>
      </c>
      <c r="BS191">
        <v>0</v>
      </c>
      <c r="BU191">
        <v>0</v>
      </c>
      <c r="BV191">
        <v>0</v>
      </c>
      <c r="BW191">
        <v>0</v>
      </c>
      <c r="BX191">
        <v>163.86304000000001</v>
      </c>
      <c r="BY191">
        <v>9.7642519020762694E-2</v>
      </c>
      <c r="BZ191">
        <v>4</v>
      </c>
      <c r="CA191">
        <v>4.8821259510381347E-2</v>
      </c>
      <c r="CB191">
        <v>3.9254298455334173E-2</v>
      </c>
      <c r="CE191">
        <v>0.40413338857906378</v>
      </c>
      <c r="CH191">
        <v>0.50262778388661167</v>
      </c>
    </row>
    <row r="192" spans="1:86" x14ac:dyDescent="0.3">
      <c r="A192" s="1">
        <v>680</v>
      </c>
      <c r="B192" t="s">
        <v>372</v>
      </c>
      <c r="C192" t="s">
        <v>944</v>
      </c>
      <c r="E192" t="s">
        <v>372</v>
      </c>
      <c r="F192">
        <v>3.45</v>
      </c>
      <c r="G192" t="s">
        <v>373</v>
      </c>
      <c r="H192">
        <v>-1</v>
      </c>
      <c r="I192" t="s">
        <v>901</v>
      </c>
      <c r="J192">
        <v>2</v>
      </c>
      <c r="K192">
        <v>3.7</v>
      </c>
      <c r="L192">
        <v>3.7</v>
      </c>
      <c r="M192">
        <v>12.2</v>
      </c>
      <c r="O192">
        <v>12.2</v>
      </c>
      <c r="Q192" t="s">
        <v>87</v>
      </c>
      <c r="R192">
        <v>1098</v>
      </c>
      <c r="S192">
        <v>12</v>
      </c>
      <c r="T192" t="b">
        <v>0</v>
      </c>
      <c r="U192" t="s">
        <v>88</v>
      </c>
      <c r="V192" t="s">
        <v>89</v>
      </c>
      <c r="W192">
        <v>0</v>
      </c>
      <c r="X192">
        <v>9.6999999999999993</v>
      </c>
      <c r="Y192">
        <v>0.5</v>
      </c>
      <c r="Z192">
        <v>1</v>
      </c>
      <c r="AC192" t="s">
        <v>90</v>
      </c>
      <c r="AD192">
        <v>125</v>
      </c>
      <c r="AE192">
        <v>220</v>
      </c>
      <c r="AF192" t="s">
        <v>91</v>
      </c>
      <c r="AG192">
        <v>288</v>
      </c>
      <c r="AH192" s="3">
        <v>29.2</v>
      </c>
      <c r="AI192" s="3">
        <f>AH192/(AD192*Y192*Z192)</f>
        <v>0.4672</v>
      </c>
      <c r="AJ192" s="3">
        <f>LN(AI192)</f>
        <v>-0.76099784746811971</v>
      </c>
      <c r="AK192" t="s">
        <v>136</v>
      </c>
      <c r="AN192" t="b">
        <v>1</v>
      </c>
      <c r="AO192" t="b">
        <v>0</v>
      </c>
      <c r="AP192" t="b">
        <v>0</v>
      </c>
      <c r="AQ192" t="b">
        <v>0</v>
      </c>
      <c r="AR192" t="s">
        <v>1181</v>
      </c>
      <c r="AT192" t="s">
        <v>901</v>
      </c>
      <c r="AU192">
        <v>3.3741687092742358</v>
      </c>
      <c r="AV192">
        <v>1.857142857142857</v>
      </c>
      <c r="AW192">
        <v>2.285714285714286</v>
      </c>
      <c r="AX192">
        <v>0.42857142857142849</v>
      </c>
      <c r="AY192">
        <v>0</v>
      </c>
      <c r="AZ192">
        <v>0.40625000000000011</v>
      </c>
      <c r="BA192">
        <v>0.5</v>
      </c>
      <c r="BB192">
        <v>9.375E-2</v>
      </c>
      <c r="BC192">
        <v>0</v>
      </c>
      <c r="BD192">
        <v>6.2648152075501429</v>
      </c>
      <c r="BE192">
        <v>8</v>
      </c>
      <c r="BF192">
        <v>203.79933701026059</v>
      </c>
      <c r="BG192">
        <v>2</v>
      </c>
      <c r="BH192">
        <v>7.8508596910668346E-2</v>
      </c>
      <c r="BI192">
        <v>3.8703880000000002</v>
      </c>
      <c r="BJ192">
        <v>3.8703880000000002</v>
      </c>
      <c r="BK192">
        <v>13.604850000000001</v>
      </c>
      <c r="BL192">
        <v>0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U192">
        <v>0</v>
      </c>
      <c r="BV192">
        <v>0</v>
      </c>
      <c r="BW192">
        <v>0</v>
      </c>
      <c r="BX192">
        <v>167.018</v>
      </c>
      <c r="BY192">
        <v>9.579805769438024E-2</v>
      </c>
      <c r="BZ192">
        <v>4</v>
      </c>
      <c r="CA192">
        <v>4.789902884719012E-2</v>
      </c>
      <c r="CB192">
        <v>3.9254298455334173E-2</v>
      </c>
      <c r="CE192">
        <v>0.41209139981608062</v>
      </c>
      <c r="CH192">
        <v>0.50284372983838532</v>
      </c>
    </row>
    <row r="193" spans="1:86" x14ac:dyDescent="0.3">
      <c r="A193" s="1">
        <v>681</v>
      </c>
      <c r="B193" t="s">
        <v>970</v>
      </c>
      <c r="C193" t="s">
        <v>971</v>
      </c>
      <c r="E193" t="s">
        <v>372</v>
      </c>
      <c r="F193">
        <v>3.48</v>
      </c>
      <c r="G193" t="s">
        <v>373</v>
      </c>
      <c r="H193">
        <v>-1</v>
      </c>
      <c r="I193" t="s">
        <v>754</v>
      </c>
      <c r="J193">
        <v>2</v>
      </c>
      <c r="K193">
        <v>3.7</v>
      </c>
      <c r="L193">
        <v>3.7</v>
      </c>
      <c r="M193">
        <v>12.1</v>
      </c>
      <c r="O193">
        <v>12.1</v>
      </c>
      <c r="Q193" t="s">
        <v>87</v>
      </c>
      <c r="R193">
        <v>1098</v>
      </c>
      <c r="S193">
        <v>12</v>
      </c>
      <c r="T193" t="b">
        <v>0</v>
      </c>
      <c r="U193" t="s">
        <v>88</v>
      </c>
      <c r="V193" t="s">
        <v>89</v>
      </c>
      <c r="W193">
        <v>0</v>
      </c>
      <c r="X193">
        <v>8.6</v>
      </c>
      <c r="Y193">
        <v>0.5</v>
      </c>
      <c r="Z193">
        <v>1</v>
      </c>
      <c r="AC193" t="s">
        <v>90</v>
      </c>
      <c r="AD193">
        <v>125</v>
      </c>
      <c r="AE193">
        <v>220</v>
      </c>
      <c r="AF193" t="s">
        <v>91</v>
      </c>
      <c r="AG193">
        <v>288</v>
      </c>
      <c r="AH193" s="3">
        <v>29.2</v>
      </c>
      <c r="AI193" s="3">
        <f>AH193/(AD193*Y193*Z193)</f>
        <v>0.4672</v>
      </c>
      <c r="AJ193" s="3">
        <f>LN(AI193)</f>
        <v>-0.76099784746811971</v>
      </c>
      <c r="AK193" t="s">
        <v>972</v>
      </c>
      <c r="AN193" t="b">
        <v>1</v>
      </c>
      <c r="AO193" t="b">
        <v>0</v>
      </c>
      <c r="AP193" t="b">
        <v>0</v>
      </c>
      <c r="AQ193" t="b">
        <v>0</v>
      </c>
      <c r="AR193" t="s">
        <v>1182</v>
      </c>
      <c r="AT193" t="s">
        <v>754</v>
      </c>
      <c r="AU193">
        <v>3.3741687092742358</v>
      </c>
      <c r="AV193">
        <v>1.857142857142857</v>
      </c>
      <c r="AW193">
        <v>2.285714285714286</v>
      </c>
      <c r="AX193">
        <v>0.2857142857142857</v>
      </c>
      <c r="AY193">
        <v>0.5714285714285714</v>
      </c>
      <c r="AZ193">
        <v>0.37142857142857139</v>
      </c>
      <c r="BA193">
        <v>0.45714285714285707</v>
      </c>
      <c r="BB193">
        <v>5.7142857142857141E-2</v>
      </c>
      <c r="BC193">
        <v>0.1142857142857143</v>
      </c>
      <c r="BD193">
        <v>6.2282471432644284</v>
      </c>
      <c r="BE193">
        <v>8</v>
      </c>
      <c r="BF193">
        <v>203.79933701026059</v>
      </c>
      <c r="BG193">
        <v>2</v>
      </c>
      <c r="BH193">
        <v>7.8508596910668346E-2</v>
      </c>
      <c r="BI193">
        <v>3.8703880000000002</v>
      </c>
      <c r="BJ193">
        <v>3.8703880000000002</v>
      </c>
      <c r="BK193">
        <v>13.604850000000001</v>
      </c>
      <c r="BL193">
        <v>0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U193">
        <v>0</v>
      </c>
      <c r="BV193">
        <v>0</v>
      </c>
      <c r="BW193">
        <v>0</v>
      </c>
      <c r="BX193">
        <v>165.649</v>
      </c>
      <c r="BY193">
        <v>9.658977717945777E-2</v>
      </c>
      <c r="BZ193">
        <v>4</v>
      </c>
      <c r="CA193">
        <v>4.8294888589728878E-2</v>
      </c>
      <c r="CB193">
        <v>3.9254298455334173E-2</v>
      </c>
      <c r="CE193">
        <v>0.40413338857906378</v>
      </c>
      <c r="CH193">
        <v>0.49720865599021552</v>
      </c>
    </row>
    <row r="194" spans="1:86" x14ac:dyDescent="0.3">
      <c r="A194" s="1">
        <v>230</v>
      </c>
      <c r="B194" t="s">
        <v>609</v>
      </c>
      <c r="C194" t="s">
        <v>610</v>
      </c>
      <c r="E194" t="s">
        <v>106</v>
      </c>
      <c r="F194">
        <v>3.8</v>
      </c>
      <c r="G194" t="s">
        <v>142</v>
      </c>
      <c r="H194">
        <v>1522043</v>
      </c>
      <c r="I194">
        <v>-1</v>
      </c>
      <c r="J194">
        <v>8</v>
      </c>
      <c r="K194">
        <v>7.8140000000000001</v>
      </c>
      <c r="L194">
        <v>7.8140000000000001</v>
      </c>
      <c r="M194">
        <v>32.42</v>
      </c>
      <c r="O194">
        <v>16.21</v>
      </c>
      <c r="Q194" t="s">
        <v>87</v>
      </c>
      <c r="R194">
        <v>1423</v>
      </c>
      <c r="S194">
        <v>24</v>
      </c>
      <c r="T194" t="b">
        <v>0</v>
      </c>
      <c r="U194" t="s">
        <v>88</v>
      </c>
      <c r="V194" t="s">
        <v>89</v>
      </c>
      <c r="W194">
        <v>0</v>
      </c>
      <c r="X194">
        <v>11.82</v>
      </c>
      <c r="Y194">
        <v>2</v>
      </c>
      <c r="Z194">
        <v>10</v>
      </c>
      <c r="AC194" t="s">
        <v>90</v>
      </c>
      <c r="AD194">
        <v>100</v>
      </c>
      <c r="AE194">
        <v>400</v>
      </c>
      <c r="AF194" t="s">
        <v>407</v>
      </c>
      <c r="AG194">
        <v>333</v>
      </c>
      <c r="AH194" s="3">
        <v>928.57142857142867</v>
      </c>
      <c r="AI194" s="3">
        <f>AH194/(AD194*Y194*Z194)</f>
        <v>0.46428571428571436</v>
      </c>
      <c r="AJ194" s="3">
        <f>LN(AI194)</f>
        <v>-0.76725515271366707</v>
      </c>
      <c r="AK194" t="s">
        <v>611</v>
      </c>
      <c r="AL194" t="s">
        <v>611</v>
      </c>
      <c r="AN194" t="b">
        <v>1</v>
      </c>
      <c r="AO194" t="b">
        <v>1</v>
      </c>
      <c r="AP194" t="b">
        <v>0</v>
      </c>
      <c r="AQ194" t="b">
        <v>0</v>
      </c>
      <c r="AR194" t="s">
        <v>612</v>
      </c>
      <c r="AS194" t="s">
        <v>613</v>
      </c>
      <c r="AU194">
        <v>6.8336473068284151</v>
      </c>
      <c r="AV194">
        <v>1.84375</v>
      </c>
      <c r="AW194">
        <v>2.5</v>
      </c>
      <c r="AX194">
        <v>0.65625</v>
      </c>
      <c r="AY194">
        <v>1.3125</v>
      </c>
      <c r="AZ194">
        <v>0.29207920792079212</v>
      </c>
      <c r="BA194">
        <v>0.39603960396039611</v>
      </c>
      <c r="BB194">
        <v>0.103960396039604</v>
      </c>
      <c r="BC194">
        <v>0.20792079207920791</v>
      </c>
      <c r="BD194">
        <v>6.2490689788969371</v>
      </c>
      <c r="BE194">
        <v>20</v>
      </c>
      <c r="BF194">
        <v>242.1279024923125</v>
      </c>
      <c r="BG194">
        <v>1</v>
      </c>
      <c r="BH194">
        <v>8.2600971611006269E-2</v>
      </c>
      <c r="BI194">
        <v>3.950634</v>
      </c>
      <c r="BJ194">
        <v>3.950634</v>
      </c>
      <c r="BK194">
        <v>15.513552000000001</v>
      </c>
      <c r="BL194">
        <v>227.970829547178</v>
      </c>
      <c r="BM194">
        <v>1</v>
      </c>
      <c r="BN194">
        <v>8.7730522539775438E-2</v>
      </c>
      <c r="BO194">
        <v>3.8658999999999999</v>
      </c>
      <c r="BP194">
        <v>3.8658999999999999</v>
      </c>
      <c r="BQ194">
        <v>15.2538</v>
      </c>
      <c r="BR194">
        <v>0</v>
      </c>
      <c r="BS194">
        <v>0</v>
      </c>
      <c r="BU194">
        <v>0</v>
      </c>
      <c r="BV194">
        <v>0</v>
      </c>
      <c r="BW194">
        <v>0</v>
      </c>
      <c r="BX194">
        <v>1979.5196823199999</v>
      </c>
      <c r="BY194">
        <v>8.082768836755376E-2</v>
      </c>
      <c r="BZ194">
        <v>10</v>
      </c>
      <c r="CA194">
        <v>4.041384418377688E-2</v>
      </c>
      <c r="CB194">
        <v>4.1300485805503127E-2</v>
      </c>
      <c r="CC194">
        <v>4.3865261269887719E-2</v>
      </c>
      <c r="CE194">
        <v>0.45027090848362911</v>
      </c>
      <c r="CF194">
        <v>0.47823289866077828</v>
      </c>
      <c r="CH194">
        <v>0.44060446217609239</v>
      </c>
    </row>
    <row r="195" spans="1:86" x14ac:dyDescent="0.3">
      <c r="A195" s="1">
        <v>249</v>
      </c>
      <c r="B195" t="s">
        <v>140</v>
      </c>
      <c r="C195" t="s">
        <v>141</v>
      </c>
      <c r="E195" t="s">
        <v>106</v>
      </c>
      <c r="F195">
        <v>3.75</v>
      </c>
      <c r="G195" t="s">
        <v>590</v>
      </c>
      <c r="H195" t="s">
        <v>591</v>
      </c>
      <c r="I195">
        <v>-1</v>
      </c>
      <c r="J195">
        <v>2</v>
      </c>
      <c r="K195">
        <v>3.8530000000000002</v>
      </c>
      <c r="L195">
        <v>3.8530000000000002</v>
      </c>
      <c r="M195">
        <v>29</v>
      </c>
      <c r="O195">
        <v>14.5</v>
      </c>
      <c r="P195">
        <v>3</v>
      </c>
      <c r="Q195" t="s">
        <v>87</v>
      </c>
      <c r="R195">
        <v>1423</v>
      </c>
      <c r="S195">
        <v>24</v>
      </c>
      <c r="T195" t="b">
        <v>0</v>
      </c>
      <c r="U195" t="s">
        <v>88</v>
      </c>
      <c r="V195" t="s">
        <v>89</v>
      </c>
      <c r="W195">
        <v>0</v>
      </c>
      <c r="X195">
        <v>2.83</v>
      </c>
      <c r="Y195">
        <v>2</v>
      </c>
      <c r="Z195">
        <v>10</v>
      </c>
      <c r="AC195" t="s">
        <v>90</v>
      </c>
      <c r="AD195">
        <v>100</v>
      </c>
      <c r="AE195">
        <v>290</v>
      </c>
      <c r="AF195" t="s">
        <v>407</v>
      </c>
      <c r="AG195">
        <v>333</v>
      </c>
      <c r="AH195" s="3">
        <v>928</v>
      </c>
      <c r="AI195" s="3">
        <f>AH195/(AD195*Y195*Z195)</f>
        <v>0.46400000000000002</v>
      </c>
      <c r="AJ195" s="3">
        <f>LN(AI195)</f>
        <v>-0.76787072675588175</v>
      </c>
      <c r="AK195" t="s">
        <v>634</v>
      </c>
      <c r="AN195" t="b">
        <v>1</v>
      </c>
      <c r="AO195" t="b">
        <v>0</v>
      </c>
      <c r="AP195" t="b">
        <v>0</v>
      </c>
      <c r="AQ195" t="b">
        <v>0</v>
      </c>
      <c r="AR195" t="s">
        <v>635</v>
      </c>
      <c r="AS195" t="s">
        <v>591</v>
      </c>
      <c r="AU195">
        <v>6.8330317327862007</v>
      </c>
      <c r="AV195">
        <v>1.75</v>
      </c>
      <c r="AW195">
        <v>2.5</v>
      </c>
      <c r="AX195">
        <v>0.75</v>
      </c>
      <c r="AY195">
        <v>0</v>
      </c>
      <c r="AZ195">
        <v>0.35</v>
      </c>
      <c r="BA195">
        <v>0.5</v>
      </c>
      <c r="BB195">
        <v>0.15</v>
      </c>
      <c r="BC195">
        <v>0</v>
      </c>
      <c r="BD195">
        <v>6.2640154224906874</v>
      </c>
      <c r="BE195">
        <v>20</v>
      </c>
      <c r="BF195">
        <v>235.24089263777751</v>
      </c>
      <c r="BG195">
        <v>1</v>
      </c>
      <c r="BH195">
        <v>8.5019231884976218E-2</v>
      </c>
      <c r="BI195">
        <v>3.9408639999999999</v>
      </c>
      <c r="BJ195">
        <v>3.9455239999999989</v>
      </c>
      <c r="BK195">
        <v>15.25730117</v>
      </c>
      <c r="BL195">
        <v>443.39967116280002</v>
      </c>
      <c r="BM195">
        <v>2</v>
      </c>
      <c r="BN195">
        <v>9.0212065099420147E-2</v>
      </c>
      <c r="BO195">
        <v>3.8656999999999999</v>
      </c>
      <c r="BP195">
        <v>29.777000000000001</v>
      </c>
      <c r="BQ195">
        <v>3.8519999999999999</v>
      </c>
      <c r="BR195">
        <v>0</v>
      </c>
      <c r="BS195">
        <v>0</v>
      </c>
      <c r="BU195">
        <v>0</v>
      </c>
      <c r="BV195">
        <v>0</v>
      </c>
      <c r="BW195">
        <v>0</v>
      </c>
      <c r="BX195">
        <v>430.52266100000003</v>
      </c>
      <c r="BY195">
        <v>9.2910324179195758E-2</v>
      </c>
      <c r="BZ195">
        <v>10</v>
      </c>
      <c r="CA195">
        <v>4.6455162089597879E-2</v>
      </c>
      <c r="CB195">
        <v>4.2509615942488109E-2</v>
      </c>
      <c r="CC195">
        <v>4.5106032549710073E-2</v>
      </c>
      <c r="CE195">
        <v>0.43430687840757631</v>
      </c>
      <c r="CF195">
        <v>0.46083361986893789</v>
      </c>
      <c r="CH195">
        <v>0.47461723625890589</v>
      </c>
    </row>
    <row r="196" spans="1:86" x14ac:dyDescent="0.3">
      <c r="A196" s="1">
        <v>705</v>
      </c>
      <c r="B196" t="s">
        <v>1086</v>
      </c>
      <c r="C196" t="s">
        <v>1087</v>
      </c>
      <c r="E196" t="s">
        <v>404</v>
      </c>
      <c r="F196">
        <v>3.4</v>
      </c>
      <c r="G196" t="s">
        <v>1088</v>
      </c>
      <c r="H196">
        <v>-1</v>
      </c>
      <c r="I196">
        <v>-1</v>
      </c>
      <c r="J196">
        <v>2</v>
      </c>
      <c r="K196">
        <v>3.835</v>
      </c>
      <c r="L196">
        <v>3.835</v>
      </c>
      <c r="M196">
        <v>34.43</v>
      </c>
      <c r="N196" t="s">
        <v>101</v>
      </c>
      <c r="O196">
        <v>17.215</v>
      </c>
      <c r="Q196" t="s">
        <v>87</v>
      </c>
      <c r="R196">
        <v>1273</v>
      </c>
      <c r="S196">
        <v>10</v>
      </c>
      <c r="T196" t="b">
        <v>0</v>
      </c>
      <c r="U196" t="s">
        <v>88</v>
      </c>
      <c r="V196" t="s">
        <v>89</v>
      </c>
      <c r="W196">
        <v>0</v>
      </c>
      <c r="Y196">
        <v>0.5</v>
      </c>
      <c r="Z196">
        <v>2</v>
      </c>
      <c r="AC196" t="s">
        <v>90</v>
      </c>
      <c r="AD196">
        <v>125</v>
      </c>
      <c r="AE196">
        <v>220</v>
      </c>
      <c r="AF196" t="s">
        <v>91</v>
      </c>
      <c r="AG196">
        <v>288</v>
      </c>
      <c r="AH196" s="3">
        <v>56.719999999999992</v>
      </c>
      <c r="AI196" s="3">
        <f>AH196/(AD196*Y196*Z196)</f>
        <v>0.45375999999999994</v>
      </c>
      <c r="AJ196" s="3">
        <f>LN(AI196)</f>
        <v>-0.79018685507842923</v>
      </c>
      <c r="AK196" t="s">
        <v>136</v>
      </c>
      <c r="AN196" t="b">
        <v>1</v>
      </c>
      <c r="AO196" t="b">
        <v>0</v>
      </c>
      <c r="AP196" t="b">
        <v>0</v>
      </c>
      <c r="AQ196" t="b">
        <v>0</v>
      </c>
      <c r="AR196" t="s">
        <v>1202</v>
      </c>
      <c r="AU196">
        <v>4.0381268822238718</v>
      </c>
      <c r="AV196">
        <v>1.452054794520548</v>
      </c>
      <c r="AW196">
        <v>1.068493150684932</v>
      </c>
      <c r="AX196">
        <v>0.1095890410958904</v>
      </c>
      <c r="AY196">
        <v>0</v>
      </c>
      <c r="AZ196">
        <v>0.55208333333333337</v>
      </c>
      <c r="BA196">
        <v>0.40625000000000011</v>
      </c>
      <c r="BB196">
        <v>4.1666666666666657E-2</v>
      </c>
      <c r="BC196">
        <v>0</v>
      </c>
      <c r="BD196">
        <v>6.7613944421512322</v>
      </c>
      <c r="BE196">
        <v>20</v>
      </c>
      <c r="BF196">
        <v>1015.4396556</v>
      </c>
      <c r="BG196">
        <v>2</v>
      </c>
      <c r="BH196">
        <v>3.9391804111062523E-2</v>
      </c>
      <c r="BI196">
        <v>3.8530000000000002</v>
      </c>
      <c r="BJ196">
        <v>3.8530000000000002</v>
      </c>
      <c r="BK196">
        <v>68.400000000000006</v>
      </c>
      <c r="BL196">
        <v>0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U196">
        <v>0</v>
      </c>
      <c r="BV196">
        <v>0</v>
      </c>
      <c r="BW196">
        <v>0</v>
      </c>
      <c r="BX196">
        <v>506.36975675000002</v>
      </c>
      <c r="BY196">
        <v>7.8993659212053646E-2</v>
      </c>
      <c r="BZ196">
        <v>10</v>
      </c>
      <c r="CA196">
        <v>3.9496829606026823E-2</v>
      </c>
      <c r="CB196">
        <v>1.9695902055531261E-2</v>
      </c>
      <c r="CE196">
        <v>0.2433493705793833</v>
      </c>
      <c r="CH196">
        <v>0.48799636581298611</v>
      </c>
    </row>
    <row r="197" spans="1:86" x14ac:dyDescent="0.3">
      <c r="A197" s="1">
        <v>231</v>
      </c>
      <c r="B197" t="s">
        <v>614</v>
      </c>
      <c r="C197" t="s">
        <v>615</v>
      </c>
      <c r="E197" t="s">
        <v>106</v>
      </c>
      <c r="F197">
        <v>3.92</v>
      </c>
      <c r="G197" t="s">
        <v>142</v>
      </c>
      <c r="H197">
        <v>1522043</v>
      </c>
      <c r="I197">
        <v>-1</v>
      </c>
      <c r="J197">
        <v>8</v>
      </c>
      <c r="K197">
        <v>7.8140000000000001</v>
      </c>
      <c r="L197">
        <v>7.8140000000000001</v>
      </c>
      <c r="M197">
        <v>32.58</v>
      </c>
      <c r="O197">
        <v>16.29</v>
      </c>
      <c r="Q197" t="s">
        <v>87</v>
      </c>
      <c r="R197">
        <v>1423</v>
      </c>
      <c r="S197">
        <v>24</v>
      </c>
      <c r="T197" t="b">
        <v>0</v>
      </c>
      <c r="U197" t="s">
        <v>88</v>
      </c>
      <c r="V197" t="s">
        <v>89</v>
      </c>
      <c r="W197">
        <v>0</v>
      </c>
      <c r="X197">
        <v>11.08</v>
      </c>
      <c r="Y197">
        <v>2</v>
      </c>
      <c r="Z197">
        <v>10</v>
      </c>
      <c r="AC197" t="s">
        <v>90</v>
      </c>
      <c r="AD197">
        <v>100</v>
      </c>
      <c r="AE197">
        <v>400</v>
      </c>
      <c r="AF197" t="s">
        <v>407</v>
      </c>
      <c r="AG197">
        <v>333</v>
      </c>
      <c r="AH197" s="3">
        <v>901.78571428571433</v>
      </c>
      <c r="AI197" s="3">
        <f>AH197/(AD197*Y197*Z197)</f>
        <v>0.45089285714285715</v>
      </c>
      <c r="AJ197" s="3">
        <f>LN(AI197)</f>
        <v>-0.79652553501378043</v>
      </c>
      <c r="AK197" t="s">
        <v>616</v>
      </c>
      <c r="AL197" t="s">
        <v>616</v>
      </c>
      <c r="AN197" t="b">
        <v>1</v>
      </c>
      <c r="AO197" t="b">
        <v>1</v>
      </c>
      <c r="AP197" t="b">
        <v>0</v>
      </c>
      <c r="AQ197" t="b">
        <v>0</v>
      </c>
      <c r="AR197" t="s">
        <v>617</v>
      </c>
      <c r="AS197" t="s">
        <v>618</v>
      </c>
      <c r="AU197">
        <v>6.8043769245283023</v>
      </c>
      <c r="AV197">
        <v>1.875</v>
      </c>
      <c r="AW197">
        <v>2.5</v>
      </c>
      <c r="AX197">
        <v>0.625</v>
      </c>
      <c r="AY197">
        <v>1.75</v>
      </c>
      <c r="AZ197">
        <v>0.27777777777777779</v>
      </c>
      <c r="BA197">
        <v>0.37037037037037029</v>
      </c>
      <c r="BB197">
        <v>9.2592592592592587E-2</v>
      </c>
      <c r="BC197">
        <v>0.25925925925925919</v>
      </c>
      <c r="BD197">
        <v>6.2522279356156876</v>
      </c>
      <c r="BE197">
        <v>20</v>
      </c>
      <c r="BF197">
        <v>242.1279024923125</v>
      </c>
      <c r="BG197">
        <v>1</v>
      </c>
      <c r="BH197">
        <v>8.2600971611006269E-2</v>
      </c>
      <c r="BI197">
        <v>3.950634</v>
      </c>
      <c r="BJ197">
        <v>3.950634</v>
      </c>
      <c r="BK197">
        <v>15.513552000000001</v>
      </c>
      <c r="BL197">
        <v>227.970829547178</v>
      </c>
      <c r="BM197">
        <v>1</v>
      </c>
      <c r="BN197">
        <v>8.7730522539775438E-2</v>
      </c>
      <c r="BO197">
        <v>3.8658999999999999</v>
      </c>
      <c r="BP197">
        <v>3.8658999999999999</v>
      </c>
      <c r="BQ197">
        <v>15.2538</v>
      </c>
      <c r="BR197">
        <v>0</v>
      </c>
      <c r="BS197">
        <v>0</v>
      </c>
      <c r="BU197">
        <v>0</v>
      </c>
      <c r="BV197">
        <v>0</v>
      </c>
      <c r="BW197">
        <v>0</v>
      </c>
      <c r="BX197">
        <v>1989.28905768</v>
      </c>
      <c r="BY197">
        <v>8.0430744532722323E-2</v>
      </c>
      <c r="BZ197">
        <v>10</v>
      </c>
      <c r="CA197">
        <v>4.0215372266361162E-2</v>
      </c>
      <c r="CB197">
        <v>4.1300485805503127E-2</v>
      </c>
      <c r="CC197">
        <v>4.3865261269887719E-2</v>
      </c>
      <c r="CE197">
        <v>0.45027090848362911</v>
      </c>
      <c r="CF197">
        <v>0.47823289866077828</v>
      </c>
      <c r="CH197">
        <v>0.43844065880137872</v>
      </c>
    </row>
    <row r="198" spans="1:86" x14ac:dyDescent="0.3">
      <c r="A198" s="1">
        <v>806</v>
      </c>
      <c r="B198" t="s">
        <v>1344</v>
      </c>
      <c r="C198" t="s">
        <v>1345</v>
      </c>
      <c r="E198" t="s">
        <v>94</v>
      </c>
      <c r="F198">
        <v>3.43</v>
      </c>
      <c r="G198">
        <v>-1</v>
      </c>
      <c r="H198">
        <v>-1</v>
      </c>
      <c r="I198" t="s">
        <v>522</v>
      </c>
      <c r="J198">
        <v>1</v>
      </c>
      <c r="K198">
        <v>3.8620000000000001</v>
      </c>
      <c r="L198">
        <v>3.8620000000000001</v>
      </c>
      <c r="M198">
        <v>10.039999999999999</v>
      </c>
      <c r="O198">
        <v>10.039999999999999</v>
      </c>
      <c r="Q198" t="s">
        <v>87</v>
      </c>
      <c r="R198">
        <v>1373</v>
      </c>
      <c r="S198">
        <v>10</v>
      </c>
      <c r="T198" t="b">
        <v>0</v>
      </c>
      <c r="U198" t="s">
        <v>88</v>
      </c>
      <c r="V198" t="s">
        <v>89</v>
      </c>
      <c r="W198">
        <v>0</v>
      </c>
      <c r="Y198">
        <v>1</v>
      </c>
      <c r="Z198">
        <v>0.1</v>
      </c>
      <c r="AC198" t="s">
        <v>90</v>
      </c>
      <c r="AD198">
        <v>125</v>
      </c>
      <c r="AE198">
        <v>220</v>
      </c>
      <c r="AF198" t="s">
        <v>91</v>
      </c>
      <c r="AG198">
        <v>288</v>
      </c>
      <c r="AH198" s="3">
        <v>5.1020408163265314</v>
      </c>
      <c r="AI198" s="3">
        <f>AH198/(AD198*Y198*Z198)</f>
        <v>0.40816326530612251</v>
      </c>
      <c r="AJ198" s="3">
        <f>LN(AI198)</f>
        <v>-0.8960880245566355</v>
      </c>
      <c r="AM198" t="s">
        <v>1346</v>
      </c>
      <c r="AN198" t="b">
        <v>0</v>
      </c>
      <c r="AO198" t="b">
        <v>0</v>
      </c>
      <c r="AP198" t="b">
        <v>1</v>
      </c>
      <c r="AQ198" t="b">
        <v>0</v>
      </c>
      <c r="AT198" t="s">
        <v>1347</v>
      </c>
      <c r="AU198">
        <v>1.62964061975162</v>
      </c>
      <c r="AV198">
        <v>1.7272727272727271</v>
      </c>
      <c r="AW198">
        <v>2.545454545454545</v>
      </c>
      <c r="AX198">
        <v>0.72727272727272729</v>
      </c>
      <c r="AY198">
        <v>0.36363636363636359</v>
      </c>
      <c r="AZ198">
        <v>0.32203389830508478</v>
      </c>
      <c r="BA198">
        <v>0.47457627118644069</v>
      </c>
      <c r="BB198">
        <v>0.13559322033898311</v>
      </c>
      <c r="BC198">
        <v>6.7796610169491525E-2</v>
      </c>
      <c r="BD198">
        <v>6.4037187701228184</v>
      </c>
      <c r="BE198">
        <v>14</v>
      </c>
      <c r="BF198">
        <v>0</v>
      </c>
      <c r="BG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0</v>
      </c>
      <c r="BR198">
        <v>171.98132883066</v>
      </c>
      <c r="BS198">
        <v>1</v>
      </c>
      <c r="BT198">
        <v>8.1404185531005993E-2</v>
      </c>
      <c r="BU198">
        <v>3.8898000000000001</v>
      </c>
      <c r="BV198">
        <v>3.8898000000000001</v>
      </c>
      <c r="BW198">
        <v>11.3665</v>
      </c>
      <c r="BX198">
        <v>149.74704176</v>
      </c>
      <c r="BY198">
        <v>9.3490995451101067E-2</v>
      </c>
      <c r="BZ198">
        <v>7</v>
      </c>
      <c r="CA198">
        <v>4.6745497725550533E-2</v>
      </c>
      <c r="CD198">
        <v>4.0702092765502997E-2</v>
      </c>
      <c r="CG198">
        <v>0.39866004333541338</v>
      </c>
      <c r="CH198">
        <v>0.45785267741313762</v>
      </c>
    </row>
    <row r="199" spans="1:86" x14ac:dyDescent="0.3">
      <c r="A199" s="1">
        <v>332</v>
      </c>
      <c r="B199" t="s">
        <v>94</v>
      </c>
      <c r="C199" t="s">
        <v>138</v>
      </c>
      <c r="E199" t="s">
        <v>94</v>
      </c>
      <c r="F199">
        <v>3.36</v>
      </c>
      <c r="G199" t="s">
        <v>139</v>
      </c>
      <c r="H199">
        <v>-1</v>
      </c>
      <c r="I199">
        <v>-1</v>
      </c>
      <c r="J199">
        <v>1</v>
      </c>
      <c r="K199">
        <v>3.8860000000000001</v>
      </c>
      <c r="L199">
        <v>3.8860000000000001</v>
      </c>
      <c r="M199">
        <v>10.548299999999999</v>
      </c>
      <c r="N199" t="s">
        <v>757</v>
      </c>
      <c r="O199">
        <v>10.548299999999999</v>
      </c>
      <c r="Q199" t="s">
        <v>87</v>
      </c>
      <c r="R199">
        <v>1423</v>
      </c>
      <c r="S199">
        <v>24</v>
      </c>
      <c r="T199" t="b">
        <v>0</v>
      </c>
      <c r="U199" t="s">
        <v>88</v>
      </c>
      <c r="V199" t="s">
        <v>89</v>
      </c>
      <c r="W199">
        <v>0</v>
      </c>
      <c r="X199">
        <v>4.18</v>
      </c>
      <c r="Y199">
        <v>2</v>
      </c>
      <c r="Z199">
        <v>10</v>
      </c>
      <c r="AC199" t="s">
        <v>90</v>
      </c>
      <c r="AD199">
        <v>100</v>
      </c>
      <c r="AE199">
        <v>400</v>
      </c>
      <c r="AF199" t="s">
        <v>407</v>
      </c>
      <c r="AG199">
        <v>333</v>
      </c>
      <c r="AH199" s="3">
        <v>723.21428571428578</v>
      </c>
      <c r="AI199" s="3">
        <f>AH199/(AD199*Y199*Z199)</f>
        <v>0.3616071428571429</v>
      </c>
      <c r="AJ199" s="3">
        <f>LN(AI199)</f>
        <v>-1.0171968971826009</v>
      </c>
      <c r="AN199" t="b">
        <v>1</v>
      </c>
      <c r="AO199" t="b">
        <v>0</v>
      </c>
      <c r="AP199" t="b">
        <v>0</v>
      </c>
      <c r="AQ199" t="b">
        <v>0</v>
      </c>
      <c r="AR199" t="s">
        <v>139</v>
      </c>
      <c r="AS199">
        <v>-1</v>
      </c>
      <c r="AU199">
        <v>6.5837055623594818</v>
      </c>
      <c r="AV199">
        <v>1.7272727272727271</v>
      </c>
      <c r="AW199">
        <v>2.545454545454545</v>
      </c>
      <c r="AX199">
        <v>0.81818181818181823</v>
      </c>
      <c r="AY199">
        <v>0</v>
      </c>
      <c r="AZ199">
        <v>0.3392857142857143</v>
      </c>
      <c r="BA199">
        <v>0.5</v>
      </c>
      <c r="BB199">
        <v>0.1607142857142857</v>
      </c>
      <c r="BC199">
        <v>0</v>
      </c>
      <c r="BD199">
        <v>6.4269893564864544</v>
      </c>
      <c r="BE199">
        <v>14</v>
      </c>
      <c r="BF199">
        <v>165.66723991337099</v>
      </c>
      <c r="BG199">
        <v>1</v>
      </c>
      <c r="BH199">
        <v>8.4506749839743392E-2</v>
      </c>
      <c r="BI199">
        <v>3.9263319999999999</v>
      </c>
      <c r="BJ199">
        <v>3.9263319999999999</v>
      </c>
      <c r="BK199">
        <v>10.74639</v>
      </c>
      <c r="BL199">
        <v>0</v>
      </c>
      <c r="BM199">
        <v>0</v>
      </c>
      <c r="BO199">
        <v>0</v>
      </c>
      <c r="BR199">
        <v>0</v>
      </c>
      <c r="BS199">
        <v>0</v>
      </c>
      <c r="BU199">
        <v>0</v>
      </c>
      <c r="BV199">
        <v>0</v>
      </c>
      <c r="BW199">
        <v>0</v>
      </c>
      <c r="BX199">
        <v>159.28983610680001</v>
      </c>
      <c r="BY199">
        <v>8.789010235790147E-2</v>
      </c>
      <c r="BZ199">
        <v>7</v>
      </c>
      <c r="CA199">
        <v>4.3945051178950742E-2</v>
      </c>
      <c r="CB199">
        <v>4.2253374919871703E-2</v>
      </c>
      <c r="CE199">
        <v>0.41874907041247761</v>
      </c>
      <c r="CH199">
        <v>0.4355143077993508</v>
      </c>
    </row>
    <row r="200" spans="1:86" x14ac:dyDescent="0.3">
      <c r="A200" s="1">
        <v>22</v>
      </c>
      <c r="B200" t="s">
        <v>140</v>
      </c>
      <c r="C200" t="s">
        <v>141</v>
      </c>
      <c r="E200" t="s">
        <v>106</v>
      </c>
      <c r="F200">
        <v>3.35</v>
      </c>
      <c r="G200" t="s">
        <v>142</v>
      </c>
      <c r="H200">
        <v>1522043</v>
      </c>
      <c r="I200" t="s">
        <v>143</v>
      </c>
      <c r="K200">
        <v>7.7270000000000003</v>
      </c>
      <c r="L200">
        <v>7.7270000000000003</v>
      </c>
      <c r="M200">
        <v>29.466000000000001</v>
      </c>
      <c r="N200" t="s">
        <v>110</v>
      </c>
      <c r="O200">
        <v>14.733000000000001</v>
      </c>
      <c r="P200">
        <v>3</v>
      </c>
      <c r="Q200" t="s">
        <v>87</v>
      </c>
      <c r="R200">
        <v>1473</v>
      </c>
      <c r="S200">
        <v>48</v>
      </c>
      <c r="T200" t="b">
        <v>0</v>
      </c>
      <c r="U200" t="s">
        <v>88</v>
      </c>
      <c r="V200" t="s">
        <v>89</v>
      </c>
      <c r="W200">
        <v>0</v>
      </c>
      <c r="Y200">
        <v>2.85</v>
      </c>
      <c r="Z200">
        <v>14.3</v>
      </c>
      <c r="AC200" t="s">
        <v>90</v>
      </c>
      <c r="AD200">
        <v>450</v>
      </c>
      <c r="AF200" t="s">
        <v>91</v>
      </c>
      <c r="AH200" s="3">
        <v>5900</v>
      </c>
      <c r="AI200" s="3">
        <f>AH200/(AD200*Y200*Z200)</f>
        <v>0.32170558486347961</v>
      </c>
      <c r="AJ200" s="3">
        <f>LN(AI200)</f>
        <v>-1.1341184844169754</v>
      </c>
      <c r="AK200" t="s">
        <v>144</v>
      </c>
      <c r="AL200" t="s">
        <v>144</v>
      </c>
      <c r="AN200" t="b">
        <v>1</v>
      </c>
      <c r="AO200" t="b">
        <v>1</v>
      </c>
      <c r="AP200" t="b">
        <v>0</v>
      </c>
      <c r="AQ200" t="b">
        <v>0</v>
      </c>
      <c r="AR200" t="s">
        <v>145</v>
      </c>
      <c r="AS200" t="s">
        <v>146</v>
      </c>
      <c r="AT200" t="s">
        <v>143</v>
      </c>
      <c r="AU200">
        <v>8.6827076298938106</v>
      </c>
      <c r="AV200">
        <v>1.75</v>
      </c>
      <c r="AW200">
        <v>2.5</v>
      </c>
      <c r="AX200">
        <v>0.75</v>
      </c>
      <c r="AY200">
        <v>0</v>
      </c>
      <c r="AZ200">
        <v>0.35</v>
      </c>
      <c r="BA200">
        <v>0.5</v>
      </c>
      <c r="BB200">
        <v>0.15</v>
      </c>
      <c r="BC200">
        <v>0</v>
      </c>
      <c r="BD200">
        <v>6.2640154224906874</v>
      </c>
      <c r="BE200">
        <v>20</v>
      </c>
      <c r="BF200">
        <v>242.1279024923125</v>
      </c>
      <c r="BG200">
        <v>1</v>
      </c>
      <c r="BH200">
        <v>8.2600971611006269E-2</v>
      </c>
      <c r="BI200">
        <v>3.950634</v>
      </c>
      <c r="BJ200">
        <v>3.950634</v>
      </c>
      <c r="BK200">
        <v>15.513552000000001</v>
      </c>
      <c r="BL200">
        <v>227.970829547178</v>
      </c>
      <c r="BM200">
        <v>1</v>
      </c>
      <c r="BN200">
        <v>8.7730522539775438E-2</v>
      </c>
      <c r="BO200">
        <v>3.8658999999999999</v>
      </c>
      <c r="BP200">
        <v>3.8658999999999999</v>
      </c>
      <c r="BQ200">
        <v>15.2538</v>
      </c>
      <c r="BR200">
        <v>0</v>
      </c>
      <c r="BS200">
        <v>0</v>
      </c>
      <c r="BU200">
        <v>0</v>
      </c>
      <c r="BV200">
        <v>0</v>
      </c>
      <c r="BW200">
        <v>0</v>
      </c>
      <c r="BX200">
        <v>1759.3125835139999</v>
      </c>
      <c r="BZ200">
        <v>10</v>
      </c>
      <c r="CB200">
        <v>4.1300485805503127E-2</v>
      </c>
      <c r="CC200">
        <v>4.3865261269887719E-2</v>
      </c>
      <c r="CE200">
        <v>0.42195359024583579</v>
      </c>
      <c r="CF200">
        <v>0.44815706447294301</v>
      </c>
    </row>
    <row r="201" spans="1:86" x14ac:dyDescent="0.3">
      <c r="A201" s="1">
        <v>706</v>
      </c>
      <c r="B201" t="s">
        <v>1086</v>
      </c>
      <c r="C201" t="s">
        <v>1087</v>
      </c>
      <c r="E201" t="s">
        <v>404</v>
      </c>
      <c r="F201">
        <v>3.4</v>
      </c>
      <c r="G201" t="s">
        <v>1088</v>
      </c>
      <c r="H201">
        <v>-1</v>
      </c>
      <c r="I201">
        <v>-1</v>
      </c>
      <c r="J201">
        <v>2</v>
      </c>
      <c r="K201">
        <v>3.835</v>
      </c>
      <c r="L201">
        <v>3.835</v>
      </c>
      <c r="M201">
        <v>34.43</v>
      </c>
      <c r="N201" t="s">
        <v>101</v>
      </c>
      <c r="O201">
        <v>17.215</v>
      </c>
      <c r="Q201" t="s">
        <v>87</v>
      </c>
      <c r="R201">
        <v>1273</v>
      </c>
      <c r="S201">
        <v>10</v>
      </c>
      <c r="T201" t="b">
        <v>0</v>
      </c>
      <c r="U201" t="s">
        <v>88</v>
      </c>
      <c r="V201" t="s">
        <v>89</v>
      </c>
      <c r="W201">
        <v>0</v>
      </c>
      <c r="Y201">
        <v>0.5</v>
      </c>
      <c r="Z201">
        <v>5</v>
      </c>
      <c r="AC201" t="s">
        <v>90</v>
      </c>
      <c r="AD201">
        <v>125</v>
      </c>
      <c r="AE201">
        <v>220</v>
      </c>
      <c r="AF201" t="s">
        <v>91</v>
      </c>
      <c r="AG201">
        <v>288</v>
      </c>
      <c r="AH201" s="3">
        <v>89.28</v>
      </c>
      <c r="AI201" s="3">
        <f>AH201/(AD201*Y201*Z201)</f>
        <v>0.28569600000000001</v>
      </c>
      <c r="AJ201" s="3">
        <f>LN(AI201)</f>
        <v>-1.2528269705434554</v>
      </c>
      <c r="AK201" t="s">
        <v>136</v>
      </c>
      <c r="AN201" t="b">
        <v>1</v>
      </c>
      <c r="AO201" t="b">
        <v>0</v>
      </c>
      <c r="AP201" t="b">
        <v>0</v>
      </c>
      <c r="AQ201" t="b">
        <v>0</v>
      </c>
      <c r="AR201" t="s">
        <v>1203</v>
      </c>
      <c r="AU201">
        <v>4.4917774986330006</v>
      </c>
      <c r="AV201">
        <v>1.452054794520548</v>
      </c>
      <c r="AW201">
        <v>1.068493150684932</v>
      </c>
      <c r="AX201">
        <v>0.1095890410958904</v>
      </c>
      <c r="AY201">
        <v>0</v>
      </c>
      <c r="AZ201">
        <v>0.55208333333333337</v>
      </c>
      <c r="BA201">
        <v>0.40625000000000011</v>
      </c>
      <c r="BB201">
        <v>4.1666666666666657E-2</v>
      </c>
      <c r="BC201">
        <v>0</v>
      </c>
      <c r="BD201">
        <v>6.7613944421512322</v>
      </c>
      <c r="BE201">
        <v>20</v>
      </c>
      <c r="BF201">
        <v>1015.4396556</v>
      </c>
      <c r="BG201">
        <v>2</v>
      </c>
      <c r="BH201">
        <v>3.9391804111062523E-2</v>
      </c>
      <c r="BI201">
        <v>3.8530000000000002</v>
      </c>
      <c r="BJ201">
        <v>3.8530000000000002</v>
      </c>
      <c r="BK201">
        <v>68.400000000000006</v>
      </c>
      <c r="BL201">
        <v>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U201">
        <v>0</v>
      </c>
      <c r="BV201">
        <v>0</v>
      </c>
      <c r="BW201">
        <v>0</v>
      </c>
      <c r="BX201">
        <v>506.36975675000002</v>
      </c>
      <c r="BY201">
        <v>7.8993659212053646E-2</v>
      </c>
      <c r="BZ201">
        <v>10</v>
      </c>
      <c r="CA201">
        <v>3.9496829606026823E-2</v>
      </c>
      <c r="CB201">
        <v>1.9695902055531261E-2</v>
      </c>
      <c r="CE201">
        <v>0.2433493705793833</v>
      </c>
      <c r="CH201">
        <v>0.48799636581298611</v>
      </c>
    </row>
    <row r="202" spans="1:86" x14ac:dyDescent="0.3">
      <c r="A202" s="1">
        <v>463</v>
      </c>
      <c r="B202" t="s">
        <v>853</v>
      </c>
      <c r="C202" t="s">
        <v>854</v>
      </c>
      <c r="E202" t="s">
        <v>106</v>
      </c>
      <c r="G202" t="s">
        <v>108</v>
      </c>
      <c r="H202" t="s">
        <v>109</v>
      </c>
      <c r="I202">
        <v>-1</v>
      </c>
      <c r="Q202" t="s">
        <v>838</v>
      </c>
      <c r="R202">
        <v>1473</v>
      </c>
      <c r="S202">
        <v>10</v>
      </c>
      <c r="T202" t="b">
        <v>0</v>
      </c>
      <c r="U202" t="s">
        <v>88</v>
      </c>
      <c r="V202" t="s">
        <v>89</v>
      </c>
      <c r="W202">
        <v>0</v>
      </c>
      <c r="X202">
        <v>84</v>
      </c>
      <c r="Y202">
        <v>3.3300000000000003E-2</v>
      </c>
      <c r="Z202">
        <v>10</v>
      </c>
      <c r="AC202" t="s">
        <v>165</v>
      </c>
      <c r="AD202">
        <v>500</v>
      </c>
      <c r="AF202" t="s">
        <v>91</v>
      </c>
      <c r="AH202" s="3">
        <v>46</v>
      </c>
      <c r="AI202" s="3">
        <f>AH202/(AD202*Y202*Z202)</f>
        <v>0.27627627627627621</v>
      </c>
      <c r="AJ202" s="3">
        <f>LN(AI202)</f>
        <v>-1.2863539129314037</v>
      </c>
      <c r="AK202" t="s">
        <v>855</v>
      </c>
      <c r="AL202" t="s">
        <v>855</v>
      </c>
      <c r="AN202" t="b">
        <v>1</v>
      </c>
      <c r="AO202" t="b">
        <v>1</v>
      </c>
      <c r="AP202" t="b">
        <v>0</v>
      </c>
      <c r="AQ202" t="b">
        <v>0</v>
      </c>
      <c r="AR202" t="s">
        <v>856</v>
      </c>
      <c r="AS202" t="s">
        <v>857</v>
      </c>
      <c r="AU202">
        <v>3.8286413964890951</v>
      </c>
      <c r="AV202">
        <v>1.75</v>
      </c>
      <c r="AW202">
        <v>2.5</v>
      </c>
      <c r="AX202">
        <v>0.75750000000000006</v>
      </c>
      <c r="AY202">
        <v>0</v>
      </c>
      <c r="AZ202">
        <v>0.34947578632051918</v>
      </c>
      <c r="BA202">
        <v>0.49925112331502741</v>
      </c>
      <c r="BB202">
        <v>0.1512730903644533</v>
      </c>
      <c r="BC202">
        <v>0</v>
      </c>
      <c r="BD202">
        <v>5.9676797699999993</v>
      </c>
      <c r="BE202">
        <v>20</v>
      </c>
      <c r="BF202">
        <v>924.74694800021894</v>
      </c>
      <c r="BG202">
        <v>1</v>
      </c>
      <c r="BH202">
        <v>2.16275382614134E-2</v>
      </c>
      <c r="BI202">
        <v>7.8084429999999996</v>
      </c>
      <c r="BJ202">
        <v>7.8548809999999998</v>
      </c>
      <c r="BK202">
        <v>15.19056011</v>
      </c>
      <c r="BL202">
        <v>883.22940750240002</v>
      </c>
      <c r="BM202">
        <v>1</v>
      </c>
      <c r="BN202">
        <v>2.264417356364536E-2</v>
      </c>
      <c r="BO202">
        <v>3.8801999999999999</v>
      </c>
      <c r="BP202">
        <v>29.507999999999999</v>
      </c>
      <c r="BQ202">
        <v>7.7140000000000004</v>
      </c>
      <c r="BR202">
        <v>0</v>
      </c>
      <c r="BS202">
        <v>0</v>
      </c>
      <c r="BU202">
        <v>0</v>
      </c>
      <c r="BV202">
        <v>0</v>
      </c>
      <c r="BW202">
        <v>0</v>
      </c>
      <c r="BZ202">
        <v>10</v>
      </c>
      <c r="CB202">
        <v>1.08137691307067E-2</v>
      </c>
      <c r="CC202">
        <v>1.132208678182268E-2</v>
      </c>
      <c r="CE202">
        <v>0.12639441658156531</v>
      </c>
      <c r="CF202">
        <v>0.1323357782080565</v>
      </c>
    </row>
    <row r="203" spans="1:86" x14ac:dyDescent="0.3">
      <c r="A203" s="1">
        <v>57</v>
      </c>
      <c r="B203" t="s">
        <v>207</v>
      </c>
      <c r="C203" t="s">
        <v>208</v>
      </c>
      <c r="F203">
        <v>3.46</v>
      </c>
      <c r="G203" t="s">
        <v>209</v>
      </c>
      <c r="H203">
        <v>-1</v>
      </c>
      <c r="I203">
        <v>-1</v>
      </c>
      <c r="N203" t="s">
        <v>197</v>
      </c>
      <c r="P203">
        <v>2</v>
      </c>
      <c r="Q203" t="s">
        <v>87</v>
      </c>
      <c r="R203">
        <v>1334</v>
      </c>
      <c r="S203">
        <v>54</v>
      </c>
      <c r="T203" t="b">
        <v>0</v>
      </c>
      <c r="U203" t="s">
        <v>88</v>
      </c>
      <c r="V203" t="s">
        <v>89</v>
      </c>
      <c r="W203">
        <v>0</v>
      </c>
      <c r="Y203">
        <v>0.5</v>
      </c>
      <c r="Z203">
        <v>12.5</v>
      </c>
      <c r="AC203" t="s">
        <v>90</v>
      </c>
      <c r="AD203">
        <v>350</v>
      </c>
      <c r="AF203" t="s">
        <v>91</v>
      </c>
      <c r="AH203" s="3">
        <v>580</v>
      </c>
      <c r="AI203" s="3">
        <f>AH203/(AD203*Y203*Z203)</f>
        <v>0.26514285714285712</v>
      </c>
      <c r="AJ203" s="3">
        <f>LN(AI203)</f>
        <v>-1.3274865146913046</v>
      </c>
      <c r="AN203" t="b">
        <v>1</v>
      </c>
      <c r="AO203" t="b">
        <v>0</v>
      </c>
      <c r="AP203" t="b">
        <v>0</v>
      </c>
      <c r="AQ203" t="b">
        <v>0</v>
      </c>
      <c r="AR203" t="s">
        <v>209</v>
      </c>
      <c r="AS203">
        <v>-1</v>
      </c>
      <c r="AU203">
        <v>6.363028103540465</v>
      </c>
      <c r="AV203">
        <v>1.857142857142857</v>
      </c>
      <c r="AW203">
        <v>3</v>
      </c>
      <c r="AX203">
        <v>2</v>
      </c>
      <c r="AY203">
        <v>2</v>
      </c>
      <c r="AZ203">
        <v>0.20967741935483869</v>
      </c>
      <c r="BA203">
        <v>0.33870967741935482</v>
      </c>
      <c r="BB203">
        <v>0.22580645161290319</v>
      </c>
      <c r="BC203">
        <v>0.22580645161290319</v>
      </c>
      <c r="BD203">
        <v>6.202088876464285</v>
      </c>
      <c r="BE203">
        <v>18</v>
      </c>
      <c r="BF203">
        <v>208.2630581553295</v>
      </c>
      <c r="BG203">
        <v>1</v>
      </c>
      <c r="BH203">
        <v>8.6429154356194082E-2</v>
      </c>
      <c r="BI203">
        <v>13.83861243</v>
      </c>
      <c r="BJ203">
        <v>13.83861243</v>
      </c>
      <c r="BK203">
        <v>13.83861243</v>
      </c>
      <c r="BL203">
        <v>0</v>
      </c>
      <c r="BM203">
        <v>0</v>
      </c>
      <c r="BO203">
        <v>0</v>
      </c>
      <c r="BR203">
        <v>0</v>
      </c>
      <c r="BS203">
        <v>0</v>
      </c>
      <c r="BU203">
        <v>0</v>
      </c>
      <c r="BV203">
        <v>0</v>
      </c>
      <c r="BW203">
        <v>0</v>
      </c>
      <c r="BZ203">
        <v>9</v>
      </c>
      <c r="CB203">
        <v>4.3214577178097041E-2</v>
      </c>
      <c r="CE203">
        <v>0.47541563854576008</v>
      </c>
    </row>
    <row r="204" spans="1:86" x14ac:dyDescent="0.3">
      <c r="A204" s="1">
        <v>735</v>
      </c>
      <c r="B204" t="s">
        <v>140</v>
      </c>
      <c r="C204" t="s">
        <v>141</v>
      </c>
      <c r="E204" t="s">
        <v>106</v>
      </c>
      <c r="F204">
        <v>3.49</v>
      </c>
      <c r="G204" t="s">
        <v>142</v>
      </c>
      <c r="H204">
        <v>1522043</v>
      </c>
      <c r="I204">
        <v>-1</v>
      </c>
      <c r="J204">
        <v>1</v>
      </c>
      <c r="K204">
        <v>3.82</v>
      </c>
      <c r="L204">
        <v>3.82</v>
      </c>
      <c r="M204">
        <v>15.99</v>
      </c>
      <c r="O204">
        <v>15.99</v>
      </c>
      <c r="Q204" t="s">
        <v>87</v>
      </c>
      <c r="R204">
        <v>1373</v>
      </c>
      <c r="S204">
        <v>24</v>
      </c>
      <c r="T204" t="b">
        <v>0</v>
      </c>
      <c r="U204" t="s">
        <v>88</v>
      </c>
      <c r="V204" t="s">
        <v>89</v>
      </c>
      <c r="W204">
        <v>0</v>
      </c>
      <c r="X204">
        <v>5.56</v>
      </c>
      <c r="Y204">
        <v>0.5</v>
      </c>
      <c r="Z204">
        <v>30</v>
      </c>
      <c r="AC204" t="s">
        <v>90</v>
      </c>
      <c r="AD204">
        <v>125</v>
      </c>
      <c r="AE204">
        <v>220</v>
      </c>
      <c r="AF204" t="s">
        <v>91</v>
      </c>
      <c r="AG204">
        <v>288</v>
      </c>
      <c r="AH204" s="3">
        <v>480</v>
      </c>
      <c r="AI204" s="3">
        <f>AH204/(AD204*Y204*Z204)</f>
        <v>0.25600000000000001</v>
      </c>
      <c r="AJ204" s="3">
        <f>LN(AI204)</f>
        <v>-1.3625778345025745</v>
      </c>
      <c r="AK204" t="s">
        <v>144</v>
      </c>
      <c r="AL204" t="s">
        <v>144</v>
      </c>
      <c r="AN204" t="b">
        <v>1</v>
      </c>
      <c r="AO204" t="b">
        <v>1</v>
      </c>
      <c r="AP204" t="b">
        <v>0</v>
      </c>
      <c r="AQ204" t="b">
        <v>0</v>
      </c>
      <c r="AR204" t="s">
        <v>1229</v>
      </c>
      <c r="AS204" t="s">
        <v>1230</v>
      </c>
      <c r="AU204">
        <v>6.1737861039019366</v>
      </c>
      <c r="AV204">
        <v>1.75</v>
      </c>
      <c r="AW204">
        <v>2.5</v>
      </c>
      <c r="AX204">
        <v>0.75</v>
      </c>
      <c r="AY204">
        <v>0</v>
      </c>
      <c r="AZ204">
        <v>0.35</v>
      </c>
      <c r="BA204">
        <v>0.5</v>
      </c>
      <c r="BB204">
        <v>0.15</v>
      </c>
      <c r="BC204">
        <v>0</v>
      </c>
      <c r="BD204">
        <v>6.2640154224906874</v>
      </c>
      <c r="BE204">
        <v>20</v>
      </c>
      <c r="BF204">
        <v>242.1279024923125</v>
      </c>
      <c r="BG204">
        <v>1</v>
      </c>
      <c r="BH204">
        <v>8.2600971611006269E-2</v>
      </c>
      <c r="BI204">
        <v>3.950634</v>
      </c>
      <c r="BJ204">
        <v>3.950634</v>
      </c>
      <c r="BK204">
        <v>15.513552000000001</v>
      </c>
      <c r="BL204">
        <v>227.970829547178</v>
      </c>
      <c r="BM204">
        <v>1</v>
      </c>
      <c r="BN204">
        <v>8.7730522539775438E-2</v>
      </c>
      <c r="BO204">
        <v>3.8658999999999999</v>
      </c>
      <c r="BP204">
        <v>3.8658999999999999</v>
      </c>
      <c r="BQ204">
        <v>15.2538</v>
      </c>
      <c r="BR204">
        <v>0</v>
      </c>
      <c r="BS204">
        <v>0</v>
      </c>
      <c r="BU204">
        <v>0</v>
      </c>
      <c r="BV204">
        <v>0</v>
      </c>
      <c r="BW204">
        <v>0</v>
      </c>
      <c r="BX204">
        <v>233.33247600000001</v>
      </c>
      <c r="BY204">
        <v>8.5714600654218404E-2</v>
      </c>
      <c r="BZ204">
        <v>10</v>
      </c>
      <c r="CA204">
        <v>4.2857300327109202E-2</v>
      </c>
      <c r="CB204">
        <v>4.1300485805503127E-2</v>
      </c>
      <c r="CC204">
        <v>4.3865261269887719E-2</v>
      </c>
      <c r="CE204">
        <v>0.42195359024583579</v>
      </c>
      <c r="CF204">
        <v>0.44815706447294301</v>
      </c>
      <c r="CH204">
        <v>0.43785905634209682</v>
      </c>
    </row>
    <row r="205" spans="1:86" x14ac:dyDescent="0.3">
      <c r="A205" s="1">
        <v>56</v>
      </c>
      <c r="B205" t="s">
        <v>202</v>
      </c>
      <c r="C205" t="s">
        <v>203</v>
      </c>
      <c r="F205">
        <v>3.52</v>
      </c>
      <c r="G205" t="s">
        <v>204</v>
      </c>
      <c r="H205" t="s">
        <v>205</v>
      </c>
      <c r="I205">
        <v>-1</v>
      </c>
      <c r="K205">
        <v>3.9540000000000002</v>
      </c>
      <c r="L205">
        <v>3.9540000000000002</v>
      </c>
      <c r="M205">
        <v>25.486999999999998</v>
      </c>
      <c r="N205" t="s">
        <v>206</v>
      </c>
      <c r="O205">
        <v>12.743499999999999</v>
      </c>
      <c r="P205">
        <v>2</v>
      </c>
      <c r="Q205" t="s">
        <v>87</v>
      </c>
      <c r="R205">
        <v>1273</v>
      </c>
      <c r="S205">
        <v>72</v>
      </c>
      <c r="T205" t="b">
        <v>0</v>
      </c>
      <c r="U205" t="s">
        <v>88</v>
      </c>
      <c r="V205" t="s">
        <v>89</v>
      </c>
      <c r="W205">
        <v>0</v>
      </c>
      <c r="X205">
        <v>2.1800000000000002</v>
      </c>
      <c r="Y205">
        <v>0.5</v>
      </c>
      <c r="Z205">
        <v>12.5</v>
      </c>
      <c r="AC205" t="s">
        <v>90</v>
      </c>
      <c r="AD205">
        <v>350</v>
      </c>
      <c r="AF205" t="s">
        <v>91</v>
      </c>
      <c r="AH205" s="3">
        <v>550</v>
      </c>
      <c r="AI205" s="3">
        <f>AH205/(AD205*Y205*Z205)</f>
        <v>0.25142857142857145</v>
      </c>
      <c r="AJ205" s="3">
        <f>LN(AI205)</f>
        <v>-1.3805963400052528</v>
      </c>
      <c r="AN205" t="b">
        <v>1</v>
      </c>
      <c r="AO205" t="b">
        <v>0</v>
      </c>
      <c r="AP205" t="b">
        <v>0</v>
      </c>
      <c r="AQ205" t="b">
        <v>0</v>
      </c>
      <c r="AR205" t="s">
        <v>204</v>
      </c>
      <c r="AS205" t="s">
        <v>205</v>
      </c>
      <c r="AU205">
        <v>6.3099182782265162</v>
      </c>
      <c r="AV205">
        <v>2</v>
      </c>
      <c r="AW205">
        <v>3</v>
      </c>
      <c r="AX205">
        <v>1.857142857142857</v>
      </c>
      <c r="AY205">
        <v>4</v>
      </c>
      <c r="AZ205">
        <v>0.18421052631578949</v>
      </c>
      <c r="BA205">
        <v>0.27631578947368418</v>
      </c>
      <c r="BB205">
        <v>0.1710526315789474</v>
      </c>
      <c r="BC205">
        <v>0.36842105263157893</v>
      </c>
      <c r="BD205">
        <v>6.1886221118214282</v>
      </c>
      <c r="BE205">
        <v>18</v>
      </c>
      <c r="BF205">
        <v>198.96095988642259</v>
      </c>
      <c r="BG205">
        <v>1</v>
      </c>
      <c r="BH205">
        <v>9.047000984653146E-2</v>
      </c>
      <c r="BI205">
        <v>12.939761450000001</v>
      </c>
      <c r="BJ205">
        <v>12.939761450000001</v>
      </c>
      <c r="BK205">
        <v>12.939761450000001</v>
      </c>
      <c r="BL205">
        <v>396.01057416815007</v>
      </c>
      <c r="BM205">
        <v>1</v>
      </c>
      <c r="BN205">
        <v>4.5453331739462637E-2</v>
      </c>
      <c r="BO205">
        <v>3.9355000000000002</v>
      </c>
      <c r="BP205">
        <v>3.9355000000000002</v>
      </c>
      <c r="BQ205">
        <v>25.5686</v>
      </c>
      <c r="BR205">
        <v>0</v>
      </c>
      <c r="BS205">
        <v>0</v>
      </c>
      <c r="BU205">
        <v>0</v>
      </c>
      <c r="BV205">
        <v>0</v>
      </c>
      <c r="BW205">
        <v>0</v>
      </c>
      <c r="BX205">
        <v>398.46671449199999</v>
      </c>
      <c r="BZ205">
        <v>9</v>
      </c>
      <c r="CB205">
        <v>4.523500492326573E-2</v>
      </c>
      <c r="CC205">
        <v>2.2726665869731318E-2</v>
      </c>
      <c r="CE205">
        <v>0.5360948309320076</v>
      </c>
      <c r="CF205">
        <v>0.26934114670153197</v>
      </c>
    </row>
    <row r="206" spans="1:86" x14ac:dyDescent="0.3">
      <c r="A206" s="1">
        <v>471</v>
      </c>
      <c r="B206" t="s">
        <v>140</v>
      </c>
      <c r="C206" t="s">
        <v>141</v>
      </c>
      <c r="E206" t="s">
        <v>106</v>
      </c>
      <c r="F206">
        <v>3.512</v>
      </c>
      <c r="G206" t="s">
        <v>108</v>
      </c>
      <c r="H206" t="s">
        <v>109</v>
      </c>
      <c r="I206">
        <v>-1</v>
      </c>
      <c r="Q206" t="s">
        <v>838</v>
      </c>
      <c r="R206">
        <v>1473</v>
      </c>
      <c r="S206">
        <v>10</v>
      </c>
      <c r="T206" t="b">
        <v>0</v>
      </c>
      <c r="U206" t="s">
        <v>88</v>
      </c>
      <c r="V206" t="s">
        <v>89</v>
      </c>
      <c r="W206">
        <v>0</v>
      </c>
      <c r="Y206">
        <v>3.3300000000000003E-2</v>
      </c>
      <c r="Z206">
        <v>10</v>
      </c>
      <c r="AC206" t="s">
        <v>165</v>
      </c>
      <c r="AD206">
        <v>500</v>
      </c>
      <c r="AF206" t="s">
        <v>91</v>
      </c>
      <c r="AH206" s="3">
        <v>32</v>
      </c>
      <c r="AI206" s="3">
        <f>AH206/(AD206*Y206*Z206)</f>
        <v>0.19219219219219216</v>
      </c>
      <c r="AJ206" s="3">
        <f>LN(AI206)</f>
        <v>-1.6492594066207722</v>
      </c>
      <c r="AK206" t="s">
        <v>136</v>
      </c>
      <c r="AL206" t="s">
        <v>136</v>
      </c>
      <c r="AN206" t="b">
        <v>1</v>
      </c>
      <c r="AO206" t="b">
        <v>1</v>
      </c>
      <c r="AP206" t="b">
        <v>0</v>
      </c>
      <c r="AQ206" t="b">
        <v>0</v>
      </c>
      <c r="AR206" t="s">
        <v>887</v>
      </c>
      <c r="AS206" t="s">
        <v>888</v>
      </c>
      <c r="AU206">
        <v>3.465735902799727</v>
      </c>
      <c r="AV206">
        <v>1.75</v>
      </c>
      <c r="AW206">
        <v>2.5</v>
      </c>
      <c r="AX206">
        <v>0.75</v>
      </c>
      <c r="AY206">
        <v>0</v>
      </c>
      <c r="AZ206">
        <v>0.35</v>
      </c>
      <c r="BA206">
        <v>0.5</v>
      </c>
      <c r="BB206">
        <v>0.15</v>
      </c>
      <c r="BC206">
        <v>0</v>
      </c>
      <c r="BD206">
        <v>6.2640154224906874</v>
      </c>
      <c r="BE206">
        <v>20</v>
      </c>
      <c r="BF206">
        <v>924.74694800021894</v>
      </c>
      <c r="BG206">
        <v>4</v>
      </c>
      <c r="BH206">
        <v>8.6510153045653584E-2</v>
      </c>
      <c r="BI206">
        <v>7.8084429999999996</v>
      </c>
      <c r="BJ206">
        <v>7.8548809999999998</v>
      </c>
      <c r="BK206">
        <v>15.19056011</v>
      </c>
      <c r="BL206">
        <v>883.22940750240002</v>
      </c>
      <c r="BM206">
        <v>4</v>
      </c>
      <c r="BN206">
        <v>9.0576694254581439E-2</v>
      </c>
      <c r="BO206">
        <v>3.8801999999999999</v>
      </c>
      <c r="BP206">
        <v>29.507999999999999</v>
      </c>
      <c r="BQ206">
        <v>7.7140000000000004</v>
      </c>
      <c r="BR206">
        <v>0</v>
      </c>
      <c r="BS206">
        <v>0</v>
      </c>
      <c r="BU206">
        <v>0</v>
      </c>
      <c r="BV206">
        <v>0</v>
      </c>
      <c r="BW206">
        <v>0</v>
      </c>
      <c r="BZ206">
        <v>10</v>
      </c>
      <c r="CB206">
        <v>4.3255076522826792E-2</v>
      </c>
      <c r="CC206">
        <v>4.5288347127290719E-2</v>
      </c>
      <c r="CE206">
        <v>0.44192300596941569</v>
      </c>
      <c r="CF206">
        <v>0.46269626843260342</v>
      </c>
    </row>
    <row r="207" spans="1:86" x14ac:dyDescent="0.3">
      <c r="A207" s="1">
        <v>253</v>
      </c>
      <c r="B207" t="s">
        <v>648</v>
      </c>
      <c r="C207" t="s">
        <v>649</v>
      </c>
      <c r="E207" t="s">
        <v>106</v>
      </c>
      <c r="F207">
        <v>4.59</v>
      </c>
      <c r="G207" t="s">
        <v>590</v>
      </c>
      <c r="H207" t="s">
        <v>591</v>
      </c>
      <c r="I207">
        <v>-1</v>
      </c>
      <c r="J207">
        <v>2</v>
      </c>
      <c r="K207">
        <v>3.8530000000000002</v>
      </c>
      <c r="L207">
        <v>3.8530000000000002</v>
      </c>
      <c r="M207">
        <v>32.64</v>
      </c>
      <c r="N207" t="s">
        <v>650</v>
      </c>
      <c r="O207">
        <v>16.32</v>
      </c>
      <c r="P207">
        <v>3</v>
      </c>
      <c r="Q207" t="s">
        <v>87</v>
      </c>
      <c r="R207">
        <v>1423</v>
      </c>
      <c r="S207">
        <v>24</v>
      </c>
      <c r="T207" t="b">
        <v>0</v>
      </c>
      <c r="U207" t="s">
        <v>88</v>
      </c>
      <c r="V207" t="s">
        <v>89</v>
      </c>
      <c r="W207">
        <v>0</v>
      </c>
      <c r="X207">
        <v>7.41</v>
      </c>
      <c r="Y207">
        <v>2</v>
      </c>
      <c r="Z207">
        <v>10</v>
      </c>
      <c r="AC207" t="s">
        <v>90</v>
      </c>
      <c r="AD207">
        <v>100</v>
      </c>
      <c r="AE207">
        <v>290</v>
      </c>
      <c r="AF207" t="s">
        <v>407</v>
      </c>
      <c r="AG207">
        <v>333</v>
      </c>
      <c r="AH207" s="3">
        <v>372</v>
      </c>
      <c r="AI207" s="3">
        <f>AH207/(AD207*Y207*Z207)</f>
        <v>0.186</v>
      </c>
      <c r="AJ207" s="3">
        <f>LN(AI207)</f>
        <v>-1.6820086052689358</v>
      </c>
      <c r="AK207" t="s">
        <v>136</v>
      </c>
      <c r="AN207" t="b">
        <v>1</v>
      </c>
      <c r="AO207" t="b">
        <v>0</v>
      </c>
      <c r="AP207" t="b">
        <v>0</v>
      </c>
      <c r="AQ207" t="b">
        <v>0</v>
      </c>
      <c r="AR207" t="s">
        <v>651</v>
      </c>
      <c r="AS207" t="s">
        <v>591</v>
      </c>
      <c r="AU207">
        <v>5.9188938542731462</v>
      </c>
      <c r="AV207">
        <v>1.9375</v>
      </c>
      <c r="AW207">
        <v>2.5</v>
      </c>
      <c r="AX207">
        <v>0.5625</v>
      </c>
      <c r="AY207">
        <v>2.625</v>
      </c>
      <c r="AZ207">
        <v>0.25409836065573771</v>
      </c>
      <c r="BA207">
        <v>0.32786885245901642</v>
      </c>
      <c r="BB207">
        <v>7.3770491803278687E-2</v>
      </c>
      <c r="BC207">
        <v>0.34426229508196721</v>
      </c>
      <c r="BD207">
        <v>6.2829691628031874</v>
      </c>
      <c r="BE207">
        <v>20</v>
      </c>
      <c r="BF207">
        <v>235.24089263777751</v>
      </c>
      <c r="BG207">
        <v>1</v>
      </c>
      <c r="BH207">
        <v>8.5019231884976218E-2</v>
      </c>
      <c r="BI207">
        <v>3.9408639999999999</v>
      </c>
      <c r="BJ207">
        <v>3.9455239999999989</v>
      </c>
      <c r="BK207">
        <v>15.25730117</v>
      </c>
      <c r="BL207">
        <v>443.39967116280002</v>
      </c>
      <c r="BM207">
        <v>2</v>
      </c>
      <c r="BN207">
        <v>9.0212065099420147E-2</v>
      </c>
      <c r="BO207">
        <v>3.8656999999999999</v>
      </c>
      <c r="BP207">
        <v>29.777000000000001</v>
      </c>
      <c r="BQ207">
        <v>3.8519999999999999</v>
      </c>
      <c r="BR207">
        <v>0</v>
      </c>
      <c r="BS207">
        <v>0</v>
      </c>
      <c r="BU207">
        <v>0</v>
      </c>
      <c r="BV207">
        <v>0</v>
      </c>
      <c r="BW207">
        <v>0</v>
      </c>
      <c r="BX207">
        <v>484.56067775999998</v>
      </c>
      <c r="BY207">
        <v>8.2549001262153088E-2</v>
      </c>
      <c r="BZ207">
        <v>10</v>
      </c>
      <c r="CA207">
        <v>4.1274500631076537E-2</v>
      </c>
      <c r="CB207">
        <v>4.2509615942488109E-2</v>
      </c>
      <c r="CC207">
        <v>4.5106032549710073E-2</v>
      </c>
      <c r="CE207">
        <v>0.43430687840757631</v>
      </c>
      <c r="CF207">
        <v>0.46083361986893789</v>
      </c>
      <c r="CH207">
        <v>0.42168810819571911</v>
      </c>
    </row>
    <row r="208" spans="1:86" x14ac:dyDescent="0.3">
      <c r="A208" s="1">
        <v>232</v>
      </c>
      <c r="B208" t="s">
        <v>619</v>
      </c>
      <c r="C208" t="s">
        <v>620</v>
      </c>
      <c r="E208" t="s">
        <v>106</v>
      </c>
      <c r="F208">
        <v>4.25</v>
      </c>
      <c r="G208" t="s">
        <v>142</v>
      </c>
      <c r="H208">
        <v>1522043</v>
      </c>
      <c r="I208">
        <v>-1</v>
      </c>
      <c r="J208">
        <v>8</v>
      </c>
      <c r="K208">
        <v>7.8140000000000001</v>
      </c>
      <c r="L208">
        <v>7.8140000000000001</v>
      </c>
      <c r="M208">
        <v>31.54</v>
      </c>
      <c r="O208">
        <v>15.77</v>
      </c>
      <c r="Q208" t="s">
        <v>87</v>
      </c>
      <c r="R208">
        <v>1423</v>
      </c>
      <c r="S208">
        <v>24</v>
      </c>
      <c r="T208" t="b">
        <v>0</v>
      </c>
      <c r="U208" t="s">
        <v>88</v>
      </c>
      <c r="V208" t="s">
        <v>89</v>
      </c>
      <c r="W208">
        <v>0</v>
      </c>
      <c r="X208">
        <v>12.1</v>
      </c>
      <c r="Y208">
        <v>2</v>
      </c>
      <c r="Z208">
        <v>10</v>
      </c>
      <c r="AC208" t="s">
        <v>90</v>
      </c>
      <c r="AD208">
        <v>100</v>
      </c>
      <c r="AE208">
        <v>400</v>
      </c>
      <c r="AF208" t="s">
        <v>407</v>
      </c>
      <c r="AG208">
        <v>333</v>
      </c>
      <c r="AH208" s="3">
        <v>370.53571428571428</v>
      </c>
      <c r="AI208" s="3">
        <f>AH208/(AD208*Y208*Z208)</f>
        <v>0.18526785714285715</v>
      </c>
      <c r="AJ208" s="3">
        <f>LN(AI208)</f>
        <v>-1.6859526246183871</v>
      </c>
      <c r="AK208" t="s">
        <v>621</v>
      </c>
      <c r="AL208" t="s">
        <v>621</v>
      </c>
      <c r="AN208" t="b">
        <v>1</v>
      </c>
      <c r="AO208" t="b">
        <v>1</v>
      </c>
      <c r="AP208" t="b">
        <v>0</v>
      </c>
      <c r="AQ208" t="b">
        <v>0</v>
      </c>
      <c r="AR208" t="s">
        <v>622</v>
      </c>
      <c r="AS208" t="s">
        <v>623</v>
      </c>
      <c r="AU208">
        <v>5.9149498349236964</v>
      </c>
      <c r="AV208">
        <v>1.9375</v>
      </c>
      <c r="AW208">
        <v>2.5</v>
      </c>
      <c r="AX208">
        <v>0.5625</v>
      </c>
      <c r="AY208">
        <v>2.625</v>
      </c>
      <c r="AZ208">
        <v>0.25409836065573771</v>
      </c>
      <c r="BA208">
        <v>0.32786885245901642</v>
      </c>
      <c r="BB208">
        <v>7.3770491803278687E-2</v>
      </c>
      <c r="BC208">
        <v>0.34426229508196721</v>
      </c>
      <c r="BD208">
        <v>6.2585458490531876</v>
      </c>
      <c r="BE208">
        <v>20</v>
      </c>
      <c r="BF208">
        <v>242.1279024923125</v>
      </c>
      <c r="BG208">
        <v>1</v>
      </c>
      <c r="BH208">
        <v>8.2600971611006269E-2</v>
      </c>
      <c r="BI208">
        <v>3.950634</v>
      </c>
      <c r="BJ208">
        <v>3.950634</v>
      </c>
      <c r="BK208">
        <v>15.513552000000001</v>
      </c>
      <c r="BL208">
        <v>227.970829547178</v>
      </c>
      <c r="BM208">
        <v>1</v>
      </c>
      <c r="BN208">
        <v>8.7730522539775438E-2</v>
      </c>
      <c r="BO208">
        <v>3.8658999999999999</v>
      </c>
      <c r="BP208">
        <v>3.8658999999999999</v>
      </c>
      <c r="BQ208">
        <v>15.2538</v>
      </c>
      <c r="BR208">
        <v>0</v>
      </c>
      <c r="BS208">
        <v>0</v>
      </c>
      <c r="BU208">
        <v>0</v>
      </c>
      <c r="BV208">
        <v>0</v>
      </c>
      <c r="BW208">
        <v>0</v>
      </c>
      <c r="BX208">
        <v>1925.78811784</v>
      </c>
      <c r="BY208">
        <v>8.3082868004949059E-2</v>
      </c>
      <c r="BZ208">
        <v>10</v>
      </c>
      <c r="CA208">
        <v>4.154143400247453E-2</v>
      </c>
      <c r="CB208">
        <v>4.1300485805503127E-2</v>
      </c>
      <c r="CC208">
        <v>4.3865261269887719E-2</v>
      </c>
      <c r="CE208">
        <v>0.45027090848362911</v>
      </c>
      <c r="CF208">
        <v>0.47823289866077828</v>
      </c>
      <c r="CH208">
        <v>0.45289780164073928</v>
      </c>
    </row>
    <row r="209" spans="1:86" x14ac:dyDescent="0.3">
      <c r="A209" s="1">
        <v>384</v>
      </c>
      <c r="B209" t="s">
        <v>94</v>
      </c>
      <c r="C209" t="s">
        <v>138</v>
      </c>
      <c r="E209" t="s">
        <v>94</v>
      </c>
      <c r="F209">
        <v>3.1</v>
      </c>
      <c r="G209" t="s">
        <v>139</v>
      </c>
      <c r="H209">
        <v>-1</v>
      </c>
      <c r="I209">
        <v>-1</v>
      </c>
      <c r="J209">
        <v>1</v>
      </c>
      <c r="K209">
        <v>3.8849999999999998</v>
      </c>
      <c r="L209">
        <v>3.8849999999999998</v>
      </c>
      <c r="M209">
        <v>10.989000000000001</v>
      </c>
      <c r="O209">
        <v>10.989000000000001</v>
      </c>
      <c r="Q209" t="s">
        <v>87</v>
      </c>
      <c r="R209">
        <v>1423</v>
      </c>
      <c r="S209">
        <v>24</v>
      </c>
      <c r="T209" t="b">
        <v>0</v>
      </c>
      <c r="U209" t="s">
        <v>88</v>
      </c>
      <c r="V209" t="s">
        <v>89</v>
      </c>
      <c r="W209">
        <v>0</v>
      </c>
      <c r="X209">
        <v>4.18</v>
      </c>
      <c r="Y209">
        <v>2</v>
      </c>
      <c r="Z209">
        <v>10</v>
      </c>
      <c r="AC209" t="s">
        <v>90</v>
      </c>
      <c r="AD209">
        <v>100</v>
      </c>
      <c r="AE209">
        <v>290</v>
      </c>
      <c r="AF209" t="s">
        <v>91</v>
      </c>
      <c r="AG209">
        <v>333</v>
      </c>
      <c r="AH209" s="3">
        <v>357.14285714285722</v>
      </c>
      <c r="AI209" s="3">
        <f>AH209/(AD209*Y209*Z209)</f>
        <v>0.1785714285714286</v>
      </c>
      <c r="AJ209" s="3">
        <f>LN(AI209)</f>
        <v>-1.7227665977411033</v>
      </c>
      <c r="AN209" t="b">
        <v>1</v>
      </c>
      <c r="AO209" t="b">
        <v>0</v>
      </c>
      <c r="AP209" t="b">
        <v>0</v>
      </c>
      <c r="AQ209" t="b">
        <v>0</v>
      </c>
      <c r="AR209" t="s">
        <v>139</v>
      </c>
      <c r="AS209">
        <v>-1</v>
      </c>
      <c r="AU209">
        <v>5.8781358618009794</v>
      </c>
      <c r="AV209">
        <v>1.7272727272727271</v>
      </c>
      <c r="AW209">
        <v>2.545454545454545</v>
      </c>
      <c r="AX209">
        <v>0.81818181818181823</v>
      </c>
      <c r="AY209">
        <v>0</v>
      </c>
      <c r="AZ209">
        <v>0.3392857142857143</v>
      </c>
      <c r="BA209">
        <v>0.5</v>
      </c>
      <c r="BB209">
        <v>0.1607142857142857</v>
      </c>
      <c r="BC209">
        <v>0</v>
      </c>
      <c r="BD209">
        <v>6.4269893564864544</v>
      </c>
      <c r="BE209">
        <v>14</v>
      </c>
      <c r="BF209">
        <v>165.66723991337099</v>
      </c>
      <c r="BG209">
        <v>1</v>
      </c>
      <c r="BH209">
        <v>8.4506749839743392E-2</v>
      </c>
      <c r="BI209">
        <v>3.9263319999999999</v>
      </c>
      <c r="BJ209">
        <v>3.9263319999999999</v>
      </c>
      <c r="BK209">
        <v>10.74639</v>
      </c>
      <c r="BL209">
        <v>0</v>
      </c>
      <c r="BM209">
        <v>0</v>
      </c>
      <c r="BO209">
        <v>0</v>
      </c>
      <c r="BR209">
        <v>0</v>
      </c>
      <c r="BS209">
        <v>0</v>
      </c>
      <c r="BU209">
        <v>0</v>
      </c>
      <c r="BV209">
        <v>0</v>
      </c>
      <c r="BW209">
        <v>0</v>
      </c>
      <c r="BX209">
        <v>165.859449525</v>
      </c>
      <c r="BY209">
        <v>8.4408817466199174E-2</v>
      </c>
      <c r="BZ209">
        <v>7</v>
      </c>
      <c r="CA209">
        <v>4.2204408733099587E-2</v>
      </c>
      <c r="CB209">
        <v>4.2253374919871703E-2</v>
      </c>
      <c r="CE209">
        <v>0.41874907041247761</v>
      </c>
      <c r="CH209">
        <v>0.41826379449708978</v>
      </c>
    </row>
    <row r="210" spans="1:86" x14ac:dyDescent="0.3">
      <c r="A210" s="1">
        <v>23</v>
      </c>
      <c r="B210" t="s">
        <v>140</v>
      </c>
      <c r="C210" t="s">
        <v>141</v>
      </c>
      <c r="E210" t="s">
        <v>106</v>
      </c>
      <c r="F210">
        <v>3.5</v>
      </c>
      <c r="G210" t="s">
        <v>142</v>
      </c>
      <c r="H210">
        <v>1522043</v>
      </c>
      <c r="I210" t="s">
        <v>143</v>
      </c>
      <c r="K210">
        <v>7.7249999999999996</v>
      </c>
      <c r="L210">
        <v>7.7249999999999996</v>
      </c>
      <c r="M210">
        <v>14.909000000000001</v>
      </c>
      <c r="N210" t="s">
        <v>115</v>
      </c>
      <c r="O210">
        <v>14.909000000000001</v>
      </c>
      <c r="P210">
        <v>3</v>
      </c>
      <c r="Q210" t="s">
        <v>87</v>
      </c>
      <c r="R210">
        <v>1473</v>
      </c>
      <c r="S210">
        <v>48</v>
      </c>
      <c r="T210" t="b">
        <v>0</v>
      </c>
      <c r="U210" t="s">
        <v>88</v>
      </c>
      <c r="V210" t="s">
        <v>89</v>
      </c>
      <c r="W210">
        <v>0</v>
      </c>
      <c r="Y210">
        <v>2.85</v>
      </c>
      <c r="Z210">
        <v>14.3</v>
      </c>
      <c r="AC210" t="s">
        <v>90</v>
      </c>
      <c r="AD210">
        <v>450</v>
      </c>
      <c r="AF210" t="s">
        <v>91</v>
      </c>
      <c r="AH210" s="3">
        <v>3100</v>
      </c>
      <c r="AI210" s="3">
        <f>AH210/(AD210*Y210*Z210)</f>
        <v>0.16903174797911641</v>
      </c>
      <c r="AJ210" s="3">
        <f>LN(AI210)</f>
        <v>-1.7776687238375486</v>
      </c>
      <c r="AK210" t="s">
        <v>144</v>
      </c>
      <c r="AL210" t="s">
        <v>144</v>
      </c>
      <c r="AN210" t="b">
        <v>1</v>
      </c>
      <c r="AO210" t="b">
        <v>1</v>
      </c>
      <c r="AP210" t="b">
        <v>0</v>
      </c>
      <c r="AQ210" t="b">
        <v>0</v>
      </c>
      <c r="AR210" t="s">
        <v>147</v>
      </c>
      <c r="AS210" t="s">
        <v>148</v>
      </c>
      <c r="AT210" t="s">
        <v>143</v>
      </c>
      <c r="AU210">
        <v>8.0391573904732372</v>
      </c>
      <c r="AV210">
        <v>1.75</v>
      </c>
      <c r="AW210">
        <v>2.5</v>
      </c>
      <c r="AX210">
        <v>0.75</v>
      </c>
      <c r="AY210">
        <v>0</v>
      </c>
      <c r="AZ210">
        <v>0.35</v>
      </c>
      <c r="BA210">
        <v>0.5</v>
      </c>
      <c r="BB210">
        <v>0.15</v>
      </c>
      <c r="BC210">
        <v>0</v>
      </c>
      <c r="BD210">
        <v>6.2640154224906874</v>
      </c>
      <c r="BE210">
        <v>20</v>
      </c>
      <c r="BF210">
        <v>242.1279024923125</v>
      </c>
      <c r="BG210">
        <v>1</v>
      </c>
      <c r="BH210">
        <v>8.2600971611006269E-2</v>
      </c>
      <c r="BI210">
        <v>3.950634</v>
      </c>
      <c r="BJ210">
        <v>3.950634</v>
      </c>
      <c r="BK210">
        <v>15.513552000000001</v>
      </c>
      <c r="BL210">
        <v>227.970829547178</v>
      </c>
      <c r="BM210">
        <v>1</v>
      </c>
      <c r="BN210">
        <v>8.7730522539775438E-2</v>
      </c>
      <c r="BO210">
        <v>3.8658999999999999</v>
      </c>
      <c r="BP210">
        <v>3.8658999999999999</v>
      </c>
      <c r="BQ210">
        <v>15.2538</v>
      </c>
      <c r="BR210">
        <v>0</v>
      </c>
      <c r="BS210">
        <v>0</v>
      </c>
      <c r="BU210">
        <v>0</v>
      </c>
      <c r="BV210">
        <v>0</v>
      </c>
      <c r="BW210">
        <v>0</v>
      </c>
      <c r="BX210">
        <v>889.70389312500004</v>
      </c>
      <c r="BZ210">
        <v>10</v>
      </c>
      <c r="CB210">
        <v>4.1300485805503127E-2</v>
      </c>
      <c r="CC210">
        <v>4.3865261269887719E-2</v>
      </c>
      <c r="CE210">
        <v>0.42195359024583579</v>
      </c>
      <c r="CF210">
        <v>0.44815706447294301</v>
      </c>
    </row>
    <row r="211" spans="1:86" x14ac:dyDescent="0.3">
      <c r="A211" s="1">
        <v>707</v>
      </c>
      <c r="B211" t="s">
        <v>1086</v>
      </c>
      <c r="C211" t="s">
        <v>1087</v>
      </c>
      <c r="E211" t="s">
        <v>404</v>
      </c>
      <c r="F211">
        <v>3.4</v>
      </c>
      <c r="G211" t="s">
        <v>1088</v>
      </c>
      <c r="H211">
        <v>-1</v>
      </c>
      <c r="I211">
        <v>-1</v>
      </c>
      <c r="J211">
        <v>2</v>
      </c>
      <c r="K211">
        <v>3.835</v>
      </c>
      <c r="L211">
        <v>3.835</v>
      </c>
      <c r="M211">
        <v>34.43</v>
      </c>
      <c r="N211" t="s">
        <v>101</v>
      </c>
      <c r="O211">
        <v>17.215</v>
      </c>
      <c r="Q211" t="s">
        <v>87</v>
      </c>
      <c r="R211">
        <v>1273</v>
      </c>
      <c r="S211">
        <v>10</v>
      </c>
      <c r="T211" t="b">
        <v>0</v>
      </c>
      <c r="U211" t="s">
        <v>88</v>
      </c>
      <c r="V211" t="s">
        <v>89</v>
      </c>
      <c r="W211">
        <v>0</v>
      </c>
      <c r="Y211">
        <v>0.5</v>
      </c>
      <c r="Z211">
        <v>10</v>
      </c>
      <c r="AC211" t="s">
        <v>90</v>
      </c>
      <c r="AD211">
        <v>125</v>
      </c>
      <c r="AE211">
        <v>220</v>
      </c>
      <c r="AF211" t="s">
        <v>91</v>
      </c>
      <c r="AG211">
        <v>288</v>
      </c>
      <c r="AH211" s="3">
        <v>103.52</v>
      </c>
      <c r="AI211" s="3">
        <f>AH211/(AD211*Y211*Z211)</f>
        <v>0.165632</v>
      </c>
      <c r="AJ211" s="3">
        <f>LN(AI211)</f>
        <v>-1.7979868189838111</v>
      </c>
      <c r="AK211" t="s">
        <v>136</v>
      </c>
      <c r="AN211" t="b">
        <v>1</v>
      </c>
      <c r="AO211" t="b">
        <v>0</v>
      </c>
      <c r="AP211" t="b">
        <v>0</v>
      </c>
      <c r="AQ211" t="b">
        <v>0</v>
      </c>
      <c r="AR211" t="s">
        <v>1204</v>
      </c>
      <c r="AU211">
        <v>4.6397648307525907</v>
      </c>
      <c r="AV211">
        <v>1.452054794520548</v>
      </c>
      <c r="AW211">
        <v>1.068493150684932</v>
      </c>
      <c r="AX211">
        <v>0.1095890410958904</v>
      </c>
      <c r="AY211">
        <v>0</v>
      </c>
      <c r="AZ211">
        <v>0.55208333333333337</v>
      </c>
      <c r="BA211">
        <v>0.40625000000000011</v>
      </c>
      <c r="BB211">
        <v>4.1666666666666657E-2</v>
      </c>
      <c r="BC211">
        <v>0</v>
      </c>
      <c r="BD211">
        <v>6.7613944421512322</v>
      </c>
      <c r="BE211">
        <v>20</v>
      </c>
      <c r="BF211">
        <v>1015.4396556</v>
      </c>
      <c r="BG211">
        <v>2</v>
      </c>
      <c r="BH211">
        <v>3.9391804111062523E-2</v>
      </c>
      <c r="BI211">
        <v>3.8530000000000002</v>
      </c>
      <c r="BJ211">
        <v>3.8530000000000002</v>
      </c>
      <c r="BK211">
        <v>68.400000000000006</v>
      </c>
      <c r="BL211">
        <v>0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U211">
        <v>0</v>
      </c>
      <c r="BV211">
        <v>0</v>
      </c>
      <c r="BW211">
        <v>0</v>
      </c>
      <c r="BX211">
        <v>506.36975675000002</v>
      </c>
      <c r="BY211">
        <v>7.8993659212053646E-2</v>
      </c>
      <c r="BZ211">
        <v>10</v>
      </c>
      <c r="CA211">
        <v>3.9496829606026823E-2</v>
      </c>
      <c r="CB211">
        <v>1.9695902055531261E-2</v>
      </c>
      <c r="CE211">
        <v>0.2433493705793833</v>
      </c>
      <c r="CH211">
        <v>0.48799636581298611</v>
      </c>
    </row>
    <row r="212" spans="1:86" x14ac:dyDescent="0.3">
      <c r="A212" s="1">
        <v>478</v>
      </c>
      <c r="B212" t="s">
        <v>894</v>
      </c>
      <c r="C212" t="s">
        <v>895</v>
      </c>
      <c r="E212" t="s">
        <v>404</v>
      </c>
      <c r="F212">
        <v>3.5</v>
      </c>
      <c r="G212" t="s">
        <v>896</v>
      </c>
      <c r="H212">
        <v>-1</v>
      </c>
      <c r="I212">
        <v>-1</v>
      </c>
      <c r="Q212" t="s">
        <v>87</v>
      </c>
      <c r="R212">
        <v>1173</v>
      </c>
      <c r="S212">
        <v>6</v>
      </c>
      <c r="T212" t="b">
        <v>0</v>
      </c>
      <c r="U212" t="s">
        <v>88</v>
      </c>
      <c r="V212" t="s">
        <v>89</v>
      </c>
      <c r="W212">
        <v>0</v>
      </c>
      <c r="Y212">
        <v>1</v>
      </c>
      <c r="Z212">
        <v>1</v>
      </c>
      <c r="AC212" t="s">
        <v>90</v>
      </c>
      <c r="AD212">
        <v>125</v>
      </c>
      <c r="AE212">
        <v>220</v>
      </c>
      <c r="AF212" t="s">
        <v>91</v>
      </c>
      <c r="AG212">
        <v>288</v>
      </c>
      <c r="AH212" s="3">
        <v>20</v>
      </c>
      <c r="AI212" s="3">
        <f>AH212/(AD212*Y212*Z212)</f>
        <v>0.16</v>
      </c>
      <c r="AJ212" s="3">
        <f>LN(AI212)</f>
        <v>-1.8325814637483102</v>
      </c>
      <c r="AN212" t="b">
        <v>1</v>
      </c>
      <c r="AO212" t="b">
        <v>0</v>
      </c>
      <c r="AP212" t="b">
        <v>0</v>
      </c>
      <c r="AQ212" t="b">
        <v>0</v>
      </c>
      <c r="AR212" t="s">
        <v>896</v>
      </c>
      <c r="AS212">
        <v>-1</v>
      </c>
      <c r="AU212">
        <v>2.9957322735539909</v>
      </c>
      <c r="AV212">
        <v>1.882352941176471</v>
      </c>
      <c r="AW212">
        <v>2.3529411764705879</v>
      </c>
      <c r="AX212">
        <v>0.47058823529411759</v>
      </c>
      <c r="AY212">
        <v>0</v>
      </c>
      <c r="AZ212">
        <v>0.4</v>
      </c>
      <c r="BA212">
        <v>0.5</v>
      </c>
      <c r="BB212">
        <v>9.9999999999999992E-2</v>
      </c>
      <c r="BC212">
        <v>0</v>
      </c>
      <c r="BD212">
        <v>5.7585616359411764</v>
      </c>
      <c r="BE212">
        <v>20</v>
      </c>
      <c r="BF212">
        <v>201.0880346354428</v>
      </c>
      <c r="BG212">
        <v>1</v>
      </c>
      <c r="BH212">
        <v>9.9458926217357829E-2</v>
      </c>
      <c r="BI212">
        <v>13.656835900000001</v>
      </c>
      <c r="BJ212">
        <v>13.656835900000001</v>
      </c>
      <c r="BK212">
        <v>13.656835900000001</v>
      </c>
      <c r="BL212">
        <v>0</v>
      </c>
      <c r="BM212">
        <v>0</v>
      </c>
      <c r="BO212">
        <v>0</v>
      </c>
      <c r="BR212">
        <v>0</v>
      </c>
      <c r="BS212">
        <v>0</v>
      </c>
      <c r="BU212">
        <v>0</v>
      </c>
      <c r="BV212">
        <v>0</v>
      </c>
      <c r="BW212">
        <v>0</v>
      </c>
      <c r="BZ212">
        <v>10</v>
      </c>
      <c r="CB212">
        <v>4.9729463108678908E-2</v>
      </c>
      <c r="CE212">
        <v>0.53996993008785343</v>
      </c>
    </row>
    <row r="213" spans="1:86" x14ac:dyDescent="0.3">
      <c r="A213" s="1">
        <v>481</v>
      </c>
      <c r="B213" t="s">
        <v>902</v>
      </c>
      <c r="C213" t="s">
        <v>903</v>
      </c>
      <c r="E213" t="s">
        <v>404</v>
      </c>
      <c r="F213">
        <v>3.6</v>
      </c>
      <c r="G213" t="s">
        <v>405</v>
      </c>
      <c r="H213">
        <v>-1</v>
      </c>
      <c r="I213">
        <v>-1</v>
      </c>
      <c r="K213">
        <v>-1</v>
      </c>
      <c r="Q213" t="s">
        <v>87</v>
      </c>
      <c r="R213">
        <v>1173</v>
      </c>
      <c r="S213">
        <v>6</v>
      </c>
      <c r="T213" t="b">
        <v>0</v>
      </c>
      <c r="U213" t="s">
        <v>88</v>
      </c>
      <c r="V213" t="s">
        <v>89</v>
      </c>
      <c r="W213">
        <v>0</v>
      </c>
      <c r="Y213">
        <v>1</v>
      </c>
      <c r="Z213">
        <v>1</v>
      </c>
      <c r="AC213" t="s">
        <v>90</v>
      </c>
      <c r="AD213">
        <v>125</v>
      </c>
      <c r="AE213">
        <v>220</v>
      </c>
      <c r="AF213" t="s">
        <v>91</v>
      </c>
      <c r="AG213">
        <v>288</v>
      </c>
      <c r="AH213" s="3">
        <v>20</v>
      </c>
      <c r="AI213" s="3">
        <f>AH213/(AD213*Y213*Z213)</f>
        <v>0.16</v>
      </c>
      <c r="AJ213" s="3">
        <f>LN(AI213)</f>
        <v>-1.8325814637483102</v>
      </c>
      <c r="AK213" t="s">
        <v>904</v>
      </c>
      <c r="AN213" t="b">
        <v>1</v>
      </c>
      <c r="AO213" t="b">
        <v>0</v>
      </c>
      <c r="AP213" t="b">
        <v>0</v>
      </c>
      <c r="AQ213" t="b">
        <v>0</v>
      </c>
      <c r="AR213" t="s">
        <v>905</v>
      </c>
      <c r="AS213">
        <v>-1</v>
      </c>
      <c r="AU213">
        <v>2.9957322735539909</v>
      </c>
      <c r="AV213">
        <v>1.882352941176471</v>
      </c>
      <c r="AW213">
        <v>2.3529411764705879</v>
      </c>
      <c r="AX213">
        <v>0.35294117647058831</v>
      </c>
      <c r="AY213">
        <v>0.47058823529411759</v>
      </c>
      <c r="AZ213">
        <v>0.37209302325581389</v>
      </c>
      <c r="BA213">
        <v>0.46511627906976749</v>
      </c>
      <c r="BB213">
        <v>6.9767441860465129E-2</v>
      </c>
      <c r="BC213">
        <v>9.3023255813953487E-2</v>
      </c>
      <c r="BD213">
        <v>5.7284467594705886</v>
      </c>
      <c r="BE213">
        <v>20</v>
      </c>
      <c r="BF213">
        <v>229.90248606119221</v>
      </c>
      <c r="BG213">
        <v>1</v>
      </c>
      <c r="BH213">
        <v>8.6993404650164072E-2</v>
      </c>
      <c r="BI213">
        <v>15.28115725</v>
      </c>
      <c r="BJ213">
        <v>15.28115725</v>
      </c>
      <c r="BK213">
        <v>15.28115725</v>
      </c>
      <c r="BL213">
        <v>0</v>
      </c>
      <c r="BM213">
        <v>0</v>
      </c>
      <c r="BO213">
        <v>0</v>
      </c>
      <c r="BR213">
        <v>0</v>
      </c>
      <c r="BS213">
        <v>0</v>
      </c>
      <c r="BU213">
        <v>0</v>
      </c>
      <c r="BV213">
        <v>0</v>
      </c>
      <c r="BW213">
        <v>0</v>
      </c>
      <c r="BZ213">
        <v>10</v>
      </c>
      <c r="CB213">
        <v>4.3496702325082043E-2</v>
      </c>
      <c r="CE213">
        <v>0.46523922564765408</v>
      </c>
    </row>
    <row r="214" spans="1:86" x14ac:dyDescent="0.3">
      <c r="A214" s="1">
        <v>339</v>
      </c>
      <c r="B214" t="s">
        <v>773</v>
      </c>
      <c r="C214" t="s">
        <v>774</v>
      </c>
      <c r="F214">
        <v>3.08</v>
      </c>
      <c r="G214" t="s">
        <v>482</v>
      </c>
      <c r="H214" t="s">
        <v>483</v>
      </c>
      <c r="I214">
        <v>-1</v>
      </c>
      <c r="Q214" t="s">
        <v>755</v>
      </c>
      <c r="R214">
        <v>1023</v>
      </c>
      <c r="S214">
        <v>3</v>
      </c>
      <c r="T214" t="b">
        <v>0</v>
      </c>
      <c r="U214" t="s">
        <v>88</v>
      </c>
      <c r="V214" t="s">
        <v>89</v>
      </c>
      <c r="W214">
        <v>0</v>
      </c>
      <c r="Y214">
        <v>0.23799999999999999</v>
      </c>
      <c r="Z214">
        <v>4.76</v>
      </c>
      <c r="AC214" t="s">
        <v>165</v>
      </c>
      <c r="AD214">
        <v>350</v>
      </c>
      <c r="AE214">
        <v>400</v>
      </c>
      <c r="AF214" t="s">
        <v>407</v>
      </c>
      <c r="AH214" s="3">
        <v>58</v>
      </c>
      <c r="AI214" s="3">
        <f>AH214/(AD214*Y214*Z214)</f>
        <v>0.14627699819423567</v>
      </c>
      <c r="AJ214" s="3">
        <f>LN(AI214)</f>
        <v>-1.9222532068697062</v>
      </c>
      <c r="AK214" t="s">
        <v>775</v>
      </c>
      <c r="AL214" t="s">
        <v>775</v>
      </c>
      <c r="AN214" t="b">
        <v>1</v>
      </c>
      <c r="AO214" t="b">
        <v>1</v>
      </c>
      <c r="AP214" t="b">
        <v>0</v>
      </c>
      <c r="AQ214" t="b">
        <v>0</v>
      </c>
      <c r="AR214" t="s">
        <v>776</v>
      </c>
      <c r="AS214" t="s">
        <v>777</v>
      </c>
      <c r="AU214">
        <v>4.0604430105464191</v>
      </c>
      <c r="AV214">
        <v>1.978947368421053</v>
      </c>
      <c r="AW214">
        <v>3.1578947368421049</v>
      </c>
      <c r="AX214">
        <v>2.4842105263157901</v>
      </c>
      <c r="AY214">
        <v>2.947368421052631</v>
      </c>
      <c r="AZ214">
        <v>0.18725099601593631</v>
      </c>
      <c r="BA214">
        <v>0.29880478087649398</v>
      </c>
      <c r="BB214">
        <v>0.23505976095617531</v>
      </c>
      <c r="BC214">
        <v>0.2788844621513944</v>
      </c>
      <c r="BD214">
        <v>6.1786324362105258</v>
      </c>
      <c r="BE214">
        <v>24</v>
      </c>
      <c r="BF214">
        <v>251.01098912285789</v>
      </c>
      <c r="BG214">
        <v>1</v>
      </c>
      <c r="BH214">
        <v>9.5613343797681868E-2</v>
      </c>
      <c r="BI214">
        <v>3.86469438</v>
      </c>
      <c r="BJ214">
        <v>3.86469438</v>
      </c>
      <c r="BK214">
        <v>16.978874730000001</v>
      </c>
      <c r="BL214">
        <v>967.79977224000004</v>
      </c>
      <c r="BM214">
        <v>1</v>
      </c>
      <c r="BN214">
        <v>2.4798517925305269E-2</v>
      </c>
      <c r="BO214">
        <v>32.83</v>
      </c>
      <c r="BP214">
        <v>5.4109999999999996</v>
      </c>
      <c r="BQ214">
        <v>5.4480000000000004</v>
      </c>
      <c r="BR214">
        <v>0</v>
      </c>
      <c r="BS214">
        <v>0</v>
      </c>
      <c r="BU214">
        <v>0</v>
      </c>
      <c r="BV214">
        <v>0</v>
      </c>
      <c r="BW214">
        <v>0</v>
      </c>
      <c r="BZ214">
        <v>12</v>
      </c>
      <c r="CB214">
        <v>4.7806671898840927E-2</v>
      </c>
      <c r="CC214">
        <v>1.239925896265264E-2</v>
      </c>
      <c r="CE214">
        <v>0.52673136262708065</v>
      </c>
      <c r="CF214">
        <v>0.1366143743028975</v>
      </c>
    </row>
    <row r="215" spans="1:86" x14ac:dyDescent="0.3">
      <c r="A215" s="1">
        <v>229</v>
      </c>
      <c r="B215" t="s">
        <v>604</v>
      </c>
      <c r="C215" t="s">
        <v>605</v>
      </c>
      <c r="E215" t="s">
        <v>106</v>
      </c>
      <c r="F215">
        <v>3.77</v>
      </c>
      <c r="G215" t="s">
        <v>142</v>
      </c>
      <c r="H215">
        <v>1522043</v>
      </c>
      <c r="I215">
        <v>-1</v>
      </c>
      <c r="J215">
        <v>8</v>
      </c>
      <c r="K215">
        <v>7.8140000000000001</v>
      </c>
      <c r="L215">
        <v>7.8140000000000001</v>
      </c>
      <c r="M215">
        <v>32.86</v>
      </c>
      <c r="O215">
        <v>16.43</v>
      </c>
      <c r="Q215" t="s">
        <v>87</v>
      </c>
      <c r="R215">
        <v>1423</v>
      </c>
      <c r="S215">
        <v>24</v>
      </c>
      <c r="T215" t="b">
        <v>0</v>
      </c>
      <c r="U215" t="s">
        <v>88</v>
      </c>
      <c r="V215" t="s">
        <v>89</v>
      </c>
      <c r="W215">
        <v>0</v>
      </c>
      <c r="X215">
        <v>10.54</v>
      </c>
      <c r="Y215">
        <v>2</v>
      </c>
      <c r="Z215">
        <v>10</v>
      </c>
      <c r="AC215" t="s">
        <v>90</v>
      </c>
      <c r="AD215">
        <v>100</v>
      </c>
      <c r="AE215">
        <v>400</v>
      </c>
      <c r="AF215" t="s">
        <v>407</v>
      </c>
      <c r="AG215">
        <v>333</v>
      </c>
      <c r="AH215" s="3">
        <v>276.78571428571428</v>
      </c>
      <c r="AI215" s="3">
        <f>AH215/(AD215*Y215*Z215)</f>
        <v>0.13839285714285715</v>
      </c>
      <c r="AJ215" s="3">
        <f>LN(AI215)</f>
        <v>-1.9776588473698935</v>
      </c>
      <c r="AK215" t="s">
        <v>606</v>
      </c>
      <c r="AL215" t="s">
        <v>606</v>
      </c>
      <c r="AN215" t="b">
        <v>1</v>
      </c>
      <c r="AO215" t="b">
        <v>1</v>
      </c>
      <c r="AP215" t="b">
        <v>0</v>
      </c>
      <c r="AQ215" t="b">
        <v>0</v>
      </c>
      <c r="AR215" t="s">
        <v>607</v>
      </c>
      <c r="AS215" t="s">
        <v>608</v>
      </c>
      <c r="AU215">
        <v>5.6232436121721889</v>
      </c>
      <c r="AV215">
        <v>1.8125</v>
      </c>
      <c r="AW215">
        <v>2.5</v>
      </c>
      <c r="AX215">
        <v>0.6875</v>
      </c>
      <c r="AY215">
        <v>0.875</v>
      </c>
      <c r="AZ215">
        <v>0.30851063829787229</v>
      </c>
      <c r="BA215">
        <v>0.42553191489361702</v>
      </c>
      <c r="BB215">
        <v>0.1170212765957447</v>
      </c>
      <c r="BC215">
        <v>0.14893617021276601</v>
      </c>
      <c r="BD215">
        <v>6.2459100221781876</v>
      </c>
      <c r="BE215">
        <v>20</v>
      </c>
      <c r="BF215">
        <v>242.1279024923125</v>
      </c>
      <c r="BG215">
        <v>1</v>
      </c>
      <c r="BH215">
        <v>8.2600971611006269E-2</v>
      </c>
      <c r="BI215">
        <v>3.950634</v>
      </c>
      <c r="BJ215">
        <v>3.950634</v>
      </c>
      <c r="BK215">
        <v>15.513552000000001</v>
      </c>
      <c r="BL215">
        <v>227.970829547178</v>
      </c>
      <c r="BM215">
        <v>1</v>
      </c>
      <c r="BN215">
        <v>8.7730522539775438E-2</v>
      </c>
      <c r="BO215">
        <v>3.8658999999999999</v>
      </c>
      <c r="BP215">
        <v>3.8658999999999999</v>
      </c>
      <c r="BQ215">
        <v>15.2538</v>
      </c>
      <c r="BR215">
        <v>0</v>
      </c>
      <c r="BS215">
        <v>0</v>
      </c>
      <c r="BU215">
        <v>0</v>
      </c>
      <c r="BV215">
        <v>0</v>
      </c>
      <c r="BW215">
        <v>0</v>
      </c>
      <c r="BX215">
        <v>2006.3854645599999</v>
      </c>
      <c r="BY215">
        <v>7.9745394305419756E-2</v>
      </c>
      <c r="BZ215">
        <v>10</v>
      </c>
      <c r="CA215">
        <v>3.9872697152709878E-2</v>
      </c>
      <c r="CB215">
        <v>4.1300485805503127E-2</v>
      </c>
      <c r="CC215">
        <v>4.3865261269887719E-2</v>
      </c>
      <c r="CE215">
        <v>0.45027090848362911</v>
      </c>
      <c r="CF215">
        <v>0.47823289866077828</v>
      </c>
      <c r="CH215">
        <v>0.43470470674829331</v>
      </c>
    </row>
    <row r="216" spans="1:86" x14ac:dyDescent="0.3">
      <c r="A216" s="1">
        <v>340</v>
      </c>
      <c r="B216" t="s">
        <v>778</v>
      </c>
      <c r="C216" t="s">
        <v>779</v>
      </c>
      <c r="F216">
        <v>3.08</v>
      </c>
      <c r="G216" t="s">
        <v>482</v>
      </c>
      <c r="H216" t="s">
        <v>483</v>
      </c>
      <c r="I216">
        <v>-1</v>
      </c>
      <c r="Q216" t="s">
        <v>755</v>
      </c>
      <c r="R216">
        <v>1023</v>
      </c>
      <c r="S216">
        <v>3</v>
      </c>
      <c r="T216" t="b">
        <v>0</v>
      </c>
      <c r="U216" t="s">
        <v>88</v>
      </c>
      <c r="V216" t="s">
        <v>89</v>
      </c>
      <c r="W216">
        <v>0</v>
      </c>
      <c r="Y216">
        <v>0.23799999999999999</v>
      </c>
      <c r="Z216">
        <v>4.76</v>
      </c>
      <c r="AC216" t="s">
        <v>165</v>
      </c>
      <c r="AD216">
        <v>350</v>
      </c>
      <c r="AE216">
        <v>400</v>
      </c>
      <c r="AF216" t="s">
        <v>407</v>
      </c>
      <c r="AH216" s="3">
        <v>52</v>
      </c>
      <c r="AI216" s="3">
        <f>AH216/(AD216*Y216*Z216)</f>
        <v>0.13114489493276302</v>
      </c>
      <c r="AJ216" s="3">
        <f>LN(AI216)</f>
        <v>-2.0314524988346983</v>
      </c>
      <c r="AK216" t="s">
        <v>780</v>
      </c>
      <c r="AL216" t="s">
        <v>780</v>
      </c>
      <c r="AN216" t="b">
        <v>1</v>
      </c>
      <c r="AO216" t="b">
        <v>1</v>
      </c>
      <c r="AP216" t="b">
        <v>0</v>
      </c>
      <c r="AQ216" t="b">
        <v>0</v>
      </c>
      <c r="AR216" t="s">
        <v>781</v>
      </c>
      <c r="AS216" t="s">
        <v>782</v>
      </c>
      <c r="AU216">
        <v>3.951243718581428</v>
      </c>
      <c r="AV216">
        <v>1.9736842105263159</v>
      </c>
      <c r="AW216">
        <v>3.1578947368421049</v>
      </c>
      <c r="AX216">
        <v>2.5</v>
      </c>
      <c r="AY216">
        <v>2.947368421052631</v>
      </c>
      <c r="AZ216">
        <v>0.18656716417910449</v>
      </c>
      <c r="BA216">
        <v>0.29850746268656708</v>
      </c>
      <c r="BB216">
        <v>0.23631840796019901</v>
      </c>
      <c r="BC216">
        <v>0.27860696517412931</v>
      </c>
      <c r="BD216">
        <v>6.1800502606052623</v>
      </c>
      <c r="BE216">
        <v>24</v>
      </c>
      <c r="BF216">
        <v>251.01098912285789</v>
      </c>
      <c r="BG216">
        <v>1</v>
      </c>
      <c r="BH216">
        <v>9.5613343797681868E-2</v>
      </c>
      <c r="BI216">
        <v>3.86469438</v>
      </c>
      <c r="BJ216">
        <v>3.86469438</v>
      </c>
      <c r="BK216">
        <v>16.978874730000001</v>
      </c>
      <c r="BL216">
        <v>967.79977224000004</v>
      </c>
      <c r="BM216">
        <v>2</v>
      </c>
      <c r="BN216">
        <v>4.9597035850610538E-2</v>
      </c>
      <c r="BO216">
        <v>32.83</v>
      </c>
      <c r="BP216">
        <v>5.4109999999999996</v>
      </c>
      <c r="BQ216">
        <v>5.4480000000000004</v>
      </c>
      <c r="BR216">
        <v>0</v>
      </c>
      <c r="BS216">
        <v>0</v>
      </c>
      <c r="BU216">
        <v>0</v>
      </c>
      <c r="BV216">
        <v>0</v>
      </c>
      <c r="BW216">
        <v>0</v>
      </c>
      <c r="BZ216">
        <v>12</v>
      </c>
      <c r="CB216">
        <v>4.7806671898840927E-2</v>
      </c>
      <c r="CC216">
        <v>2.4798517925305269E-2</v>
      </c>
      <c r="CE216">
        <v>0.52636693443415494</v>
      </c>
      <c r="CF216">
        <v>0.27303971057583382</v>
      </c>
    </row>
    <row r="217" spans="1:86" x14ac:dyDescent="0.3">
      <c r="A217" s="1">
        <v>338</v>
      </c>
      <c r="B217" t="s">
        <v>768</v>
      </c>
      <c r="C217" t="s">
        <v>769</v>
      </c>
      <c r="F217">
        <v>3.08</v>
      </c>
      <c r="G217" t="s">
        <v>482</v>
      </c>
      <c r="H217" t="s">
        <v>483</v>
      </c>
      <c r="I217">
        <v>-1</v>
      </c>
      <c r="Q217" t="s">
        <v>755</v>
      </c>
      <c r="R217">
        <v>1023</v>
      </c>
      <c r="S217">
        <v>3</v>
      </c>
      <c r="T217" t="b">
        <v>0</v>
      </c>
      <c r="U217" t="s">
        <v>88</v>
      </c>
      <c r="V217" t="s">
        <v>89</v>
      </c>
      <c r="W217">
        <v>0</v>
      </c>
      <c r="Y217">
        <v>0.23799999999999999</v>
      </c>
      <c r="Z217">
        <v>4.76</v>
      </c>
      <c r="AC217" t="s">
        <v>165</v>
      </c>
      <c r="AD217">
        <v>350</v>
      </c>
      <c r="AE217">
        <v>400</v>
      </c>
      <c r="AF217" t="s">
        <v>407</v>
      </c>
      <c r="AH217" s="3">
        <v>51</v>
      </c>
      <c r="AI217" s="3">
        <f>AH217/(AD217*Y217*Z217)</f>
        <v>0.1286228777225176</v>
      </c>
      <c r="AJ217" s="3">
        <f>LN(AI217)</f>
        <v>-2.0508705846917996</v>
      </c>
      <c r="AK217" t="s">
        <v>770</v>
      </c>
      <c r="AL217" t="s">
        <v>770</v>
      </c>
      <c r="AN217" t="b">
        <v>1</v>
      </c>
      <c r="AO217" t="b">
        <v>1</v>
      </c>
      <c r="AP217" t="b">
        <v>0</v>
      </c>
      <c r="AQ217" t="b">
        <v>0</v>
      </c>
      <c r="AR217" t="s">
        <v>771</v>
      </c>
      <c r="AS217" t="s">
        <v>772</v>
      </c>
      <c r="AU217">
        <v>3.9318256327243262</v>
      </c>
      <c r="AV217">
        <v>1.9842105263157901</v>
      </c>
      <c r="AW217">
        <v>3.1578947368421049</v>
      </c>
      <c r="AX217">
        <v>2.4684210526315788</v>
      </c>
      <c r="AY217">
        <v>2.947368421052631</v>
      </c>
      <c r="AZ217">
        <v>0.18793619142572279</v>
      </c>
      <c r="BA217">
        <v>0.29910269192422728</v>
      </c>
      <c r="BB217">
        <v>0.2337986041874377</v>
      </c>
      <c r="BC217">
        <v>0.27916251246261209</v>
      </c>
      <c r="BD217">
        <v>6.1772146118157893</v>
      </c>
      <c r="BE217">
        <v>24</v>
      </c>
      <c r="BF217">
        <v>251.01098912285789</v>
      </c>
      <c r="BG217">
        <v>1</v>
      </c>
      <c r="BH217">
        <v>9.5613343797681868E-2</v>
      </c>
      <c r="BI217">
        <v>3.86469438</v>
      </c>
      <c r="BJ217">
        <v>3.86469438</v>
      </c>
      <c r="BK217">
        <v>16.978874730000001</v>
      </c>
      <c r="BL217">
        <v>967.79977224000004</v>
      </c>
      <c r="BM217">
        <v>1</v>
      </c>
      <c r="BN217">
        <v>2.4798517925305269E-2</v>
      </c>
      <c r="BO217">
        <v>32.83</v>
      </c>
      <c r="BP217">
        <v>5.4109999999999996</v>
      </c>
      <c r="BQ217">
        <v>5.4480000000000004</v>
      </c>
      <c r="BR217">
        <v>0</v>
      </c>
      <c r="BS217">
        <v>0</v>
      </c>
      <c r="BU217">
        <v>0</v>
      </c>
      <c r="BV217">
        <v>0</v>
      </c>
      <c r="BW217">
        <v>0</v>
      </c>
      <c r="BZ217">
        <v>12</v>
      </c>
      <c r="CB217">
        <v>4.7806671898840927E-2</v>
      </c>
      <c r="CC217">
        <v>1.239925896265264E-2</v>
      </c>
      <c r="CE217">
        <v>0.52709579082000635</v>
      </c>
      <c r="CF217">
        <v>0.136708893317878</v>
      </c>
    </row>
    <row r="218" spans="1:86" x14ac:dyDescent="0.3">
      <c r="A218" s="1">
        <v>336</v>
      </c>
      <c r="B218" t="s">
        <v>758</v>
      </c>
      <c r="C218" t="s">
        <v>759</v>
      </c>
      <c r="F218">
        <v>3.08</v>
      </c>
      <c r="G218" t="s">
        <v>482</v>
      </c>
      <c r="H218" t="s">
        <v>483</v>
      </c>
      <c r="I218">
        <v>-1</v>
      </c>
      <c r="Q218" t="s">
        <v>755</v>
      </c>
      <c r="R218">
        <v>1023</v>
      </c>
      <c r="S218">
        <v>3</v>
      </c>
      <c r="T218" t="b">
        <v>0</v>
      </c>
      <c r="U218" t="s">
        <v>88</v>
      </c>
      <c r="V218" t="s">
        <v>89</v>
      </c>
      <c r="W218">
        <v>0</v>
      </c>
      <c r="Y218">
        <v>0.23799999999999999</v>
      </c>
      <c r="Z218">
        <v>4.76</v>
      </c>
      <c r="AC218" t="s">
        <v>165</v>
      </c>
      <c r="AD218">
        <v>350</v>
      </c>
      <c r="AE218">
        <v>400</v>
      </c>
      <c r="AF218" t="s">
        <v>407</v>
      </c>
      <c r="AH218" s="3">
        <v>48</v>
      </c>
      <c r="AI218" s="3">
        <f>AH218/(AD218*Y218*Z218)</f>
        <v>0.12105682609178126</v>
      </c>
      <c r="AJ218" s="3">
        <f>LN(AI218)</f>
        <v>-2.1114952065082346</v>
      </c>
      <c r="AK218" t="s">
        <v>760</v>
      </c>
      <c r="AL218" t="s">
        <v>760</v>
      </c>
      <c r="AN218" t="b">
        <v>1</v>
      </c>
      <c r="AO218" t="b">
        <v>1</v>
      </c>
      <c r="AP218" t="b">
        <v>0</v>
      </c>
      <c r="AQ218" t="b">
        <v>0</v>
      </c>
      <c r="AR218" t="s">
        <v>761</v>
      </c>
      <c r="AS218" t="s">
        <v>762</v>
      </c>
      <c r="AU218">
        <v>3.8712010109078911</v>
      </c>
      <c r="AV218">
        <v>1.996842105263158</v>
      </c>
      <c r="AW218">
        <v>3.1578947368421049</v>
      </c>
      <c r="AX218">
        <v>2.4305263157894741</v>
      </c>
      <c r="AY218">
        <v>2.947368421052631</v>
      </c>
      <c r="AZ218">
        <v>0.18958624825104939</v>
      </c>
      <c r="BA218">
        <v>0.29982010793523878</v>
      </c>
      <c r="BB218">
        <v>0.2307615430741555</v>
      </c>
      <c r="BC218">
        <v>0.27983210073955622</v>
      </c>
      <c r="BD218">
        <v>6.1738118332684202</v>
      </c>
      <c r="BE218">
        <v>24</v>
      </c>
      <c r="BF218">
        <v>251.01098912285789</v>
      </c>
      <c r="BG218">
        <v>1</v>
      </c>
      <c r="BH218">
        <v>9.5613343797681868E-2</v>
      </c>
      <c r="BI218">
        <v>3.86469438</v>
      </c>
      <c r="BJ218">
        <v>3.86469438</v>
      </c>
      <c r="BK218">
        <v>16.978874730000001</v>
      </c>
      <c r="BL218">
        <v>967.79977224000004</v>
      </c>
      <c r="BM218">
        <v>1</v>
      </c>
      <c r="BN218">
        <v>2.4798517925305269E-2</v>
      </c>
      <c r="BO218">
        <v>32.83</v>
      </c>
      <c r="BP218">
        <v>5.4109999999999996</v>
      </c>
      <c r="BQ218">
        <v>5.4480000000000004</v>
      </c>
      <c r="BR218">
        <v>0</v>
      </c>
      <c r="BS218">
        <v>0</v>
      </c>
      <c r="BU218">
        <v>0</v>
      </c>
      <c r="BV218">
        <v>0</v>
      </c>
      <c r="BW218">
        <v>0</v>
      </c>
      <c r="BZ218">
        <v>12</v>
      </c>
      <c r="CB218">
        <v>4.7806671898840927E-2</v>
      </c>
      <c r="CC218">
        <v>1.239925896265264E-2</v>
      </c>
      <c r="CE218">
        <v>0.52797041848302806</v>
      </c>
      <c r="CF218">
        <v>0.1369357389538314</v>
      </c>
    </row>
    <row r="219" spans="1:86" x14ac:dyDescent="0.3">
      <c r="A219" s="1">
        <v>337</v>
      </c>
      <c r="B219" t="s">
        <v>763</v>
      </c>
      <c r="C219" t="s">
        <v>764</v>
      </c>
      <c r="F219">
        <v>3.08</v>
      </c>
      <c r="G219" t="s">
        <v>482</v>
      </c>
      <c r="H219" t="s">
        <v>483</v>
      </c>
      <c r="I219">
        <v>-1</v>
      </c>
      <c r="Q219" t="s">
        <v>755</v>
      </c>
      <c r="R219">
        <v>1023</v>
      </c>
      <c r="S219">
        <v>3</v>
      </c>
      <c r="T219" t="b">
        <v>0</v>
      </c>
      <c r="U219" t="s">
        <v>88</v>
      </c>
      <c r="V219" t="s">
        <v>89</v>
      </c>
      <c r="W219">
        <v>0</v>
      </c>
      <c r="Y219">
        <v>0.23799999999999999</v>
      </c>
      <c r="Z219">
        <v>4.76</v>
      </c>
      <c r="AC219" t="s">
        <v>165</v>
      </c>
      <c r="AD219">
        <v>350</v>
      </c>
      <c r="AE219">
        <v>400</v>
      </c>
      <c r="AF219" t="s">
        <v>407</v>
      </c>
      <c r="AH219" s="3">
        <v>48</v>
      </c>
      <c r="AI219" s="3">
        <f>AH219/(AD219*Y219*Z219)</f>
        <v>0.12105682609178126</v>
      </c>
      <c r="AJ219" s="3">
        <f>LN(AI219)</f>
        <v>-2.1114952065082346</v>
      </c>
      <c r="AK219" t="s">
        <v>765</v>
      </c>
      <c r="AL219" t="s">
        <v>765</v>
      </c>
      <c r="AN219" t="b">
        <v>1</v>
      </c>
      <c r="AO219" t="b">
        <v>1</v>
      </c>
      <c r="AP219" t="b">
        <v>0</v>
      </c>
      <c r="AQ219" t="b">
        <v>0</v>
      </c>
      <c r="AR219" t="s">
        <v>766</v>
      </c>
      <c r="AS219" t="s">
        <v>767</v>
      </c>
      <c r="AU219">
        <v>3.8712010109078911</v>
      </c>
      <c r="AV219">
        <v>1.992105263157895</v>
      </c>
      <c r="AW219">
        <v>3.1578947368421049</v>
      </c>
      <c r="AX219">
        <v>2.4447368421052631</v>
      </c>
      <c r="AY219">
        <v>2.947368421052631</v>
      </c>
      <c r="AZ219">
        <v>0.1889665501747379</v>
      </c>
      <c r="BA219">
        <v>0.29955067398901652</v>
      </c>
      <c r="BB219">
        <v>0.23190214677983029</v>
      </c>
      <c r="BC219">
        <v>0.27958062905641529</v>
      </c>
      <c r="BD219">
        <v>6.1750878752236833</v>
      </c>
      <c r="BE219">
        <v>24</v>
      </c>
      <c r="BF219">
        <v>251.01098912285789</v>
      </c>
      <c r="BG219">
        <v>1</v>
      </c>
      <c r="BH219">
        <v>9.5613343797681868E-2</v>
      </c>
      <c r="BI219">
        <v>3.86469438</v>
      </c>
      <c r="BJ219">
        <v>3.86469438</v>
      </c>
      <c r="BK219">
        <v>16.978874730000001</v>
      </c>
      <c r="BL219">
        <v>967.79977224000004</v>
      </c>
      <c r="BM219">
        <v>1</v>
      </c>
      <c r="BN219">
        <v>2.4798517925305269E-2</v>
      </c>
      <c r="BO219">
        <v>32.83</v>
      </c>
      <c r="BP219">
        <v>5.4109999999999996</v>
      </c>
      <c r="BQ219">
        <v>5.4480000000000004</v>
      </c>
      <c r="BR219">
        <v>0</v>
      </c>
      <c r="BS219">
        <v>0</v>
      </c>
      <c r="BU219">
        <v>0</v>
      </c>
      <c r="BV219">
        <v>0</v>
      </c>
      <c r="BW219">
        <v>0</v>
      </c>
      <c r="BZ219">
        <v>12</v>
      </c>
      <c r="CB219">
        <v>4.7806671898840927E-2</v>
      </c>
      <c r="CC219">
        <v>1.239925896265264E-2</v>
      </c>
      <c r="CE219">
        <v>0.52764243310939496</v>
      </c>
      <c r="CF219">
        <v>0.13685067184034891</v>
      </c>
    </row>
    <row r="220" spans="1:86" x14ac:dyDescent="0.3">
      <c r="A220" s="1">
        <v>335</v>
      </c>
      <c r="B220" t="s">
        <v>480</v>
      </c>
      <c r="C220" t="s">
        <v>481</v>
      </c>
      <c r="F220">
        <v>3.08</v>
      </c>
      <c r="G220" t="s">
        <v>482</v>
      </c>
      <c r="H220" t="s">
        <v>483</v>
      </c>
      <c r="I220">
        <v>-1</v>
      </c>
      <c r="Q220" t="s">
        <v>755</v>
      </c>
      <c r="R220">
        <v>1023</v>
      </c>
      <c r="S220">
        <v>3</v>
      </c>
      <c r="T220" t="b">
        <v>0</v>
      </c>
      <c r="U220" t="s">
        <v>88</v>
      </c>
      <c r="V220" t="s">
        <v>89</v>
      </c>
      <c r="W220">
        <v>0</v>
      </c>
      <c r="Y220">
        <v>0.23799999999999999</v>
      </c>
      <c r="Z220">
        <v>4.76</v>
      </c>
      <c r="AC220" t="s">
        <v>165</v>
      </c>
      <c r="AD220">
        <v>350</v>
      </c>
      <c r="AE220">
        <v>400</v>
      </c>
      <c r="AF220" t="s">
        <v>407</v>
      </c>
      <c r="AH220" s="3">
        <v>35</v>
      </c>
      <c r="AI220" s="3">
        <f>AH220/(AD220*Y220*Z220)</f>
        <v>8.8270602358590494E-2</v>
      </c>
      <c r="AJ220" s="3">
        <f>LN(AI220)</f>
        <v>-2.4273481559267118</v>
      </c>
      <c r="AN220" t="b">
        <v>1</v>
      </c>
      <c r="AO220" t="b">
        <v>1</v>
      </c>
      <c r="AP220" t="b">
        <v>0</v>
      </c>
      <c r="AQ220" t="b">
        <v>0</v>
      </c>
      <c r="AR220" t="s">
        <v>482</v>
      </c>
      <c r="AS220" t="s">
        <v>483</v>
      </c>
      <c r="AU220">
        <v>3.555348061489414</v>
      </c>
      <c r="AV220">
        <v>2</v>
      </c>
      <c r="AW220">
        <v>3.1578947368421049</v>
      </c>
      <c r="AX220">
        <v>2.4210526315789469</v>
      </c>
      <c r="AY220">
        <v>2.947368421052631</v>
      </c>
      <c r="AZ220">
        <v>0.19</v>
      </c>
      <c r="BA220">
        <v>0.3</v>
      </c>
      <c r="BB220">
        <v>0.23</v>
      </c>
      <c r="BC220">
        <v>0.28000000000000003</v>
      </c>
      <c r="BD220">
        <v>6.1729611386315781</v>
      </c>
      <c r="BE220">
        <v>24</v>
      </c>
      <c r="BF220">
        <v>251.01098912285789</v>
      </c>
      <c r="BG220">
        <v>1</v>
      </c>
      <c r="BH220">
        <v>9.5613343797681868E-2</v>
      </c>
      <c r="BI220">
        <v>3.86469438</v>
      </c>
      <c r="BJ220">
        <v>3.86469438</v>
      </c>
      <c r="BK220">
        <v>16.978874730000001</v>
      </c>
      <c r="BL220">
        <v>967.79977224000004</v>
      </c>
      <c r="BM220">
        <v>4</v>
      </c>
      <c r="BN220">
        <v>9.919407170122109E-2</v>
      </c>
      <c r="BO220">
        <v>32.83</v>
      </c>
      <c r="BP220">
        <v>5.4109999999999996</v>
      </c>
      <c r="BQ220">
        <v>5.4480000000000004</v>
      </c>
      <c r="BR220">
        <v>0</v>
      </c>
      <c r="BS220">
        <v>0</v>
      </c>
      <c r="BU220">
        <v>0</v>
      </c>
      <c r="BV220">
        <v>0</v>
      </c>
      <c r="BW220">
        <v>0</v>
      </c>
      <c r="BZ220">
        <v>12</v>
      </c>
      <c r="CB220">
        <v>4.7806671898840927E-2</v>
      </c>
      <c r="CC220">
        <v>4.9597035850610538E-2</v>
      </c>
      <c r="CE220">
        <v>0.52818907539878346</v>
      </c>
      <c r="CF220">
        <v>0.54796980145127872</v>
      </c>
    </row>
    <row r="221" spans="1:86" x14ac:dyDescent="0.3">
      <c r="A221" s="1">
        <v>708</v>
      </c>
      <c r="B221" t="s">
        <v>1086</v>
      </c>
      <c r="C221" t="s">
        <v>1087</v>
      </c>
      <c r="E221" t="s">
        <v>404</v>
      </c>
      <c r="F221">
        <v>3.4</v>
      </c>
      <c r="G221" t="s">
        <v>1088</v>
      </c>
      <c r="H221">
        <v>-1</v>
      </c>
      <c r="I221">
        <v>-1</v>
      </c>
      <c r="J221">
        <v>2</v>
      </c>
      <c r="K221">
        <v>3.835</v>
      </c>
      <c r="L221">
        <v>3.835</v>
      </c>
      <c r="M221">
        <v>34.43</v>
      </c>
      <c r="N221" t="s">
        <v>101</v>
      </c>
      <c r="O221">
        <v>17.215</v>
      </c>
      <c r="Q221" t="s">
        <v>87</v>
      </c>
      <c r="R221">
        <v>1273</v>
      </c>
      <c r="S221">
        <v>10</v>
      </c>
      <c r="T221" t="b">
        <v>0</v>
      </c>
      <c r="U221" t="s">
        <v>88</v>
      </c>
      <c r="V221" t="s">
        <v>89</v>
      </c>
      <c r="W221">
        <v>0</v>
      </c>
      <c r="Y221">
        <v>0.5</v>
      </c>
      <c r="Z221">
        <v>25</v>
      </c>
      <c r="AC221" t="s">
        <v>90</v>
      </c>
      <c r="AD221">
        <v>125</v>
      </c>
      <c r="AE221">
        <v>220</v>
      </c>
      <c r="AF221" t="s">
        <v>91</v>
      </c>
      <c r="AG221">
        <v>288</v>
      </c>
      <c r="AH221" s="3">
        <v>113.12</v>
      </c>
      <c r="AI221" s="3">
        <f>AH221/(AD221*Y221*Z221)</f>
        <v>7.2396799999999997E-2</v>
      </c>
      <c r="AJ221" s="3">
        <f>LN(AI221)</f>
        <v>-2.6255931794622938</v>
      </c>
      <c r="AK221" t="s">
        <v>136</v>
      </c>
      <c r="AN221" t="b">
        <v>1</v>
      </c>
      <c r="AO221" t="b">
        <v>0</v>
      </c>
      <c r="AP221" t="b">
        <v>0</v>
      </c>
      <c r="AQ221" t="b">
        <v>0</v>
      </c>
      <c r="AR221" t="s">
        <v>1205</v>
      </c>
      <c r="AU221">
        <v>4.7284492021482629</v>
      </c>
      <c r="AV221">
        <v>1.452054794520548</v>
      </c>
      <c r="AW221">
        <v>1.068493150684932</v>
      </c>
      <c r="AX221">
        <v>0.1095890410958904</v>
      </c>
      <c r="AY221">
        <v>0</v>
      </c>
      <c r="AZ221">
        <v>0.55208333333333337</v>
      </c>
      <c r="BA221">
        <v>0.40625000000000011</v>
      </c>
      <c r="BB221">
        <v>4.1666666666666657E-2</v>
      </c>
      <c r="BC221">
        <v>0</v>
      </c>
      <c r="BD221">
        <v>6.7613944421512322</v>
      </c>
      <c r="BE221">
        <v>20</v>
      </c>
      <c r="BF221">
        <v>1015.4396556</v>
      </c>
      <c r="BG221">
        <v>2</v>
      </c>
      <c r="BH221">
        <v>3.9391804111062523E-2</v>
      </c>
      <c r="BI221">
        <v>3.8530000000000002</v>
      </c>
      <c r="BJ221">
        <v>3.8530000000000002</v>
      </c>
      <c r="BK221">
        <v>68.400000000000006</v>
      </c>
      <c r="BL221">
        <v>0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U221">
        <v>0</v>
      </c>
      <c r="BV221">
        <v>0</v>
      </c>
      <c r="BW221">
        <v>0</v>
      </c>
      <c r="BX221">
        <v>506.36975675000002</v>
      </c>
      <c r="BY221">
        <v>7.8993659212053646E-2</v>
      </c>
      <c r="BZ221">
        <v>10</v>
      </c>
      <c r="CA221">
        <v>3.9496829606026823E-2</v>
      </c>
      <c r="CB221">
        <v>1.9695902055531261E-2</v>
      </c>
      <c r="CE221">
        <v>0.2433493705793833</v>
      </c>
      <c r="CH221">
        <v>0.48799636581298611</v>
      </c>
    </row>
    <row r="222" spans="1:86" x14ac:dyDescent="0.3">
      <c r="A222" s="1">
        <v>383</v>
      </c>
      <c r="B222" t="s">
        <v>128</v>
      </c>
      <c r="C222" t="s">
        <v>129</v>
      </c>
      <c r="E222" t="s">
        <v>130</v>
      </c>
      <c r="F222">
        <v>3.26</v>
      </c>
      <c r="G222" t="s">
        <v>131</v>
      </c>
      <c r="H222" t="s">
        <v>132</v>
      </c>
      <c r="I222">
        <v>-1</v>
      </c>
      <c r="O222">
        <v>0</v>
      </c>
      <c r="Q222" t="s">
        <v>87</v>
      </c>
      <c r="R222">
        <v>1423</v>
      </c>
      <c r="S222">
        <v>24</v>
      </c>
      <c r="T222" t="b">
        <v>0</v>
      </c>
      <c r="U222" t="s">
        <v>88</v>
      </c>
      <c r="V222" t="s">
        <v>89</v>
      </c>
      <c r="W222">
        <v>0</v>
      </c>
      <c r="X222">
        <v>47.1</v>
      </c>
      <c r="Y222">
        <v>2</v>
      </c>
      <c r="Z222">
        <v>10</v>
      </c>
      <c r="AC222" t="s">
        <v>90</v>
      </c>
      <c r="AD222">
        <v>100</v>
      </c>
      <c r="AE222">
        <v>290</v>
      </c>
      <c r="AF222" t="s">
        <v>91</v>
      </c>
      <c r="AG222">
        <v>333</v>
      </c>
      <c r="AH222" s="3">
        <v>133.92857142857139</v>
      </c>
      <c r="AI222" s="3">
        <f>AH222/(AD222*Y222*Z222)</f>
        <v>6.6964285714285698E-2</v>
      </c>
      <c r="AJ222" s="3">
        <f>LN(AI222)</f>
        <v>-2.7035958507528299</v>
      </c>
      <c r="AN222" t="b">
        <v>1</v>
      </c>
      <c r="AO222" t="b">
        <v>0</v>
      </c>
      <c r="AP222" t="b">
        <v>0</v>
      </c>
      <c r="AQ222" t="b">
        <v>0</v>
      </c>
      <c r="AR222" t="s">
        <v>131</v>
      </c>
      <c r="AS222" t="s">
        <v>132</v>
      </c>
      <c r="AU222">
        <v>4.8973066087892523</v>
      </c>
      <c r="AV222">
        <v>2</v>
      </c>
      <c r="AW222">
        <v>2.666666666666667</v>
      </c>
      <c r="AX222">
        <v>0.66666666666666663</v>
      </c>
      <c r="AY222">
        <v>0</v>
      </c>
      <c r="AZ222">
        <v>0.375</v>
      </c>
      <c r="BA222">
        <v>0.5</v>
      </c>
      <c r="BB222">
        <v>0.125</v>
      </c>
      <c r="BC222">
        <v>0</v>
      </c>
      <c r="BD222">
        <v>6.1770001596666662</v>
      </c>
      <c r="BE222">
        <v>4</v>
      </c>
      <c r="BF222">
        <v>1182.741260108548</v>
      </c>
      <c r="BG222">
        <v>30</v>
      </c>
      <c r="BH222">
        <v>0.1014592151701775</v>
      </c>
      <c r="BI222">
        <v>10.59112378</v>
      </c>
      <c r="BJ222">
        <v>10.784736629999999</v>
      </c>
      <c r="BK222">
        <v>10.486176179999999</v>
      </c>
      <c r="BL222">
        <v>130.36387300000001</v>
      </c>
      <c r="BM222">
        <v>4</v>
      </c>
      <c r="BN222">
        <v>0.1227333894874388</v>
      </c>
      <c r="BO222">
        <v>3.73</v>
      </c>
      <c r="BP222">
        <v>3.73</v>
      </c>
      <c r="BQ222">
        <v>9.3699999999999992</v>
      </c>
      <c r="BR222">
        <v>0</v>
      </c>
      <c r="BS222">
        <v>0</v>
      </c>
      <c r="BU222">
        <v>0</v>
      </c>
      <c r="BV222">
        <v>0</v>
      </c>
      <c r="BW222">
        <v>0</v>
      </c>
      <c r="BZ222">
        <v>2</v>
      </c>
      <c r="CB222">
        <v>5.0729607585088737E-2</v>
      </c>
      <c r="CC222">
        <v>6.1366694743719377E-2</v>
      </c>
      <c r="CE222">
        <v>0.46900407026869612</v>
      </c>
      <c r="CF222">
        <v>0.56734579634715776</v>
      </c>
    </row>
    <row r="223" spans="1:86" x14ac:dyDescent="0.3">
      <c r="A223" s="1">
        <v>269</v>
      </c>
      <c r="B223" t="s">
        <v>659</v>
      </c>
      <c r="C223" t="s">
        <v>660</v>
      </c>
      <c r="E223" t="s">
        <v>106</v>
      </c>
      <c r="F223">
        <v>2.86</v>
      </c>
      <c r="G223" t="s">
        <v>113</v>
      </c>
      <c r="H223" t="s">
        <v>114</v>
      </c>
      <c r="I223">
        <v>-1</v>
      </c>
      <c r="Q223" t="s">
        <v>87</v>
      </c>
      <c r="R223">
        <v>1373</v>
      </c>
      <c r="S223">
        <v>50</v>
      </c>
      <c r="T223" t="b">
        <v>0</v>
      </c>
      <c r="U223" t="s">
        <v>88</v>
      </c>
      <c r="V223" t="s">
        <v>89</v>
      </c>
      <c r="W223">
        <v>0</v>
      </c>
      <c r="X223">
        <v>2.1</v>
      </c>
      <c r="Y223">
        <v>1.67</v>
      </c>
      <c r="Z223">
        <v>20</v>
      </c>
      <c r="AC223" t="s">
        <v>165</v>
      </c>
      <c r="AD223">
        <v>1000</v>
      </c>
      <c r="AE223">
        <v>230</v>
      </c>
      <c r="AF223" t="s">
        <v>653</v>
      </c>
      <c r="AH223" s="3">
        <v>2030</v>
      </c>
      <c r="AI223" s="3">
        <f>AH223/(AD223*Y223*Z223)</f>
        <v>6.0778443113772458E-2</v>
      </c>
      <c r="AJ223" s="3">
        <f>LN(AI223)</f>
        <v>-2.8005201069289587</v>
      </c>
      <c r="AK223" t="s">
        <v>661</v>
      </c>
      <c r="AL223" t="s">
        <v>661</v>
      </c>
      <c r="AN223" t="b">
        <v>1</v>
      </c>
      <c r="AO223" t="b">
        <v>1</v>
      </c>
      <c r="AP223" t="b">
        <v>0</v>
      </c>
      <c r="AQ223" t="b">
        <v>0</v>
      </c>
      <c r="AR223" t="s">
        <v>682</v>
      </c>
      <c r="AS223" t="s">
        <v>683</v>
      </c>
      <c r="AU223">
        <v>7.6157910720358331</v>
      </c>
      <c r="AV223">
        <v>1.75</v>
      </c>
      <c r="AW223">
        <v>2.5</v>
      </c>
      <c r="AX223">
        <v>1.375</v>
      </c>
      <c r="AY223">
        <v>0</v>
      </c>
      <c r="AZ223">
        <v>0.31111111111111112</v>
      </c>
      <c r="BA223">
        <v>0.44444444444444442</v>
      </c>
      <c r="BB223">
        <v>0.24444444444444441</v>
      </c>
      <c r="BC223">
        <v>0</v>
      </c>
      <c r="BD223">
        <v>6.0930178353124997</v>
      </c>
      <c r="BE223">
        <v>20</v>
      </c>
      <c r="BF223">
        <v>240.40623599981481</v>
      </c>
      <c r="BG223">
        <v>1</v>
      </c>
      <c r="BH223">
        <v>8.3192517518619641E-2</v>
      </c>
      <c r="BI223">
        <v>3.9661010000000001</v>
      </c>
      <c r="BJ223">
        <v>3.9661010000000001</v>
      </c>
      <c r="BK223">
        <v>15.283337</v>
      </c>
      <c r="BL223">
        <v>222.00958249733301</v>
      </c>
      <c r="BM223">
        <v>1</v>
      </c>
      <c r="BN223">
        <v>9.0086201573034624E-2</v>
      </c>
      <c r="BO223">
        <v>3.8586499999999999</v>
      </c>
      <c r="BP223">
        <v>3.8586499999999999</v>
      </c>
      <c r="BQ223">
        <v>14.9108</v>
      </c>
      <c r="BR223">
        <v>0</v>
      </c>
      <c r="BS223">
        <v>0</v>
      </c>
      <c r="BU223">
        <v>0</v>
      </c>
      <c r="BV223">
        <v>0</v>
      </c>
      <c r="BW223">
        <v>0</v>
      </c>
      <c r="BZ223">
        <v>10</v>
      </c>
      <c r="CB223">
        <v>4.159625875930982E-2</v>
      </c>
      <c r="CC223">
        <v>4.5043100786517312E-2</v>
      </c>
      <c r="CE223">
        <v>0.46237874670194329</v>
      </c>
      <c r="CF223">
        <v>0.50069340634096882</v>
      </c>
    </row>
    <row r="224" spans="1:86" x14ac:dyDescent="0.3">
      <c r="A224" s="1">
        <v>416</v>
      </c>
      <c r="B224" t="s">
        <v>690</v>
      </c>
      <c r="C224" t="s">
        <v>691</v>
      </c>
      <c r="E224" t="s">
        <v>690</v>
      </c>
      <c r="F224">
        <v>3.31</v>
      </c>
      <c r="G224" t="s">
        <v>692</v>
      </c>
      <c r="H224" t="s">
        <v>693</v>
      </c>
      <c r="I224">
        <v>-1</v>
      </c>
      <c r="O224">
        <v>0</v>
      </c>
      <c r="Q224" t="s">
        <v>821</v>
      </c>
      <c r="R224">
        <v>473</v>
      </c>
      <c r="S224">
        <v>24</v>
      </c>
      <c r="T224" t="b">
        <v>0</v>
      </c>
      <c r="U224" t="s">
        <v>88</v>
      </c>
      <c r="V224" t="s">
        <v>89</v>
      </c>
      <c r="W224">
        <v>0</v>
      </c>
      <c r="X224">
        <v>69.8</v>
      </c>
      <c r="Y224">
        <v>2</v>
      </c>
      <c r="Z224">
        <v>16</v>
      </c>
      <c r="AC224" t="s">
        <v>90</v>
      </c>
      <c r="AD224">
        <v>400</v>
      </c>
      <c r="AF224" t="s">
        <v>91</v>
      </c>
      <c r="AH224" s="3">
        <v>750</v>
      </c>
      <c r="AI224" s="3">
        <f>AH224/(AD224*Y224*Z224)</f>
        <v>5.859375E-2</v>
      </c>
      <c r="AJ224" s="3">
        <f>LN(AI224)</f>
        <v>-2.8371272433773522</v>
      </c>
      <c r="AN224" t="b">
        <v>1</v>
      </c>
      <c r="AO224" t="b">
        <v>0</v>
      </c>
      <c r="AP224" t="b">
        <v>0</v>
      </c>
      <c r="AQ224" t="b">
        <v>0</v>
      </c>
      <c r="AR224" t="s">
        <v>692</v>
      </c>
      <c r="AS224" t="s">
        <v>693</v>
      </c>
      <c r="AU224">
        <v>6.620073206530356</v>
      </c>
      <c r="AV224">
        <v>2</v>
      </c>
      <c r="AW224">
        <v>2.545454545454545</v>
      </c>
      <c r="AX224">
        <v>0.54545454545454541</v>
      </c>
      <c r="AY224">
        <v>0</v>
      </c>
      <c r="AZ224">
        <v>0.39285714285714279</v>
      </c>
      <c r="BA224">
        <v>0.5</v>
      </c>
      <c r="BB224">
        <v>0.1071428571428571</v>
      </c>
      <c r="BC224">
        <v>0</v>
      </c>
      <c r="BD224">
        <v>5.9831999205909083</v>
      </c>
      <c r="BE224">
        <v>14</v>
      </c>
      <c r="BF224">
        <v>288.33429290182369</v>
      </c>
      <c r="BG224">
        <v>2</v>
      </c>
      <c r="BH224">
        <v>9.7109503410799117E-2</v>
      </c>
      <c r="BI224">
        <v>7.41544296</v>
      </c>
      <c r="BJ224">
        <v>7.4154429599999991</v>
      </c>
      <c r="BK224">
        <v>7.41544296</v>
      </c>
      <c r="BL224">
        <v>556.51188553357167</v>
      </c>
      <c r="BM224">
        <v>4</v>
      </c>
      <c r="BN224">
        <v>0.10062678166578309</v>
      </c>
      <c r="BO224">
        <v>7.8</v>
      </c>
      <c r="BP224">
        <v>13.010999999999999</v>
      </c>
      <c r="BQ224">
        <v>5.5460000000000003</v>
      </c>
      <c r="BR224">
        <v>0</v>
      </c>
      <c r="BS224">
        <v>0</v>
      </c>
      <c r="BU224">
        <v>0</v>
      </c>
      <c r="BV224">
        <v>0</v>
      </c>
      <c r="BW224">
        <v>0</v>
      </c>
      <c r="BZ224">
        <v>7</v>
      </c>
      <c r="CB224">
        <v>4.8554751705399558E-2</v>
      </c>
      <c r="CC224">
        <v>5.0313390832891547E-2</v>
      </c>
      <c r="CE224">
        <v>0.52442413903612495</v>
      </c>
      <c r="CF224">
        <v>0.54341863036636617</v>
      </c>
    </row>
    <row r="225" spans="1:86" x14ac:dyDescent="0.3">
      <c r="A225" s="1">
        <v>24</v>
      </c>
      <c r="B225" t="s">
        <v>140</v>
      </c>
      <c r="C225" t="s">
        <v>141</v>
      </c>
      <c r="E225" t="s">
        <v>106</v>
      </c>
      <c r="F225">
        <v>3.5</v>
      </c>
      <c r="G225" t="s">
        <v>142</v>
      </c>
      <c r="H225">
        <v>1522043</v>
      </c>
      <c r="I225" t="s">
        <v>143</v>
      </c>
      <c r="K225">
        <v>7.7270000000000003</v>
      </c>
      <c r="L225">
        <v>7.7270000000000003</v>
      </c>
      <c r="M225">
        <v>30.175999999999998</v>
      </c>
      <c r="N225" t="s">
        <v>110</v>
      </c>
      <c r="O225">
        <v>15.087999999999999</v>
      </c>
      <c r="P225">
        <v>3</v>
      </c>
      <c r="Q225" t="s">
        <v>87</v>
      </c>
      <c r="R225">
        <v>1473</v>
      </c>
      <c r="S225">
        <v>48</v>
      </c>
      <c r="T225" t="b">
        <v>0</v>
      </c>
      <c r="U225" t="s">
        <v>88</v>
      </c>
      <c r="V225" t="s">
        <v>89</v>
      </c>
      <c r="W225">
        <v>0</v>
      </c>
      <c r="Y225">
        <v>2.85</v>
      </c>
      <c r="Z225">
        <v>14.3</v>
      </c>
      <c r="AC225" t="s">
        <v>90</v>
      </c>
      <c r="AD225">
        <v>450</v>
      </c>
      <c r="AF225" t="s">
        <v>91</v>
      </c>
      <c r="AH225" s="3">
        <v>970</v>
      </c>
      <c r="AI225" s="3">
        <f>AH225/(AD225*Y225*Z225)</f>
        <v>5.2890579206368679E-2</v>
      </c>
      <c r="AJ225" s="3">
        <f>LN(AI225)</f>
        <v>-2.9395300428133577</v>
      </c>
      <c r="AK225" t="s">
        <v>144</v>
      </c>
      <c r="AL225" t="s">
        <v>144</v>
      </c>
      <c r="AN225" t="b">
        <v>1</v>
      </c>
      <c r="AO225" t="b">
        <v>1</v>
      </c>
      <c r="AP225" t="b">
        <v>0</v>
      </c>
      <c r="AQ225" t="b">
        <v>0</v>
      </c>
      <c r="AR225" t="s">
        <v>149</v>
      </c>
      <c r="AS225" t="s">
        <v>150</v>
      </c>
      <c r="AT225" t="s">
        <v>143</v>
      </c>
      <c r="AU225">
        <v>6.8772960714974287</v>
      </c>
      <c r="AV225">
        <v>1.75</v>
      </c>
      <c r="AW225">
        <v>2.5</v>
      </c>
      <c r="AX225">
        <v>0.75</v>
      </c>
      <c r="AY225">
        <v>0</v>
      </c>
      <c r="AZ225">
        <v>0.35</v>
      </c>
      <c r="BA225">
        <v>0.5</v>
      </c>
      <c r="BB225">
        <v>0.15</v>
      </c>
      <c r="BC225">
        <v>0</v>
      </c>
      <c r="BD225">
        <v>6.2640154224906874</v>
      </c>
      <c r="BE225">
        <v>20</v>
      </c>
      <c r="BF225">
        <v>242.1279024923125</v>
      </c>
      <c r="BG225">
        <v>1</v>
      </c>
      <c r="BH225">
        <v>8.2600971611006269E-2</v>
      </c>
      <c r="BI225">
        <v>3.950634</v>
      </c>
      <c r="BJ225">
        <v>3.950634</v>
      </c>
      <c r="BK225">
        <v>15.513552000000001</v>
      </c>
      <c r="BL225">
        <v>227.970829547178</v>
      </c>
      <c r="BM225">
        <v>1</v>
      </c>
      <c r="BN225">
        <v>8.7730522539775438E-2</v>
      </c>
      <c r="BO225">
        <v>3.8658999999999999</v>
      </c>
      <c r="BP225">
        <v>3.8658999999999999</v>
      </c>
      <c r="BQ225">
        <v>15.2538</v>
      </c>
      <c r="BR225">
        <v>0</v>
      </c>
      <c r="BS225">
        <v>0</v>
      </c>
      <c r="BU225">
        <v>0</v>
      </c>
      <c r="BV225">
        <v>0</v>
      </c>
      <c r="BW225">
        <v>0</v>
      </c>
      <c r="BX225">
        <v>1801.704219104</v>
      </c>
      <c r="BZ225">
        <v>10</v>
      </c>
      <c r="CB225">
        <v>4.1300485805503127E-2</v>
      </c>
      <c r="CC225">
        <v>4.3865261269887719E-2</v>
      </c>
      <c r="CE225">
        <v>0.42195359024583579</v>
      </c>
      <c r="CF225">
        <v>0.44815706447294301</v>
      </c>
    </row>
    <row r="226" spans="1:86" x14ac:dyDescent="0.3">
      <c r="A226" s="1">
        <v>19</v>
      </c>
      <c r="B226" t="s">
        <v>94</v>
      </c>
      <c r="C226" t="s">
        <v>138</v>
      </c>
      <c r="E226" t="s">
        <v>94</v>
      </c>
      <c r="F226">
        <v>3.2</v>
      </c>
      <c r="G226" t="s">
        <v>139</v>
      </c>
      <c r="H226">
        <v>-1</v>
      </c>
      <c r="I226">
        <v>-1</v>
      </c>
      <c r="J226">
        <v>8</v>
      </c>
      <c r="K226">
        <v>7.806</v>
      </c>
      <c r="L226">
        <v>7.6680000000000001</v>
      </c>
      <c r="M226">
        <v>21.54</v>
      </c>
      <c r="N226" t="s">
        <v>97</v>
      </c>
      <c r="O226">
        <v>10.77</v>
      </c>
      <c r="P226">
        <v>2</v>
      </c>
      <c r="Q226" t="s">
        <v>87</v>
      </c>
      <c r="R226">
        <v>1473</v>
      </c>
      <c r="S226">
        <v>48</v>
      </c>
      <c r="T226" t="b">
        <v>0</v>
      </c>
      <c r="U226" t="s">
        <v>88</v>
      </c>
      <c r="V226" t="s">
        <v>89</v>
      </c>
      <c r="W226">
        <v>0</v>
      </c>
      <c r="Y226">
        <v>2.85</v>
      </c>
      <c r="Z226">
        <v>14.3</v>
      </c>
      <c r="AC226" t="s">
        <v>90</v>
      </c>
      <c r="AD226">
        <v>450</v>
      </c>
      <c r="AF226" t="s">
        <v>91</v>
      </c>
      <c r="AH226" s="3">
        <v>760</v>
      </c>
      <c r="AI226" s="3">
        <f>AH226/(AD226*Y226*Z226)</f>
        <v>4.1440041440041438E-2</v>
      </c>
      <c r="AJ226" s="3">
        <f>LN(AI226)</f>
        <v>-3.1835076810304095</v>
      </c>
      <c r="AN226" t="b">
        <v>1</v>
      </c>
      <c r="AO226" t="b">
        <v>0</v>
      </c>
      <c r="AP226" t="b">
        <v>0</v>
      </c>
      <c r="AQ226" t="b">
        <v>0</v>
      </c>
      <c r="AR226" t="s">
        <v>139</v>
      </c>
      <c r="AU226">
        <v>6.633318433280377</v>
      </c>
      <c r="AV226">
        <v>1.7272727272727271</v>
      </c>
      <c r="AW226">
        <v>2.545454545454545</v>
      </c>
      <c r="AX226">
        <v>0.81818181818181823</v>
      </c>
      <c r="AY226">
        <v>0</v>
      </c>
      <c r="AZ226">
        <v>0.3392857142857143</v>
      </c>
      <c r="BA226">
        <v>0.5</v>
      </c>
      <c r="BB226">
        <v>0.1607142857142857</v>
      </c>
      <c r="BC226">
        <v>0</v>
      </c>
      <c r="BD226">
        <v>6.4269893564864544</v>
      </c>
      <c r="BE226">
        <v>14</v>
      </c>
      <c r="BF226">
        <v>165.66723991337099</v>
      </c>
      <c r="BG226">
        <v>1</v>
      </c>
      <c r="BH226">
        <v>8.4506749839743392E-2</v>
      </c>
      <c r="BI226">
        <v>3.9263319999999999</v>
      </c>
      <c r="BJ226">
        <v>3.9263319999999999</v>
      </c>
      <c r="BK226">
        <v>10.74639</v>
      </c>
      <c r="BL226">
        <v>0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U226">
        <v>0</v>
      </c>
      <c r="BV226">
        <v>0</v>
      </c>
      <c r="BW226">
        <v>0</v>
      </c>
      <c r="BX226">
        <v>1289.30702832</v>
      </c>
      <c r="BY226">
        <v>8.6868370015743157E-2</v>
      </c>
      <c r="BZ226">
        <v>7</v>
      </c>
      <c r="CA226">
        <v>4.3434185007871579E-2</v>
      </c>
      <c r="CB226">
        <v>4.2253374919871703E-2</v>
      </c>
      <c r="CE226">
        <v>0.41874907041247761</v>
      </c>
      <c r="CH226">
        <v>0.43045140490342221</v>
      </c>
    </row>
    <row r="227" spans="1:86" x14ac:dyDescent="0.3">
      <c r="A227" s="1">
        <v>18</v>
      </c>
      <c r="B227" t="s">
        <v>134</v>
      </c>
      <c r="C227" t="s">
        <v>135</v>
      </c>
      <c r="E227" t="s">
        <v>83</v>
      </c>
      <c r="F227">
        <v>3.5</v>
      </c>
      <c r="G227" t="s">
        <v>85</v>
      </c>
      <c r="H227">
        <v>-1</v>
      </c>
      <c r="I227">
        <v>-1</v>
      </c>
      <c r="J227">
        <v>4</v>
      </c>
      <c r="Q227" t="s">
        <v>87</v>
      </c>
      <c r="R227">
        <v>1473</v>
      </c>
      <c r="S227">
        <v>48</v>
      </c>
      <c r="T227" t="b">
        <v>0</v>
      </c>
      <c r="U227" t="s">
        <v>88</v>
      </c>
      <c r="V227" t="s">
        <v>89</v>
      </c>
      <c r="W227">
        <v>0</v>
      </c>
      <c r="Y227">
        <v>2.85</v>
      </c>
      <c r="Z227">
        <v>14.3</v>
      </c>
      <c r="AC227" t="s">
        <v>90</v>
      </c>
      <c r="AD227">
        <v>450</v>
      </c>
      <c r="AF227" t="s">
        <v>91</v>
      </c>
      <c r="AH227" s="3">
        <v>750</v>
      </c>
      <c r="AI227" s="3">
        <f>AH227/(AD227*Y227*Z227)</f>
        <v>4.0894777736882999E-2</v>
      </c>
      <c r="AJ227" s="3">
        <f>LN(AI227)</f>
        <v>-3.19675290778043</v>
      </c>
      <c r="AK227" t="s">
        <v>136</v>
      </c>
      <c r="AN227" t="b">
        <v>1</v>
      </c>
      <c r="AO227" t="b">
        <v>0</v>
      </c>
      <c r="AP227" t="b">
        <v>0</v>
      </c>
      <c r="AQ227" t="b">
        <v>0</v>
      </c>
      <c r="AR227" t="s">
        <v>137</v>
      </c>
      <c r="AU227">
        <v>6.620073206530356</v>
      </c>
      <c r="AV227">
        <v>1.62962962962963</v>
      </c>
      <c r="AW227">
        <v>2.518518518518519</v>
      </c>
      <c r="AX227">
        <v>0.88888888888888884</v>
      </c>
      <c r="AY227">
        <v>0</v>
      </c>
      <c r="AZ227">
        <v>0.32352941176470579</v>
      </c>
      <c r="BA227">
        <v>0.5</v>
      </c>
      <c r="BB227">
        <v>0.1764705882352941</v>
      </c>
      <c r="BC227">
        <v>0</v>
      </c>
      <c r="BD227">
        <v>6.6632206815149626</v>
      </c>
      <c r="BE227">
        <v>34</v>
      </c>
      <c r="BF227">
        <v>1767.0449718798691</v>
      </c>
      <c r="BG227">
        <v>4</v>
      </c>
      <c r="BH227">
        <v>7.6964651247849417E-2</v>
      </c>
      <c r="BI227">
        <v>6.6040679999999998</v>
      </c>
      <c r="BJ227">
        <v>7.9389519999999996</v>
      </c>
      <c r="BK227">
        <v>33.703336</v>
      </c>
      <c r="BL227">
        <v>0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U227">
        <v>0</v>
      </c>
      <c r="BV227">
        <v>0</v>
      </c>
      <c r="BW227">
        <v>0</v>
      </c>
      <c r="BZ227">
        <v>17</v>
      </c>
      <c r="CB227">
        <v>3.8482325623924708E-2</v>
      </c>
      <c r="CE227">
        <v>0.34944796725202643</v>
      </c>
    </row>
    <row r="228" spans="1:86" x14ac:dyDescent="0.3">
      <c r="A228" s="1">
        <v>20</v>
      </c>
      <c r="B228" t="s">
        <v>94</v>
      </c>
      <c r="C228" t="s">
        <v>138</v>
      </c>
      <c r="E228" t="s">
        <v>94</v>
      </c>
      <c r="F228">
        <v>3.35</v>
      </c>
      <c r="G228" t="s">
        <v>139</v>
      </c>
      <c r="H228">
        <v>-1</v>
      </c>
      <c r="I228">
        <v>-1</v>
      </c>
      <c r="J228">
        <v>1</v>
      </c>
      <c r="K228">
        <v>3.8849999999999998</v>
      </c>
      <c r="L228">
        <v>3.8849999999999998</v>
      </c>
      <c r="M228">
        <v>10.989000000000001</v>
      </c>
      <c r="N228" t="s">
        <v>101</v>
      </c>
      <c r="O228">
        <v>10.989000000000001</v>
      </c>
      <c r="P228">
        <v>2</v>
      </c>
      <c r="Q228" t="s">
        <v>87</v>
      </c>
      <c r="R228">
        <v>1473</v>
      </c>
      <c r="S228">
        <v>48</v>
      </c>
      <c r="T228" t="b">
        <v>0</v>
      </c>
      <c r="U228" t="s">
        <v>88</v>
      </c>
      <c r="V228" t="s">
        <v>89</v>
      </c>
      <c r="W228">
        <v>0</v>
      </c>
      <c r="Y228">
        <v>2.85</v>
      </c>
      <c r="Z228">
        <v>14.3</v>
      </c>
      <c r="AC228" t="s">
        <v>90</v>
      </c>
      <c r="AD228">
        <v>450</v>
      </c>
      <c r="AF228" t="s">
        <v>91</v>
      </c>
      <c r="AH228" s="3">
        <v>740</v>
      </c>
      <c r="AI228" s="3">
        <f>AH228/(AD228*Y228*Z228)</f>
        <v>4.0349514033724561E-2</v>
      </c>
      <c r="AJ228" s="3">
        <f>LN(AI228)</f>
        <v>-3.2101759281125708</v>
      </c>
      <c r="AN228" t="b">
        <v>1</v>
      </c>
      <c r="AO228" t="b">
        <v>0</v>
      </c>
      <c r="AP228" t="b">
        <v>0</v>
      </c>
      <c r="AQ228" t="b">
        <v>0</v>
      </c>
      <c r="AR228" t="s">
        <v>139</v>
      </c>
      <c r="AU228">
        <v>6.6066501861982152</v>
      </c>
      <c r="AV228">
        <v>1.7272727272727271</v>
      </c>
      <c r="AW228">
        <v>2.545454545454545</v>
      </c>
      <c r="AX228">
        <v>0.81818181818181823</v>
      </c>
      <c r="AY228">
        <v>0</v>
      </c>
      <c r="AZ228">
        <v>0.3392857142857143</v>
      </c>
      <c r="BA228">
        <v>0.5</v>
      </c>
      <c r="BB228">
        <v>0.1607142857142857</v>
      </c>
      <c r="BC228">
        <v>0</v>
      </c>
      <c r="BD228">
        <v>6.4269893564864544</v>
      </c>
      <c r="BE228">
        <v>14</v>
      </c>
      <c r="BF228">
        <v>165.66723991337099</v>
      </c>
      <c r="BG228">
        <v>1</v>
      </c>
      <c r="BH228">
        <v>8.4506749839743392E-2</v>
      </c>
      <c r="BI228">
        <v>3.9263319999999999</v>
      </c>
      <c r="BJ228">
        <v>3.9263319999999999</v>
      </c>
      <c r="BK228">
        <v>10.74639</v>
      </c>
      <c r="BL228">
        <v>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U228">
        <v>0</v>
      </c>
      <c r="BV228">
        <v>0</v>
      </c>
      <c r="BW228">
        <v>0</v>
      </c>
      <c r="BX228">
        <v>165.859449525</v>
      </c>
      <c r="BY228">
        <v>8.4408817466199174E-2</v>
      </c>
      <c r="BZ228">
        <v>7</v>
      </c>
      <c r="CA228">
        <v>4.2204408733099587E-2</v>
      </c>
      <c r="CB228">
        <v>4.2253374919871703E-2</v>
      </c>
      <c r="CE228">
        <v>0.41874907041247761</v>
      </c>
      <c r="CH228">
        <v>0.41826379449708978</v>
      </c>
    </row>
    <row r="229" spans="1:86" x14ac:dyDescent="0.3">
      <c r="A229" s="1">
        <v>38</v>
      </c>
      <c r="B229" t="s">
        <v>83</v>
      </c>
      <c r="C229" t="s">
        <v>84</v>
      </c>
      <c r="E229" t="s">
        <v>83</v>
      </c>
      <c r="F229">
        <v>3.3</v>
      </c>
      <c r="G229" t="s">
        <v>85</v>
      </c>
      <c r="H229" t="s">
        <v>86</v>
      </c>
      <c r="I229">
        <v>-1</v>
      </c>
      <c r="J229">
        <v>4</v>
      </c>
      <c r="K229">
        <v>6.6</v>
      </c>
      <c r="L229">
        <v>7.94</v>
      </c>
      <c r="M229">
        <v>33.700000000000003</v>
      </c>
      <c r="O229">
        <v>16.850000000000001</v>
      </c>
      <c r="Q229" t="s">
        <v>87</v>
      </c>
      <c r="R229">
        <v>1473</v>
      </c>
      <c r="S229">
        <v>48</v>
      </c>
      <c r="T229" t="b">
        <v>0</v>
      </c>
      <c r="U229" t="s">
        <v>88</v>
      </c>
      <c r="V229" t="s">
        <v>89</v>
      </c>
      <c r="W229">
        <v>0</v>
      </c>
      <c r="X229">
        <v>1</v>
      </c>
      <c r="Y229">
        <v>3.33</v>
      </c>
      <c r="Z229">
        <v>3</v>
      </c>
      <c r="AC229" t="s">
        <v>90</v>
      </c>
      <c r="AD229">
        <v>450</v>
      </c>
      <c r="AF229" t="s">
        <v>91</v>
      </c>
      <c r="AH229" s="3">
        <v>177</v>
      </c>
      <c r="AI229" s="3">
        <f>AH229/(AD229*Y229*Z229)</f>
        <v>3.9372706039372707E-2</v>
      </c>
      <c r="AJ229" s="3">
        <f>LN(AI229)</f>
        <v>-3.2346824428509984</v>
      </c>
      <c r="AN229" t="b">
        <v>1</v>
      </c>
      <c r="AO229" t="b">
        <v>0</v>
      </c>
      <c r="AP229" t="b">
        <v>0</v>
      </c>
      <c r="AQ229" t="b">
        <v>0</v>
      </c>
      <c r="AR229" t="s">
        <v>85</v>
      </c>
      <c r="AS229" t="s">
        <v>86</v>
      </c>
      <c r="AU229">
        <v>5.1761497325738288</v>
      </c>
      <c r="AV229">
        <v>1.62962962962963</v>
      </c>
      <c r="AW229">
        <v>2.518518518518519</v>
      </c>
      <c r="AX229">
        <v>0.88888888888888884</v>
      </c>
      <c r="AY229">
        <v>0</v>
      </c>
      <c r="AZ229">
        <v>0.32352941176470579</v>
      </c>
      <c r="BA229">
        <v>0.5</v>
      </c>
      <c r="BB229">
        <v>0.1764705882352941</v>
      </c>
      <c r="BC229">
        <v>0</v>
      </c>
      <c r="BD229">
        <v>5.9587386867222234</v>
      </c>
      <c r="BE229">
        <v>34</v>
      </c>
      <c r="BF229">
        <v>1767.0449718798691</v>
      </c>
      <c r="BG229">
        <v>4</v>
      </c>
      <c r="BH229">
        <v>7.6964651247849417E-2</v>
      </c>
      <c r="BI229">
        <v>6.6040679999999998</v>
      </c>
      <c r="BJ229">
        <v>7.9389519999999996</v>
      </c>
      <c r="BK229">
        <v>33.703336</v>
      </c>
      <c r="BL229">
        <v>1679.8210721820001</v>
      </c>
      <c r="BM229">
        <v>4</v>
      </c>
      <c r="BN229">
        <v>8.0961003676030277E-2</v>
      </c>
      <c r="BO229">
        <v>7.83</v>
      </c>
      <c r="BP229">
        <v>33.209989999999998</v>
      </c>
      <c r="BQ229">
        <v>6.46</v>
      </c>
      <c r="BR229">
        <v>0</v>
      </c>
      <c r="BS229">
        <v>0</v>
      </c>
      <c r="BU229">
        <v>0</v>
      </c>
      <c r="BV229">
        <v>0</v>
      </c>
      <c r="BW229">
        <v>0</v>
      </c>
      <c r="BX229">
        <v>1766.0147999999999</v>
      </c>
      <c r="BY229">
        <v>7.7009547145358015E-2</v>
      </c>
      <c r="BZ229">
        <v>17</v>
      </c>
      <c r="CA229">
        <v>3.8504773572679007E-2</v>
      </c>
      <c r="CB229">
        <v>3.8482325623924708E-2</v>
      </c>
      <c r="CC229">
        <v>4.0480501838015139E-2</v>
      </c>
      <c r="CE229">
        <v>0.48264383878002193</v>
      </c>
      <c r="CF229">
        <v>0.50770488753139875</v>
      </c>
      <c r="CH229">
        <v>0.48292538008460401</v>
      </c>
    </row>
    <row r="230" spans="1:86" x14ac:dyDescent="0.3">
      <c r="A230" s="1">
        <v>271</v>
      </c>
      <c r="B230" t="s">
        <v>668</v>
      </c>
      <c r="C230" t="s">
        <v>669</v>
      </c>
      <c r="E230" t="s">
        <v>106</v>
      </c>
      <c r="F230">
        <v>2.85</v>
      </c>
      <c r="G230" t="s">
        <v>113</v>
      </c>
      <c r="H230" t="s">
        <v>114</v>
      </c>
      <c r="I230">
        <v>-1</v>
      </c>
      <c r="Q230" t="s">
        <v>87</v>
      </c>
      <c r="R230">
        <v>1373</v>
      </c>
      <c r="S230">
        <v>50</v>
      </c>
      <c r="T230" t="b">
        <v>0</v>
      </c>
      <c r="U230" t="s">
        <v>88</v>
      </c>
      <c r="V230" t="s">
        <v>89</v>
      </c>
      <c r="W230">
        <v>0</v>
      </c>
      <c r="X230">
        <v>3</v>
      </c>
      <c r="Y230">
        <v>1.67</v>
      </c>
      <c r="Z230">
        <v>20</v>
      </c>
      <c r="AC230" t="s">
        <v>165</v>
      </c>
      <c r="AD230">
        <v>1000</v>
      </c>
      <c r="AE230">
        <v>230</v>
      </c>
      <c r="AF230" t="s">
        <v>653</v>
      </c>
      <c r="AH230" s="3">
        <v>1256</v>
      </c>
      <c r="AI230" s="3">
        <f>AH230/(AD230*Y230*Z230)</f>
        <v>3.7604790419161677E-2</v>
      </c>
      <c r="AJ230" s="3">
        <f>LN(AI230)</f>
        <v>-3.2806238319366479</v>
      </c>
      <c r="AK230" t="s">
        <v>670</v>
      </c>
      <c r="AL230" t="s">
        <v>670</v>
      </c>
      <c r="AN230" t="b">
        <v>1</v>
      </c>
      <c r="AO230" t="b">
        <v>1</v>
      </c>
      <c r="AP230" t="b">
        <v>0</v>
      </c>
      <c r="AQ230" t="b">
        <v>0</v>
      </c>
      <c r="AR230" t="s">
        <v>684</v>
      </c>
      <c r="AS230" t="s">
        <v>685</v>
      </c>
      <c r="AU230">
        <v>7.1356873470281439</v>
      </c>
      <c r="AV230">
        <v>1.75</v>
      </c>
      <c r="AW230">
        <v>2.5</v>
      </c>
      <c r="AX230">
        <v>1.375</v>
      </c>
      <c r="AY230">
        <v>0</v>
      </c>
      <c r="AZ230">
        <v>0.31111111111111112</v>
      </c>
      <c r="BA230">
        <v>0.44444444444444442</v>
      </c>
      <c r="BB230">
        <v>0.24444444444444441</v>
      </c>
      <c r="BC230">
        <v>0</v>
      </c>
      <c r="BD230">
        <v>6.0685945215624999</v>
      </c>
      <c r="BE230">
        <v>20</v>
      </c>
      <c r="BF230">
        <v>240.40623599981481</v>
      </c>
      <c r="BG230">
        <v>1</v>
      </c>
      <c r="BH230">
        <v>8.3192517518619641E-2</v>
      </c>
      <c r="BI230">
        <v>3.9661010000000001</v>
      </c>
      <c r="BJ230">
        <v>3.9661010000000001</v>
      </c>
      <c r="BK230">
        <v>15.283337</v>
      </c>
      <c r="BL230">
        <v>222.00958249733301</v>
      </c>
      <c r="BM230">
        <v>1</v>
      </c>
      <c r="BN230">
        <v>9.0086201573034624E-2</v>
      </c>
      <c r="BO230">
        <v>3.8586499999999999</v>
      </c>
      <c r="BP230">
        <v>3.8586499999999999</v>
      </c>
      <c r="BQ230">
        <v>14.9108</v>
      </c>
      <c r="BR230">
        <v>0</v>
      </c>
      <c r="BS230">
        <v>0</v>
      </c>
      <c r="BU230">
        <v>0</v>
      </c>
      <c r="BV230">
        <v>0</v>
      </c>
      <c r="BW230">
        <v>0</v>
      </c>
      <c r="BZ230">
        <v>10</v>
      </c>
      <c r="CB230">
        <v>4.159625875930982E-2</v>
      </c>
      <c r="CC230">
        <v>4.5043100786517312E-2</v>
      </c>
      <c r="CE230">
        <v>0.49089885908841852</v>
      </c>
      <c r="CF230">
        <v>0.53157681593076234</v>
      </c>
    </row>
    <row r="231" spans="1:86" x14ac:dyDescent="0.3">
      <c r="A231" s="1">
        <v>709</v>
      </c>
      <c r="B231" t="s">
        <v>1086</v>
      </c>
      <c r="C231" t="s">
        <v>1087</v>
      </c>
      <c r="E231" t="s">
        <v>404</v>
      </c>
      <c r="F231">
        <v>3.4</v>
      </c>
      <c r="G231" t="s">
        <v>1088</v>
      </c>
      <c r="H231">
        <v>-1</v>
      </c>
      <c r="I231">
        <v>-1</v>
      </c>
      <c r="J231">
        <v>2</v>
      </c>
      <c r="K231">
        <v>3.835</v>
      </c>
      <c r="L231">
        <v>3.835</v>
      </c>
      <c r="M231">
        <v>34.43</v>
      </c>
      <c r="N231" t="s">
        <v>101</v>
      </c>
      <c r="O231">
        <v>17.215</v>
      </c>
      <c r="Q231" t="s">
        <v>87</v>
      </c>
      <c r="R231">
        <v>1273</v>
      </c>
      <c r="S231">
        <v>10</v>
      </c>
      <c r="T231" t="b">
        <v>0</v>
      </c>
      <c r="U231" t="s">
        <v>88</v>
      </c>
      <c r="V231" t="s">
        <v>89</v>
      </c>
      <c r="W231">
        <v>0</v>
      </c>
      <c r="Y231">
        <v>0.5</v>
      </c>
      <c r="Z231">
        <v>50</v>
      </c>
      <c r="AC231" t="s">
        <v>90</v>
      </c>
      <c r="AD231">
        <v>125</v>
      </c>
      <c r="AE231">
        <v>220</v>
      </c>
      <c r="AF231" t="s">
        <v>91</v>
      </c>
      <c r="AG231">
        <v>288</v>
      </c>
      <c r="AH231" s="3">
        <v>112.28</v>
      </c>
      <c r="AI231" s="3">
        <f>AH231/(AD231*Y231*Z231)</f>
        <v>3.5929599999999999E-2</v>
      </c>
      <c r="AJ231" s="3">
        <f>LN(AI231)</f>
        <v>-3.3261938106768203</v>
      </c>
      <c r="AK231" t="s">
        <v>136</v>
      </c>
      <c r="AN231" t="b">
        <v>1</v>
      </c>
      <c r="AO231" t="b">
        <v>0</v>
      </c>
      <c r="AP231" t="b">
        <v>0</v>
      </c>
      <c r="AQ231" t="b">
        <v>0</v>
      </c>
      <c r="AR231" t="s">
        <v>1206</v>
      </c>
      <c r="AU231">
        <v>4.7209957514936818</v>
      </c>
      <c r="AV231">
        <v>1.452054794520548</v>
      </c>
      <c r="AW231">
        <v>1.068493150684932</v>
      </c>
      <c r="AX231">
        <v>0.1095890410958904</v>
      </c>
      <c r="AY231">
        <v>0</v>
      </c>
      <c r="AZ231">
        <v>0.55208333333333337</v>
      </c>
      <c r="BA231">
        <v>0.40625000000000011</v>
      </c>
      <c r="BB231">
        <v>4.1666666666666657E-2</v>
      </c>
      <c r="BC231">
        <v>0</v>
      </c>
      <c r="BD231">
        <v>6.7613944421512322</v>
      </c>
      <c r="BE231">
        <v>20</v>
      </c>
      <c r="BF231">
        <v>1015.4396556</v>
      </c>
      <c r="BG231">
        <v>2</v>
      </c>
      <c r="BH231">
        <v>3.9391804111062523E-2</v>
      </c>
      <c r="BI231">
        <v>3.8530000000000002</v>
      </c>
      <c r="BJ231">
        <v>3.8530000000000002</v>
      </c>
      <c r="BK231">
        <v>68.400000000000006</v>
      </c>
      <c r="BL231">
        <v>0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U231">
        <v>0</v>
      </c>
      <c r="BV231">
        <v>0</v>
      </c>
      <c r="BW231">
        <v>0</v>
      </c>
      <c r="BX231">
        <v>506.36975675000002</v>
      </c>
      <c r="BY231">
        <v>7.8993659212053646E-2</v>
      </c>
      <c r="BZ231">
        <v>10</v>
      </c>
      <c r="CA231">
        <v>3.9496829606026823E-2</v>
      </c>
      <c r="CB231">
        <v>1.9695902055531261E-2</v>
      </c>
      <c r="CE231">
        <v>0.2433493705793833</v>
      </c>
      <c r="CH231">
        <v>0.48799636581298611</v>
      </c>
    </row>
    <row r="232" spans="1:86" x14ac:dyDescent="0.3">
      <c r="A232" s="1">
        <v>710</v>
      </c>
      <c r="B232" t="s">
        <v>1086</v>
      </c>
      <c r="C232" t="s">
        <v>1087</v>
      </c>
      <c r="E232" t="s">
        <v>404</v>
      </c>
      <c r="F232">
        <v>3.4</v>
      </c>
      <c r="G232" t="s">
        <v>1088</v>
      </c>
      <c r="H232">
        <v>-1</v>
      </c>
      <c r="I232">
        <v>-1</v>
      </c>
      <c r="J232">
        <v>2</v>
      </c>
      <c r="K232">
        <v>3.835</v>
      </c>
      <c r="L232">
        <v>3.835</v>
      </c>
      <c r="M232">
        <v>34.43</v>
      </c>
      <c r="N232" t="s">
        <v>101</v>
      </c>
      <c r="O232">
        <v>17.215</v>
      </c>
      <c r="Q232" t="s">
        <v>87</v>
      </c>
      <c r="R232">
        <v>1273</v>
      </c>
      <c r="S232">
        <v>10</v>
      </c>
      <c r="T232" t="b">
        <v>0</v>
      </c>
      <c r="U232" t="s">
        <v>88</v>
      </c>
      <c r="V232" t="s">
        <v>89</v>
      </c>
      <c r="W232">
        <v>0</v>
      </c>
      <c r="Y232">
        <v>0.5</v>
      </c>
      <c r="Z232">
        <v>90</v>
      </c>
      <c r="AC232" t="s">
        <v>90</v>
      </c>
      <c r="AD232">
        <v>125</v>
      </c>
      <c r="AE232">
        <v>220</v>
      </c>
      <c r="AF232" t="s">
        <v>91</v>
      </c>
      <c r="AG232">
        <v>288</v>
      </c>
      <c r="AH232" s="3">
        <v>123.52</v>
      </c>
      <c r="AI232" s="3">
        <f>AH232/(AD232*Y232*Z232)</f>
        <v>2.195911111111111E-2</v>
      </c>
      <c r="AJ232" s="3">
        <f>LN(AI232)</f>
        <v>-3.818573140796155</v>
      </c>
      <c r="AK232" t="s">
        <v>136</v>
      </c>
      <c r="AN232" t="b">
        <v>1</v>
      </c>
      <c r="AO232" t="b">
        <v>0</v>
      </c>
      <c r="AP232" t="b">
        <v>0</v>
      </c>
      <c r="AQ232" t="b">
        <v>0</v>
      </c>
      <c r="AR232" t="s">
        <v>1207</v>
      </c>
      <c r="AU232">
        <v>4.8164030862764662</v>
      </c>
      <c r="AV232">
        <v>1.452054794520548</v>
      </c>
      <c r="AW232">
        <v>1.068493150684932</v>
      </c>
      <c r="AX232">
        <v>0.1095890410958904</v>
      </c>
      <c r="AY232">
        <v>0</v>
      </c>
      <c r="AZ232">
        <v>0.55208333333333337</v>
      </c>
      <c r="BA232">
        <v>0.40625000000000011</v>
      </c>
      <c r="BB232">
        <v>4.1666666666666657E-2</v>
      </c>
      <c r="BC232">
        <v>0</v>
      </c>
      <c r="BD232">
        <v>6.7613944421512322</v>
      </c>
      <c r="BE232">
        <v>20</v>
      </c>
      <c r="BF232">
        <v>1015.4396556</v>
      </c>
      <c r="BG232">
        <v>2</v>
      </c>
      <c r="BH232">
        <v>3.9391804111062523E-2</v>
      </c>
      <c r="BI232">
        <v>3.8530000000000002</v>
      </c>
      <c r="BJ232">
        <v>3.8530000000000002</v>
      </c>
      <c r="BK232">
        <v>68.400000000000006</v>
      </c>
      <c r="BL232">
        <v>0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U232">
        <v>0</v>
      </c>
      <c r="BV232">
        <v>0</v>
      </c>
      <c r="BW232">
        <v>0</v>
      </c>
      <c r="BX232">
        <v>506.36975675000002</v>
      </c>
      <c r="BY232">
        <v>7.8993659212053646E-2</v>
      </c>
      <c r="BZ232">
        <v>10</v>
      </c>
      <c r="CA232">
        <v>3.9496829606026823E-2</v>
      </c>
      <c r="CB232">
        <v>1.9695902055531261E-2</v>
      </c>
      <c r="CE232">
        <v>0.2433493705793833</v>
      </c>
      <c r="CH232">
        <v>0.48799636581298611</v>
      </c>
    </row>
    <row r="233" spans="1:86" x14ac:dyDescent="0.3">
      <c r="A233" s="1">
        <v>734</v>
      </c>
      <c r="B233" t="s">
        <v>106</v>
      </c>
      <c r="C233" t="s">
        <v>107</v>
      </c>
      <c r="E233" t="s">
        <v>106</v>
      </c>
      <c r="F233">
        <v>3.49</v>
      </c>
      <c r="G233" t="s">
        <v>108</v>
      </c>
      <c r="H233" t="s">
        <v>109</v>
      </c>
      <c r="I233">
        <v>-1</v>
      </c>
      <c r="Q233" t="s">
        <v>87</v>
      </c>
      <c r="R233">
        <v>1373</v>
      </c>
      <c r="S233">
        <v>24</v>
      </c>
      <c r="T233" t="b">
        <v>0</v>
      </c>
      <c r="U233" t="s">
        <v>88</v>
      </c>
      <c r="V233" t="s">
        <v>89</v>
      </c>
      <c r="W233">
        <v>0</v>
      </c>
      <c r="X233">
        <v>3.78</v>
      </c>
      <c r="Y233">
        <v>0.5</v>
      </c>
      <c r="Z233">
        <v>30</v>
      </c>
      <c r="AC233" t="s">
        <v>90</v>
      </c>
      <c r="AD233">
        <v>125</v>
      </c>
      <c r="AE233">
        <v>220</v>
      </c>
      <c r="AF233" t="s">
        <v>91</v>
      </c>
      <c r="AG233">
        <v>288</v>
      </c>
      <c r="AH233" s="3">
        <v>36</v>
      </c>
      <c r="AI233" s="3">
        <f>AH233/(AD233*Y233*Z233)</f>
        <v>1.9199999999999998E-2</v>
      </c>
      <c r="AJ233" s="3">
        <f>LN(AI233)</f>
        <v>-3.9528449999484012</v>
      </c>
      <c r="AN233" t="b">
        <v>1</v>
      </c>
      <c r="AO233" t="b">
        <v>1</v>
      </c>
      <c r="AP233" t="b">
        <v>0</v>
      </c>
      <c r="AQ233" t="b">
        <v>0</v>
      </c>
      <c r="AR233" t="s">
        <v>108</v>
      </c>
      <c r="AS233" t="s">
        <v>109</v>
      </c>
      <c r="AU233">
        <v>3.5835189384561099</v>
      </c>
      <c r="AV233">
        <v>1.75</v>
      </c>
      <c r="AW233">
        <v>2.5</v>
      </c>
      <c r="AX233">
        <v>0.75</v>
      </c>
      <c r="AY233">
        <v>0</v>
      </c>
      <c r="AZ233">
        <v>0.35</v>
      </c>
      <c r="BA233">
        <v>0.5</v>
      </c>
      <c r="BB233">
        <v>0.15</v>
      </c>
      <c r="BC233">
        <v>0</v>
      </c>
      <c r="BD233">
        <v>5.9668120809374994</v>
      </c>
      <c r="BE233">
        <v>20</v>
      </c>
      <c r="BF233">
        <v>924.74694800021894</v>
      </c>
      <c r="BG233">
        <v>4</v>
      </c>
      <c r="BH233">
        <v>8.6510153045653584E-2</v>
      </c>
      <c r="BI233">
        <v>7.8084429999999996</v>
      </c>
      <c r="BJ233">
        <v>7.8548809999999998</v>
      </c>
      <c r="BK233">
        <v>15.19056011</v>
      </c>
      <c r="BL233">
        <v>883.22940750240002</v>
      </c>
      <c r="BM233">
        <v>4</v>
      </c>
      <c r="BN233">
        <v>9.0576694254581439E-2</v>
      </c>
      <c r="BO233">
        <v>3.8801999999999999</v>
      </c>
      <c r="BP233">
        <v>29.507999999999999</v>
      </c>
      <c r="BQ233">
        <v>7.7140000000000004</v>
      </c>
      <c r="BR233">
        <v>0</v>
      </c>
      <c r="BS233">
        <v>0</v>
      </c>
      <c r="BU233">
        <v>0</v>
      </c>
      <c r="BV233">
        <v>0</v>
      </c>
      <c r="BW233">
        <v>0</v>
      </c>
      <c r="BZ233">
        <v>10</v>
      </c>
      <c r="CB233">
        <v>4.3255076522826792E-2</v>
      </c>
      <c r="CC233">
        <v>4.5288347127290719E-2</v>
      </c>
      <c r="CE233">
        <v>0.50555206026575006</v>
      </c>
      <c r="CF233">
        <v>0.52931630311992839</v>
      </c>
    </row>
    <row r="234" spans="1:86" x14ac:dyDescent="0.3">
      <c r="A234" s="1">
        <v>484</v>
      </c>
      <c r="B234" t="s">
        <v>106</v>
      </c>
      <c r="C234" t="s">
        <v>107</v>
      </c>
      <c r="E234" t="s">
        <v>106</v>
      </c>
      <c r="F234">
        <v>3.26</v>
      </c>
      <c r="G234" t="s">
        <v>108</v>
      </c>
      <c r="H234" t="s">
        <v>109</v>
      </c>
      <c r="I234">
        <v>-1</v>
      </c>
      <c r="Q234" t="s">
        <v>87</v>
      </c>
      <c r="R234">
        <v>1473</v>
      </c>
      <c r="S234">
        <v>12</v>
      </c>
      <c r="T234" t="b">
        <v>0</v>
      </c>
      <c r="U234" t="s">
        <v>88</v>
      </c>
      <c r="V234" t="s">
        <v>89</v>
      </c>
      <c r="W234">
        <v>0</v>
      </c>
      <c r="Y234">
        <v>1</v>
      </c>
      <c r="Z234">
        <v>20</v>
      </c>
      <c r="AC234" t="s">
        <v>165</v>
      </c>
      <c r="AD234">
        <v>300</v>
      </c>
      <c r="AE234">
        <v>420</v>
      </c>
      <c r="AF234" t="s">
        <v>91</v>
      </c>
      <c r="AG234">
        <v>298</v>
      </c>
      <c r="AH234" s="3">
        <v>114</v>
      </c>
      <c r="AI234" s="3">
        <f>AH234/(AD234*Y234*Z234)</f>
        <v>1.9E-2</v>
      </c>
      <c r="AJ234" s="3">
        <f>LN(AI234)</f>
        <v>-3.9633162998156966</v>
      </c>
      <c r="AN234" t="b">
        <v>1</v>
      </c>
      <c r="AO234" t="b">
        <v>1</v>
      </c>
      <c r="AP234" t="b">
        <v>0</v>
      </c>
      <c r="AQ234" t="b">
        <v>0</v>
      </c>
      <c r="AR234" t="s">
        <v>108</v>
      </c>
      <c r="AS234" t="s">
        <v>109</v>
      </c>
      <c r="AU234">
        <v>4.7361984483944957</v>
      </c>
      <c r="AV234">
        <v>1.75</v>
      </c>
      <c r="AW234">
        <v>2.5</v>
      </c>
      <c r="AX234">
        <v>0.75</v>
      </c>
      <c r="AY234">
        <v>0</v>
      </c>
      <c r="AZ234">
        <v>0.35</v>
      </c>
      <c r="BA234">
        <v>0.5</v>
      </c>
      <c r="BB234">
        <v>0.15</v>
      </c>
      <c r="BC234">
        <v>0</v>
      </c>
      <c r="BD234">
        <v>5.9668120809374994</v>
      </c>
      <c r="BE234">
        <v>20</v>
      </c>
      <c r="BF234">
        <v>924.74694800021894</v>
      </c>
      <c r="BG234">
        <v>4</v>
      </c>
      <c r="BH234">
        <v>8.6510153045653584E-2</v>
      </c>
      <c r="BI234">
        <v>7.8084429999999996</v>
      </c>
      <c r="BJ234">
        <v>7.8548809999999998</v>
      </c>
      <c r="BK234">
        <v>15.19056011</v>
      </c>
      <c r="BL234">
        <v>883.22940750240002</v>
      </c>
      <c r="BM234">
        <v>4</v>
      </c>
      <c r="BN234">
        <v>9.0576694254581439E-2</v>
      </c>
      <c r="BO234">
        <v>3.8801999999999999</v>
      </c>
      <c r="BP234">
        <v>29.507999999999999</v>
      </c>
      <c r="BQ234">
        <v>7.7140000000000004</v>
      </c>
      <c r="BR234">
        <v>0</v>
      </c>
      <c r="BS234">
        <v>0</v>
      </c>
      <c r="BU234">
        <v>0</v>
      </c>
      <c r="BV234">
        <v>0</v>
      </c>
      <c r="BW234">
        <v>0</v>
      </c>
      <c r="BZ234">
        <v>10</v>
      </c>
      <c r="CB234">
        <v>4.3255076522826792E-2</v>
      </c>
      <c r="CC234">
        <v>4.5288347127290719E-2</v>
      </c>
      <c r="CE234">
        <v>0.50555206026575006</v>
      </c>
      <c r="CF234">
        <v>0.52931630311992839</v>
      </c>
    </row>
    <row r="235" spans="1:86" x14ac:dyDescent="0.3">
      <c r="A235" s="1">
        <v>21</v>
      </c>
      <c r="B235" t="s">
        <v>94</v>
      </c>
      <c r="C235" t="s">
        <v>138</v>
      </c>
      <c r="E235" t="s">
        <v>94</v>
      </c>
      <c r="F235">
        <v>3.3</v>
      </c>
      <c r="G235" t="s">
        <v>139</v>
      </c>
      <c r="H235">
        <v>-1</v>
      </c>
      <c r="I235">
        <v>-1</v>
      </c>
      <c r="J235">
        <v>1</v>
      </c>
      <c r="K235">
        <v>3.9049999999999998</v>
      </c>
      <c r="L235">
        <v>3.9049999999999998</v>
      </c>
      <c r="M235">
        <v>11.185</v>
      </c>
      <c r="N235" t="s">
        <v>101</v>
      </c>
      <c r="O235">
        <v>11.185</v>
      </c>
      <c r="P235">
        <v>2</v>
      </c>
      <c r="Q235" t="s">
        <v>87</v>
      </c>
      <c r="R235">
        <v>1473</v>
      </c>
      <c r="S235">
        <v>48</v>
      </c>
      <c r="T235" t="b">
        <v>0</v>
      </c>
      <c r="U235" t="s">
        <v>88</v>
      </c>
      <c r="V235" t="s">
        <v>89</v>
      </c>
      <c r="W235">
        <v>0</v>
      </c>
      <c r="Y235">
        <v>2.85</v>
      </c>
      <c r="Z235">
        <v>14.3</v>
      </c>
      <c r="AC235" t="s">
        <v>90</v>
      </c>
      <c r="AD235">
        <v>450</v>
      </c>
      <c r="AF235" t="s">
        <v>91</v>
      </c>
      <c r="AH235" s="3">
        <v>300</v>
      </c>
      <c r="AI235" s="3">
        <f>AH235/(AD235*Y235*Z235)</f>
        <v>1.6357911094753201E-2</v>
      </c>
      <c r="AJ235" s="3">
        <f>LN(AI235)</f>
        <v>-4.1130436396545846</v>
      </c>
      <c r="AN235" t="b">
        <v>1</v>
      </c>
      <c r="AO235" t="b">
        <v>0</v>
      </c>
      <c r="AP235" t="b">
        <v>0</v>
      </c>
      <c r="AQ235" t="b">
        <v>0</v>
      </c>
      <c r="AR235" t="s">
        <v>139</v>
      </c>
      <c r="AU235">
        <v>5.7037824746562009</v>
      </c>
      <c r="AV235">
        <v>1.7272727272727271</v>
      </c>
      <c r="AW235">
        <v>2.545454545454545</v>
      </c>
      <c r="AX235">
        <v>0.81818181818181823</v>
      </c>
      <c r="AY235">
        <v>0</v>
      </c>
      <c r="AZ235">
        <v>0.3392857142857143</v>
      </c>
      <c r="BA235">
        <v>0.5</v>
      </c>
      <c r="BB235">
        <v>0.1607142857142857</v>
      </c>
      <c r="BC235">
        <v>0</v>
      </c>
      <c r="BD235">
        <v>6.4269893564864544</v>
      </c>
      <c r="BE235">
        <v>14</v>
      </c>
      <c r="BF235">
        <v>165.66723991337099</v>
      </c>
      <c r="BG235">
        <v>1</v>
      </c>
      <c r="BH235">
        <v>8.4506749839743392E-2</v>
      </c>
      <c r="BI235">
        <v>3.9263319999999999</v>
      </c>
      <c r="BJ235">
        <v>3.9263319999999999</v>
      </c>
      <c r="BK235">
        <v>10.74639</v>
      </c>
      <c r="BL235">
        <v>0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U235">
        <v>0</v>
      </c>
      <c r="BV235">
        <v>0</v>
      </c>
      <c r="BW235">
        <v>0</v>
      </c>
      <c r="BX235">
        <v>170.560344625</v>
      </c>
      <c r="BY235">
        <v>8.2082385743186062E-2</v>
      </c>
      <c r="BZ235">
        <v>7</v>
      </c>
      <c r="CA235">
        <v>4.1041192871593031E-2</v>
      </c>
      <c r="CB235">
        <v>4.2253374919871703E-2</v>
      </c>
      <c r="CE235">
        <v>0.41874907041247761</v>
      </c>
      <c r="CH235">
        <v>0.40673582633789218</v>
      </c>
    </row>
    <row r="236" spans="1:86" x14ac:dyDescent="0.3">
      <c r="A236" s="1">
        <v>34</v>
      </c>
      <c r="B236" t="s">
        <v>83</v>
      </c>
      <c r="C236" t="s">
        <v>84</v>
      </c>
      <c r="E236" t="s">
        <v>83</v>
      </c>
      <c r="F236">
        <v>3.3</v>
      </c>
      <c r="G236" t="s">
        <v>85</v>
      </c>
      <c r="H236" t="s">
        <v>86</v>
      </c>
      <c r="I236">
        <v>-1</v>
      </c>
      <c r="J236">
        <v>4</v>
      </c>
      <c r="K236">
        <v>6.6</v>
      </c>
      <c r="L236">
        <v>7.94</v>
      </c>
      <c r="M236">
        <v>33.700000000000003</v>
      </c>
      <c r="O236">
        <v>16.850000000000001</v>
      </c>
      <c r="Q236" t="s">
        <v>87</v>
      </c>
      <c r="R236">
        <v>1473</v>
      </c>
      <c r="S236">
        <v>48</v>
      </c>
      <c r="T236" t="b">
        <v>0</v>
      </c>
      <c r="U236" t="s">
        <v>88</v>
      </c>
      <c r="V236" t="s">
        <v>89</v>
      </c>
      <c r="W236">
        <v>0</v>
      </c>
      <c r="X236">
        <v>1</v>
      </c>
      <c r="Y236">
        <v>0.8</v>
      </c>
      <c r="Z236">
        <v>20</v>
      </c>
      <c r="AC236" t="s">
        <v>165</v>
      </c>
      <c r="AD236">
        <v>500</v>
      </c>
      <c r="AF236" t="s">
        <v>91</v>
      </c>
      <c r="AH236" s="3">
        <v>66</v>
      </c>
      <c r="AI236" s="3">
        <f>AH236/(AD236*Y236*Z236)</f>
        <v>8.2500000000000004E-3</v>
      </c>
      <c r="AJ236" s="3">
        <f>LN(AI236)</f>
        <v>-4.7975420786355478</v>
      </c>
      <c r="AN236" t="b">
        <v>1</v>
      </c>
      <c r="AO236" t="b">
        <v>0</v>
      </c>
      <c r="AP236" t="b">
        <v>0</v>
      </c>
      <c r="AQ236" t="b">
        <v>0</v>
      </c>
      <c r="AR236" t="s">
        <v>85</v>
      </c>
      <c r="AS236" t="s">
        <v>86</v>
      </c>
      <c r="AU236">
        <v>4.1896547420264252</v>
      </c>
      <c r="AV236">
        <v>1.62962962962963</v>
      </c>
      <c r="AW236">
        <v>2.518518518518519</v>
      </c>
      <c r="AX236">
        <v>0.88888888888888884</v>
      </c>
      <c r="AY236">
        <v>0</v>
      </c>
      <c r="AZ236">
        <v>0.32352941176470579</v>
      </c>
      <c r="BA236">
        <v>0.5</v>
      </c>
      <c r="BB236">
        <v>0.1764705882352941</v>
      </c>
      <c r="BC236">
        <v>0</v>
      </c>
      <c r="BD236">
        <v>5.9587386867222234</v>
      </c>
      <c r="BE236">
        <v>34</v>
      </c>
      <c r="BF236">
        <v>1767.0449718798691</v>
      </c>
      <c r="BG236">
        <v>4</v>
      </c>
      <c r="BH236">
        <v>7.6964651247849417E-2</v>
      </c>
      <c r="BI236">
        <v>6.6040679999999998</v>
      </c>
      <c r="BJ236">
        <v>7.9389519999999996</v>
      </c>
      <c r="BK236">
        <v>33.703336</v>
      </c>
      <c r="BL236">
        <v>1679.8210721820001</v>
      </c>
      <c r="BM236">
        <v>4</v>
      </c>
      <c r="BN236">
        <v>8.0961003676030277E-2</v>
      </c>
      <c r="BO236">
        <v>7.83</v>
      </c>
      <c r="BP236">
        <v>33.209989999999998</v>
      </c>
      <c r="BQ236">
        <v>6.46</v>
      </c>
      <c r="BR236">
        <v>0</v>
      </c>
      <c r="BS236">
        <v>0</v>
      </c>
      <c r="BU236">
        <v>0</v>
      </c>
      <c r="BV236">
        <v>0</v>
      </c>
      <c r="BW236">
        <v>0</v>
      </c>
      <c r="BX236">
        <v>1766.0147999999999</v>
      </c>
      <c r="BY236">
        <v>7.7009547145358015E-2</v>
      </c>
      <c r="BZ236">
        <v>17</v>
      </c>
      <c r="CA236">
        <v>3.8504773572679007E-2</v>
      </c>
      <c r="CB236">
        <v>3.8482325623924708E-2</v>
      </c>
      <c r="CC236">
        <v>4.0480501838015139E-2</v>
      </c>
      <c r="CE236">
        <v>0.48264383878002193</v>
      </c>
      <c r="CF236">
        <v>0.50770488753139875</v>
      </c>
      <c r="CH236">
        <v>0.48292538008460401</v>
      </c>
    </row>
    <row r="237" spans="1:86" x14ac:dyDescent="0.3">
      <c r="A237" s="1">
        <v>474</v>
      </c>
      <c r="B237" t="s">
        <v>889</v>
      </c>
      <c r="C237" t="s">
        <v>890</v>
      </c>
      <c r="E237" t="s">
        <v>106</v>
      </c>
      <c r="F237">
        <v>2.8</v>
      </c>
      <c r="G237" t="s">
        <v>891</v>
      </c>
      <c r="H237" t="s">
        <v>892</v>
      </c>
      <c r="I237">
        <v>-1</v>
      </c>
      <c r="J237">
        <v>1</v>
      </c>
      <c r="K237">
        <v>3.97</v>
      </c>
      <c r="L237">
        <v>3.97</v>
      </c>
      <c r="M237">
        <v>15.56</v>
      </c>
      <c r="N237" t="s">
        <v>529</v>
      </c>
      <c r="O237">
        <v>15.56</v>
      </c>
      <c r="Q237" t="s">
        <v>87</v>
      </c>
      <c r="T237" t="b">
        <v>0</v>
      </c>
      <c r="U237" t="s">
        <v>88</v>
      </c>
      <c r="V237" t="s">
        <v>89</v>
      </c>
      <c r="W237">
        <v>0</v>
      </c>
      <c r="Y237">
        <v>0.5</v>
      </c>
      <c r="Z237">
        <v>1</v>
      </c>
      <c r="AC237" t="s">
        <v>893</v>
      </c>
      <c r="AD237">
        <v>100</v>
      </c>
      <c r="AE237">
        <v>425</v>
      </c>
      <c r="AF237" t="s">
        <v>91</v>
      </c>
      <c r="AH237" s="3">
        <v>0.4</v>
      </c>
      <c r="AI237" s="3">
        <f>AH237/(AD237*Y237*Z237)</f>
        <v>8.0000000000000002E-3</v>
      </c>
      <c r="AJ237" s="3">
        <f>LN(AI237)</f>
        <v>-4.8283137373023015</v>
      </c>
      <c r="AN237" t="b">
        <v>1</v>
      </c>
      <c r="AO237" t="b">
        <v>1</v>
      </c>
      <c r="AP237" t="b">
        <v>0</v>
      </c>
      <c r="AQ237" t="b">
        <v>0</v>
      </c>
      <c r="AR237" t="s">
        <v>891</v>
      </c>
      <c r="AS237" t="s">
        <v>892</v>
      </c>
      <c r="AU237">
        <v>-0.916290731874155</v>
      </c>
      <c r="AV237">
        <v>1.75</v>
      </c>
      <c r="AW237">
        <v>2.5</v>
      </c>
      <c r="AX237">
        <v>0.75</v>
      </c>
      <c r="AY237">
        <v>0</v>
      </c>
      <c r="AZ237">
        <v>0.35</v>
      </c>
      <c r="BA237">
        <v>0.5</v>
      </c>
      <c r="BB237">
        <v>0.15</v>
      </c>
      <c r="BC237">
        <v>0</v>
      </c>
      <c r="BD237">
        <v>5.9030792517321871</v>
      </c>
      <c r="BE237">
        <v>20</v>
      </c>
      <c r="BF237">
        <v>260.8671724870714</v>
      </c>
      <c r="BG237">
        <v>1</v>
      </c>
      <c r="BH237">
        <v>7.6667369869971663E-2</v>
      </c>
      <c r="BI237">
        <v>4.0290549999999996</v>
      </c>
      <c r="BJ237">
        <v>4.0290549999999996</v>
      </c>
      <c r="BK237">
        <v>16.069894999999999</v>
      </c>
      <c r="BL237">
        <v>246.35930430675199</v>
      </c>
      <c r="BM237">
        <v>1</v>
      </c>
      <c r="BN237">
        <v>8.1182239316186677E-2</v>
      </c>
      <c r="BO237">
        <v>3.9765999999999999</v>
      </c>
      <c r="BP237">
        <v>3.9765999999999999</v>
      </c>
      <c r="BQ237">
        <v>15.5792</v>
      </c>
      <c r="BR237">
        <v>0</v>
      </c>
      <c r="BS237">
        <v>0</v>
      </c>
      <c r="BU237">
        <v>0</v>
      </c>
      <c r="BV237">
        <v>0</v>
      </c>
      <c r="BW237">
        <v>0</v>
      </c>
      <c r="BX237">
        <v>245.23960400000001</v>
      </c>
      <c r="BY237">
        <v>8.1552896325831611E-2</v>
      </c>
      <c r="BZ237">
        <v>10</v>
      </c>
      <c r="CA237">
        <v>4.0776448162915813E-2</v>
      </c>
      <c r="CB237">
        <v>3.8333684934985832E-2</v>
      </c>
      <c r="CC237">
        <v>4.0591119658093339E-2</v>
      </c>
      <c r="CE237">
        <v>0.54551133687670883</v>
      </c>
      <c r="CF237">
        <v>0.57763598744977107</v>
      </c>
      <c r="CH237">
        <v>0.58027332327069536</v>
      </c>
    </row>
    <row r="238" spans="1:86" x14ac:dyDescent="0.3">
      <c r="A238" s="1">
        <v>0</v>
      </c>
      <c r="B238" t="s">
        <v>83</v>
      </c>
      <c r="C238" t="s">
        <v>84</v>
      </c>
      <c r="E238" t="s">
        <v>83</v>
      </c>
      <c r="F238">
        <v>3.5</v>
      </c>
      <c r="G238" t="s">
        <v>85</v>
      </c>
      <c r="H238" t="s">
        <v>86</v>
      </c>
      <c r="I238">
        <v>-1</v>
      </c>
      <c r="J238">
        <v>4</v>
      </c>
      <c r="K238">
        <v>6.6</v>
      </c>
      <c r="L238">
        <v>7.94</v>
      </c>
      <c r="M238">
        <v>33.700000000000003</v>
      </c>
      <c r="O238">
        <v>16.850000000000001</v>
      </c>
      <c r="Q238" t="s">
        <v>87</v>
      </c>
      <c r="R238">
        <v>1473</v>
      </c>
      <c r="S238">
        <v>48</v>
      </c>
      <c r="T238" t="b">
        <v>0</v>
      </c>
      <c r="U238" t="s">
        <v>88</v>
      </c>
      <c r="V238" t="s">
        <v>89</v>
      </c>
      <c r="W238">
        <v>0</v>
      </c>
      <c r="Y238">
        <v>2.85</v>
      </c>
      <c r="Z238">
        <v>14.3</v>
      </c>
      <c r="AC238" t="s">
        <v>90</v>
      </c>
      <c r="AD238">
        <v>450</v>
      </c>
      <c r="AF238" t="s">
        <v>91</v>
      </c>
      <c r="AH238" s="3">
        <v>130</v>
      </c>
      <c r="AI238" s="3">
        <f>AH238/(AD238*Y238*Z238)</f>
        <v>7.0884281410597202E-3</v>
      </c>
      <c r="AJ238" s="3">
        <f>LN(AI238)</f>
        <v>-4.9492916638552034</v>
      </c>
      <c r="AN238" t="b">
        <v>1</v>
      </c>
      <c r="AO238" t="b">
        <v>0</v>
      </c>
      <c r="AP238" t="b">
        <v>0</v>
      </c>
      <c r="AQ238" t="b">
        <v>0</v>
      </c>
      <c r="AR238" t="s">
        <v>85</v>
      </c>
      <c r="AS238" t="s">
        <v>86</v>
      </c>
      <c r="AU238">
        <v>4.8675344504555822</v>
      </c>
      <c r="AV238">
        <v>1.62962962962963</v>
      </c>
      <c r="AW238">
        <v>2.518518518518519</v>
      </c>
      <c r="AX238">
        <v>0.88888888888888884</v>
      </c>
      <c r="AY238">
        <v>0</v>
      </c>
      <c r="AZ238">
        <v>0.32352941176470579</v>
      </c>
      <c r="BA238">
        <v>0.5</v>
      </c>
      <c r="BB238">
        <v>0.1764705882352941</v>
      </c>
      <c r="BC238">
        <v>0</v>
      </c>
      <c r="BD238">
        <v>5.9587386867222234</v>
      </c>
      <c r="BE238">
        <v>34</v>
      </c>
      <c r="BF238">
        <v>1767.0449718798691</v>
      </c>
      <c r="BG238">
        <v>4</v>
      </c>
      <c r="BH238">
        <v>7.6964651247849417E-2</v>
      </c>
      <c r="BI238">
        <v>6.6040679999999998</v>
      </c>
      <c r="BJ238">
        <v>7.9389519999999996</v>
      </c>
      <c r="BK238">
        <v>33.703336</v>
      </c>
      <c r="BL238">
        <v>1679.8210721820001</v>
      </c>
      <c r="BM238">
        <v>4</v>
      </c>
      <c r="BN238">
        <v>8.0961003676030277E-2</v>
      </c>
      <c r="BO238">
        <v>7.83</v>
      </c>
      <c r="BP238">
        <v>33.209989999999998</v>
      </c>
      <c r="BQ238">
        <v>6.46</v>
      </c>
      <c r="BR238">
        <v>0</v>
      </c>
      <c r="BS238">
        <v>0</v>
      </c>
      <c r="BU238">
        <v>0</v>
      </c>
      <c r="BV238">
        <v>0</v>
      </c>
      <c r="BW238">
        <v>0</v>
      </c>
      <c r="BX238">
        <v>1766.0147999999999</v>
      </c>
      <c r="BY238">
        <v>7.7009547145358015E-2</v>
      </c>
      <c r="BZ238">
        <v>17</v>
      </c>
      <c r="CA238">
        <v>3.8504773572679007E-2</v>
      </c>
      <c r="CB238">
        <v>3.8482325623924708E-2</v>
      </c>
      <c r="CC238">
        <v>4.0480501838015139E-2</v>
      </c>
      <c r="CE238">
        <v>0.48264383878002193</v>
      </c>
      <c r="CF238">
        <v>0.50770488753139875</v>
      </c>
      <c r="CH238">
        <v>0.48292538008460401</v>
      </c>
    </row>
    <row r="239" spans="1:86" x14ac:dyDescent="0.3">
      <c r="A239" s="1">
        <v>273</v>
      </c>
      <c r="B239" t="s">
        <v>680</v>
      </c>
      <c r="C239" t="s">
        <v>681</v>
      </c>
      <c r="E239" t="s">
        <v>404</v>
      </c>
      <c r="F239">
        <v>2.65</v>
      </c>
      <c r="G239" t="s">
        <v>675</v>
      </c>
      <c r="H239" t="s">
        <v>676</v>
      </c>
      <c r="I239">
        <v>-1</v>
      </c>
      <c r="J239">
        <v>2</v>
      </c>
      <c r="K239">
        <v>3.8313999999999999</v>
      </c>
      <c r="L239">
        <v>3.8313999999999999</v>
      </c>
      <c r="M239">
        <v>28.871400000000001</v>
      </c>
      <c r="N239" t="s">
        <v>206</v>
      </c>
      <c r="O239">
        <v>14.435700000000001</v>
      </c>
      <c r="Q239" t="s">
        <v>87</v>
      </c>
      <c r="R239">
        <v>1373</v>
      </c>
      <c r="S239">
        <v>50</v>
      </c>
      <c r="T239" t="b">
        <v>0</v>
      </c>
      <c r="U239" t="s">
        <v>88</v>
      </c>
      <c r="V239" t="s">
        <v>89</v>
      </c>
      <c r="W239">
        <v>0</v>
      </c>
      <c r="X239">
        <v>3.1</v>
      </c>
      <c r="Y239">
        <v>1.67</v>
      </c>
      <c r="Z239">
        <v>20</v>
      </c>
      <c r="AC239" t="s">
        <v>165</v>
      </c>
      <c r="AD239">
        <v>1000</v>
      </c>
      <c r="AE239">
        <v>230</v>
      </c>
      <c r="AF239" t="s">
        <v>653</v>
      </c>
      <c r="AH239" s="3">
        <v>230</v>
      </c>
      <c r="AI239" s="3">
        <f>AH239/(AD239*Y239*Z239)</f>
        <v>6.8862275449101795E-3</v>
      </c>
      <c r="AJ239" s="3">
        <f>LN(AI239)</f>
        <v>-4.9782318700415962</v>
      </c>
      <c r="AN239" t="b">
        <v>1</v>
      </c>
      <c r="AO239" t="b">
        <v>1</v>
      </c>
      <c r="AP239" t="b">
        <v>0</v>
      </c>
      <c r="AQ239" t="b">
        <v>0</v>
      </c>
      <c r="AR239" t="s">
        <v>675</v>
      </c>
      <c r="AS239" t="s">
        <v>676</v>
      </c>
      <c r="AU239">
        <v>5.4380793089231956</v>
      </c>
      <c r="AV239">
        <v>1.882352941176471</v>
      </c>
      <c r="AW239">
        <v>2.3529411764705879</v>
      </c>
      <c r="AX239">
        <v>1.6470588235294119</v>
      </c>
      <c r="AY239">
        <v>0</v>
      </c>
      <c r="AZ239">
        <v>0.32</v>
      </c>
      <c r="BA239">
        <v>0.4</v>
      </c>
      <c r="BB239">
        <v>0.28000000000000003</v>
      </c>
      <c r="BC239">
        <v>0</v>
      </c>
      <c r="BD239">
        <v>5.9274406232352943</v>
      </c>
      <c r="BE239">
        <v>20</v>
      </c>
      <c r="BF239">
        <v>218.43262216091571</v>
      </c>
      <c r="BG239">
        <v>1</v>
      </c>
      <c r="BH239">
        <v>9.1561415150097566E-2</v>
      </c>
      <c r="BI239">
        <v>14.88329339</v>
      </c>
      <c r="BJ239">
        <v>14.88329339</v>
      </c>
      <c r="BK239">
        <v>14.88329339</v>
      </c>
      <c r="BL239">
        <v>422.61306904883998</v>
      </c>
      <c r="BM239">
        <v>2</v>
      </c>
      <c r="BN239">
        <v>9.4649226276950119E-2</v>
      </c>
      <c r="BO239">
        <v>3.8250999999999999</v>
      </c>
      <c r="BP239">
        <v>3.8250999999999999</v>
      </c>
      <c r="BQ239">
        <v>28.884</v>
      </c>
      <c r="BR239">
        <v>0</v>
      </c>
      <c r="BS239">
        <v>0</v>
      </c>
      <c r="BU239">
        <v>0</v>
      </c>
      <c r="BV239">
        <v>0</v>
      </c>
      <c r="BW239">
        <v>0</v>
      </c>
      <c r="BX239">
        <v>423.82135294154398</v>
      </c>
      <c r="BY239">
        <v>9.4379388207741013E-2</v>
      </c>
      <c r="BZ239">
        <v>10</v>
      </c>
      <c r="CA239">
        <v>4.7189694103870507E-2</v>
      </c>
      <c r="CB239">
        <v>4.5780707575048783E-2</v>
      </c>
      <c r="CC239">
        <v>4.7324613138475059E-2</v>
      </c>
      <c r="CE239">
        <v>0.55146660057091246</v>
      </c>
      <c r="CF239">
        <v>0.57006422384419808</v>
      </c>
      <c r="CH239">
        <v>0.56843901214899417</v>
      </c>
    </row>
    <row r="240" spans="1:86" x14ac:dyDescent="0.3">
      <c r="A240" s="1">
        <v>267</v>
      </c>
      <c r="B240" t="s">
        <v>654</v>
      </c>
      <c r="C240" t="s">
        <v>655</v>
      </c>
      <c r="E240" t="s">
        <v>94</v>
      </c>
      <c r="F240">
        <v>2.96</v>
      </c>
      <c r="G240" t="s">
        <v>656</v>
      </c>
      <c r="H240" t="s">
        <v>657</v>
      </c>
      <c r="I240">
        <v>-1</v>
      </c>
      <c r="J240">
        <v>2</v>
      </c>
      <c r="K240">
        <v>3.9045000000000001</v>
      </c>
      <c r="L240">
        <v>3.9045000000000001</v>
      </c>
      <c r="M240">
        <v>21.652100000000001</v>
      </c>
      <c r="N240" t="s">
        <v>658</v>
      </c>
      <c r="O240">
        <v>10.82605</v>
      </c>
      <c r="Q240" t="s">
        <v>87</v>
      </c>
      <c r="R240">
        <v>1373</v>
      </c>
      <c r="S240">
        <v>50</v>
      </c>
      <c r="T240" t="b">
        <v>0</v>
      </c>
      <c r="U240" t="s">
        <v>88</v>
      </c>
      <c r="V240" t="s">
        <v>89</v>
      </c>
      <c r="W240">
        <v>0</v>
      </c>
      <c r="X240">
        <v>4.2</v>
      </c>
      <c r="Y240">
        <v>1.67</v>
      </c>
      <c r="Z240">
        <v>20</v>
      </c>
      <c r="AC240" t="s">
        <v>165</v>
      </c>
      <c r="AD240">
        <v>1000</v>
      </c>
      <c r="AE240">
        <v>230</v>
      </c>
      <c r="AF240" t="s">
        <v>653</v>
      </c>
      <c r="AH240" s="3">
        <v>208</v>
      </c>
      <c r="AI240" s="3">
        <f>AH240/(AD240*Y240*Z240)</f>
        <v>6.2275449101796406E-3</v>
      </c>
      <c r="AJ240" s="3">
        <f>LN(AI240)</f>
        <v>-5.0787730992634739</v>
      </c>
      <c r="AN240" t="b">
        <v>1</v>
      </c>
      <c r="AO240" t="b">
        <v>1</v>
      </c>
      <c r="AP240" t="b">
        <v>0</v>
      </c>
      <c r="AQ240" t="b">
        <v>0</v>
      </c>
      <c r="AR240" t="s">
        <v>656</v>
      </c>
      <c r="AS240" t="s">
        <v>657</v>
      </c>
      <c r="AU240">
        <v>5.3375380797013179</v>
      </c>
      <c r="AV240">
        <v>1.7272727272727271</v>
      </c>
      <c r="AW240">
        <v>2.545454545454545</v>
      </c>
      <c r="AX240">
        <v>1.7272727272727271</v>
      </c>
      <c r="AY240">
        <v>0</v>
      </c>
      <c r="AZ240">
        <v>0.2878787878787879</v>
      </c>
      <c r="BA240">
        <v>0.42424242424242431</v>
      </c>
      <c r="BB240">
        <v>0.2878787878787879</v>
      </c>
      <c r="BC240">
        <v>0</v>
      </c>
      <c r="BD240">
        <v>6.1782655933181818</v>
      </c>
      <c r="BE240">
        <v>14</v>
      </c>
      <c r="BF240">
        <v>169.7295487154349</v>
      </c>
      <c r="BG240">
        <v>1</v>
      </c>
      <c r="BH240">
        <v>8.248416440128592E-2</v>
      </c>
      <c r="BI240">
        <v>11.30538971</v>
      </c>
      <c r="BJ240">
        <v>11.30538971</v>
      </c>
      <c r="BK240">
        <v>11.30538971</v>
      </c>
      <c r="BL240">
        <v>329.80681691007999</v>
      </c>
      <c r="BM240">
        <v>2</v>
      </c>
      <c r="BN240">
        <v>8.4898184526107132E-2</v>
      </c>
      <c r="BO240">
        <v>3.8996</v>
      </c>
      <c r="BP240">
        <v>3.8996</v>
      </c>
      <c r="BQ240">
        <v>21.687999999999999</v>
      </c>
      <c r="BR240">
        <v>0</v>
      </c>
      <c r="BS240">
        <v>0</v>
      </c>
      <c r="BU240">
        <v>0</v>
      </c>
      <c r="BV240">
        <v>0</v>
      </c>
      <c r="BW240">
        <v>0</v>
      </c>
      <c r="BX240">
        <v>330.08886816502502</v>
      </c>
      <c r="BY240">
        <v>8.482564151785224E-2</v>
      </c>
      <c r="BZ240">
        <v>7</v>
      </c>
      <c r="CA240">
        <v>4.241282075892612E-2</v>
      </c>
      <c r="CB240">
        <v>4.124208220064296E-2</v>
      </c>
      <c r="CC240">
        <v>4.2449092263053573E-2</v>
      </c>
      <c r="CE240">
        <v>0.46170510468104309</v>
      </c>
      <c r="CF240">
        <v>0.4752175821671501</v>
      </c>
      <c r="CH240">
        <v>0.47481152268332899</v>
      </c>
    </row>
    <row r="241" spans="1:86" x14ac:dyDescent="0.3">
      <c r="A241" s="1">
        <v>35</v>
      </c>
      <c r="B241" t="s">
        <v>166</v>
      </c>
      <c r="C241" t="s">
        <v>167</v>
      </c>
      <c r="G241" t="s">
        <v>168</v>
      </c>
      <c r="H241">
        <v>-1</v>
      </c>
      <c r="I241">
        <v>-1</v>
      </c>
      <c r="Q241" t="s">
        <v>87</v>
      </c>
      <c r="R241">
        <v>1473</v>
      </c>
      <c r="S241">
        <v>48</v>
      </c>
      <c r="T241" t="b">
        <v>0</v>
      </c>
      <c r="U241" t="s">
        <v>88</v>
      </c>
      <c r="V241" t="s">
        <v>89</v>
      </c>
      <c r="W241">
        <v>0</v>
      </c>
      <c r="X241">
        <v>1</v>
      </c>
      <c r="Y241">
        <v>0.8</v>
      </c>
      <c r="Z241">
        <v>20</v>
      </c>
      <c r="AC241" t="s">
        <v>165</v>
      </c>
      <c r="AD241">
        <v>500</v>
      </c>
      <c r="AF241" t="s">
        <v>91</v>
      </c>
      <c r="AH241" s="3">
        <v>35</v>
      </c>
      <c r="AI241" s="3">
        <f>AH241/(AD241*Y241*Z241)</f>
        <v>4.3750000000000004E-3</v>
      </c>
      <c r="AJ241" s="3">
        <f>LN(AI241)</f>
        <v>-5.431848759172559</v>
      </c>
      <c r="AN241" t="b">
        <v>1</v>
      </c>
      <c r="AO241" t="b">
        <v>0</v>
      </c>
      <c r="AP241" t="b">
        <v>0</v>
      </c>
      <c r="AQ241" t="b">
        <v>0</v>
      </c>
      <c r="AR241" t="s">
        <v>168</v>
      </c>
      <c r="AU241">
        <v>3.555348061489414</v>
      </c>
      <c r="AV241">
        <v>1.666666666666667</v>
      </c>
      <c r="AW241">
        <v>2.666666666666667</v>
      </c>
      <c r="AX241">
        <v>1</v>
      </c>
      <c r="AY241">
        <v>0</v>
      </c>
      <c r="AZ241">
        <v>0.31250000000000011</v>
      </c>
      <c r="BA241">
        <v>0.5</v>
      </c>
      <c r="BB241">
        <v>0.1875</v>
      </c>
      <c r="BC241">
        <v>0</v>
      </c>
      <c r="BD241">
        <v>6.187676570499999</v>
      </c>
      <c r="BE241">
        <v>16</v>
      </c>
      <c r="BF241">
        <v>369.68468370682427</v>
      </c>
      <c r="BG241">
        <v>2</v>
      </c>
      <c r="BH241">
        <v>8.6560253671145768E-2</v>
      </c>
      <c r="BI241">
        <v>10.89336724</v>
      </c>
      <c r="BJ241">
        <v>10.893364999999999</v>
      </c>
      <c r="BK241">
        <v>9.0021730899999994</v>
      </c>
      <c r="BL241">
        <v>0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U241">
        <v>0</v>
      </c>
      <c r="BV241">
        <v>0</v>
      </c>
      <c r="BW241">
        <v>0</v>
      </c>
      <c r="BZ241">
        <v>8</v>
      </c>
      <c r="CB241">
        <v>4.3280126835572877E-2</v>
      </c>
      <c r="CE241">
        <v>0.47449553785868709</v>
      </c>
    </row>
    <row r="242" spans="1:86" x14ac:dyDescent="0.3">
      <c r="A242" s="1">
        <v>2</v>
      </c>
      <c r="B242" t="s">
        <v>98</v>
      </c>
      <c r="C242" t="s">
        <v>99</v>
      </c>
      <c r="E242" t="s">
        <v>94</v>
      </c>
      <c r="F242">
        <v>3.35</v>
      </c>
      <c r="G242" t="s">
        <v>100</v>
      </c>
      <c r="H242">
        <v>-1</v>
      </c>
      <c r="I242">
        <v>-1</v>
      </c>
      <c r="J242">
        <v>1</v>
      </c>
      <c r="K242">
        <v>3.8849999999999998</v>
      </c>
      <c r="L242">
        <v>3.8849999999999998</v>
      </c>
      <c r="M242">
        <v>10.989000000000001</v>
      </c>
      <c r="N242" t="s">
        <v>101</v>
      </c>
      <c r="O242">
        <v>10.989000000000001</v>
      </c>
      <c r="P242">
        <v>2</v>
      </c>
      <c r="Q242" t="s">
        <v>87</v>
      </c>
      <c r="R242">
        <v>1473</v>
      </c>
      <c r="S242">
        <v>48</v>
      </c>
      <c r="T242" t="b">
        <v>0</v>
      </c>
      <c r="U242" t="s">
        <v>88</v>
      </c>
      <c r="V242" t="s">
        <v>89</v>
      </c>
      <c r="W242">
        <v>0</v>
      </c>
      <c r="Y242">
        <v>2.85</v>
      </c>
      <c r="Z242">
        <v>14.3</v>
      </c>
      <c r="AC242" t="s">
        <v>90</v>
      </c>
      <c r="AD242">
        <v>450</v>
      </c>
      <c r="AF242" t="s">
        <v>91</v>
      </c>
      <c r="AH242" s="3">
        <v>60</v>
      </c>
      <c r="AI242" s="3">
        <f>AH242/(AD242*Y242*Z242)</f>
        <v>3.27158221895064E-3</v>
      </c>
      <c r="AJ242" s="3">
        <f>LN(AI242)</f>
        <v>-5.7224815520886851</v>
      </c>
      <c r="AN242" t="b">
        <v>1</v>
      </c>
      <c r="AO242" t="b">
        <v>0</v>
      </c>
      <c r="AP242" t="b">
        <v>0</v>
      </c>
      <c r="AQ242" t="b">
        <v>0</v>
      </c>
      <c r="AR242" t="s">
        <v>100</v>
      </c>
      <c r="AS242">
        <v>-1</v>
      </c>
      <c r="AU242">
        <v>4.0943445622221004</v>
      </c>
      <c r="AV242">
        <v>1.7272727272727271</v>
      </c>
      <c r="AW242">
        <v>2.545454545454545</v>
      </c>
      <c r="AX242">
        <v>0.81818181818181823</v>
      </c>
      <c r="AY242">
        <v>0</v>
      </c>
      <c r="AZ242">
        <v>0.3392857142857143</v>
      </c>
      <c r="BA242">
        <v>0.5</v>
      </c>
      <c r="BB242">
        <v>0.1607142857142857</v>
      </c>
      <c r="BC242">
        <v>0</v>
      </c>
      <c r="BD242">
        <v>5.9865536528636358</v>
      </c>
      <c r="BE242">
        <v>14</v>
      </c>
      <c r="BF242">
        <v>349.00875366799971</v>
      </c>
      <c r="BG242">
        <v>2</v>
      </c>
      <c r="BH242">
        <v>8.0227214090553903E-2</v>
      </c>
      <c r="BI242">
        <v>11.92921406</v>
      </c>
      <c r="BJ242">
        <v>11.92921406</v>
      </c>
      <c r="BK242">
        <v>11.92921406</v>
      </c>
      <c r="BL242">
        <v>0</v>
      </c>
      <c r="BM242">
        <v>0</v>
      </c>
      <c r="BO242">
        <v>0</v>
      </c>
      <c r="BR242">
        <v>0</v>
      </c>
      <c r="BS242">
        <v>0</v>
      </c>
      <c r="BU242">
        <v>0</v>
      </c>
      <c r="BV242">
        <v>0</v>
      </c>
      <c r="BW242">
        <v>0</v>
      </c>
      <c r="BX242">
        <v>165.859449525</v>
      </c>
      <c r="BY242">
        <v>8.4408817466199174E-2</v>
      </c>
      <c r="BZ242">
        <v>7</v>
      </c>
      <c r="CA242">
        <v>4.2204408733099587E-2</v>
      </c>
      <c r="CB242">
        <v>4.0113607045276951E-2</v>
      </c>
      <c r="CE242">
        <v>0.50734392504100989</v>
      </c>
      <c r="CH242">
        <v>0.53378770840821022</v>
      </c>
    </row>
    <row r="243" spans="1:86" x14ac:dyDescent="0.3">
      <c r="A243" s="1">
        <v>46</v>
      </c>
      <c r="B243" t="s">
        <v>174</v>
      </c>
      <c r="C243" t="s">
        <v>175</v>
      </c>
      <c r="E243" t="s">
        <v>94</v>
      </c>
      <c r="F243">
        <v>3.9</v>
      </c>
      <c r="G243" t="s">
        <v>176</v>
      </c>
      <c r="H243">
        <v>-1</v>
      </c>
      <c r="I243" t="s">
        <v>177</v>
      </c>
      <c r="J243">
        <v>1</v>
      </c>
      <c r="K243">
        <v>3.8849999999999998</v>
      </c>
      <c r="L243">
        <v>3.8849999999999998</v>
      </c>
      <c r="M243">
        <v>11.12</v>
      </c>
      <c r="N243" t="s">
        <v>101</v>
      </c>
      <c r="O243">
        <v>11.12</v>
      </c>
      <c r="P243">
        <v>2</v>
      </c>
      <c r="Q243" t="s">
        <v>87</v>
      </c>
      <c r="R243">
        <v>1373</v>
      </c>
      <c r="S243">
        <v>10</v>
      </c>
      <c r="T243" t="b">
        <v>0</v>
      </c>
      <c r="U243" t="s">
        <v>88</v>
      </c>
      <c r="V243" t="s">
        <v>89</v>
      </c>
      <c r="W243">
        <v>0</v>
      </c>
      <c r="Y243">
        <v>1</v>
      </c>
      <c r="Z243">
        <v>16</v>
      </c>
      <c r="AC243" t="s">
        <v>90</v>
      </c>
      <c r="AD243">
        <v>400</v>
      </c>
      <c r="AE243">
        <v>280</v>
      </c>
      <c r="AF243" t="s">
        <v>91</v>
      </c>
      <c r="AH243" s="3">
        <v>15.5</v>
      </c>
      <c r="AI243" s="3">
        <f>AH243/(AD243*Y243*Z243)</f>
        <v>2.421875E-3</v>
      </c>
      <c r="AJ243" s="3">
        <f>LN(AI243)</f>
        <v>-6.0232132454225624</v>
      </c>
      <c r="AM243" t="s">
        <v>178</v>
      </c>
      <c r="AN243" t="b">
        <v>1</v>
      </c>
      <c r="AO243" t="b">
        <v>0</v>
      </c>
      <c r="AP243" t="b">
        <v>1</v>
      </c>
      <c r="AQ243" t="b">
        <v>0</v>
      </c>
      <c r="AR243" t="s">
        <v>176</v>
      </c>
      <c r="AS243">
        <v>-1</v>
      </c>
      <c r="AT243" t="s">
        <v>190</v>
      </c>
      <c r="AU243">
        <v>2.7408400239252009</v>
      </c>
      <c r="AV243">
        <v>1.9090909090909089</v>
      </c>
      <c r="AW243">
        <v>2.545454545454545</v>
      </c>
      <c r="AX243">
        <v>0.63636363636363635</v>
      </c>
      <c r="AY243">
        <v>2.545454545454545</v>
      </c>
      <c r="AZ243">
        <v>0.25</v>
      </c>
      <c r="BA243">
        <v>0.33333333333333331</v>
      </c>
      <c r="BB243">
        <v>8.3333333333333329E-2</v>
      </c>
      <c r="BC243">
        <v>0.33333333333333331</v>
      </c>
      <c r="BD243">
        <v>6.0049330374090903</v>
      </c>
      <c r="BE243">
        <v>14</v>
      </c>
      <c r="BF243">
        <v>173.0114278564659</v>
      </c>
      <c r="BG243">
        <v>1</v>
      </c>
      <c r="BH243">
        <v>8.0919510193365449E-2</v>
      </c>
      <c r="BI243">
        <v>3.9103940000000001</v>
      </c>
      <c r="BJ243">
        <v>3.9103940000000001</v>
      </c>
      <c r="BK243">
        <v>11.314458</v>
      </c>
      <c r="BL243">
        <v>0</v>
      </c>
      <c r="BM243">
        <v>0</v>
      </c>
      <c r="BO243">
        <v>0</v>
      </c>
      <c r="BR243">
        <v>164.541706117579</v>
      </c>
      <c r="BS243">
        <v>1</v>
      </c>
      <c r="BT243">
        <v>8.5084811202795069E-2</v>
      </c>
      <c r="BU243">
        <v>3.8653</v>
      </c>
      <c r="BV243">
        <v>3.8653</v>
      </c>
      <c r="BW243">
        <v>11.0131</v>
      </c>
      <c r="BX243">
        <v>167.83666199999999</v>
      </c>
      <c r="BY243">
        <v>8.3414433015832998E-2</v>
      </c>
      <c r="BZ243">
        <v>7</v>
      </c>
      <c r="CA243">
        <v>4.1707216507916499E-2</v>
      </c>
      <c r="CB243">
        <v>4.0459755096682717E-2</v>
      </c>
      <c r="CD243">
        <v>4.2542405601397527E-2</v>
      </c>
      <c r="CE243">
        <v>0.51172189361529641</v>
      </c>
      <c r="CG243">
        <v>0.5380625834554803</v>
      </c>
      <c r="CH243">
        <v>0.52749938198721436</v>
      </c>
    </row>
    <row r="244" spans="1:86" x14ac:dyDescent="0.3">
      <c r="A244" s="1">
        <v>417</v>
      </c>
      <c r="B244" t="s">
        <v>690</v>
      </c>
      <c r="C244" t="s">
        <v>691</v>
      </c>
      <c r="E244" t="s">
        <v>690</v>
      </c>
      <c r="F244">
        <v>3.31</v>
      </c>
      <c r="G244" t="s">
        <v>692</v>
      </c>
      <c r="H244" t="s">
        <v>693</v>
      </c>
      <c r="I244">
        <v>-1</v>
      </c>
      <c r="O244">
        <v>0</v>
      </c>
      <c r="Q244" t="s">
        <v>87</v>
      </c>
      <c r="R244">
        <v>1323</v>
      </c>
      <c r="T244" t="b">
        <v>0</v>
      </c>
      <c r="U244" t="s">
        <v>88</v>
      </c>
      <c r="V244" t="s">
        <v>89</v>
      </c>
      <c r="W244">
        <v>0</v>
      </c>
      <c r="X244">
        <v>1.2</v>
      </c>
      <c r="Y244">
        <v>2</v>
      </c>
      <c r="Z244">
        <v>16</v>
      </c>
      <c r="AC244" t="s">
        <v>90</v>
      </c>
      <c r="AD244">
        <v>400</v>
      </c>
      <c r="AF244" t="s">
        <v>91</v>
      </c>
      <c r="AH244" s="3">
        <v>20</v>
      </c>
      <c r="AI244" s="3">
        <f>AH244/(AD244*Y244*Z244)</f>
        <v>1.5625000000000001E-3</v>
      </c>
      <c r="AJ244" s="3">
        <f>LN(AI244)</f>
        <v>-6.4614681763537174</v>
      </c>
      <c r="AN244" t="b">
        <v>1</v>
      </c>
      <c r="AO244" t="b">
        <v>0</v>
      </c>
      <c r="AP244" t="b">
        <v>0</v>
      </c>
      <c r="AQ244" t="b">
        <v>0</v>
      </c>
      <c r="AR244" t="s">
        <v>692</v>
      </c>
      <c r="AS244" t="s">
        <v>693</v>
      </c>
      <c r="AU244">
        <v>2.9957322735539909</v>
      </c>
      <c r="AV244">
        <v>2</v>
      </c>
      <c r="AW244">
        <v>2.545454545454545</v>
      </c>
      <c r="AX244">
        <v>0.54545454545454541</v>
      </c>
      <c r="AY244">
        <v>0</v>
      </c>
      <c r="AZ244">
        <v>0.39285714285714279</v>
      </c>
      <c r="BA244">
        <v>0.5</v>
      </c>
      <c r="BB244">
        <v>0.1071428571428571</v>
      </c>
      <c r="BC244">
        <v>0</v>
      </c>
      <c r="BD244">
        <v>5.9831999205909083</v>
      </c>
      <c r="BE244">
        <v>14</v>
      </c>
      <c r="BF244">
        <v>288.33429290182369</v>
      </c>
      <c r="BG244">
        <v>2</v>
      </c>
      <c r="BH244">
        <v>9.7109503410799117E-2</v>
      </c>
      <c r="BI244">
        <v>7.41544296</v>
      </c>
      <c r="BJ244">
        <v>7.4154429599999991</v>
      </c>
      <c r="BK244">
        <v>7.41544296</v>
      </c>
      <c r="BL244">
        <v>556.51188553357167</v>
      </c>
      <c r="BM244">
        <v>4</v>
      </c>
      <c r="BN244">
        <v>0.10062678166578309</v>
      </c>
      <c r="BO244">
        <v>7.8</v>
      </c>
      <c r="BP244">
        <v>13.010999999999999</v>
      </c>
      <c r="BQ244">
        <v>5.5460000000000003</v>
      </c>
      <c r="BR244">
        <v>0</v>
      </c>
      <c r="BS244">
        <v>0</v>
      </c>
      <c r="BU244">
        <v>0</v>
      </c>
      <c r="BV244">
        <v>0</v>
      </c>
      <c r="BW244">
        <v>0</v>
      </c>
      <c r="BZ244">
        <v>7</v>
      </c>
      <c r="CB244">
        <v>4.8554751705399558E-2</v>
      </c>
      <c r="CC244">
        <v>5.0313390832891547E-2</v>
      </c>
      <c r="CE244">
        <v>0.52442413903612495</v>
      </c>
      <c r="CF244">
        <v>0.54341863036636617</v>
      </c>
    </row>
    <row r="245" spans="1:86" x14ac:dyDescent="0.3">
      <c r="A245" s="1">
        <v>1</v>
      </c>
      <c r="B245" t="s">
        <v>92</v>
      </c>
      <c r="C245" t="s">
        <v>93</v>
      </c>
      <c r="E245" t="s">
        <v>94</v>
      </c>
      <c r="F245">
        <v>3.2</v>
      </c>
      <c r="G245" t="s">
        <v>95</v>
      </c>
      <c r="H245" t="s">
        <v>96</v>
      </c>
      <c r="I245">
        <v>-1</v>
      </c>
      <c r="J245">
        <v>8</v>
      </c>
      <c r="K245">
        <v>7.806</v>
      </c>
      <c r="L245">
        <v>7.6680000000000001</v>
      </c>
      <c r="M245">
        <v>21.54</v>
      </c>
      <c r="N245" t="s">
        <v>97</v>
      </c>
      <c r="O245">
        <v>10.77</v>
      </c>
      <c r="P245">
        <v>2</v>
      </c>
      <c r="Q245" t="s">
        <v>87</v>
      </c>
      <c r="R245">
        <v>1473</v>
      </c>
      <c r="S245">
        <v>48</v>
      </c>
      <c r="T245" t="b">
        <v>0</v>
      </c>
      <c r="U245" t="s">
        <v>88</v>
      </c>
      <c r="V245" t="s">
        <v>89</v>
      </c>
      <c r="W245">
        <v>0</v>
      </c>
      <c r="Y245">
        <v>2.85</v>
      </c>
      <c r="Z245">
        <v>14.3</v>
      </c>
      <c r="AC245" t="s">
        <v>90</v>
      </c>
      <c r="AD245">
        <v>450</v>
      </c>
      <c r="AF245" t="s">
        <v>91</v>
      </c>
      <c r="AH245" s="3">
        <v>28</v>
      </c>
      <c r="AI245" s="3">
        <f>AH245/(AD245*Y245*Z245)</f>
        <v>1.526738368843632E-3</v>
      </c>
      <c r="AJ245" s="3">
        <f>LN(AI245)</f>
        <v>-6.4846216041355822</v>
      </c>
      <c r="AN245" t="b">
        <v>1</v>
      </c>
      <c r="AO245" t="b">
        <v>0</v>
      </c>
      <c r="AP245" t="b">
        <v>0</v>
      </c>
      <c r="AQ245" t="b">
        <v>0</v>
      </c>
      <c r="AR245" t="s">
        <v>95</v>
      </c>
      <c r="AS245" t="s">
        <v>96</v>
      </c>
      <c r="AU245">
        <v>3.3322045101752038</v>
      </c>
      <c r="AV245">
        <v>1.7272727272727271</v>
      </c>
      <c r="AW245">
        <v>2.545454545454545</v>
      </c>
      <c r="AX245">
        <v>0.81818181818181823</v>
      </c>
      <c r="AY245">
        <v>0</v>
      </c>
      <c r="AZ245">
        <v>0.3392857142857143</v>
      </c>
      <c r="BA245">
        <v>0.5</v>
      </c>
      <c r="BB245">
        <v>0.1607142857142857</v>
      </c>
      <c r="BC245">
        <v>0</v>
      </c>
      <c r="BD245">
        <v>5.9946935869545452</v>
      </c>
      <c r="BE245">
        <v>14</v>
      </c>
      <c r="BF245">
        <v>173.54502164551991</v>
      </c>
      <c r="BG245">
        <v>1</v>
      </c>
      <c r="BH245">
        <v>8.0670709348241429E-2</v>
      </c>
      <c r="BI245">
        <v>3.9327019999999999</v>
      </c>
      <c r="BJ245">
        <v>3.9458000000000002</v>
      </c>
      <c r="BK245">
        <v>11.356398779999999</v>
      </c>
      <c r="BL245">
        <v>328.06612625219998</v>
      </c>
      <c r="BM245">
        <v>1</v>
      </c>
      <c r="BN245">
        <v>4.2674323496713393E-2</v>
      </c>
      <c r="BO245">
        <v>3.9060000000000001</v>
      </c>
      <c r="BP245">
        <v>21.603000000000002</v>
      </c>
      <c r="BQ245">
        <v>3.8879000000000001</v>
      </c>
      <c r="BR245">
        <v>0</v>
      </c>
      <c r="BS245">
        <v>0</v>
      </c>
      <c r="BU245">
        <v>0</v>
      </c>
      <c r="BV245">
        <v>0</v>
      </c>
      <c r="BW245">
        <v>0</v>
      </c>
      <c r="BX245">
        <v>1289.30702832</v>
      </c>
      <c r="BY245">
        <v>8.6868370015743157E-2</v>
      </c>
      <c r="BZ245">
        <v>7</v>
      </c>
      <c r="CA245">
        <v>4.3434185007871579E-2</v>
      </c>
      <c r="CB245">
        <v>4.0335354674120708E-2</v>
      </c>
      <c r="CC245">
        <v>2.1337161748356689E-2</v>
      </c>
      <c r="CE245">
        <v>0.48450364842179572</v>
      </c>
      <c r="CF245">
        <v>0.25629953666126182</v>
      </c>
      <c r="CH245">
        <v>0.52172644253560874</v>
      </c>
    </row>
    <row r="246" spans="1:86" x14ac:dyDescent="0.3">
      <c r="A246" s="1">
        <v>238</v>
      </c>
      <c r="B246" t="s">
        <v>128</v>
      </c>
      <c r="C246" t="s">
        <v>129</v>
      </c>
      <c r="E246" t="s">
        <v>130</v>
      </c>
      <c r="F246">
        <v>3.2</v>
      </c>
      <c r="G246" t="s">
        <v>131</v>
      </c>
      <c r="H246" t="s">
        <v>132</v>
      </c>
      <c r="I246">
        <v>-1</v>
      </c>
      <c r="Q246" t="s">
        <v>87</v>
      </c>
      <c r="R246">
        <v>1423</v>
      </c>
      <c r="S246">
        <v>24</v>
      </c>
      <c r="T246" t="b">
        <v>0</v>
      </c>
      <c r="U246" t="s">
        <v>88</v>
      </c>
      <c r="V246" t="s">
        <v>89</v>
      </c>
      <c r="W246">
        <v>0</v>
      </c>
      <c r="X246">
        <v>49</v>
      </c>
      <c r="Y246">
        <v>2</v>
      </c>
      <c r="Z246">
        <v>10</v>
      </c>
      <c r="AC246" t="s">
        <v>90</v>
      </c>
      <c r="AD246">
        <v>100</v>
      </c>
      <c r="AE246">
        <v>400</v>
      </c>
      <c r="AF246" t="s">
        <v>407</v>
      </c>
      <c r="AG246">
        <v>333</v>
      </c>
      <c r="AH246" s="3">
        <v>1.785714285714286</v>
      </c>
      <c r="AI246" s="3">
        <f>AH246/(AD246*Y246*Z246)</f>
        <v>8.9285714285714305E-4</v>
      </c>
      <c r="AJ246" s="3">
        <f>LN(AI246)</f>
        <v>-7.0210839642891401</v>
      </c>
      <c r="AN246" t="b">
        <v>1</v>
      </c>
      <c r="AO246" t="b">
        <v>0</v>
      </c>
      <c r="AP246" t="b">
        <v>0</v>
      </c>
      <c r="AQ246" t="b">
        <v>0</v>
      </c>
      <c r="AR246" t="s">
        <v>131</v>
      </c>
      <c r="AS246" t="s">
        <v>132</v>
      </c>
      <c r="AU246">
        <v>0.57981849525294227</v>
      </c>
      <c r="AV246">
        <v>2</v>
      </c>
      <c r="AW246">
        <v>2.666666666666667</v>
      </c>
      <c r="AX246">
        <v>0.66666666666666663</v>
      </c>
      <c r="AY246">
        <v>0</v>
      </c>
      <c r="AZ246">
        <v>0.375</v>
      </c>
      <c r="BA246">
        <v>0.5</v>
      </c>
      <c r="BB246">
        <v>0.125</v>
      </c>
      <c r="BC246">
        <v>0</v>
      </c>
      <c r="BD246">
        <v>6.1770001596666662</v>
      </c>
      <c r="BE246">
        <v>4</v>
      </c>
      <c r="BF246">
        <v>1182.741260108548</v>
      </c>
      <c r="BG246">
        <v>30</v>
      </c>
      <c r="BH246">
        <v>0.1014592151701775</v>
      </c>
      <c r="BI246">
        <v>10.59112378</v>
      </c>
      <c r="BJ246">
        <v>10.784736629999999</v>
      </c>
      <c r="BK246">
        <v>10.486176179999999</v>
      </c>
      <c r="BL246">
        <v>130.36387300000001</v>
      </c>
      <c r="BM246">
        <v>4</v>
      </c>
      <c r="BN246">
        <v>0.1227333894874388</v>
      </c>
      <c r="BO246">
        <v>3.73</v>
      </c>
      <c r="BP246">
        <v>3.73</v>
      </c>
      <c r="BQ246">
        <v>9.3699999999999992</v>
      </c>
      <c r="BR246">
        <v>0</v>
      </c>
      <c r="BS246">
        <v>0</v>
      </c>
      <c r="BU246">
        <v>0</v>
      </c>
      <c r="BV246">
        <v>0</v>
      </c>
      <c r="BW246">
        <v>0</v>
      </c>
      <c r="BZ246">
        <v>2</v>
      </c>
      <c r="CB246">
        <v>5.0729607585088737E-2</v>
      </c>
      <c r="CC246">
        <v>6.1366694743719377E-2</v>
      </c>
      <c r="CE246">
        <v>0.46900407026869612</v>
      </c>
      <c r="CF246">
        <v>0.56734579634715776</v>
      </c>
    </row>
    <row r="247" spans="1:86" x14ac:dyDescent="0.3">
      <c r="A247" s="1">
        <v>4</v>
      </c>
      <c r="B247" t="s">
        <v>106</v>
      </c>
      <c r="C247" t="s">
        <v>107</v>
      </c>
      <c r="E247" t="s">
        <v>106</v>
      </c>
      <c r="F247">
        <v>3.35</v>
      </c>
      <c r="G247" t="s">
        <v>108</v>
      </c>
      <c r="H247" t="s">
        <v>109</v>
      </c>
      <c r="I247">
        <v>-1</v>
      </c>
      <c r="J247">
        <v>8</v>
      </c>
      <c r="K247">
        <v>7.7270000000000003</v>
      </c>
      <c r="L247">
        <v>7.7270000000000003</v>
      </c>
      <c r="M247">
        <v>29.466000000000001</v>
      </c>
      <c r="N247" t="s">
        <v>110</v>
      </c>
      <c r="O247">
        <v>14.733000000000001</v>
      </c>
      <c r="P247">
        <v>3</v>
      </c>
      <c r="Q247" t="s">
        <v>87</v>
      </c>
      <c r="R247">
        <v>1473</v>
      </c>
      <c r="S247">
        <v>48</v>
      </c>
      <c r="T247" t="b">
        <v>0</v>
      </c>
      <c r="U247" t="s">
        <v>88</v>
      </c>
      <c r="V247" t="s">
        <v>89</v>
      </c>
      <c r="W247">
        <v>0</v>
      </c>
      <c r="Y247">
        <v>2.85</v>
      </c>
      <c r="Z247">
        <v>14.3</v>
      </c>
      <c r="AC247" t="s">
        <v>90</v>
      </c>
      <c r="AD247">
        <v>450</v>
      </c>
      <c r="AF247" t="s">
        <v>91</v>
      </c>
      <c r="AH247" s="3">
        <v>14</v>
      </c>
      <c r="AI247" s="3">
        <f>AH247/(AD247*Y247*Z247)</f>
        <v>7.63369184421816E-4</v>
      </c>
      <c r="AJ247" s="3">
        <f>LN(AI247)</f>
        <v>-7.1777687846955276</v>
      </c>
      <c r="AN247" t="b">
        <v>1</v>
      </c>
      <c r="AO247" t="b">
        <v>1</v>
      </c>
      <c r="AP247" t="b">
        <v>0</v>
      </c>
      <c r="AQ247" t="b">
        <v>0</v>
      </c>
      <c r="AR247" t="s">
        <v>108</v>
      </c>
      <c r="AS247" t="s">
        <v>109</v>
      </c>
      <c r="AU247">
        <v>2.639057329615258</v>
      </c>
      <c r="AV247">
        <v>1.75</v>
      </c>
      <c r="AW247">
        <v>2.5</v>
      </c>
      <c r="AX247">
        <v>0.75</v>
      </c>
      <c r="AY247">
        <v>0</v>
      </c>
      <c r="AZ247">
        <v>0.35</v>
      </c>
      <c r="BA247">
        <v>0.5</v>
      </c>
      <c r="BB247">
        <v>0.15</v>
      </c>
      <c r="BC247">
        <v>0</v>
      </c>
      <c r="BD247">
        <v>5.9668120809374994</v>
      </c>
      <c r="BE247">
        <v>20</v>
      </c>
      <c r="BF247">
        <v>924.74694800021894</v>
      </c>
      <c r="BG247">
        <v>4</v>
      </c>
      <c r="BH247">
        <v>8.6510153045653584E-2</v>
      </c>
      <c r="BI247">
        <v>7.8084429999999996</v>
      </c>
      <c r="BJ247">
        <v>7.8548809999999998</v>
      </c>
      <c r="BK247">
        <v>15.19056011</v>
      </c>
      <c r="BL247">
        <v>883.22940750240002</v>
      </c>
      <c r="BM247">
        <v>4</v>
      </c>
      <c r="BN247">
        <v>9.0576694254581439E-2</v>
      </c>
      <c r="BO247">
        <v>3.8801999999999999</v>
      </c>
      <c r="BP247">
        <v>29.507999999999999</v>
      </c>
      <c r="BQ247">
        <v>7.7140000000000004</v>
      </c>
      <c r="BR247">
        <v>0</v>
      </c>
      <c r="BS247">
        <v>0</v>
      </c>
      <c r="BU247">
        <v>0</v>
      </c>
      <c r="BV247">
        <v>0</v>
      </c>
      <c r="BW247">
        <v>0</v>
      </c>
      <c r="BX247">
        <v>1759.3125835139999</v>
      </c>
      <c r="BY247">
        <v>9.0944611832662864E-2</v>
      </c>
      <c r="BZ247">
        <v>10</v>
      </c>
      <c r="CA247">
        <v>4.5472305916331432E-2</v>
      </c>
      <c r="CB247">
        <v>4.3255076522826792E-2</v>
      </c>
      <c r="CC247">
        <v>4.5288347127290719E-2</v>
      </c>
      <c r="CE247">
        <v>0.50555206026575006</v>
      </c>
      <c r="CF247">
        <v>0.52931630311992839</v>
      </c>
      <c r="CH247">
        <v>0.53146635699289846</v>
      </c>
    </row>
    <row r="248" spans="1:86" x14ac:dyDescent="0.3">
      <c r="A248" s="1">
        <v>3</v>
      </c>
      <c r="B248" t="s">
        <v>102</v>
      </c>
      <c r="C248" t="s">
        <v>103</v>
      </c>
      <c r="E248" t="s">
        <v>94</v>
      </c>
      <c r="F248">
        <v>3.3</v>
      </c>
      <c r="G248" t="s">
        <v>104</v>
      </c>
      <c r="H248" t="s">
        <v>105</v>
      </c>
      <c r="I248">
        <v>-1</v>
      </c>
      <c r="J248">
        <v>1</v>
      </c>
      <c r="K248">
        <v>3.9049999999999998</v>
      </c>
      <c r="L248">
        <v>3.9049999999999998</v>
      </c>
      <c r="M248">
        <v>11.185</v>
      </c>
      <c r="N248" t="s">
        <v>101</v>
      </c>
      <c r="O248">
        <v>11.185</v>
      </c>
      <c r="P248">
        <v>2</v>
      </c>
      <c r="Q248" t="s">
        <v>87</v>
      </c>
      <c r="R248">
        <v>1473</v>
      </c>
      <c r="S248">
        <v>48</v>
      </c>
      <c r="T248" t="b">
        <v>0</v>
      </c>
      <c r="U248" t="s">
        <v>88</v>
      </c>
      <c r="V248" t="s">
        <v>89</v>
      </c>
      <c r="W248">
        <v>0</v>
      </c>
      <c r="Y248">
        <v>2.85</v>
      </c>
      <c r="Z248">
        <v>14.3</v>
      </c>
      <c r="AC248" t="s">
        <v>90</v>
      </c>
      <c r="AD248">
        <v>450</v>
      </c>
      <c r="AF248" t="s">
        <v>91</v>
      </c>
      <c r="AH248" s="3">
        <v>12</v>
      </c>
      <c r="AI248" s="3">
        <f>AH248/(AD248*Y248*Z248)</f>
        <v>6.5431644379012797E-4</v>
      </c>
      <c r="AJ248" s="3">
        <f>LN(AI248)</f>
        <v>-7.3319194645227856</v>
      </c>
      <c r="AN248" t="b">
        <v>1</v>
      </c>
      <c r="AO248" t="b">
        <v>1</v>
      </c>
      <c r="AP248" t="b">
        <v>0</v>
      </c>
      <c r="AQ248" t="b">
        <v>0</v>
      </c>
      <c r="AR248" t="s">
        <v>104</v>
      </c>
      <c r="AS248" t="s">
        <v>105</v>
      </c>
      <c r="AU248">
        <v>2.4849066497879999</v>
      </c>
      <c r="AV248">
        <v>1.7272727272727271</v>
      </c>
      <c r="AW248">
        <v>2.545454545454545</v>
      </c>
      <c r="AX248">
        <v>0.81818181818181823</v>
      </c>
      <c r="AY248">
        <v>0</v>
      </c>
      <c r="AZ248">
        <v>0.3392857142857143</v>
      </c>
      <c r="BA248">
        <v>0.5</v>
      </c>
      <c r="BB248">
        <v>0.1607142857142857</v>
      </c>
      <c r="BC248">
        <v>0</v>
      </c>
      <c r="BD248">
        <v>5.9730290962922723</v>
      </c>
      <c r="BE248">
        <v>14</v>
      </c>
      <c r="BF248">
        <v>179.6799083471451</v>
      </c>
      <c r="BG248">
        <v>1</v>
      </c>
      <c r="BH248">
        <v>7.7916335380980528E-2</v>
      </c>
      <c r="BI248">
        <v>3.952105</v>
      </c>
      <c r="BJ248">
        <v>3.952105</v>
      </c>
      <c r="BK248">
        <v>11.503833</v>
      </c>
      <c r="BL248">
        <v>170.44069823999999</v>
      </c>
      <c r="BM248">
        <v>1</v>
      </c>
      <c r="BN248">
        <v>8.2140006140355049E-2</v>
      </c>
      <c r="BO248">
        <v>3.9079999999999999</v>
      </c>
      <c r="BP248">
        <v>3.9079999999999999</v>
      </c>
      <c r="BQ248">
        <v>11.16</v>
      </c>
      <c r="BR248">
        <v>0</v>
      </c>
      <c r="BS248">
        <v>0</v>
      </c>
      <c r="BU248">
        <v>0</v>
      </c>
      <c r="BV248">
        <v>0</v>
      </c>
      <c r="BW248">
        <v>0</v>
      </c>
      <c r="BX248">
        <v>170.560344625</v>
      </c>
      <c r="BY248">
        <v>8.2082385743186062E-2</v>
      </c>
      <c r="BZ248">
        <v>7</v>
      </c>
      <c r="CA248">
        <v>4.1041192871593031E-2</v>
      </c>
      <c r="CB248">
        <v>3.8958167690490257E-2</v>
      </c>
      <c r="CC248">
        <v>4.1070003070177517E-2</v>
      </c>
      <c r="CE248">
        <v>0.5243291310951993</v>
      </c>
      <c r="CF248">
        <v>0.55275184384813547</v>
      </c>
      <c r="CH248">
        <v>0.5523640939285166</v>
      </c>
    </row>
    <row r="249" spans="1:86" x14ac:dyDescent="0.3">
      <c r="A249" s="1">
        <v>7</v>
      </c>
      <c r="B249" t="s">
        <v>120</v>
      </c>
      <c r="C249" t="s">
        <v>121</v>
      </c>
      <c r="E249" t="s">
        <v>106</v>
      </c>
      <c r="F249">
        <v>3.16</v>
      </c>
      <c r="G249" t="s">
        <v>108</v>
      </c>
      <c r="H249">
        <v>-1</v>
      </c>
      <c r="I249">
        <v>-1</v>
      </c>
      <c r="J249">
        <v>4</v>
      </c>
      <c r="K249">
        <v>7.8310000000000004</v>
      </c>
      <c r="L249">
        <v>7.8010000000000002</v>
      </c>
      <c r="M249">
        <v>15.05</v>
      </c>
      <c r="N249" t="s">
        <v>122</v>
      </c>
      <c r="O249">
        <v>15.05</v>
      </c>
      <c r="P249">
        <v>3</v>
      </c>
      <c r="Q249" t="s">
        <v>87</v>
      </c>
      <c r="R249">
        <v>1473</v>
      </c>
      <c r="S249">
        <v>48</v>
      </c>
      <c r="T249" t="b">
        <v>0</v>
      </c>
      <c r="U249" t="s">
        <v>88</v>
      </c>
      <c r="V249" t="s">
        <v>89</v>
      </c>
      <c r="W249">
        <v>0</v>
      </c>
      <c r="Y249">
        <v>2.85</v>
      </c>
      <c r="Z249">
        <v>14.3</v>
      </c>
      <c r="AC249" t="s">
        <v>90</v>
      </c>
      <c r="AD249">
        <v>450</v>
      </c>
      <c r="AF249" t="s">
        <v>91</v>
      </c>
      <c r="AH249" s="3">
        <v>10</v>
      </c>
      <c r="AI249" s="3">
        <f>AH249/(AD249*Y249*Z249)</f>
        <v>5.4526370315844004E-4</v>
      </c>
      <c r="AJ249" s="3">
        <f>LN(AI249)</f>
        <v>-7.5142410213167405</v>
      </c>
      <c r="AK249" t="s">
        <v>123</v>
      </c>
      <c r="AN249" t="b">
        <v>1</v>
      </c>
      <c r="AO249" t="b">
        <v>0</v>
      </c>
      <c r="AP249" t="b">
        <v>0</v>
      </c>
      <c r="AQ249" t="b">
        <v>0</v>
      </c>
      <c r="AR249" t="s">
        <v>124</v>
      </c>
      <c r="AS249">
        <v>-1</v>
      </c>
      <c r="AU249">
        <v>2.3025850929940459</v>
      </c>
      <c r="AV249">
        <v>1.75</v>
      </c>
      <c r="AW249">
        <v>2.5</v>
      </c>
      <c r="AX249">
        <v>0.75</v>
      </c>
      <c r="AY249">
        <v>0</v>
      </c>
      <c r="AZ249">
        <v>0.35</v>
      </c>
      <c r="BA249">
        <v>0.5</v>
      </c>
      <c r="BB249">
        <v>0.15</v>
      </c>
      <c r="BC249">
        <v>0</v>
      </c>
      <c r="BD249">
        <v>5.9423887671875004</v>
      </c>
      <c r="BE249">
        <v>20</v>
      </c>
      <c r="BF249">
        <v>924.74694800021894</v>
      </c>
      <c r="BG249">
        <v>4</v>
      </c>
      <c r="BH249">
        <v>8.6510153045653584E-2</v>
      </c>
      <c r="BI249">
        <v>7.8084429999999996</v>
      </c>
      <c r="BJ249">
        <v>7.8548809999999998</v>
      </c>
      <c r="BK249">
        <v>15.19056011</v>
      </c>
      <c r="BL249">
        <v>0</v>
      </c>
      <c r="BM249">
        <v>0</v>
      </c>
      <c r="BO249">
        <v>0</v>
      </c>
      <c r="BR249">
        <v>0</v>
      </c>
      <c r="BS249">
        <v>0</v>
      </c>
      <c r="BU249">
        <v>0</v>
      </c>
      <c r="BV249">
        <v>0</v>
      </c>
      <c r="BW249">
        <v>0</v>
      </c>
      <c r="BX249">
        <v>919.39894655000012</v>
      </c>
      <c r="BY249">
        <v>8.7013369223660861E-2</v>
      </c>
      <c r="BZ249">
        <v>10</v>
      </c>
      <c r="CA249">
        <v>4.350668461183043E-2</v>
      </c>
      <c r="CB249">
        <v>4.3255076522826792E-2</v>
      </c>
      <c r="CE249">
        <v>0.53520952659835619</v>
      </c>
      <c r="CH249">
        <v>0.5383227576229942</v>
      </c>
    </row>
    <row r="250" spans="1:86" x14ac:dyDescent="0.3">
      <c r="A250" s="1">
        <v>36</v>
      </c>
      <c r="B250" t="s">
        <v>169</v>
      </c>
      <c r="C250" t="s">
        <v>170</v>
      </c>
      <c r="G250">
        <v>-1</v>
      </c>
      <c r="H250">
        <v>-1</v>
      </c>
      <c r="I250" t="s">
        <v>171</v>
      </c>
      <c r="Q250" t="s">
        <v>87</v>
      </c>
      <c r="R250">
        <v>1473</v>
      </c>
      <c r="S250">
        <v>48</v>
      </c>
      <c r="T250" t="b">
        <v>0</v>
      </c>
      <c r="U250" t="s">
        <v>88</v>
      </c>
      <c r="V250" t="s">
        <v>89</v>
      </c>
      <c r="W250">
        <v>0</v>
      </c>
      <c r="X250">
        <v>1</v>
      </c>
      <c r="Y250">
        <v>0.8</v>
      </c>
      <c r="Z250">
        <v>20</v>
      </c>
      <c r="AC250" t="s">
        <v>165</v>
      </c>
      <c r="AD250">
        <v>500</v>
      </c>
      <c r="AF250" t="s">
        <v>91</v>
      </c>
      <c r="AH250" s="3">
        <v>3.3</v>
      </c>
      <c r="AI250" s="3">
        <f>AH250/(AD250*Y250*Z250)</f>
        <v>4.125E-4</v>
      </c>
      <c r="AJ250" s="3">
        <f>LN(AI250)</f>
        <v>-7.7932743521895382</v>
      </c>
      <c r="AN250" t="b">
        <v>0</v>
      </c>
      <c r="AO250" t="b">
        <v>0</v>
      </c>
      <c r="AP250" t="b">
        <v>1</v>
      </c>
      <c r="AQ250" t="b">
        <v>0</v>
      </c>
      <c r="AT250" t="s">
        <v>171</v>
      </c>
      <c r="AU250">
        <v>1.193922468472435</v>
      </c>
      <c r="AV250">
        <v>1.6</v>
      </c>
      <c r="AW250">
        <v>2.4</v>
      </c>
      <c r="AX250">
        <v>0.8</v>
      </c>
      <c r="AY250">
        <v>0</v>
      </c>
      <c r="AZ250">
        <v>0.33333333333333343</v>
      </c>
      <c r="BA250">
        <v>0.5</v>
      </c>
      <c r="BB250">
        <v>0.16666666666666671</v>
      </c>
      <c r="BC250">
        <v>0</v>
      </c>
      <c r="BD250">
        <v>5.7755883796999994</v>
      </c>
      <c r="BE250">
        <v>6</v>
      </c>
      <c r="BF250">
        <v>0</v>
      </c>
      <c r="BG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O250">
        <v>0</v>
      </c>
      <c r="BP250">
        <v>0</v>
      </c>
      <c r="BQ250">
        <v>0</v>
      </c>
      <c r="BR250">
        <v>65.158925823999994</v>
      </c>
      <c r="BS250">
        <v>1</v>
      </c>
      <c r="BT250">
        <v>9.208254930731255E-2</v>
      </c>
      <c r="BU250">
        <v>4.024</v>
      </c>
      <c r="BV250">
        <v>4.024</v>
      </c>
      <c r="BW250">
        <v>4.024</v>
      </c>
      <c r="BZ250">
        <v>3</v>
      </c>
      <c r="CD250">
        <v>4.6041274653656282E-2</v>
      </c>
      <c r="CG250">
        <v>0.64205312435356865</v>
      </c>
    </row>
    <row r="251" spans="1:86" x14ac:dyDescent="0.3">
      <c r="A251" s="1">
        <v>48</v>
      </c>
      <c r="B251" t="s">
        <v>182</v>
      </c>
      <c r="C251" t="s">
        <v>183</v>
      </c>
      <c r="E251" t="s">
        <v>94</v>
      </c>
      <c r="F251">
        <v>4.2</v>
      </c>
      <c r="G251">
        <v>-1</v>
      </c>
      <c r="H251">
        <v>-1</v>
      </c>
      <c r="I251" t="s">
        <v>177</v>
      </c>
      <c r="P251">
        <v>2</v>
      </c>
      <c r="Q251" t="s">
        <v>87</v>
      </c>
      <c r="R251">
        <v>1373</v>
      </c>
      <c r="S251">
        <v>10</v>
      </c>
      <c r="T251" t="b">
        <v>0</v>
      </c>
      <c r="U251" t="s">
        <v>88</v>
      </c>
      <c r="V251" t="s">
        <v>89</v>
      </c>
      <c r="W251">
        <v>0</v>
      </c>
      <c r="Y251">
        <v>1</v>
      </c>
      <c r="Z251">
        <v>16</v>
      </c>
      <c r="AC251" t="s">
        <v>90</v>
      </c>
      <c r="AD251">
        <v>400</v>
      </c>
      <c r="AE251">
        <v>280</v>
      </c>
      <c r="AF251" t="s">
        <v>91</v>
      </c>
      <c r="AH251" s="3">
        <v>1.85</v>
      </c>
      <c r="AI251" s="3">
        <f>AH251/(AD251*Y251*Z251)</f>
        <v>2.8906250000000004E-4</v>
      </c>
      <c r="AJ251" s="3">
        <f>LN(AI251)</f>
        <v>-8.1488676302575289</v>
      </c>
      <c r="AM251" t="s">
        <v>184</v>
      </c>
      <c r="AN251" t="b">
        <v>0</v>
      </c>
      <c r="AO251" t="b">
        <v>0</v>
      </c>
      <c r="AP251" t="b">
        <v>1</v>
      </c>
      <c r="AQ251" t="b">
        <v>0</v>
      </c>
      <c r="AR251">
        <v>-1</v>
      </c>
      <c r="AS251">
        <v>-1</v>
      </c>
      <c r="AT251" t="s">
        <v>191</v>
      </c>
      <c r="AU251">
        <v>0.61518563909023349</v>
      </c>
      <c r="AV251">
        <v>1.9090909090909089</v>
      </c>
      <c r="AW251">
        <v>2.545454545454545</v>
      </c>
      <c r="AX251">
        <v>0.54545454545454541</v>
      </c>
      <c r="AY251">
        <v>2.9090909090909092</v>
      </c>
      <c r="AZ251">
        <v>0.2413793103448276</v>
      </c>
      <c r="BA251">
        <v>0.32183908045977011</v>
      </c>
      <c r="BB251">
        <v>6.8965517241379309E-2</v>
      </c>
      <c r="BC251">
        <v>0.36781609195402298</v>
      </c>
      <c r="BD251">
        <v>5.9816624510454544</v>
      </c>
      <c r="BE251">
        <v>14</v>
      </c>
      <c r="BF251">
        <v>0</v>
      </c>
      <c r="BG251">
        <v>0</v>
      </c>
      <c r="BI251">
        <v>0</v>
      </c>
      <c r="BL251">
        <v>0</v>
      </c>
      <c r="BM251">
        <v>0</v>
      </c>
      <c r="BO251">
        <v>0</v>
      </c>
      <c r="BR251">
        <v>164.541706117579</v>
      </c>
      <c r="BS251">
        <v>1</v>
      </c>
      <c r="BT251">
        <v>8.5084811202795069E-2</v>
      </c>
      <c r="BU251">
        <v>3.8653</v>
      </c>
      <c r="BV251">
        <v>3.8653</v>
      </c>
      <c r="BW251">
        <v>11.0131</v>
      </c>
      <c r="BZ251">
        <v>7</v>
      </c>
      <c r="CD251">
        <v>4.2542405601397527E-2</v>
      </c>
      <c r="CG251">
        <v>0.53313423594927023</v>
      </c>
    </row>
    <row r="252" spans="1:86" x14ac:dyDescent="0.3">
      <c r="A252" s="1">
        <v>49</v>
      </c>
      <c r="B252" t="s">
        <v>186</v>
      </c>
      <c r="C252" t="s">
        <v>187</v>
      </c>
      <c r="E252" t="s">
        <v>94</v>
      </c>
      <c r="F252">
        <v>4.2</v>
      </c>
      <c r="G252">
        <v>-1</v>
      </c>
      <c r="H252">
        <v>-1</v>
      </c>
      <c r="I252" t="s">
        <v>177</v>
      </c>
      <c r="P252">
        <v>2</v>
      </c>
      <c r="Q252" t="s">
        <v>87</v>
      </c>
      <c r="R252">
        <v>1373</v>
      </c>
      <c r="S252">
        <v>10</v>
      </c>
      <c r="T252" t="b">
        <v>0</v>
      </c>
      <c r="U252" t="s">
        <v>88</v>
      </c>
      <c r="V252" t="s">
        <v>89</v>
      </c>
      <c r="W252">
        <v>0</v>
      </c>
      <c r="Y252">
        <v>1</v>
      </c>
      <c r="Z252">
        <v>16</v>
      </c>
      <c r="AC252" t="s">
        <v>90</v>
      </c>
      <c r="AD252">
        <v>400</v>
      </c>
      <c r="AE252">
        <v>280</v>
      </c>
      <c r="AF252" t="s">
        <v>91</v>
      </c>
      <c r="AH252" s="3">
        <v>1.85</v>
      </c>
      <c r="AI252" s="3">
        <f>AH252/(AD252*Y252*Z252)</f>
        <v>2.8906250000000004E-4</v>
      </c>
      <c r="AJ252" s="3">
        <f>LN(AI252)</f>
        <v>-8.1488676302575289</v>
      </c>
      <c r="AM252" t="s">
        <v>188</v>
      </c>
      <c r="AN252" t="b">
        <v>0</v>
      </c>
      <c r="AO252" t="b">
        <v>0</v>
      </c>
      <c r="AP252" t="b">
        <v>1</v>
      </c>
      <c r="AQ252" t="b">
        <v>0</v>
      </c>
      <c r="AR252">
        <v>-1</v>
      </c>
      <c r="AS252">
        <v>-1</v>
      </c>
      <c r="AT252" t="s">
        <v>192</v>
      </c>
      <c r="AU252">
        <v>0.61518563909023349</v>
      </c>
      <c r="AV252">
        <v>1.9090909090909089</v>
      </c>
      <c r="AW252">
        <v>2.545454545454545</v>
      </c>
      <c r="AX252">
        <v>0.54545454545454541</v>
      </c>
      <c r="AY252">
        <v>3.0909090909090908</v>
      </c>
      <c r="AZ252">
        <v>0.2359550561797753</v>
      </c>
      <c r="BA252">
        <v>0.3146067415730337</v>
      </c>
      <c r="BB252">
        <v>6.7415730337078636E-2</v>
      </c>
      <c r="BC252">
        <v>0.38202247191011229</v>
      </c>
      <c r="BD252">
        <v>5.9899904828636359</v>
      </c>
      <c r="BE252">
        <v>14</v>
      </c>
      <c r="BF252">
        <v>0</v>
      </c>
      <c r="BG252">
        <v>0</v>
      </c>
      <c r="BI252">
        <v>0</v>
      </c>
      <c r="BL252">
        <v>0</v>
      </c>
      <c r="BM252">
        <v>0</v>
      </c>
      <c r="BO252">
        <v>0</v>
      </c>
      <c r="BR252">
        <v>164.541706117579</v>
      </c>
      <c r="BS252">
        <v>1</v>
      </c>
      <c r="BT252">
        <v>8.5084811202795069E-2</v>
      </c>
      <c r="BU252">
        <v>3.8653</v>
      </c>
      <c r="BV252">
        <v>3.8653</v>
      </c>
      <c r="BW252">
        <v>11.0131</v>
      </c>
      <c r="BZ252">
        <v>7</v>
      </c>
      <c r="CD252">
        <v>4.2542405601397527E-2</v>
      </c>
      <c r="CG252">
        <v>0.53077956978118013</v>
      </c>
    </row>
    <row r="253" spans="1:86" x14ac:dyDescent="0.3">
      <c r="A253" s="1">
        <v>5</v>
      </c>
      <c r="B253" t="s">
        <v>111</v>
      </c>
      <c r="C253" t="s">
        <v>112</v>
      </c>
      <c r="E253" t="s">
        <v>106</v>
      </c>
      <c r="F253">
        <v>3.5</v>
      </c>
      <c r="G253" t="s">
        <v>113</v>
      </c>
      <c r="H253" t="s">
        <v>114</v>
      </c>
      <c r="I253">
        <v>-1</v>
      </c>
      <c r="J253">
        <v>4</v>
      </c>
      <c r="K253">
        <v>7.7249999999999996</v>
      </c>
      <c r="L253">
        <v>7.7249999999999996</v>
      </c>
      <c r="M253">
        <v>14.909000000000001</v>
      </c>
      <c r="N253" t="s">
        <v>115</v>
      </c>
      <c r="O253">
        <v>14.909000000000001</v>
      </c>
      <c r="P253">
        <v>3</v>
      </c>
      <c r="Q253" t="s">
        <v>87</v>
      </c>
      <c r="R253">
        <v>1473</v>
      </c>
      <c r="S253">
        <v>48</v>
      </c>
      <c r="T253" t="b">
        <v>0</v>
      </c>
      <c r="U253" t="s">
        <v>88</v>
      </c>
      <c r="V253" t="s">
        <v>89</v>
      </c>
      <c r="W253">
        <v>0</v>
      </c>
      <c r="Y253">
        <v>2.85</v>
      </c>
      <c r="Z253">
        <v>14.3</v>
      </c>
      <c r="AC253" t="s">
        <v>90</v>
      </c>
      <c r="AD253">
        <v>450</v>
      </c>
      <c r="AF253" t="s">
        <v>91</v>
      </c>
      <c r="AH253" s="3">
        <v>3</v>
      </c>
      <c r="AI253" s="3">
        <f>AH253/(AD253*Y253*Z253)</f>
        <v>1.6357911094753199E-4</v>
      </c>
      <c r="AJ253" s="3">
        <f>LN(AI253)</f>
        <v>-8.7182138256426764</v>
      </c>
      <c r="AN253" t="b">
        <v>1</v>
      </c>
      <c r="AO253" t="b">
        <v>1</v>
      </c>
      <c r="AP253" t="b">
        <v>0</v>
      </c>
      <c r="AQ253" t="b">
        <v>0</v>
      </c>
      <c r="AR253" t="s">
        <v>113</v>
      </c>
      <c r="AS253" t="s">
        <v>114</v>
      </c>
      <c r="AU253">
        <v>1.09861228866811</v>
      </c>
      <c r="AV253">
        <v>1.75</v>
      </c>
      <c r="AW253">
        <v>2.5</v>
      </c>
      <c r="AX253">
        <v>0.75</v>
      </c>
      <c r="AY253">
        <v>0</v>
      </c>
      <c r="AZ253">
        <v>0.35</v>
      </c>
      <c r="BA253">
        <v>0.5</v>
      </c>
      <c r="BB253">
        <v>0.15</v>
      </c>
      <c r="BC253">
        <v>0</v>
      </c>
      <c r="BD253">
        <v>5.9612158762499998</v>
      </c>
      <c r="BE253">
        <v>20</v>
      </c>
      <c r="BF253">
        <v>240.40623599981481</v>
      </c>
      <c r="BG253">
        <v>1</v>
      </c>
      <c r="BH253">
        <v>8.3192517518619641E-2</v>
      </c>
      <c r="BI253">
        <v>3.9661010000000001</v>
      </c>
      <c r="BJ253">
        <v>3.9661010000000001</v>
      </c>
      <c r="BK253">
        <v>15.283337</v>
      </c>
      <c r="BL253">
        <v>222.00958249733301</v>
      </c>
      <c r="BM253">
        <v>1</v>
      </c>
      <c r="BN253">
        <v>9.0086201573034624E-2</v>
      </c>
      <c r="BO253">
        <v>3.8586499999999999</v>
      </c>
      <c r="BP253">
        <v>3.8586499999999999</v>
      </c>
      <c r="BQ253">
        <v>14.9108</v>
      </c>
      <c r="BR253">
        <v>0</v>
      </c>
      <c r="BS253">
        <v>0</v>
      </c>
      <c r="BU253">
        <v>0</v>
      </c>
      <c r="BV253">
        <v>0</v>
      </c>
      <c r="BW253">
        <v>0</v>
      </c>
      <c r="BX253">
        <v>889.70389312500004</v>
      </c>
      <c r="BY253">
        <v>8.9917556411951427E-2</v>
      </c>
      <c r="BZ253">
        <v>10</v>
      </c>
      <c r="CA253">
        <v>4.4958778205975707E-2</v>
      </c>
      <c r="CB253">
        <v>4.159625875930982E-2</v>
      </c>
      <c r="CC253">
        <v>4.5043100786517312E-2</v>
      </c>
      <c r="CE253">
        <v>0.50467688585120685</v>
      </c>
      <c r="CF253">
        <v>0.54649654829675809</v>
      </c>
      <c r="CH253">
        <v>0.54547348375624471</v>
      </c>
    </row>
    <row r="254" spans="1:86" x14ac:dyDescent="0.3">
      <c r="A254" s="1">
        <v>6</v>
      </c>
      <c r="B254" t="s">
        <v>116</v>
      </c>
      <c r="C254" t="s">
        <v>117</v>
      </c>
      <c r="E254" t="s">
        <v>106</v>
      </c>
      <c r="F254">
        <v>3.5</v>
      </c>
      <c r="G254" t="s">
        <v>118</v>
      </c>
      <c r="H254" t="s">
        <v>119</v>
      </c>
      <c r="I254">
        <v>-1</v>
      </c>
      <c r="J254">
        <v>2</v>
      </c>
      <c r="K254">
        <v>7.7270000000000003</v>
      </c>
      <c r="L254">
        <v>7.7270000000000003</v>
      </c>
      <c r="M254">
        <v>30.175999999999998</v>
      </c>
      <c r="N254" t="s">
        <v>110</v>
      </c>
      <c r="O254">
        <v>15.087999999999999</v>
      </c>
      <c r="P254">
        <v>3</v>
      </c>
      <c r="Q254" t="s">
        <v>87</v>
      </c>
      <c r="R254">
        <v>1473</v>
      </c>
      <c r="S254">
        <v>48</v>
      </c>
      <c r="T254" t="b">
        <v>0</v>
      </c>
      <c r="U254" t="s">
        <v>88</v>
      </c>
      <c r="V254" t="s">
        <v>89</v>
      </c>
      <c r="W254">
        <v>0</v>
      </c>
      <c r="Y254">
        <v>2.85</v>
      </c>
      <c r="Z254">
        <v>14.3</v>
      </c>
      <c r="AC254" t="s">
        <v>90</v>
      </c>
      <c r="AD254">
        <v>450</v>
      </c>
      <c r="AF254" t="s">
        <v>91</v>
      </c>
      <c r="AH254" s="3">
        <v>2</v>
      </c>
      <c r="AI254" s="3">
        <f>AH254/(AD254*Y254*Z254)</f>
        <v>1.09052740631688E-4</v>
      </c>
      <c r="AJ254" s="3">
        <f>LN(AI254)</f>
        <v>-9.1236789337508402</v>
      </c>
      <c r="AN254" t="b">
        <v>1</v>
      </c>
      <c r="AO254" t="b">
        <v>1</v>
      </c>
      <c r="AP254" t="b">
        <v>0</v>
      </c>
      <c r="AQ254" t="b">
        <v>0</v>
      </c>
      <c r="AR254" t="s">
        <v>118</v>
      </c>
      <c r="AS254" t="s">
        <v>119</v>
      </c>
      <c r="AU254">
        <v>0.69314718055994529</v>
      </c>
      <c r="AV254">
        <v>1.75</v>
      </c>
      <c r="AW254">
        <v>2.5</v>
      </c>
      <c r="AX254">
        <v>0.75</v>
      </c>
      <c r="AY254">
        <v>0</v>
      </c>
      <c r="AZ254">
        <v>0.35</v>
      </c>
      <c r="BA254">
        <v>0.5</v>
      </c>
      <c r="BB254">
        <v>0.15</v>
      </c>
      <c r="BC254">
        <v>0</v>
      </c>
      <c r="BD254">
        <v>5.9519177436071873</v>
      </c>
      <c r="BE254">
        <v>20</v>
      </c>
      <c r="BF254">
        <v>1902.4394671889761</v>
      </c>
      <c r="BG254">
        <v>8</v>
      </c>
      <c r="BH254">
        <v>8.4102544527429435E-2</v>
      </c>
      <c r="BI254">
        <v>7.8252249999999997</v>
      </c>
      <c r="BJ254">
        <v>7.8345229999999999</v>
      </c>
      <c r="BK254">
        <v>31.031406</v>
      </c>
      <c r="BL254">
        <v>1809.7126974</v>
      </c>
      <c r="BM254">
        <v>8</v>
      </c>
      <c r="BN254">
        <v>8.8411823727529093E-2</v>
      </c>
      <c r="BO254">
        <v>30.184999999999999</v>
      </c>
      <c r="BP254">
        <v>7.74</v>
      </c>
      <c r="BQ254">
        <v>7.7460000000000004</v>
      </c>
      <c r="BR254">
        <v>0</v>
      </c>
      <c r="BS254">
        <v>0</v>
      </c>
      <c r="BU254">
        <v>0</v>
      </c>
      <c r="BV254">
        <v>0</v>
      </c>
      <c r="BW254">
        <v>0</v>
      </c>
      <c r="BX254">
        <v>1801.704219104</v>
      </c>
      <c r="BY254">
        <v>2.2201202381538668E-2</v>
      </c>
      <c r="BZ254">
        <v>10</v>
      </c>
      <c r="CA254">
        <v>1.1100601190769339E-2</v>
      </c>
      <c r="CB254">
        <v>4.2051272263714717E-2</v>
      </c>
      <c r="CC254">
        <v>4.4205911863764553E-2</v>
      </c>
      <c r="CE254">
        <v>0.53407279423354248</v>
      </c>
      <c r="CF254">
        <v>0.56143782577285706</v>
      </c>
      <c r="CH254">
        <v>0.14098334667372209</v>
      </c>
    </row>
    <row r="255" spans="1:86" x14ac:dyDescent="0.3">
      <c r="A255" s="1">
        <v>47</v>
      </c>
      <c r="B255" t="s">
        <v>180</v>
      </c>
      <c r="C255" t="s">
        <v>181</v>
      </c>
      <c r="E255" t="s">
        <v>94</v>
      </c>
      <c r="F255">
        <v>3.6</v>
      </c>
      <c r="G255">
        <v>-1</v>
      </c>
      <c r="H255">
        <v>-1</v>
      </c>
      <c r="I255" t="s">
        <v>177</v>
      </c>
      <c r="P255">
        <v>2</v>
      </c>
      <c r="Q255" t="s">
        <v>87</v>
      </c>
      <c r="R255">
        <v>1373</v>
      </c>
      <c r="S255">
        <v>10</v>
      </c>
      <c r="T255" t="b">
        <v>0</v>
      </c>
      <c r="U255" t="s">
        <v>88</v>
      </c>
      <c r="V255" t="s">
        <v>89</v>
      </c>
      <c r="W255">
        <v>0</v>
      </c>
      <c r="Y255">
        <v>1</v>
      </c>
      <c r="Z255">
        <v>16</v>
      </c>
      <c r="AC255" t="s">
        <v>90</v>
      </c>
      <c r="AD255">
        <v>400</v>
      </c>
      <c r="AE255">
        <v>280</v>
      </c>
      <c r="AF255" t="s">
        <v>91</v>
      </c>
      <c r="AH255" s="3">
        <v>0.25</v>
      </c>
      <c r="AI255" s="3">
        <f>AH255/(AD255*Y255*Z255)</f>
        <v>3.9062500000000001E-5</v>
      </c>
      <c r="AJ255" s="3">
        <f>LN(AI255)</f>
        <v>-10.150347630467653</v>
      </c>
      <c r="AN255" t="b">
        <v>0</v>
      </c>
      <c r="AO255" t="b">
        <v>0</v>
      </c>
      <c r="AP255" t="b">
        <v>1</v>
      </c>
      <c r="AQ255" t="b">
        <v>0</v>
      </c>
      <c r="AR255">
        <v>-1</v>
      </c>
      <c r="AS255">
        <v>-1</v>
      </c>
      <c r="AT255" t="s">
        <v>177</v>
      </c>
      <c r="AU255">
        <v>-1.386294361119891</v>
      </c>
      <c r="AV255">
        <v>1.9090909090909089</v>
      </c>
      <c r="AW255">
        <v>2.545454545454545</v>
      </c>
      <c r="AX255">
        <v>0.54545454545454541</v>
      </c>
      <c r="AY255">
        <v>2.8181818181818179</v>
      </c>
      <c r="AZ255">
        <v>0.2441860465116279</v>
      </c>
      <c r="BA255">
        <v>0.32558139534883718</v>
      </c>
      <c r="BB255">
        <v>6.9767441860465115E-2</v>
      </c>
      <c r="BC255">
        <v>0.3604651162790698</v>
      </c>
      <c r="BD255">
        <v>5.9797052374090907</v>
      </c>
      <c r="BE255">
        <v>14</v>
      </c>
      <c r="BF255">
        <v>0</v>
      </c>
      <c r="BG255">
        <v>0</v>
      </c>
      <c r="BI255">
        <v>0</v>
      </c>
      <c r="BL255">
        <v>0</v>
      </c>
      <c r="BM255">
        <v>0</v>
      </c>
      <c r="BO255">
        <v>0</v>
      </c>
      <c r="BR255">
        <v>164.541706117579</v>
      </c>
      <c r="BS255">
        <v>1</v>
      </c>
      <c r="BT255">
        <v>8.5084811202795069E-2</v>
      </c>
      <c r="BU255">
        <v>3.8653</v>
      </c>
      <c r="BV255">
        <v>3.8653</v>
      </c>
      <c r="BW255">
        <v>11.0131</v>
      </c>
      <c r="BZ255">
        <v>7</v>
      </c>
      <c r="CD255">
        <v>4.2542405601397527E-2</v>
      </c>
      <c r="CG255">
        <v>0.53381265134868683</v>
      </c>
    </row>
    <row r="257" spans="34:36" x14ac:dyDescent="0.3">
      <c r="AH257" s="3">
        <f>AVERAGE(AH89:AH255)</f>
        <v>1289.1092592915184</v>
      </c>
      <c r="AI257" s="3">
        <f>AVERAGE(AI89:AI255)</f>
        <v>36.492632511327507</v>
      </c>
      <c r="AJ257" s="3">
        <f>AVERAGE(AJ89:AJ255)</f>
        <v>-0.10204694409516013</v>
      </c>
    </row>
  </sheetData>
  <sortState xmlns:xlrd2="http://schemas.microsoft.com/office/spreadsheetml/2017/richdata2" ref="A2:CH255">
    <sortCondition descending="1" ref="AI1:AI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All</vt:lpstr>
      <vt:lpstr>Pt</vt:lpstr>
      <vt:lpstr>No_Pt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Давыдов</cp:lastModifiedBy>
  <dcterms:created xsi:type="dcterms:W3CDTF">2026-05-12T16:23:11Z</dcterms:created>
  <dcterms:modified xsi:type="dcterms:W3CDTF">2026-05-15T18:06:28Z</dcterms:modified>
</cp:coreProperties>
</file>